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281169\Documents\EnergyScope\EnergyScopeFR_Biomass_supply_curves\"/>
    </mc:Choice>
  </mc:AlternateContent>
  <xr:revisionPtr revIDLastSave="0" documentId="13_ncr:1_{9AA75CB6-CF56-4CCE-91E6-AC3A97BCED1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LOW 2020 NUTS0" sheetId="1" r:id="rId1"/>
    <sheet name="HIGH 2020 NUTS0" sheetId="2" r:id="rId2"/>
    <sheet name="MED 2050 NUTS0" sheetId="3" r:id="rId3"/>
    <sheet name="LOW 2050 NUTS0" sheetId="4" r:id="rId4"/>
    <sheet name="HIGH 2050 NUTS0" sheetId="5" r:id="rId5"/>
    <sheet name="MED 2020 NUTS0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20" i="4"/>
  <c r="E323" i="4"/>
  <c r="E321" i="4"/>
  <c r="E322" i="4"/>
  <c r="E319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36" i="4"/>
  <c r="G318" i="4"/>
  <c r="G319" i="4"/>
  <c r="G321" i="4"/>
  <c r="G322" i="4"/>
  <c r="G333" i="4"/>
  <c r="G337" i="4"/>
  <c r="G344" i="4"/>
  <c r="G326" i="4"/>
  <c r="G349" i="4"/>
  <c r="G328" i="4"/>
  <c r="G329" i="4"/>
  <c r="G330" i="4"/>
  <c r="G331" i="4"/>
  <c r="G332" i="4"/>
  <c r="G334" i="4"/>
  <c r="G348" i="4"/>
  <c r="G350" i="4"/>
  <c r="G339" i="4"/>
  <c r="G320" i="4"/>
  <c r="G324" i="4"/>
  <c r="G327" i="4"/>
  <c r="G340" i="4"/>
  <c r="G341" i="4"/>
  <c r="G342" i="4"/>
  <c r="G343" i="4"/>
  <c r="G335" i="4"/>
  <c r="G345" i="4"/>
  <c r="G346" i="4"/>
  <c r="G325" i="4"/>
  <c r="G338" i="4"/>
  <c r="G347" i="4"/>
  <c r="G323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47" i="3"/>
  <c r="I336" i="3"/>
  <c r="I337" i="3"/>
  <c r="I338" i="3"/>
  <c r="I344" i="3"/>
  <c r="I353" i="3"/>
  <c r="I354" i="3"/>
  <c r="I357" i="3"/>
  <c r="I360" i="3"/>
  <c r="I345" i="3"/>
  <c r="I359" i="3"/>
  <c r="I361" i="3"/>
  <c r="I348" i="3"/>
  <c r="I349" i="3"/>
  <c r="I350" i="3"/>
  <c r="I351" i="3"/>
  <c r="I352" i="3"/>
  <c r="I356" i="3"/>
  <c r="I339" i="3"/>
  <c r="I341" i="3"/>
  <c r="I343" i="3"/>
  <c r="I346" i="3"/>
  <c r="I342" i="3"/>
  <c r="I355" i="3"/>
  <c r="I358" i="3"/>
  <c r="I340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47" i="3"/>
  <c r="G336" i="3"/>
  <c r="G337" i="3"/>
  <c r="G338" i="3"/>
  <c r="G364" i="3"/>
  <c r="G366" i="3"/>
  <c r="G344" i="3"/>
  <c r="G353" i="3"/>
  <c r="G354" i="3"/>
  <c r="G357" i="3"/>
  <c r="G367" i="3"/>
  <c r="G360" i="3"/>
  <c r="G348" i="3"/>
  <c r="G349" i="3"/>
  <c r="G350" i="3"/>
  <c r="G351" i="3"/>
  <c r="G352" i="3"/>
  <c r="G345" i="3"/>
  <c r="G359" i="3"/>
  <c r="G361" i="3"/>
  <c r="G356" i="3"/>
  <c r="G339" i="3"/>
  <c r="G341" i="3"/>
  <c r="G343" i="3"/>
  <c r="G368" i="3"/>
  <c r="G369" i="3"/>
  <c r="G362" i="3"/>
  <c r="G363" i="3"/>
  <c r="G346" i="3"/>
  <c r="G365" i="3"/>
  <c r="G370" i="3"/>
  <c r="G342" i="3"/>
  <c r="G355" i="3"/>
  <c r="G358" i="3"/>
  <c r="G34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47" i="3"/>
  <c r="E336" i="3"/>
  <c r="E337" i="3"/>
  <c r="E338" i="3"/>
  <c r="E364" i="3"/>
  <c r="E366" i="3"/>
  <c r="E344" i="3"/>
  <c r="E353" i="3"/>
  <c r="E354" i="3"/>
  <c r="E357" i="3"/>
  <c r="E367" i="3"/>
  <c r="E360" i="3"/>
  <c r="E348" i="3"/>
  <c r="E349" i="3"/>
  <c r="E350" i="3"/>
  <c r="E351" i="3"/>
  <c r="E352" i="3"/>
  <c r="E345" i="3"/>
  <c r="E359" i="3"/>
  <c r="E361" i="3"/>
  <c r="E356" i="3"/>
  <c r="E339" i="3"/>
  <c r="E341" i="3"/>
  <c r="E343" i="3"/>
  <c r="E368" i="3"/>
  <c r="E369" i="3"/>
  <c r="E362" i="3"/>
  <c r="E363" i="3"/>
  <c r="E346" i="3"/>
  <c r="E365" i="3"/>
  <c r="E370" i="3"/>
  <c r="E342" i="3"/>
  <c r="E355" i="3"/>
  <c r="E358" i="3"/>
  <c r="E34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</calcChain>
</file>

<file path=xl/sharedStrings.xml><?xml version="1.0" encoding="utf-8"?>
<sst xmlns="http://schemas.openxmlformats.org/spreadsheetml/2006/main" count="25181" uniqueCount="116">
  <si>
    <t>NUTS0</t>
  </si>
  <si>
    <t>E-Comm</t>
  </si>
  <si>
    <t>B-Com</t>
  </si>
  <si>
    <t>Potential (PJ)</t>
  </si>
  <si>
    <t>GHG (kgCO2eq/GJ)</t>
  </si>
  <si>
    <t>Category</t>
  </si>
  <si>
    <t>Type</t>
  </si>
  <si>
    <t>AL</t>
  </si>
  <si>
    <t>AT</t>
  </si>
  <si>
    <t>BA</t>
  </si>
  <si>
    <t>BE</t>
  </si>
  <si>
    <t>BG</t>
  </si>
  <si>
    <t>CH</t>
  </si>
  <si>
    <t>CY</t>
  </si>
  <si>
    <t>CZ</t>
  </si>
  <si>
    <t>DE</t>
  </si>
  <si>
    <t>DK</t>
  </si>
  <si>
    <t>EE</t>
  </si>
  <si>
    <t>EL</t>
  </si>
  <si>
    <t>ES</t>
  </si>
  <si>
    <t>FI</t>
  </si>
  <si>
    <t>FR</t>
  </si>
  <si>
    <t>HR</t>
  </si>
  <si>
    <t>HU</t>
  </si>
  <si>
    <t>IE</t>
  </si>
  <si>
    <t>IS</t>
  </si>
  <si>
    <t>IT</t>
  </si>
  <si>
    <t>LT</t>
  </si>
  <si>
    <t>LU</t>
  </si>
  <si>
    <t>LV</t>
  </si>
  <si>
    <t>ME</t>
  </si>
  <si>
    <t>MK</t>
  </si>
  <si>
    <t>MT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</si>
  <si>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</si>
  <si>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</si>
  <si>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</si>
  <si>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</si>
  <si>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</si>
  <si>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</si>
  <si>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</si>
  <si>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</si>
  <si>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</si>
  <si>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TR</t>
  </si>
  <si>
    <t>UA</t>
  </si>
  <si>
    <t>UK</t>
  </si>
  <si>
    <t>XK</t>
  </si>
  <si>
    <t>MINBIOAGRW1</t>
  </si>
  <si>
    <t>MINBIOCRP31</t>
  </si>
  <si>
    <t>MINBIOCRP41a</t>
  </si>
  <si>
    <t>MINBIOFRSR1</t>
  </si>
  <si>
    <t>MINBIOGAS1</t>
  </si>
  <si>
    <t>MINBIOMUN1</t>
  </si>
  <si>
    <t>MINBIOSLU1</t>
  </si>
  <si>
    <t>MINBIOWOO</t>
  </si>
  <si>
    <t>MINBIOWOOa</t>
  </si>
  <si>
    <t>MINBIOCRP11</t>
  </si>
  <si>
    <t>MINBIOCRP21</t>
  </si>
  <si>
    <t>MINBIOCRP41</t>
  </si>
  <si>
    <t>MINBIOFRSR1a</t>
  </si>
  <si>
    <t>MINBIOLIQ1</t>
  </si>
  <si>
    <t>MINBIORPS1</t>
  </si>
  <si>
    <t>MINBIOWOOW1</t>
  </si>
  <si>
    <t>MINBIOWOOW1a</t>
  </si>
  <si>
    <t>Olive pits</t>
  </si>
  <si>
    <t>apples</t>
  </si>
  <si>
    <t>cherries</t>
  </si>
  <si>
    <t>maizestraw</t>
  </si>
  <si>
    <t>olives</t>
  </si>
  <si>
    <t>Miscanthus</t>
  </si>
  <si>
    <t>Switchgrass</t>
  </si>
  <si>
    <t>Poplar</t>
  </si>
  <si>
    <t>C&amp;P_Res</t>
  </si>
  <si>
    <t>Fuelwood Res</t>
  </si>
  <si>
    <t>manure_liq</t>
  </si>
  <si>
    <t>manure_sol</t>
  </si>
  <si>
    <t>MSW</t>
  </si>
  <si>
    <t>sludge</t>
  </si>
  <si>
    <t>FuelwoodRW</t>
  </si>
  <si>
    <t>C&amp;P_RW</t>
  </si>
  <si>
    <t>cerealstraw</t>
  </si>
  <si>
    <t>grass for biogas</t>
  </si>
  <si>
    <t>maize silage</t>
  </si>
  <si>
    <t>osr</t>
  </si>
  <si>
    <t>ricestraw</t>
  </si>
  <si>
    <t>sugarbeettops</t>
  </si>
  <si>
    <t>vineyards</t>
  </si>
  <si>
    <t>barley</t>
  </si>
  <si>
    <t>durum_wheat</t>
  </si>
  <si>
    <t>grain maize</t>
  </si>
  <si>
    <t>oats</t>
  </si>
  <si>
    <t>other_cereals</t>
  </si>
  <si>
    <t>rye</t>
  </si>
  <si>
    <t>softwheat</t>
  </si>
  <si>
    <t>sugarbeet</t>
  </si>
  <si>
    <t>Willow</t>
  </si>
  <si>
    <t>landscapecare</t>
  </si>
  <si>
    <t>soya seed</t>
  </si>
  <si>
    <t>sunflower_seed</t>
  </si>
  <si>
    <t>rape_seed</t>
  </si>
  <si>
    <t>othersecresid</t>
  </si>
  <si>
    <t>sawdust</t>
  </si>
  <si>
    <t>RCG</t>
  </si>
  <si>
    <t>citrus</t>
  </si>
  <si>
    <t>-</t>
  </si>
  <si>
    <t>SOLID</t>
  </si>
  <si>
    <t>WET</t>
  </si>
  <si>
    <t>STARCH</t>
  </si>
  <si>
    <t>OIL</t>
  </si>
  <si>
    <t>RESIDUE</t>
  </si>
  <si>
    <t>ENERGY CROP</t>
  </si>
  <si>
    <t>Cost (M€/GWh)</t>
  </si>
  <si>
    <t>GHG (tCO2eq/MWh)</t>
  </si>
  <si>
    <t>Cost (€/GJ)</t>
  </si>
  <si>
    <t>CP_Res</t>
  </si>
  <si>
    <t>CP_RW</t>
  </si>
  <si>
    <t>Potential (GWh)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</si>
</sst>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AB08268-6014-468C-BAB4-AE42C003499C}" name="Tableau2" displayName="Tableau2" ref="A1:K844" totalsRowShown="0" headerRowDxfId="20" headerRowBorderDxfId="19" tableBorderDxfId="18">
  <autoFilter ref="A1:K844" xr:uid="{9AB08268-6014-468C-BAB4-AE42C003499C}">
    <filterColumn colId="0">
      <filters>
        <filter val="FR"/>
      </filters>
    </filterColumn>
    <filterColumn colId="9">
      <filters>
        <filter val="SOLID"/>
      </filters>
    </filterColumn>
  </autoFilter>
  <sortState xmlns:xlrd2="http://schemas.microsoft.com/office/spreadsheetml/2017/richdata2" ref="A336:K361">
    <sortCondition ref="C1:C844"/>
  </sortState>
  <tableColumns count="11">
    <tableColumn id="1" xr3:uid="{88068362-8C00-4A6B-A49A-DB3D564E3414}" name="NUTS0"/>
    <tableColumn id="2" xr3:uid="{7381F85F-330F-474F-A79B-82B5ADCDE594}" name="E-Comm"/>
    <tableColumn id="3" xr3:uid="{FB16630A-3EF2-499E-99D5-A01D289B9D59}" name="B-Com"/>
    <tableColumn id="4" xr3:uid="{0B254A8B-9F00-47E4-9640-56C6B117A3AF}" name="Potential (PJ)"/>
    <tableColumn id="9" xr3:uid="{2EB0411E-3970-4D18-95F6-81F953B4D129}" name="Potential (GWh)" dataDxfId="17">
      <calculatedColumnFormula>Tableau2[[#This Row],[Potential (PJ)]]/3.6*1000</calculatedColumnFormula>
    </tableColumn>
    <tableColumn id="5" xr3:uid="{61AFD804-AFCE-4971-BE2C-7543978F5297}" name="Cost (€/GJ)"/>
    <tableColumn id="10" xr3:uid="{6FD443D4-AB3D-483D-A08C-A0F754731094}" name="Cost (M€/GWh)" dataDxfId="16">
      <calculatedColumnFormula>Tableau2[[#This Row],[Cost (€/GJ)]]/1000000*3600</calculatedColumnFormula>
    </tableColumn>
    <tableColumn id="6" xr3:uid="{02DC9A60-E0B4-48BD-A6ED-7A3ABF1BCC61}" name="GHG (kgCO2eq/GJ)"/>
    <tableColumn id="11" xr3:uid="{39D6B543-6EDE-4BA9-BEE9-8B376F90E02B}" name="GHG (tCO2eq/MWh)" dataDxfId="15">
      <calculatedColumnFormula>Tableau2[[#This Row],[GHG (kgCO2eq/GJ)]]/1000*3.6</calculatedColumnFormula>
    </tableColumn>
    <tableColumn id="7" xr3:uid="{E824A03E-BAC7-4FFC-8B7D-E7F935BBB45C}" name="Category"/>
    <tableColumn id="8" xr3:uid="{F65EDDC6-BCA9-4A2A-BA9B-B52BFA426FC3}" name="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8123A-AB7C-4C96-B610-E3B596E32352}" name="Tableau1" displayName="Tableau1" ref="A1:K808" totalsRowShown="0" headerRowDxfId="14" headerRowBorderDxfId="13" tableBorderDxfId="12">
  <autoFilter ref="A1:K808" xr:uid="{4E28123A-AB7C-4C96-B610-E3B596E32352}">
    <filterColumn colId="0">
      <filters>
        <filter val="FR"/>
      </filters>
    </filterColumn>
    <filterColumn colId="9">
      <filters>
        <filter val="SOLID"/>
      </filters>
    </filterColumn>
  </autoFilter>
  <sortState xmlns:xlrd2="http://schemas.microsoft.com/office/spreadsheetml/2017/richdata2" ref="A318:K350">
    <sortCondition ref="C1:C808"/>
  </sortState>
  <tableColumns count="11">
    <tableColumn id="1" xr3:uid="{768C4E36-7197-40F7-B053-B6CD8CE6A568}" name="NUTS0"/>
    <tableColumn id="2" xr3:uid="{D2254FC1-52BE-445E-91CC-A96D494A668B}" name="E-Comm"/>
    <tableColumn id="3" xr3:uid="{C415784F-1F14-4B7C-AAF0-A40E675D43D4}" name="B-Com"/>
    <tableColumn id="4" xr3:uid="{E9D2E232-2176-4C77-8DBA-909CE61F7E11}" name="Potential (PJ)"/>
    <tableColumn id="9" xr3:uid="{D349579E-4D48-41A6-8088-7DC9592A3267}" name="Potential (GWh)" dataDxfId="11">
      <calculatedColumnFormula>Tableau1[[#This Row],[Potential (PJ)]]/3.6*1000</calculatedColumnFormula>
    </tableColumn>
    <tableColumn id="5" xr3:uid="{6DB9D76D-15FD-4E1A-8215-A4A47A83AEB4}" name="Cost (€/GJ)"/>
    <tableColumn id="10" xr3:uid="{515D9511-C5E4-4E57-98C5-AB44BF3DC730}" name="Cost (M€/GWh)" dataDxfId="10">
      <calculatedColumnFormula>Tableau1[[#This Row],[Cost (€/GJ)]]/1000*3.6</calculatedColumnFormula>
    </tableColumn>
    <tableColumn id="6" xr3:uid="{62E6C4D6-C37D-40F8-825F-7B465A57D728}" name="GHG (kgCO2eq/GJ)"/>
    <tableColumn id="11" xr3:uid="{6B3855E6-5A79-4509-9FFF-588EDBCC549A}" name="GHG (tCO2eq/MWh)" dataDxfId="9">
      <calculatedColumnFormula>Tableau1[[#This Row],[GHG (kgCO2eq/GJ)]]/1000*3.6</calculatedColumnFormula>
    </tableColumn>
    <tableColumn id="7" xr3:uid="{1134582B-936B-45B9-A92B-7926FCCF6935}" name="Category"/>
    <tableColumn id="8" xr3:uid="{AA4BA08B-7721-4172-B30F-B138A57E3B70}" name="Typ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BC1235-4AC1-49D8-82A5-737C2615C6F6}" name="Tableau4" displayName="Tableau4" ref="A1:K863" totalsRowShown="0" headerRowDxfId="8" headerRowBorderDxfId="7" tableBorderDxfId="6">
  <autoFilter ref="A1:K863" xr:uid="{F1BC1235-4AC1-49D8-82A5-737C2615C6F6}">
    <filterColumn colId="0">
      <filters>
        <filter val="FR"/>
      </filters>
    </filterColumn>
    <filterColumn colId="9">
      <filters>
        <filter val="SOLID"/>
      </filters>
    </filterColumn>
  </autoFilter>
  <tableColumns count="11">
    <tableColumn id="1" xr3:uid="{8F132AC8-37C7-43A2-A139-222E28F43F1E}" name="NUTS0"/>
    <tableColumn id="2" xr3:uid="{73085B14-4545-459A-91B4-2AD3F5C7A7BC}" name="E-Comm"/>
    <tableColumn id="3" xr3:uid="{B923579A-86FD-40C8-946F-32225744744B}" name="B-Com"/>
    <tableColumn id="4" xr3:uid="{2B392063-7163-4E88-B794-73E43A0B1948}" name="Potential (PJ)"/>
    <tableColumn id="9" xr3:uid="{84D6FD27-F5F2-4C76-B3D5-B834381C9CF0}" name="Potential (GWh)" dataDxfId="5">
      <calculatedColumnFormula>Tableau4[[#This Row],[Potential (PJ)]]*1000/3.6</calculatedColumnFormula>
    </tableColumn>
    <tableColumn id="5" xr3:uid="{690784B6-CC2A-4922-97F9-2A951CCCCDAC}" name="Cost (€/GJ)"/>
    <tableColumn id="10" xr3:uid="{44655D8D-2B4D-4DBA-9FDD-3C313F020E0D}" name="Cost (M€/GWh)" dataDxfId="4">
      <calculatedColumnFormula>Tableau4[[#This Row],[Cost (€/GJ)]]*3.6/1000</calculatedColumnFormula>
    </tableColumn>
    <tableColumn id="6" xr3:uid="{D020DA4C-4174-48EE-911C-41827BD79FEA}" name="GHG (kgCO2eq/GJ)"/>
    <tableColumn id="11" xr3:uid="{E168CE70-0BB2-4FF8-A3F5-2329CE4CE246}" name="GHG (tCO2eq/MWh)" dataDxfId="3">
      <calculatedColumnFormula>Tableau4[[#This Row],[GHG (kgCO2eq/GJ)]]*3.6/1000</calculatedColumnFormula>
    </tableColumn>
    <tableColumn id="7" xr3:uid="{82E27105-D6C5-4941-8008-B036CB4FAB88}" name="Category"/>
    <tableColumn id="8" xr3:uid="{C00332EB-D9B2-4DAA-975B-0A1A9705B7C0}" name="Typ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085E68-D280-4C2E-A6C6-B576F4A263C8}" name="Tableau3" displayName="Tableau3" ref="A1:H852" totalsRowShown="0" headerRowDxfId="2" headerRowBorderDxfId="1" tableBorderDxfId="0">
  <autoFilter ref="A1:H852" xr:uid="{C2085E68-D280-4C2E-A6C6-B576F4A263C8}">
    <filterColumn colId="0">
      <filters>
        <filter val="FR"/>
      </filters>
    </filterColumn>
  </autoFilter>
  <tableColumns count="8">
    <tableColumn id="1" xr3:uid="{38944346-D13C-4C2B-A58A-BAFD33FD097E}" name="NUTS0"/>
    <tableColumn id="2" xr3:uid="{5BDC85E2-A227-44CD-9872-5ADC0D61AD2B}" name="E-Comm"/>
    <tableColumn id="3" xr3:uid="{F5C2727D-3A92-40AB-8256-C3CDB5572C78}" name="B-Com"/>
    <tableColumn id="4" xr3:uid="{EC87CC28-C9F9-4C7A-8F59-2ED697EAEA4F}" name="Potential (PJ)"/>
    <tableColumn id="5" xr3:uid="{58E4DF21-DCB0-4E48-80AF-7FE02789D3F2}" name="Cost (€/GJ)"/>
    <tableColumn id="6" xr3:uid="{0D3EA775-4D82-4726-9E0D-5C761E52DEE7}" name="GHG (kgCO2eq/GJ)"/>
    <tableColumn id="7" xr3:uid="{405FB2A5-1F9E-4FB7-AFFE-8B27E29EB775}" name="Category"/>
    <tableColumn id="8" xr3:uid="{BF8BE769-01C8-45DB-9C7C-EF5D317D002D}" name="Typ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27"/>
  <sheetViews>
    <sheetView workbookViewId="0">
      <selection activeCell="E1" sqref="E1"/>
    </sheetView>
  </sheetViews>
  <sheetFormatPr baseColWidth="10" defaultColWidth="8.88671875" defaultRowHeight="14.4" x14ac:dyDescent="0.3"/>
  <cols>
    <col min="1" max="8" width="22.886718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112</v>
      </c>
      <c r="F1" s="1" t="s">
        <v>4</v>
      </c>
      <c r="G1" s="1" t="s">
        <v>5</v>
      </c>
      <c r="H1" s="1" t="s">
        <v>6</v>
      </c>
    </row>
    <row r="2" spans="1:8" x14ac:dyDescent="0.3">
      <c r="A2" t="s">
        <v>7</v>
      </c>
      <c r="B2" t="s">
        <v>46</v>
      </c>
      <c r="C2" t="s">
        <v>63</v>
      </c>
      <c r="D2">
        <v>7.4800000000000005E-2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x14ac:dyDescent="0.3">
      <c r="A3" t="s">
        <v>7</v>
      </c>
      <c r="B3" t="s">
        <v>46</v>
      </c>
      <c r="C3" t="s">
        <v>64</v>
      </c>
      <c r="D3">
        <v>5.5660000000000001E-2</v>
      </c>
      <c r="E3">
        <v>6.423</v>
      </c>
      <c r="F3">
        <v>2.9521711768407801</v>
      </c>
      <c r="G3" t="s">
        <v>104</v>
      </c>
      <c r="H3" t="s">
        <v>108</v>
      </c>
    </row>
    <row r="4" spans="1:8" x14ac:dyDescent="0.3">
      <c r="A4" t="s">
        <v>7</v>
      </c>
      <c r="B4" t="s">
        <v>46</v>
      </c>
      <c r="C4" t="s">
        <v>65</v>
      </c>
      <c r="D4">
        <v>0.1</v>
      </c>
      <c r="E4">
        <v>4.5</v>
      </c>
      <c r="F4">
        <v>2.9521711768407801</v>
      </c>
      <c r="G4" t="s">
        <v>104</v>
      </c>
      <c r="H4" t="s">
        <v>108</v>
      </c>
    </row>
    <row r="5" spans="1:8" x14ac:dyDescent="0.3">
      <c r="A5" t="s">
        <v>7</v>
      </c>
      <c r="B5" t="s">
        <v>46</v>
      </c>
      <c r="C5" t="s">
        <v>66</v>
      </c>
      <c r="D5">
        <v>0.3</v>
      </c>
      <c r="E5">
        <v>2.1789999999999998</v>
      </c>
      <c r="F5">
        <v>6.8428961748633883</v>
      </c>
      <c r="G5" t="s">
        <v>104</v>
      </c>
      <c r="H5" t="s">
        <v>108</v>
      </c>
    </row>
    <row r="6" spans="1:8" x14ac:dyDescent="0.3">
      <c r="A6" t="s">
        <v>7</v>
      </c>
      <c r="B6" t="s">
        <v>46</v>
      </c>
      <c r="C6" t="s">
        <v>67</v>
      </c>
      <c r="D6">
        <v>0.1</v>
      </c>
      <c r="E6">
        <v>5.1260000000000003</v>
      </c>
      <c r="F6">
        <v>2.9521711768407801</v>
      </c>
      <c r="G6" t="s">
        <v>104</v>
      </c>
      <c r="H6" t="s">
        <v>108</v>
      </c>
    </row>
    <row r="7" spans="1:8" x14ac:dyDescent="0.3">
      <c r="A7" t="s">
        <v>7</v>
      </c>
      <c r="B7" t="s">
        <v>47</v>
      </c>
      <c r="C7" t="s">
        <v>68</v>
      </c>
      <c r="D7">
        <v>5.8</v>
      </c>
      <c r="E7">
        <v>2.952</v>
      </c>
      <c r="F7">
        <v>14.5</v>
      </c>
      <c r="G7" t="s">
        <v>104</v>
      </c>
      <c r="H7" t="s">
        <v>109</v>
      </c>
    </row>
    <row r="8" spans="1:8" x14ac:dyDescent="0.3">
      <c r="A8" t="s">
        <v>7</v>
      </c>
      <c r="B8" t="s">
        <v>47</v>
      </c>
      <c r="C8" t="s">
        <v>69</v>
      </c>
      <c r="D8">
        <v>4.0999999999999996</v>
      </c>
      <c r="E8">
        <v>2.9359999999999999</v>
      </c>
      <c r="F8">
        <v>14.5</v>
      </c>
      <c r="G8" t="s">
        <v>104</v>
      </c>
      <c r="H8" t="s">
        <v>109</v>
      </c>
    </row>
    <row r="9" spans="1:8" x14ac:dyDescent="0.3">
      <c r="A9" t="s">
        <v>7</v>
      </c>
      <c r="B9" t="s">
        <v>48</v>
      </c>
      <c r="C9" t="s">
        <v>70</v>
      </c>
      <c r="D9">
        <v>2.2000000000000002</v>
      </c>
      <c r="E9">
        <v>7.6869999999999994</v>
      </c>
      <c r="F9">
        <v>0</v>
      </c>
      <c r="G9" t="s">
        <v>104</v>
      </c>
      <c r="H9" t="s">
        <v>109</v>
      </c>
    </row>
    <row r="10" spans="1:8" x14ac:dyDescent="0.3">
      <c r="A10" t="s">
        <v>7</v>
      </c>
      <c r="B10" t="s">
        <v>49</v>
      </c>
      <c r="C10" t="s">
        <v>71</v>
      </c>
      <c r="D10">
        <v>2.8349899999999999</v>
      </c>
      <c r="E10">
        <v>0</v>
      </c>
      <c r="F10">
        <v>3.86607608129234</v>
      </c>
      <c r="G10" t="s">
        <v>104</v>
      </c>
      <c r="H10" t="s">
        <v>108</v>
      </c>
    </row>
    <row r="11" spans="1:8" x14ac:dyDescent="0.3">
      <c r="A11" t="s">
        <v>7</v>
      </c>
      <c r="B11" t="s">
        <v>49</v>
      </c>
      <c r="C11" t="s">
        <v>72</v>
      </c>
      <c r="D11">
        <v>0.8</v>
      </c>
      <c r="E11">
        <v>0</v>
      </c>
      <c r="F11">
        <v>3.86607608129234</v>
      </c>
      <c r="G11" t="s">
        <v>104</v>
      </c>
      <c r="H11" t="s">
        <v>108</v>
      </c>
    </row>
    <row r="12" spans="1:8" x14ac:dyDescent="0.3">
      <c r="A12" t="s">
        <v>7</v>
      </c>
      <c r="B12" t="s">
        <v>50</v>
      </c>
      <c r="C12" t="s">
        <v>73</v>
      </c>
      <c r="D12">
        <v>0.2</v>
      </c>
      <c r="E12">
        <v>5.4240000000000004</v>
      </c>
      <c r="F12">
        <v>20.723404255319149</v>
      </c>
      <c r="G12" t="s">
        <v>105</v>
      </c>
      <c r="H12" t="s">
        <v>108</v>
      </c>
    </row>
    <row r="13" spans="1:8" x14ac:dyDescent="0.3">
      <c r="A13" t="s">
        <v>7</v>
      </c>
      <c r="B13" t="s">
        <v>50</v>
      </c>
      <c r="C13" t="s">
        <v>74</v>
      </c>
      <c r="D13">
        <v>0.6</v>
      </c>
      <c r="E13">
        <v>3.484</v>
      </c>
      <c r="F13">
        <v>2.0635593220338988</v>
      </c>
      <c r="G13" t="s">
        <v>105</v>
      </c>
      <c r="H13" t="s">
        <v>108</v>
      </c>
    </row>
    <row r="14" spans="1:8" x14ac:dyDescent="0.3">
      <c r="A14" t="s">
        <v>7</v>
      </c>
      <c r="B14" t="s">
        <v>51</v>
      </c>
      <c r="C14" t="s">
        <v>75</v>
      </c>
      <c r="D14">
        <v>0.73025600000000002</v>
      </c>
      <c r="E14">
        <v>0.170963909829246</v>
      </c>
      <c r="F14">
        <v>11.74</v>
      </c>
      <c r="G14" t="s">
        <v>104</v>
      </c>
      <c r="H14" t="s">
        <v>108</v>
      </c>
    </row>
    <row r="15" spans="1:8" x14ac:dyDescent="0.3">
      <c r="A15" t="s">
        <v>7</v>
      </c>
      <c r="B15" t="s">
        <v>52</v>
      </c>
      <c r="C15" t="s">
        <v>76</v>
      </c>
      <c r="D15">
        <v>1.7999999999999999E-2</v>
      </c>
      <c r="E15">
        <v>8.4824999999999999</v>
      </c>
      <c r="F15">
        <v>12.68872359754714</v>
      </c>
      <c r="G15" t="s">
        <v>105</v>
      </c>
      <c r="H15" t="s">
        <v>108</v>
      </c>
    </row>
    <row r="16" spans="1:8" x14ac:dyDescent="0.3">
      <c r="A16" t="s">
        <v>7</v>
      </c>
      <c r="B16" t="s">
        <v>53</v>
      </c>
      <c r="C16" t="s">
        <v>77</v>
      </c>
      <c r="D16">
        <v>1.2026699999999999</v>
      </c>
      <c r="E16">
        <v>0</v>
      </c>
      <c r="F16">
        <v>3.86607608129234</v>
      </c>
      <c r="G16" t="s">
        <v>104</v>
      </c>
      <c r="H16" t="s">
        <v>108</v>
      </c>
    </row>
    <row r="17" spans="1:8" x14ac:dyDescent="0.3">
      <c r="A17" t="s">
        <v>7</v>
      </c>
      <c r="B17" t="s">
        <v>54</v>
      </c>
      <c r="C17" t="s">
        <v>78</v>
      </c>
      <c r="D17">
        <v>4.4000000000000004</v>
      </c>
      <c r="E17">
        <v>0</v>
      </c>
      <c r="F17">
        <v>3.86607608129234</v>
      </c>
      <c r="G17" t="s">
        <v>104</v>
      </c>
      <c r="H17" t="s">
        <v>108</v>
      </c>
    </row>
    <row r="18" spans="1:8" x14ac:dyDescent="0.3">
      <c r="A18" t="s">
        <v>8</v>
      </c>
      <c r="B18" t="s">
        <v>46</v>
      </c>
      <c r="C18" t="s">
        <v>79</v>
      </c>
      <c r="D18">
        <v>4.8000000000000007</v>
      </c>
      <c r="E18">
        <v>13.037791666666671</v>
      </c>
      <c r="F18">
        <v>6.8428961748633883</v>
      </c>
      <c r="G18" t="s">
        <v>104</v>
      </c>
      <c r="H18" t="s">
        <v>108</v>
      </c>
    </row>
    <row r="19" spans="1:8" x14ac:dyDescent="0.3">
      <c r="A19" t="s">
        <v>8</v>
      </c>
      <c r="B19" t="s">
        <v>46</v>
      </c>
      <c r="C19" t="s">
        <v>80</v>
      </c>
      <c r="D19">
        <v>5.1093999999999999</v>
      </c>
      <c r="E19">
        <v>0.71274443695212408</v>
      </c>
      <c r="F19">
        <v>28.139870918023309</v>
      </c>
      <c r="G19" t="s">
        <v>105</v>
      </c>
      <c r="H19" t="s">
        <v>108</v>
      </c>
    </row>
    <row r="20" spans="1:8" x14ac:dyDescent="0.3">
      <c r="A20" t="s">
        <v>8</v>
      </c>
      <c r="B20" t="s">
        <v>46</v>
      </c>
      <c r="C20" t="s">
        <v>81</v>
      </c>
      <c r="D20">
        <v>1.8685</v>
      </c>
      <c r="E20">
        <v>1.242655699177438</v>
      </c>
      <c r="F20">
        <v>8.9647473560517046</v>
      </c>
      <c r="G20" t="s">
        <v>105</v>
      </c>
      <c r="H20" t="s">
        <v>108</v>
      </c>
    </row>
    <row r="21" spans="1:8" x14ac:dyDescent="0.3">
      <c r="A21" t="s">
        <v>8</v>
      </c>
      <c r="B21" t="s">
        <v>46</v>
      </c>
      <c r="C21" t="s">
        <v>66</v>
      </c>
      <c r="D21">
        <v>2.2999999999999998</v>
      </c>
      <c r="E21">
        <v>13.493</v>
      </c>
      <c r="F21">
        <v>6.8428961748633883</v>
      </c>
      <c r="G21" t="s">
        <v>104</v>
      </c>
      <c r="H21" t="s">
        <v>108</v>
      </c>
    </row>
    <row r="22" spans="1:8" x14ac:dyDescent="0.3">
      <c r="A22" t="s">
        <v>8</v>
      </c>
      <c r="B22" t="s">
        <v>46</v>
      </c>
      <c r="C22" t="s">
        <v>82</v>
      </c>
      <c r="D22">
        <v>0.5</v>
      </c>
      <c r="E22">
        <v>7.932599999999999</v>
      </c>
      <c r="F22">
        <v>6.8428961748633883</v>
      </c>
      <c r="G22" t="s">
        <v>104</v>
      </c>
      <c r="H22" t="s">
        <v>108</v>
      </c>
    </row>
    <row r="23" spans="1:8" x14ac:dyDescent="0.3">
      <c r="A23" t="s">
        <v>8</v>
      </c>
      <c r="B23" t="s">
        <v>46</v>
      </c>
      <c r="C23" t="s">
        <v>83</v>
      </c>
      <c r="D23">
        <v>0.2</v>
      </c>
      <c r="E23">
        <v>0</v>
      </c>
      <c r="F23">
        <v>6.8428961748633883</v>
      </c>
      <c r="G23" t="s">
        <v>104</v>
      </c>
      <c r="H23" t="s">
        <v>108</v>
      </c>
    </row>
    <row r="24" spans="1:8" x14ac:dyDescent="0.3">
      <c r="A24" t="s">
        <v>8</v>
      </c>
      <c r="B24" t="s">
        <v>46</v>
      </c>
      <c r="C24" t="s">
        <v>84</v>
      </c>
      <c r="D24">
        <v>0.2</v>
      </c>
      <c r="E24">
        <v>5.4379999999999988</v>
      </c>
      <c r="F24">
        <v>28.139870918023309</v>
      </c>
      <c r="G24" t="s">
        <v>105</v>
      </c>
      <c r="H24" t="s">
        <v>108</v>
      </c>
    </row>
    <row r="25" spans="1:8" x14ac:dyDescent="0.3">
      <c r="A25" t="s">
        <v>8</v>
      </c>
      <c r="B25" t="s">
        <v>46</v>
      </c>
      <c r="C25" t="s">
        <v>85</v>
      </c>
      <c r="D25">
        <v>0.1</v>
      </c>
      <c r="E25">
        <v>4.82</v>
      </c>
      <c r="F25">
        <v>2.9521711768407801</v>
      </c>
      <c r="G25" t="s">
        <v>104</v>
      </c>
      <c r="H25" t="s">
        <v>108</v>
      </c>
    </row>
    <row r="26" spans="1:8" x14ac:dyDescent="0.3">
      <c r="A26" t="s">
        <v>8</v>
      </c>
      <c r="B26" t="s">
        <v>55</v>
      </c>
      <c r="C26" t="s">
        <v>86</v>
      </c>
      <c r="D26">
        <v>5.8599999999999999E-2</v>
      </c>
      <c r="E26">
        <v>10.414</v>
      </c>
      <c r="F26">
        <v>9.3000000000000007</v>
      </c>
      <c r="G26" t="s">
        <v>106</v>
      </c>
      <c r="H26" t="s">
        <v>109</v>
      </c>
    </row>
    <row r="27" spans="1:8" x14ac:dyDescent="0.3">
      <c r="A27" t="s">
        <v>8</v>
      </c>
      <c r="B27" t="s">
        <v>55</v>
      </c>
      <c r="C27" t="s">
        <v>87</v>
      </c>
      <c r="D27">
        <v>0.23180000000000001</v>
      </c>
      <c r="E27">
        <v>11.951000000000001</v>
      </c>
      <c r="F27">
        <v>9.3000000000000007</v>
      </c>
      <c r="G27" t="s">
        <v>106</v>
      </c>
      <c r="H27" t="s">
        <v>109</v>
      </c>
    </row>
    <row r="28" spans="1:8" x14ac:dyDescent="0.3">
      <c r="A28" t="s">
        <v>8</v>
      </c>
      <c r="B28" t="s">
        <v>55</v>
      </c>
      <c r="C28" t="s">
        <v>88</v>
      </c>
      <c r="D28">
        <v>0.32500000000000001</v>
      </c>
      <c r="E28">
        <v>10.555</v>
      </c>
      <c r="F28">
        <v>9.3000000000000007</v>
      </c>
      <c r="G28" t="s">
        <v>106</v>
      </c>
      <c r="H28" t="s">
        <v>109</v>
      </c>
    </row>
    <row r="29" spans="1:8" x14ac:dyDescent="0.3">
      <c r="A29" t="s">
        <v>8</v>
      </c>
      <c r="B29" t="s">
        <v>55</v>
      </c>
      <c r="C29" t="s">
        <v>89</v>
      </c>
      <c r="D29">
        <v>7.1499999999999994E-2</v>
      </c>
      <c r="E29">
        <v>0</v>
      </c>
      <c r="F29">
        <v>9.3000000000000007</v>
      </c>
      <c r="G29" t="s">
        <v>106</v>
      </c>
      <c r="H29" t="s">
        <v>109</v>
      </c>
    </row>
    <row r="30" spans="1:8" x14ac:dyDescent="0.3">
      <c r="A30" t="s">
        <v>8</v>
      </c>
      <c r="B30" t="s">
        <v>55</v>
      </c>
      <c r="C30" t="s">
        <v>90</v>
      </c>
      <c r="D30">
        <v>1.7899999999999999E-2</v>
      </c>
      <c r="E30">
        <v>12.005000000000001</v>
      </c>
      <c r="F30">
        <v>9.3000000000000007</v>
      </c>
      <c r="G30" t="s">
        <v>106</v>
      </c>
      <c r="H30" t="s">
        <v>109</v>
      </c>
    </row>
    <row r="31" spans="1:8" x14ac:dyDescent="0.3">
      <c r="A31" t="s">
        <v>8</v>
      </c>
      <c r="B31" t="s">
        <v>55</v>
      </c>
      <c r="C31" t="s">
        <v>91</v>
      </c>
      <c r="D31">
        <v>6.1499999999999999E-2</v>
      </c>
      <c r="E31">
        <v>10.369</v>
      </c>
      <c r="F31">
        <v>9.3000000000000007</v>
      </c>
      <c r="G31" t="s">
        <v>106</v>
      </c>
      <c r="H31" t="s">
        <v>109</v>
      </c>
    </row>
    <row r="32" spans="1:8" x14ac:dyDescent="0.3">
      <c r="A32" t="s">
        <v>8</v>
      </c>
      <c r="B32" t="s">
        <v>55</v>
      </c>
      <c r="C32" t="s">
        <v>92</v>
      </c>
      <c r="D32">
        <v>0.30335000000000001</v>
      </c>
      <c r="E32">
        <v>11.951000000000001</v>
      </c>
      <c r="F32">
        <v>9.3000000000000007</v>
      </c>
      <c r="G32" t="s">
        <v>106</v>
      </c>
      <c r="H32" t="s">
        <v>109</v>
      </c>
    </row>
    <row r="33" spans="1:8" x14ac:dyDescent="0.3">
      <c r="A33" t="s">
        <v>8</v>
      </c>
      <c r="B33" t="s">
        <v>56</v>
      </c>
      <c r="C33" t="s">
        <v>93</v>
      </c>
      <c r="D33">
        <v>13.7636</v>
      </c>
      <c r="E33">
        <v>2.939759036144578</v>
      </c>
      <c r="F33">
        <v>16.899999999999999</v>
      </c>
      <c r="G33" t="s">
        <v>106</v>
      </c>
      <c r="H33" t="s">
        <v>109</v>
      </c>
    </row>
    <row r="34" spans="1:8" x14ac:dyDescent="0.3">
      <c r="A34" t="s">
        <v>8</v>
      </c>
      <c r="B34" t="s">
        <v>47</v>
      </c>
      <c r="C34" t="s">
        <v>68</v>
      </c>
      <c r="D34">
        <v>5.0999999999999996</v>
      </c>
      <c r="E34">
        <v>5.4751176470588234</v>
      </c>
      <c r="F34">
        <v>21.3</v>
      </c>
      <c r="G34" t="s">
        <v>104</v>
      </c>
      <c r="H34" t="s">
        <v>109</v>
      </c>
    </row>
    <row r="35" spans="1:8" x14ac:dyDescent="0.3">
      <c r="A35" t="s">
        <v>8</v>
      </c>
      <c r="B35" t="s">
        <v>47</v>
      </c>
      <c r="C35" t="s">
        <v>69</v>
      </c>
      <c r="D35">
        <v>5.6</v>
      </c>
      <c r="E35">
        <v>4.6976071428571426</v>
      </c>
      <c r="F35">
        <v>21.3</v>
      </c>
      <c r="G35" t="s">
        <v>104</v>
      </c>
      <c r="H35" t="s">
        <v>109</v>
      </c>
    </row>
    <row r="36" spans="1:8" x14ac:dyDescent="0.3">
      <c r="A36" t="s">
        <v>8</v>
      </c>
      <c r="B36" t="s">
        <v>57</v>
      </c>
      <c r="C36" t="s">
        <v>94</v>
      </c>
      <c r="D36">
        <v>4.5999999999999996</v>
      </c>
      <c r="E36">
        <v>9.4626304347826107</v>
      </c>
      <c r="F36">
        <v>15</v>
      </c>
      <c r="G36" t="s">
        <v>104</v>
      </c>
      <c r="H36" t="s">
        <v>109</v>
      </c>
    </row>
    <row r="37" spans="1:8" x14ac:dyDescent="0.3">
      <c r="A37" t="s">
        <v>8</v>
      </c>
      <c r="B37" t="s">
        <v>49</v>
      </c>
      <c r="C37" t="s">
        <v>71</v>
      </c>
      <c r="D37">
        <v>50.949910000000003</v>
      </c>
      <c r="E37">
        <v>6.2702739637812908</v>
      </c>
      <c r="F37">
        <v>3.86607608129234</v>
      </c>
      <c r="G37" t="s">
        <v>104</v>
      </c>
      <c r="H37" t="s">
        <v>108</v>
      </c>
    </row>
    <row r="38" spans="1:8" x14ac:dyDescent="0.3">
      <c r="A38" t="s">
        <v>8</v>
      </c>
      <c r="B38" t="s">
        <v>49</v>
      </c>
      <c r="C38" t="s">
        <v>72</v>
      </c>
      <c r="D38">
        <v>5.8000000000000007</v>
      </c>
      <c r="E38">
        <v>5.0176896551724139</v>
      </c>
      <c r="F38">
        <v>3.86607608129234</v>
      </c>
      <c r="G38" t="s">
        <v>104</v>
      </c>
      <c r="H38" t="s">
        <v>108</v>
      </c>
    </row>
    <row r="39" spans="1:8" x14ac:dyDescent="0.3">
      <c r="A39" t="s">
        <v>8</v>
      </c>
      <c r="B39" t="s">
        <v>58</v>
      </c>
      <c r="C39" t="s">
        <v>95</v>
      </c>
      <c r="D39">
        <v>0.38623000000000002</v>
      </c>
      <c r="E39">
        <v>1.041853998912565</v>
      </c>
      <c r="F39">
        <v>2.9521711768407801</v>
      </c>
      <c r="G39" t="s">
        <v>104</v>
      </c>
      <c r="H39" t="s">
        <v>108</v>
      </c>
    </row>
    <row r="40" spans="1:8" x14ac:dyDescent="0.3">
      <c r="A40" t="s">
        <v>8</v>
      </c>
      <c r="B40" t="s">
        <v>50</v>
      </c>
      <c r="C40" t="s">
        <v>74</v>
      </c>
      <c r="D40">
        <v>0.2</v>
      </c>
      <c r="E40">
        <v>6.2119999999999997</v>
      </c>
      <c r="F40">
        <v>2.0635593220338988</v>
      </c>
      <c r="G40" t="s">
        <v>105</v>
      </c>
      <c r="H40" t="s">
        <v>108</v>
      </c>
    </row>
    <row r="41" spans="1:8" x14ac:dyDescent="0.3">
      <c r="A41" t="s">
        <v>8</v>
      </c>
      <c r="B41" t="s">
        <v>59</v>
      </c>
      <c r="C41" t="s">
        <v>96</v>
      </c>
      <c r="D41">
        <v>0.1792</v>
      </c>
      <c r="E41">
        <v>17.393000000000001</v>
      </c>
      <c r="F41">
        <v>13.9</v>
      </c>
      <c r="G41" t="s">
        <v>107</v>
      </c>
      <c r="H41" t="s">
        <v>109</v>
      </c>
    </row>
    <row r="42" spans="1:8" x14ac:dyDescent="0.3">
      <c r="A42" t="s">
        <v>8</v>
      </c>
      <c r="B42" t="s">
        <v>59</v>
      </c>
      <c r="C42" t="s">
        <v>97</v>
      </c>
      <c r="D42">
        <v>0.62469999999999992</v>
      </c>
      <c r="E42">
        <v>16.657623440043409</v>
      </c>
      <c r="F42">
        <v>13.9</v>
      </c>
      <c r="G42" t="s">
        <v>107</v>
      </c>
      <c r="H42" t="s">
        <v>109</v>
      </c>
    </row>
    <row r="43" spans="1:8" x14ac:dyDescent="0.3">
      <c r="A43" t="s">
        <v>8</v>
      </c>
      <c r="B43" t="s">
        <v>51</v>
      </c>
      <c r="C43" t="s">
        <v>75</v>
      </c>
      <c r="D43">
        <v>5.2696329999999998</v>
      </c>
      <c r="E43">
        <v>0.207710251090232</v>
      </c>
      <c r="F43">
        <v>11.74</v>
      </c>
      <c r="G43" t="s">
        <v>104</v>
      </c>
      <c r="H43" t="s">
        <v>108</v>
      </c>
    </row>
    <row r="44" spans="1:8" x14ac:dyDescent="0.3">
      <c r="A44" t="s">
        <v>8</v>
      </c>
      <c r="B44" t="s">
        <v>60</v>
      </c>
      <c r="C44" t="s">
        <v>98</v>
      </c>
      <c r="D44">
        <v>1.6944999999999999</v>
      </c>
      <c r="E44">
        <v>20.300751879699249</v>
      </c>
      <c r="F44">
        <v>21</v>
      </c>
      <c r="G44" t="s">
        <v>107</v>
      </c>
      <c r="H44" t="s">
        <v>109</v>
      </c>
    </row>
    <row r="45" spans="1:8" x14ac:dyDescent="0.3">
      <c r="A45" t="s">
        <v>8</v>
      </c>
      <c r="B45" t="s">
        <v>52</v>
      </c>
      <c r="C45" t="s">
        <v>76</v>
      </c>
      <c r="D45">
        <v>2.4119999999999999</v>
      </c>
      <c r="E45">
        <v>8.4824999999999999</v>
      </c>
      <c r="F45">
        <v>12.68872359754714</v>
      </c>
      <c r="G45" t="s">
        <v>105</v>
      </c>
      <c r="H45" t="s">
        <v>108</v>
      </c>
    </row>
    <row r="46" spans="1:8" x14ac:dyDescent="0.3">
      <c r="A46" t="s">
        <v>8</v>
      </c>
      <c r="B46" t="s">
        <v>53</v>
      </c>
      <c r="C46" t="s">
        <v>77</v>
      </c>
      <c r="D46">
        <v>11.061389999999999</v>
      </c>
      <c r="E46">
        <v>5.0171380423256027</v>
      </c>
      <c r="F46">
        <v>3.86607608129234</v>
      </c>
      <c r="G46" t="s">
        <v>104</v>
      </c>
      <c r="H46" t="s">
        <v>108</v>
      </c>
    </row>
    <row r="47" spans="1:8" x14ac:dyDescent="0.3">
      <c r="A47" t="s">
        <v>8</v>
      </c>
      <c r="B47" t="s">
        <v>61</v>
      </c>
      <c r="C47" t="s">
        <v>99</v>
      </c>
      <c r="D47">
        <v>14.1</v>
      </c>
      <c r="E47">
        <v>2.52904255319149</v>
      </c>
      <c r="F47">
        <v>2.9245635910224439</v>
      </c>
      <c r="G47" t="s">
        <v>104</v>
      </c>
      <c r="H47" t="s">
        <v>108</v>
      </c>
    </row>
    <row r="48" spans="1:8" x14ac:dyDescent="0.3">
      <c r="A48" t="s">
        <v>8</v>
      </c>
      <c r="B48" t="s">
        <v>62</v>
      </c>
      <c r="C48" t="s">
        <v>100</v>
      </c>
      <c r="D48">
        <v>5</v>
      </c>
      <c r="E48">
        <v>0.46400000000000002</v>
      </c>
      <c r="F48">
        <v>2.6764106050305911</v>
      </c>
      <c r="G48" t="s">
        <v>104</v>
      </c>
      <c r="H48" t="s">
        <v>108</v>
      </c>
    </row>
    <row r="49" spans="1:8" x14ac:dyDescent="0.3">
      <c r="A49" t="s">
        <v>8</v>
      </c>
      <c r="B49" t="s">
        <v>54</v>
      </c>
      <c r="C49" t="s">
        <v>78</v>
      </c>
      <c r="D49">
        <v>92.7</v>
      </c>
      <c r="E49">
        <v>10.515530744336569</v>
      </c>
      <c r="F49">
        <v>3.86607608129234</v>
      </c>
      <c r="G49" t="s">
        <v>104</v>
      </c>
      <c r="H49" t="s">
        <v>108</v>
      </c>
    </row>
    <row r="50" spans="1:8" x14ac:dyDescent="0.3">
      <c r="A50" t="s">
        <v>9</v>
      </c>
      <c r="B50" t="s">
        <v>46</v>
      </c>
      <c r="C50" t="s">
        <v>64</v>
      </c>
      <c r="D50">
        <v>0.14346</v>
      </c>
      <c r="E50">
        <v>6.1660000000000004</v>
      </c>
      <c r="F50">
        <v>2.9521711768407801</v>
      </c>
      <c r="G50" t="s">
        <v>104</v>
      </c>
      <c r="H50" t="s">
        <v>108</v>
      </c>
    </row>
    <row r="51" spans="1:8" x14ac:dyDescent="0.3">
      <c r="A51" t="s">
        <v>9</v>
      </c>
      <c r="B51" t="s">
        <v>46</v>
      </c>
      <c r="C51" t="s">
        <v>65</v>
      </c>
      <c r="D51">
        <v>0.2</v>
      </c>
      <c r="E51">
        <v>4.5780000000000003</v>
      </c>
      <c r="F51">
        <v>2.9521711768407801</v>
      </c>
      <c r="G51" t="s">
        <v>104</v>
      </c>
      <c r="H51" t="s">
        <v>108</v>
      </c>
    </row>
    <row r="52" spans="1:8" x14ac:dyDescent="0.3">
      <c r="A52" t="s">
        <v>9</v>
      </c>
      <c r="B52" t="s">
        <v>46</v>
      </c>
      <c r="C52" t="s">
        <v>66</v>
      </c>
      <c r="D52">
        <v>1.1000000000000001</v>
      </c>
      <c r="E52">
        <v>3.1859999999999999</v>
      </c>
      <c r="F52">
        <v>6.8428961748633883</v>
      </c>
      <c r="G52" t="s">
        <v>104</v>
      </c>
      <c r="H52" t="s">
        <v>108</v>
      </c>
    </row>
    <row r="53" spans="1:8" x14ac:dyDescent="0.3">
      <c r="A53" t="s">
        <v>9</v>
      </c>
      <c r="B53" t="s">
        <v>47</v>
      </c>
      <c r="C53" t="s">
        <v>68</v>
      </c>
      <c r="D53">
        <v>14.3</v>
      </c>
      <c r="E53">
        <v>3.4910000000000001</v>
      </c>
      <c r="G53" t="s">
        <v>104</v>
      </c>
      <c r="H53" t="s">
        <v>109</v>
      </c>
    </row>
    <row r="54" spans="1:8" x14ac:dyDescent="0.3">
      <c r="A54" t="s">
        <v>9</v>
      </c>
      <c r="B54" t="s">
        <v>47</v>
      </c>
      <c r="C54" t="s">
        <v>69</v>
      </c>
      <c r="D54">
        <v>10</v>
      </c>
      <c r="E54">
        <v>3.4660000000000002</v>
      </c>
      <c r="G54" t="s">
        <v>104</v>
      </c>
      <c r="H54" t="s">
        <v>109</v>
      </c>
    </row>
    <row r="55" spans="1:8" x14ac:dyDescent="0.3">
      <c r="A55" t="s">
        <v>9</v>
      </c>
      <c r="B55" t="s">
        <v>48</v>
      </c>
      <c r="C55" t="s">
        <v>70</v>
      </c>
      <c r="D55">
        <v>5.3</v>
      </c>
      <c r="E55">
        <v>8.8469999999999995</v>
      </c>
      <c r="G55" t="s">
        <v>104</v>
      </c>
      <c r="H55" t="s">
        <v>109</v>
      </c>
    </row>
    <row r="56" spans="1:8" x14ac:dyDescent="0.3">
      <c r="A56" t="s">
        <v>9</v>
      </c>
      <c r="B56" t="s">
        <v>49</v>
      </c>
      <c r="C56" t="s">
        <v>71</v>
      </c>
      <c r="D56">
        <v>3.1764700000000001</v>
      </c>
      <c r="E56">
        <v>0</v>
      </c>
      <c r="F56">
        <v>3.86607608129234</v>
      </c>
      <c r="G56" t="s">
        <v>104</v>
      </c>
      <c r="H56" t="s">
        <v>108</v>
      </c>
    </row>
    <row r="57" spans="1:8" x14ac:dyDescent="0.3">
      <c r="A57" t="s">
        <v>9</v>
      </c>
      <c r="B57" t="s">
        <v>49</v>
      </c>
      <c r="C57" t="s">
        <v>72</v>
      </c>
      <c r="D57">
        <v>1.3</v>
      </c>
      <c r="E57">
        <v>0</v>
      </c>
      <c r="F57">
        <v>3.86607608129234</v>
      </c>
      <c r="G57" t="s">
        <v>104</v>
      </c>
      <c r="H57" t="s">
        <v>108</v>
      </c>
    </row>
    <row r="58" spans="1:8" x14ac:dyDescent="0.3">
      <c r="A58" t="s">
        <v>9</v>
      </c>
      <c r="B58" t="s">
        <v>50</v>
      </c>
      <c r="C58" t="s">
        <v>73</v>
      </c>
      <c r="D58">
        <v>0.2</v>
      </c>
      <c r="E58">
        <v>5.4240000000000004</v>
      </c>
      <c r="F58">
        <v>20.723404255319149</v>
      </c>
      <c r="G58" t="s">
        <v>105</v>
      </c>
      <c r="H58" t="s">
        <v>108</v>
      </c>
    </row>
    <row r="59" spans="1:8" x14ac:dyDescent="0.3">
      <c r="A59" t="s">
        <v>9</v>
      </c>
      <c r="B59" t="s">
        <v>50</v>
      </c>
      <c r="C59" t="s">
        <v>74</v>
      </c>
      <c r="D59">
        <v>0.6</v>
      </c>
      <c r="E59">
        <v>3.484</v>
      </c>
      <c r="F59">
        <v>2.0635593220338988</v>
      </c>
      <c r="G59" t="s">
        <v>105</v>
      </c>
      <c r="H59" t="s">
        <v>108</v>
      </c>
    </row>
    <row r="60" spans="1:8" x14ac:dyDescent="0.3">
      <c r="A60" t="s">
        <v>9</v>
      </c>
      <c r="B60" t="s">
        <v>51</v>
      </c>
      <c r="C60" t="s">
        <v>75</v>
      </c>
      <c r="D60">
        <v>1.338803</v>
      </c>
      <c r="E60">
        <v>2.4259530135074699E-2</v>
      </c>
      <c r="F60">
        <v>11.74</v>
      </c>
      <c r="G60" t="s">
        <v>104</v>
      </c>
      <c r="H60" t="s">
        <v>108</v>
      </c>
    </row>
    <row r="61" spans="1:8" x14ac:dyDescent="0.3">
      <c r="A61" t="s">
        <v>9</v>
      </c>
      <c r="B61" t="s">
        <v>52</v>
      </c>
      <c r="C61" t="s">
        <v>76</v>
      </c>
      <c r="D61">
        <v>3.5000000000000003E-2</v>
      </c>
      <c r="E61">
        <v>8.4824999999999999</v>
      </c>
      <c r="F61">
        <v>12.68872359754714</v>
      </c>
      <c r="G61" t="s">
        <v>105</v>
      </c>
      <c r="H61" t="s">
        <v>108</v>
      </c>
    </row>
    <row r="62" spans="1:8" x14ac:dyDescent="0.3">
      <c r="A62" t="s">
        <v>9</v>
      </c>
      <c r="B62" t="s">
        <v>53</v>
      </c>
      <c r="C62" t="s">
        <v>77</v>
      </c>
      <c r="D62">
        <v>5.0049599999999996</v>
      </c>
      <c r="E62">
        <v>0</v>
      </c>
      <c r="F62">
        <v>3.86607608129234</v>
      </c>
      <c r="G62" t="s">
        <v>104</v>
      </c>
      <c r="H62" t="s">
        <v>108</v>
      </c>
    </row>
    <row r="63" spans="1:8" x14ac:dyDescent="0.3">
      <c r="A63" t="s">
        <v>9</v>
      </c>
      <c r="B63" t="s">
        <v>54</v>
      </c>
      <c r="C63" t="s">
        <v>78</v>
      </c>
      <c r="D63">
        <v>12.2</v>
      </c>
      <c r="E63">
        <v>0</v>
      </c>
      <c r="F63">
        <v>3.86607608129234</v>
      </c>
      <c r="G63" t="s">
        <v>104</v>
      </c>
      <c r="H63" t="s">
        <v>108</v>
      </c>
    </row>
    <row r="64" spans="1:8" x14ac:dyDescent="0.3">
      <c r="A64" t="s">
        <v>10</v>
      </c>
      <c r="B64" t="s">
        <v>46</v>
      </c>
      <c r="C64" t="s">
        <v>79</v>
      </c>
      <c r="D64">
        <v>1.1000000000000001</v>
      </c>
      <c r="E64">
        <v>6.1144545454545449</v>
      </c>
      <c r="F64">
        <v>6.8428961748633883</v>
      </c>
      <c r="G64" t="s">
        <v>104</v>
      </c>
      <c r="H64" t="s">
        <v>108</v>
      </c>
    </row>
    <row r="65" spans="1:8" x14ac:dyDescent="0.3">
      <c r="A65" t="s">
        <v>10</v>
      </c>
      <c r="B65" t="s">
        <v>46</v>
      </c>
      <c r="C65" t="s">
        <v>80</v>
      </c>
      <c r="D65">
        <v>0.36320000000000002</v>
      </c>
      <c r="E65">
        <v>1.026972353337829</v>
      </c>
      <c r="F65">
        <v>28.139870918023309</v>
      </c>
      <c r="G65" t="s">
        <v>105</v>
      </c>
      <c r="H65" t="s">
        <v>108</v>
      </c>
    </row>
    <row r="66" spans="1:8" x14ac:dyDescent="0.3">
      <c r="A66" t="s">
        <v>10</v>
      </c>
      <c r="B66" t="s">
        <v>46</v>
      </c>
      <c r="C66" t="s">
        <v>81</v>
      </c>
      <c r="D66">
        <v>0.95489999999999997</v>
      </c>
      <c r="E66">
        <v>1.078730904817861</v>
      </c>
      <c r="F66">
        <v>8.9647473560517046</v>
      </c>
      <c r="G66" t="s">
        <v>105</v>
      </c>
      <c r="H66" t="s">
        <v>108</v>
      </c>
    </row>
    <row r="67" spans="1:8" x14ac:dyDescent="0.3">
      <c r="A67" t="s">
        <v>10</v>
      </c>
      <c r="B67" t="s">
        <v>46</v>
      </c>
      <c r="C67" t="s">
        <v>66</v>
      </c>
      <c r="D67">
        <v>0.9</v>
      </c>
      <c r="E67">
        <v>6.3323333333333336</v>
      </c>
      <c r="F67">
        <v>6.8428961748633883</v>
      </c>
      <c r="G67" t="s">
        <v>104</v>
      </c>
      <c r="H67" t="s">
        <v>108</v>
      </c>
    </row>
    <row r="68" spans="1:8" x14ac:dyDescent="0.3">
      <c r="A68" t="s">
        <v>10</v>
      </c>
      <c r="B68" t="s">
        <v>46</v>
      </c>
      <c r="C68" t="s">
        <v>82</v>
      </c>
      <c r="D68">
        <v>0.1</v>
      </c>
      <c r="E68">
        <v>3.8170000000000002</v>
      </c>
      <c r="F68">
        <v>6.8428961748633883</v>
      </c>
      <c r="G68" t="s">
        <v>104</v>
      </c>
      <c r="H68" t="s">
        <v>108</v>
      </c>
    </row>
    <row r="69" spans="1:8" x14ac:dyDescent="0.3">
      <c r="A69" t="s">
        <v>10</v>
      </c>
      <c r="B69" t="s">
        <v>46</v>
      </c>
      <c r="C69" t="s">
        <v>83</v>
      </c>
      <c r="D69">
        <v>0.2</v>
      </c>
      <c r="E69">
        <v>0</v>
      </c>
      <c r="F69">
        <v>6.8428961748633883</v>
      </c>
      <c r="G69" t="s">
        <v>104</v>
      </c>
      <c r="H69" t="s">
        <v>108</v>
      </c>
    </row>
    <row r="70" spans="1:8" x14ac:dyDescent="0.3">
      <c r="A70" t="s">
        <v>10</v>
      </c>
      <c r="B70" t="s">
        <v>46</v>
      </c>
      <c r="C70" t="s">
        <v>84</v>
      </c>
      <c r="D70">
        <v>0.2</v>
      </c>
      <c r="E70">
        <v>3.261000000000001</v>
      </c>
      <c r="F70">
        <v>28.139870918023309</v>
      </c>
      <c r="G70" t="s">
        <v>105</v>
      </c>
      <c r="H70" t="s">
        <v>108</v>
      </c>
    </row>
    <row r="71" spans="1:8" x14ac:dyDescent="0.3">
      <c r="A71" t="s">
        <v>10</v>
      </c>
      <c r="B71" t="s">
        <v>55</v>
      </c>
      <c r="C71" t="s">
        <v>86</v>
      </c>
      <c r="D71">
        <v>1.0524</v>
      </c>
      <c r="E71">
        <v>10.996</v>
      </c>
      <c r="F71">
        <v>26.8</v>
      </c>
      <c r="G71" t="s">
        <v>106</v>
      </c>
      <c r="H71" t="s">
        <v>109</v>
      </c>
    </row>
    <row r="72" spans="1:8" x14ac:dyDescent="0.3">
      <c r="A72" t="s">
        <v>10</v>
      </c>
      <c r="B72" t="s">
        <v>55</v>
      </c>
      <c r="C72" t="s">
        <v>88</v>
      </c>
      <c r="D72">
        <v>1.3568</v>
      </c>
      <c r="E72">
        <v>6.9740000000000029</v>
      </c>
      <c r="F72">
        <v>26.8</v>
      </c>
      <c r="G72" t="s">
        <v>106</v>
      </c>
      <c r="H72" t="s">
        <v>109</v>
      </c>
    </row>
    <row r="73" spans="1:8" x14ac:dyDescent="0.3">
      <c r="A73" t="s">
        <v>10</v>
      </c>
      <c r="B73" t="s">
        <v>55</v>
      </c>
      <c r="C73" t="s">
        <v>92</v>
      </c>
      <c r="D73">
        <v>2.3259300000000001</v>
      </c>
      <c r="E73">
        <v>12.066000000000001</v>
      </c>
      <c r="F73">
        <v>26.8</v>
      </c>
      <c r="G73" t="s">
        <v>106</v>
      </c>
      <c r="H73" t="s">
        <v>109</v>
      </c>
    </row>
    <row r="74" spans="1:8" x14ac:dyDescent="0.3">
      <c r="A74" t="s">
        <v>10</v>
      </c>
      <c r="B74" t="s">
        <v>56</v>
      </c>
      <c r="C74" t="s">
        <v>93</v>
      </c>
      <c r="D74">
        <v>17.3691</v>
      </c>
      <c r="E74">
        <v>2.939759036144578</v>
      </c>
      <c r="F74">
        <v>31.2</v>
      </c>
      <c r="G74" t="s">
        <v>106</v>
      </c>
      <c r="H74" t="s">
        <v>109</v>
      </c>
    </row>
    <row r="75" spans="1:8" x14ac:dyDescent="0.3">
      <c r="A75" t="s">
        <v>10</v>
      </c>
      <c r="B75" t="s">
        <v>47</v>
      </c>
      <c r="C75" t="s">
        <v>68</v>
      </c>
      <c r="D75">
        <v>5</v>
      </c>
      <c r="E75">
        <v>6.2901399999999992</v>
      </c>
      <c r="F75">
        <v>20.5</v>
      </c>
      <c r="G75" t="s">
        <v>104</v>
      </c>
      <c r="H75" t="s">
        <v>109</v>
      </c>
    </row>
    <row r="76" spans="1:8" x14ac:dyDescent="0.3">
      <c r="A76" t="s">
        <v>10</v>
      </c>
      <c r="B76" t="s">
        <v>47</v>
      </c>
      <c r="C76" t="s">
        <v>69</v>
      </c>
      <c r="D76">
        <v>6</v>
      </c>
      <c r="E76">
        <v>5.1684166666666664</v>
      </c>
      <c r="F76">
        <v>20.5</v>
      </c>
      <c r="G76" t="s">
        <v>104</v>
      </c>
      <c r="H76" t="s">
        <v>109</v>
      </c>
    </row>
    <row r="77" spans="1:8" x14ac:dyDescent="0.3">
      <c r="A77" t="s">
        <v>10</v>
      </c>
      <c r="B77" t="s">
        <v>57</v>
      </c>
      <c r="C77" t="s">
        <v>94</v>
      </c>
      <c r="D77">
        <v>5.3</v>
      </c>
      <c r="E77">
        <v>9.764188679245283</v>
      </c>
      <c r="F77">
        <v>16.399999999999999</v>
      </c>
      <c r="G77" t="s">
        <v>104</v>
      </c>
      <c r="H77" t="s">
        <v>109</v>
      </c>
    </row>
    <row r="78" spans="1:8" x14ac:dyDescent="0.3">
      <c r="A78" t="s">
        <v>10</v>
      </c>
      <c r="B78" t="s">
        <v>49</v>
      </c>
      <c r="C78" t="s">
        <v>71</v>
      </c>
      <c r="D78">
        <v>10.038880000000001</v>
      </c>
      <c r="E78">
        <v>6.3919192698787111</v>
      </c>
      <c r="F78">
        <v>3.86607608129234</v>
      </c>
      <c r="G78" t="s">
        <v>104</v>
      </c>
      <c r="H78" t="s">
        <v>108</v>
      </c>
    </row>
    <row r="79" spans="1:8" x14ac:dyDescent="0.3">
      <c r="A79" t="s">
        <v>10</v>
      </c>
      <c r="B79" t="s">
        <v>49</v>
      </c>
      <c r="C79" t="s">
        <v>72</v>
      </c>
      <c r="D79">
        <v>0.9</v>
      </c>
      <c r="E79">
        <v>5.1201111111111111</v>
      </c>
      <c r="F79">
        <v>3.86607608129234</v>
      </c>
      <c r="G79" t="s">
        <v>104</v>
      </c>
      <c r="H79" t="s">
        <v>108</v>
      </c>
    </row>
    <row r="80" spans="1:8" x14ac:dyDescent="0.3">
      <c r="A80" t="s">
        <v>10</v>
      </c>
      <c r="B80" t="s">
        <v>58</v>
      </c>
      <c r="C80" t="s">
        <v>95</v>
      </c>
      <c r="D80">
        <v>4.3008499999999996</v>
      </c>
      <c r="E80">
        <v>3.5110064126858651</v>
      </c>
      <c r="F80">
        <v>2.9521711768407801</v>
      </c>
      <c r="G80" t="s">
        <v>104</v>
      </c>
      <c r="H80" t="s">
        <v>108</v>
      </c>
    </row>
    <row r="81" spans="1:8" x14ac:dyDescent="0.3">
      <c r="A81" t="s">
        <v>10</v>
      </c>
      <c r="B81" t="s">
        <v>50</v>
      </c>
      <c r="C81" t="s">
        <v>73</v>
      </c>
      <c r="D81">
        <v>3.7</v>
      </c>
      <c r="E81">
        <v>5.6718378378378373</v>
      </c>
      <c r="F81">
        <v>20.723404255319149</v>
      </c>
      <c r="G81" t="s">
        <v>105</v>
      </c>
      <c r="H81" t="s">
        <v>108</v>
      </c>
    </row>
    <row r="82" spans="1:8" x14ac:dyDescent="0.3">
      <c r="A82" t="s">
        <v>10</v>
      </c>
      <c r="B82" t="s">
        <v>50</v>
      </c>
      <c r="C82" t="s">
        <v>74</v>
      </c>
      <c r="D82">
        <v>7.1</v>
      </c>
      <c r="E82">
        <v>6.3043521126760567</v>
      </c>
      <c r="F82">
        <v>2.0635593220338988</v>
      </c>
      <c r="G82" t="s">
        <v>105</v>
      </c>
      <c r="H82" t="s">
        <v>108</v>
      </c>
    </row>
    <row r="83" spans="1:8" x14ac:dyDescent="0.3">
      <c r="A83" t="s">
        <v>10</v>
      </c>
      <c r="B83" t="s">
        <v>51</v>
      </c>
      <c r="C83" t="s">
        <v>75</v>
      </c>
      <c r="D83">
        <v>22.841370000000001</v>
      </c>
      <c r="E83">
        <v>7.0430664164949003E-2</v>
      </c>
      <c r="F83">
        <v>11.74</v>
      </c>
      <c r="G83" t="s">
        <v>104</v>
      </c>
      <c r="H83" t="s">
        <v>108</v>
      </c>
    </row>
    <row r="84" spans="1:8" x14ac:dyDescent="0.3">
      <c r="A84" t="s">
        <v>10</v>
      </c>
      <c r="B84" t="s">
        <v>60</v>
      </c>
      <c r="C84" t="s">
        <v>98</v>
      </c>
      <c r="D84">
        <v>2.2595000000000001</v>
      </c>
      <c r="E84">
        <v>24.86573576799141</v>
      </c>
      <c r="F84">
        <v>37.799999999999997</v>
      </c>
      <c r="G84" t="s">
        <v>107</v>
      </c>
      <c r="H84" t="s">
        <v>109</v>
      </c>
    </row>
    <row r="85" spans="1:8" x14ac:dyDescent="0.3">
      <c r="A85" t="s">
        <v>10</v>
      </c>
      <c r="B85" t="s">
        <v>52</v>
      </c>
      <c r="C85" t="s">
        <v>76</v>
      </c>
      <c r="D85">
        <v>7.8760000000000003</v>
      </c>
      <c r="E85">
        <v>8.4824999999999999</v>
      </c>
      <c r="F85">
        <v>12.68872359754714</v>
      </c>
      <c r="G85" t="s">
        <v>105</v>
      </c>
      <c r="H85" t="s">
        <v>108</v>
      </c>
    </row>
    <row r="86" spans="1:8" x14ac:dyDescent="0.3">
      <c r="A86" t="s">
        <v>10</v>
      </c>
      <c r="B86" t="s">
        <v>53</v>
      </c>
      <c r="C86" t="s">
        <v>77</v>
      </c>
      <c r="D86">
        <v>1.4906200000000001</v>
      </c>
      <c r="E86">
        <v>5.1212094296333071</v>
      </c>
      <c r="F86">
        <v>3.86607608129234</v>
      </c>
      <c r="G86" t="s">
        <v>104</v>
      </c>
      <c r="H86" t="s">
        <v>108</v>
      </c>
    </row>
    <row r="87" spans="1:8" x14ac:dyDescent="0.3">
      <c r="A87" t="s">
        <v>10</v>
      </c>
      <c r="B87" t="s">
        <v>61</v>
      </c>
      <c r="C87" t="s">
        <v>99</v>
      </c>
      <c r="D87">
        <v>8.1</v>
      </c>
      <c r="E87">
        <v>2.554728395061729</v>
      </c>
      <c r="F87">
        <v>2.9245635910224439</v>
      </c>
      <c r="G87" t="s">
        <v>104</v>
      </c>
      <c r="H87" t="s">
        <v>108</v>
      </c>
    </row>
    <row r="88" spans="1:8" x14ac:dyDescent="0.3">
      <c r="A88" t="s">
        <v>10</v>
      </c>
      <c r="B88" t="s">
        <v>62</v>
      </c>
      <c r="C88" t="s">
        <v>100</v>
      </c>
      <c r="D88">
        <v>4.0999999999999996</v>
      </c>
      <c r="E88">
        <v>0.5536585365853659</v>
      </c>
      <c r="F88">
        <v>2.6764106050305911</v>
      </c>
      <c r="G88" t="s">
        <v>104</v>
      </c>
      <c r="H88" t="s">
        <v>108</v>
      </c>
    </row>
    <row r="89" spans="1:8" x14ac:dyDescent="0.3">
      <c r="A89" t="s">
        <v>10</v>
      </c>
      <c r="B89" t="s">
        <v>54</v>
      </c>
      <c r="C89" t="s">
        <v>78</v>
      </c>
      <c r="D89">
        <v>14.3</v>
      </c>
      <c r="E89">
        <v>10.72997902097902</v>
      </c>
      <c r="F89">
        <v>3.86607608129234</v>
      </c>
      <c r="G89" t="s">
        <v>104</v>
      </c>
      <c r="H89" t="s">
        <v>108</v>
      </c>
    </row>
    <row r="90" spans="1:8" x14ac:dyDescent="0.3">
      <c r="A90" t="s">
        <v>11</v>
      </c>
      <c r="B90" t="s">
        <v>46</v>
      </c>
      <c r="C90" t="s">
        <v>64</v>
      </c>
      <c r="D90">
        <v>1.7420000000000001E-2</v>
      </c>
      <c r="E90">
        <v>5.5032296211251444</v>
      </c>
      <c r="F90">
        <v>2.9521711768407801</v>
      </c>
      <c r="G90" t="s">
        <v>104</v>
      </c>
      <c r="H90" t="s">
        <v>108</v>
      </c>
    </row>
    <row r="91" spans="1:8" x14ac:dyDescent="0.3">
      <c r="A91" t="s">
        <v>11</v>
      </c>
      <c r="B91" t="s">
        <v>46</v>
      </c>
      <c r="C91" t="s">
        <v>79</v>
      </c>
      <c r="D91">
        <v>13.8</v>
      </c>
      <c r="E91">
        <v>3.4630652173913039</v>
      </c>
      <c r="F91">
        <v>6.8428961748633883</v>
      </c>
      <c r="G91" t="s">
        <v>104</v>
      </c>
      <c r="H91" t="s">
        <v>108</v>
      </c>
    </row>
    <row r="92" spans="1:8" x14ac:dyDescent="0.3">
      <c r="A92" t="s">
        <v>11</v>
      </c>
      <c r="B92" t="s">
        <v>46</v>
      </c>
      <c r="C92" t="s">
        <v>80</v>
      </c>
      <c r="D92">
        <v>0.25009999999999999</v>
      </c>
      <c r="E92">
        <v>0.44234659474039112</v>
      </c>
      <c r="F92">
        <v>28.139870918023309</v>
      </c>
      <c r="G92" t="s">
        <v>105</v>
      </c>
      <c r="H92" t="s">
        <v>108</v>
      </c>
    </row>
    <row r="93" spans="1:8" x14ac:dyDescent="0.3">
      <c r="A93" t="s">
        <v>11</v>
      </c>
      <c r="B93" t="s">
        <v>46</v>
      </c>
      <c r="C93" t="s">
        <v>81</v>
      </c>
      <c r="D93">
        <v>5.0000000000000001E-3</v>
      </c>
      <c r="E93">
        <v>2.839600470035252</v>
      </c>
      <c r="F93">
        <v>8.9647473560517046</v>
      </c>
      <c r="G93" t="s">
        <v>105</v>
      </c>
      <c r="H93" t="s">
        <v>108</v>
      </c>
    </row>
    <row r="94" spans="1:8" x14ac:dyDescent="0.3">
      <c r="A94" t="s">
        <v>11</v>
      </c>
      <c r="B94" t="s">
        <v>46</v>
      </c>
      <c r="C94" t="s">
        <v>66</v>
      </c>
      <c r="D94">
        <v>2.2000000000000002</v>
      </c>
      <c r="E94">
        <v>3.5745909090909089</v>
      </c>
      <c r="F94">
        <v>6.8428961748633883</v>
      </c>
      <c r="G94" t="s">
        <v>104</v>
      </c>
      <c r="H94" t="s">
        <v>108</v>
      </c>
    </row>
    <row r="95" spans="1:8" x14ac:dyDescent="0.3">
      <c r="A95" t="s">
        <v>11</v>
      </c>
      <c r="B95" t="s">
        <v>46</v>
      </c>
      <c r="C95" t="s">
        <v>82</v>
      </c>
      <c r="D95">
        <v>4</v>
      </c>
      <c r="E95">
        <v>2.1829999999999998</v>
      </c>
      <c r="F95">
        <v>6.8428961748633883</v>
      </c>
      <c r="G95" t="s">
        <v>104</v>
      </c>
      <c r="H95" t="s">
        <v>108</v>
      </c>
    </row>
    <row r="96" spans="1:8" x14ac:dyDescent="0.3">
      <c r="A96" t="s">
        <v>11</v>
      </c>
      <c r="B96" t="s">
        <v>46</v>
      </c>
      <c r="C96" t="s">
        <v>83</v>
      </c>
      <c r="D96">
        <v>0.14219000000000001</v>
      </c>
      <c r="E96">
        <v>3.3170000000000002</v>
      </c>
      <c r="F96">
        <v>6.8428961748633883</v>
      </c>
      <c r="G96" t="s">
        <v>104</v>
      </c>
      <c r="H96" t="s">
        <v>108</v>
      </c>
    </row>
    <row r="97" spans="1:8" x14ac:dyDescent="0.3">
      <c r="A97" t="s">
        <v>11</v>
      </c>
      <c r="B97" t="s">
        <v>46</v>
      </c>
      <c r="C97" t="s">
        <v>85</v>
      </c>
      <c r="D97">
        <v>0.1</v>
      </c>
      <c r="E97">
        <v>3.7170000000000001</v>
      </c>
      <c r="F97">
        <v>2.9521711768407801</v>
      </c>
      <c r="G97" t="s">
        <v>104</v>
      </c>
      <c r="H97" t="s">
        <v>108</v>
      </c>
    </row>
    <row r="98" spans="1:8" x14ac:dyDescent="0.3">
      <c r="A98" t="s">
        <v>11</v>
      </c>
      <c r="B98" t="s">
        <v>55</v>
      </c>
      <c r="C98" t="s">
        <v>86</v>
      </c>
      <c r="D98">
        <v>2.1966999999999999</v>
      </c>
      <c r="E98">
        <v>10.028</v>
      </c>
      <c r="F98">
        <v>9.1</v>
      </c>
      <c r="G98" t="s">
        <v>106</v>
      </c>
      <c r="H98" t="s">
        <v>109</v>
      </c>
    </row>
    <row r="99" spans="1:8" x14ac:dyDescent="0.3">
      <c r="A99" t="s">
        <v>11</v>
      </c>
      <c r="B99" t="s">
        <v>55</v>
      </c>
      <c r="C99" t="s">
        <v>87</v>
      </c>
      <c r="D99">
        <v>1.9383999999999999</v>
      </c>
      <c r="E99">
        <v>10.538</v>
      </c>
      <c r="F99">
        <v>9.1</v>
      </c>
      <c r="G99" t="s">
        <v>106</v>
      </c>
      <c r="H99" t="s">
        <v>109</v>
      </c>
    </row>
    <row r="100" spans="1:8" x14ac:dyDescent="0.3">
      <c r="A100" t="s">
        <v>11</v>
      </c>
      <c r="B100" t="s">
        <v>55</v>
      </c>
      <c r="C100" t="s">
        <v>88</v>
      </c>
      <c r="D100">
        <v>2.3174999999999999</v>
      </c>
      <c r="E100">
        <v>11.048999999999999</v>
      </c>
      <c r="F100">
        <v>9.1</v>
      </c>
      <c r="G100" t="s">
        <v>106</v>
      </c>
      <c r="H100" t="s">
        <v>109</v>
      </c>
    </row>
    <row r="101" spans="1:8" x14ac:dyDescent="0.3">
      <c r="A101" t="s">
        <v>11</v>
      </c>
      <c r="B101" t="s">
        <v>55</v>
      </c>
      <c r="C101" t="s">
        <v>92</v>
      </c>
      <c r="D101">
        <v>2.10982</v>
      </c>
      <c r="E101">
        <v>10.538</v>
      </c>
      <c r="F101">
        <v>9.1</v>
      </c>
      <c r="G101" t="s">
        <v>106</v>
      </c>
      <c r="H101" t="s">
        <v>109</v>
      </c>
    </row>
    <row r="102" spans="1:8" x14ac:dyDescent="0.3">
      <c r="A102" t="s">
        <v>11</v>
      </c>
      <c r="B102" t="s">
        <v>56</v>
      </c>
      <c r="C102" t="s">
        <v>93</v>
      </c>
      <c r="D102">
        <v>8.5778999999999996</v>
      </c>
      <c r="E102">
        <v>6.7759036144578308</v>
      </c>
      <c r="F102">
        <v>22.9</v>
      </c>
      <c r="G102" t="s">
        <v>106</v>
      </c>
      <c r="H102" t="s">
        <v>109</v>
      </c>
    </row>
    <row r="103" spans="1:8" x14ac:dyDescent="0.3">
      <c r="A103" t="s">
        <v>11</v>
      </c>
      <c r="B103" t="s">
        <v>47</v>
      </c>
      <c r="C103" t="s">
        <v>68</v>
      </c>
      <c r="D103">
        <v>14.9</v>
      </c>
      <c r="E103">
        <v>3.0635436241610741</v>
      </c>
      <c r="F103">
        <v>15</v>
      </c>
      <c r="G103" t="s">
        <v>104</v>
      </c>
      <c r="H103" t="s">
        <v>109</v>
      </c>
    </row>
    <row r="104" spans="1:8" x14ac:dyDescent="0.3">
      <c r="A104" t="s">
        <v>11</v>
      </c>
      <c r="B104" t="s">
        <v>47</v>
      </c>
      <c r="C104" t="s">
        <v>69</v>
      </c>
      <c r="D104">
        <v>11.5</v>
      </c>
      <c r="E104">
        <v>2.970808695652174</v>
      </c>
      <c r="F104">
        <v>15</v>
      </c>
      <c r="G104" t="s">
        <v>104</v>
      </c>
      <c r="H104" t="s">
        <v>109</v>
      </c>
    </row>
    <row r="105" spans="1:8" x14ac:dyDescent="0.3">
      <c r="A105" t="s">
        <v>11</v>
      </c>
      <c r="B105" t="s">
        <v>57</v>
      </c>
      <c r="C105" t="s">
        <v>94</v>
      </c>
      <c r="D105">
        <v>9.1</v>
      </c>
      <c r="E105">
        <v>7.3197032967032971</v>
      </c>
      <c r="F105">
        <v>15.5</v>
      </c>
      <c r="G105" t="s">
        <v>104</v>
      </c>
      <c r="H105" t="s">
        <v>109</v>
      </c>
    </row>
    <row r="106" spans="1:8" x14ac:dyDescent="0.3">
      <c r="A106" t="s">
        <v>11</v>
      </c>
      <c r="B106" t="s">
        <v>49</v>
      </c>
      <c r="C106" t="s">
        <v>71</v>
      </c>
      <c r="D106">
        <v>44.686660000000003</v>
      </c>
      <c r="E106">
        <v>3.086831660052463</v>
      </c>
      <c r="F106">
        <v>3.86607608129234</v>
      </c>
      <c r="G106" t="s">
        <v>104</v>
      </c>
      <c r="H106" t="s">
        <v>108</v>
      </c>
    </row>
    <row r="107" spans="1:8" x14ac:dyDescent="0.3">
      <c r="A107" t="s">
        <v>11</v>
      </c>
      <c r="B107" t="s">
        <v>49</v>
      </c>
      <c r="C107" t="s">
        <v>72</v>
      </c>
      <c r="D107">
        <v>6.4</v>
      </c>
      <c r="E107">
        <v>4.2385937499999997</v>
      </c>
      <c r="F107">
        <v>3.86607608129234</v>
      </c>
      <c r="G107" t="s">
        <v>104</v>
      </c>
      <c r="H107" t="s">
        <v>108</v>
      </c>
    </row>
    <row r="108" spans="1:8" x14ac:dyDescent="0.3">
      <c r="A108" t="s">
        <v>11</v>
      </c>
      <c r="B108" t="s">
        <v>58</v>
      </c>
      <c r="C108" t="s">
        <v>95</v>
      </c>
      <c r="D108">
        <v>2.8697300000000001</v>
      </c>
      <c r="E108">
        <v>3.5569999999999999</v>
      </c>
      <c r="F108">
        <v>2.9521711768407801</v>
      </c>
      <c r="G108" t="s">
        <v>104</v>
      </c>
      <c r="H108" t="s">
        <v>108</v>
      </c>
    </row>
    <row r="109" spans="1:8" x14ac:dyDescent="0.3">
      <c r="A109" t="s">
        <v>11</v>
      </c>
      <c r="B109" t="s">
        <v>50</v>
      </c>
      <c r="C109" t="s">
        <v>74</v>
      </c>
      <c r="D109">
        <v>2.7</v>
      </c>
      <c r="E109">
        <v>3.320555555555555</v>
      </c>
      <c r="F109">
        <v>2.0635593220338988</v>
      </c>
      <c r="G109" t="s">
        <v>105</v>
      </c>
      <c r="H109" t="s">
        <v>108</v>
      </c>
    </row>
    <row r="110" spans="1:8" x14ac:dyDescent="0.3">
      <c r="A110" t="s">
        <v>11</v>
      </c>
      <c r="B110" t="s">
        <v>59</v>
      </c>
      <c r="C110" t="s">
        <v>96</v>
      </c>
      <c r="D110">
        <v>0.2102</v>
      </c>
      <c r="E110">
        <v>19.167000000000002</v>
      </c>
      <c r="F110">
        <v>15.2</v>
      </c>
      <c r="G110" t="s">
        <v>107</v>
      </c>
      <c r="H110" t="s">
        <v>109</v>
      </c>
    </row>
    <row r="111" spans="1:8" x14ac:dyDescent="0.3">
      <c r="A111" t="s">
        <v>11</v>
      </c>
      <c r="B111" t="s">
        <v>59</v>
      </c>
      <c r="C111" t="s">
        <v>97</v>
      </c>
      <c r="D111">
        <v>5.5411000000000001</v>
      </c>
      <c r="E111">
        <v>13.4020618556701</v>
      </c>
      <c r="F111">
        <v>15.2</v>
      </c>
      <c r="G111" t="s">
        <v>107</v>
      </c>
      <c r="H111" t="s">
        <v>109</v>
      </c>
    </row>
    <row r="112" spans="1:8" x14ac:dyDescent="0.3">
      <c r="A112" t="s">
        <v>11</v>
      </c>
      <c r="B112" t="s">
        <v>51</v>
      </c>
      <c r="C112" t="s">
        <v>75</v>
      </c>
      <c r="D112">
        <v>2.1548419999999999</v>
      </c>
      <c r="E112">
        <v>6.3434622016612103E-5</v>
      </c>
      <c r="F112">
        <v>11.74</v>
      </c>
      <c r="G112" t="s">
        <v>104</v>
      </c>
      <c r="H112" t="s">
        <v>108</v>
      </c>
    </row>
    <row r="113" spans="1:8" x14ac:dyDescent="0.3">
      <c r="A113" t="s">
        <v>11</v>
      </c>
      <c r="B113" t="s">
        <v>60</v>
      </c>
      <c r="C113" t="s">
        <v>98</v>
      </c>
      <c r="D113">
        <v>3.7305100000000002</v>
      </c>
      <c r="E113">
        <v>15.789473684210529</v>
      </c>
      <c r="F113">
        <v>1.5</v>
      </c>
      <c r="G113" t="s">
        <v>107</v>
      </c>
      <c r="H113" t="s">
        <v>109</v>
      </c>
    </row>
    <row r="114" spans="1:8" x14ac:dyDescent="0.3">
      <c r="A114" t="s">
        <v>11</v>
      </c>
      <c r="B114" t="s">
        <v>53</v>
      </c>
      <c r="C114" t="s">
        <v>77</v>
      </c>
      <c r="D114">
        <v>3.2073</v>
      </c>
      <c r="E114">
        <v>4.2386346054313604</v>
      </c>
      <c r="F114">
        <v>3.86607608129234</v>
      </c>
      <c r="G114" t="s">
        <v>104</v>
      </c>
      <c r="H114" t="s">
        <v>108</v>
      </c>
    </row>
    <row r="115" spans="1:8" x14ac:dyDescent="0.3">
      <c r="A115" t="s">
        <v>11</v>
      </c>
      <c r="B115" t="s">
        <v>61</v>
      </c>
      <c r="C115" t="s">
        <v>99</v>
      </c>
      <c r="D115">
        <v>1.5</v>
      </c>
      <c r="E115">
        <v>1.843666666666667</v>
      </c>
      <c r="F115">
        <v>2.9245635910224439</v>
      </c>
      <c r="G115" t="s">
        <v>104</v>
      </c>
      <c r="H115" t="s">
        <v>108</v>
      </c>
    </row>
    <row r="116" spans="1:8" x14ac:dyDescent="0.3">
      <c r="A116" t="s">
        <v>11</v>
      </c>
      <c r="B116" t="s">
        <v>62</v>
      </c>
      <c r="C116" t="s">
        <v>100</v>
      </c>
      <c r="D116">
        <v>0.3</v>
      </c>
      <c r="E116">
        <v>0.46666666666666662</v>
      </c>
      <c r="F116">
        <v>2.6764106050305911</v>
      </c>
      <c r="G116" t="s">
        <v>104</v>
      </c>
      <c r="H116" t="s">
        <v>108</v>
      </c>
    </row>
    <row r="117" spans="1:8" x14ac:dyDescent="0.3">
      <c r="A117" t="s">
        <v>11</v>
      </c>
      <c r="B117" t="s">
        <v>54</v>
      </c>
      <c r="C117" t="s">
        <v>78</v>
      </c>
      <c r="D117">
        <v>22.9</v>
      </c>
      <c r="E117">
        <v>4.1578515283842794</v>
      </c>
      <c r="F117">
        <v>3.86607608129234</v>
      </c>
      <c r="G117" t="s">
        <v>104</v>
      </c>
      <c r="H117" t="s">
        <v>108</v>
      </c>
    </row>
    <row r="118" spans="1:8" x14ac:dyDescent="0.3">
      <c r="A118" t="s">
        <v>12</v>
      </c>
      <c r="B118" t="s">
        <v>49</v>
      </c>
      <c r="C118" t="s">
        <v>71</v>
      </c>
      <c r="D118">
        <v>30.98048</v>
      </c>
      <c r="E118">
        <v>0</v>
      </c>
      <c r="F118">
        <v>3.86607608129234</v>
      </c>
      <c r="G118" t="s">
        <v>104</v>
      </c>
      <c r="H118" t="s">
        <v>108</v>
      </c>
    </row>
    <row r="119" spans="1:8" x14ac:dyDescent="0.3">
      <c r="A119" t="s">
        <v>12</v>
      </c>
      <c r="B119" t="s">
        <v>49</v>
      </c>
      <c r="C119" t="s">
        <v>72</v>
      </c>
      <c r="D119">
        <v>2.5</v>
      </c>
      <c r="E119">
        <v>0</v>
      </c>
      <c r="F119">
        <v>3.86607608129234</v>
      </c>
      <c r="G119" t="s">
        <v>104</v>
      </c>
      <c r="H119" t="s">
        <v>108</v>
      </c>
    </row>
    <row r="120" spans="1:8" x14ac:dyDescent="0.3">
      <c r="A120" t="s">
        <v>12</v>
      </c>
      <c r="B120" t="s">
        <v>51</v>
      </c>
      <c r="C120" t="s">
        <v>75</v>
      </c>
      <c r="D120">
        <v>17.26183</v>
      </c>
      <c r="E120">
        <v>0.207710251090232</v>
      </c>
      <c r="F120">
        <v>11.74</v>
      </c>
      <c r="G120" t="s">
        <v>104</v>
      </c>
      <c r="H120" t="s">
        <v>108</v>
      </c>
    </row>
    <row r="121" spans="1:8" x14ac:dyDescent="0.3">
      <c r="A121" t="s">
        <v>12</v>
      </c>
      <c r="B121" t="s">
        <v>53</v>
      </c>
      <c r="C121" t="s">
        <v>77</v>
      </c>
      <c r="D121">
        <v>2.5092699999999999</v>
      </c>
      <c r="E121">
        <v>0</v>
      </c>
      <c r="F121">
        <v>3.86607608129234</v>
      </c>
      <c r="G121" t="s">
        <v>104</v>
      </c>
      <c r="H121" t="s">
        <v>108</v>
      </c>
    </row>
    <row r="122" spans="1:8" x14ac:dyDescent="0.3">
      <c r="A122" t="s">
        <v>12</v>
      </c>
      <c r="B122" t="s">
        <v>54</v>
      </c>
      <c r="C122" t="s">
        <v>78</v>
      </c>
      <c r="D122">
        <v>30.8</v>
      </c>
      <c r="E122">
        <v>0</v>
      </c>
      <c r="F122">
        <v>3.86607608129234</v>
      </c>
      <c r="G122" t="s">
        <v>104</v>
      </c>
      <c r="H122" t="s">
        <v>108</v>
      </c>
    </row>
    <row r="123" spans="1:8" x14ac:dyDescent="0.3">
      <c r="A123" t="s">
        <v>13</v>
      </c>
      <c r="B123" t="s">
        <v>46</v>
      </c>
      <c r="C123" t="s">
        <v>63</v>
      </c>
      <c r="D123">
        <v>2.3400000000000001E-2</v>
      </c>
      <c r="E123">
        <v>2.9286474973375931</v>
      </c>
      <c r="F123">
        <v>3.950479233226837</v>
      </c>
      <c r="G123" t="s">
        <v>104</v>
      </c>
      <c r="H123" t="s">
        <v>108</v>
      </c>
    </row>
    <row r="124" spans="1:8" x14ac:dyDescent="0.3">
      <c r="A124" t="s">
        <v>13</v>
      </c>
      <c r="B124" t="s">
        <v>46</v>
      </c>
      <c r="C124" t="s">
        <v>64</v>
      </c>
      <c r="D124">
        <v>4.7000000000000002E-3</v>
      </c>
      <c r="E124">
        <v>7.9840000000000009</v>
      </c>
      <c r="F124">
        <v>2.9521711768407801</v>
      </c>
      <c r="G124" t="s">
        <v>104</v>
      </c>
      <c r="H124" t="s">
        <v>108</v>
      </c>
    </row>
    <row r="125" spans="1:8" x14ac:dyDescent="0.3">
      <c r="A125" t="s">
        <v>13</v>
      </c>
      <c r="B125" t="s">
        <v>46</v>
      </c>
      <c r="C125" t="s">
        <v>80</v>
      </c>
      <c r="D125">
        <v>0.08</v>
      </c>
      <c r="E125">
        <v>1.2157788267026299</v>
      </c>
      <c r="F125">
        <v>28.139870918023309</v>
      </c>
      <c r="G125" t="s">
        <v>105</v>
      </c>
      <c r="H125" t="s">
        <v>108</v>
      </c>
    </row>
    <row r="126" spans="1:8" x14ac:dyDescent="0.3">
      <c r="A126" t="s">
        <v>13</v>
      </c>
      <c r="B126" t="s">
        <v>46</v>
      </c>
      <c r="C126" t="s">
        <v>81</v>
      </c>
      <c r="D126">
        <v>1E-3</v>
      </c>
      <c r="E126">
        <v>3.252643948296122</v>
      </c>
      <c r="F126">
        <v>8.9647473560517046</v>
      </c>
      <c r="G126" t="s">
        <v>105</v>
      </c>
      <c r="H126" t="s">
        <v>108</v>
      </c>
    </row>
    <row r="127" spans="1:8" x14ac:dyDescent="0.3">
      <c r="A127" t="s">
        <v>13</v>
      </c>
      <c r="B127" t="s">
        <v>47</v>
      </c>
      <c r="C127" t="s">
        <v>68</v>
      </c>
      <c r="D127">
        <v>0.4</v>
      </c>
      <c r="E127">
        <v>5.5860000000000003</v>
      </c>
      <c r="F127">
        <v>13.8</v>
      </c>
      <c r="G127" t="s">
        <v>104</v>
      </c>
      <c r="H127" t="s">
        <v>109</v>
      </c>
    </row>
    <row r="128" spans="1:8" x14ac:dyDescent="0.3">
      <c r="A128" t="s">
        <v>13</v>
      </c>
      <c r="B128" t="s">
        <v>48</v>
      </c>
      <c r="C128" t="s">
        <v>70</v>
      </c>
      <c r="D128">
        <v>0.2</v>
      </c>
      <c r="E128">
        <v>13.162000000000001</v>
      </c>
      <c r="F128">
        <v>0</v>
      </c>
      <c r="G128" t="s">
        <v>104</v>
      </c>
      <c r="H128" t="s">
        <v>109</v>
      </c>
    </row>
    <row r="129" spans="1:8" x14ac:dyDescent="0.3">
      <c r="A129" t="s">
        <v>13</v>
      </c>
      <c r="B129" t="s">
        <v>50</v>
      </c>
      <c r="C129" t="s">
        <v>73</v>
      </c>
      <c r="D129">
        <v>0.5</v>
      </c>
      <c r="E129">
        <v>5.37</v>
      </c>
      <c r="F129">
        <v>20.723404255319149</v>
      </c>
      <c r="G129" t="s">
        <v>105</v>
      </c>
      <c r="H129" t="s">
        <v>108</v>
      </c>
    </row>
    <row r="130" spans="1:8" x14ac:dyDescent="0.3">
      <c r="A130" t="s">
        <v>13</v>
      </c>
      <c r="B130" t="s">
        <v>50</v>
      </c>
      <c r="C130" t="s">
        <v>74</v>
      </c>
      <c r="D130">
        <v>2.4</v>
      </c>
      <c r="E130">
        <v>4.0579999999999998</v>
      </c>
      <c r="F130">
        <v>2.0635593220338988</v>
      </c>
      <c r="G130" t="s">
        <v>105</v>
      </c>
      <c r="H130" t="s">
        <v>108</v>
      </c>
    </row>
    <row r="131" spans="1:8" x14ac:dyDescent="0.3">
      <c r="A131" t="s">
        <v>13</v>
      </c>
      <c r="B131" t="s">
        <v>51</v>
      </c>
      <c r="C131" t="s">
        <v>75</v>
      </c>
      <c r="D131">
        <v>1.2647999999999999</v>
      </c>
      <c r="E131">
        <v>6.9640781685982797E-3</v>
      </c>
      <c r="F131">
        <v>11.74</v>
      </c>
      <c r="G131" t="s">
        <v>104</v>
      </c>
      <c r="H131" t="s">
        <v>108</v>
      </c>
    </row>
    <row r="132" spans="1:8" x14ac:dyDescent="0.3">
      <c r="A132" t="s">
        <v>13</v>
      </c>
      <c r="B132" t="s">
        <v>52</v>
      </c>
      <c r="C132" t="s">
        <v>76</v>
      </c>
      <c r="D132">
        <v>1E-3</v>
      </c>
      <c r="E132">
        <v>8.4824999999999999</v>
      </c>
      <c r="F132">
        <v>12.68872359754714</v>
      </c>
      <c r="G132" t="s">
        <v>105</v>
      </c>
      <c r="H132" t="s">
        <v>108</v>
      </c>
    </row>
    <row r="133" spans="1:8" x14ac:dyDescent="0.3">
      <c r="A133" t="s">
        <v>14</v>
      </c>
      <c r="B133" t="s">
        <v>46</v>
      </c>
      <c r="C133" t="s">
        <v>64</v>
      </c>
      <c r="D133">
        <v>4.5620000000000001E-2</v>
      </c>
      <c r="E133">
        <v>7.1819125383603692</v>
      </c>
      <c r="F133">
        <v>2.9521711768407801</v>
      </c>
      <c r="G133" t="s">
        <v>104</v>
      </c>
      <c r="H133" t="s">
        <v>108</v>
      </c>
    </row>
    <row r="134" spans="1:8" x14ac:dyDescent="0.3">
      <c r="A134" t="s">
        <v>14</v>
      </c>
      <c r="B134" t="s">
        <v>46</v>
      </c>
      <c r="C134" t="s">
        <v>79</v>
      </c>
      <c r="D134">
        <v>20.9</v>
      </c>
      <c r="E134">
        <v>5.3570000000000002</v>
      </c>
      <c r="F134">
        <v>6.8428961748633883</v>
      </c>
      <c r="G134" t="s">
        <v>104</v>
      </c>
      <c r="H134" t="s">
        <v>108</v>
      </c>
    </row>
    <row r="135" spans="1:8" x14ac:dyDescent="0.3">
      <c r="A135" t="s">
        <v>14</v>
      </c>
      <c r="B135" t="s">
        <v>46</v>
      </c>
      <c r="C135" t="s">
        <v>80</v>
      </c>
      <c r="D135">
        <v>0.28460000000000002</v>
      </c>
      <c r="E135">
        <v>0.48482805124747141</v>
      </c>
      <c r="F135">
        <v>28.139870918023309</v>
      </c>
      <c r="G135" t="s">
        <v>105</v>
      </c>
      <c r="H135" t="s">
        <v>108</v>
      </c>
    </row>
    <row r="136" spans="1:8" x14ac:dyDescent="0.3">
      <c r="A136" t="s">
        <v>14</v>
      </c>
      <c r="B136" t="s">
        <v>46</v>
      </c>
      <c r="C136" t="s">
        <v>81</v>
      </c>
      <c r="D136">
        <v>0.67969999999999997</v>
      </c>
      <c r="E136">
        <v>1.2338425381903639</v>
      </c>
      <c r="F136">
        <v>8.9647473560517046</v>
      </c>
      <c r="G136" t="s">
        <v>105</v>
      </c>
      <c r="H136" t="s">
        <v>108</v>
      </c>
    </row>
    <row r="137" spans="1:8" x14ac:dyDescent="0.3">
      <c r="A137" t="s">
        <v>14</v>
      </c>
      <c r="B137" t="s">
        <v>46</v>
      </c>
      <c r="C137" t="s">
        <v>66</v>
      </c>
      <c r="D137">
        <v>1.6</v>
      </c>
      <c r="E137">
        <v>5.5353124999999999</v>
      </c>
      <c r="F137">
        <v>6.8428961748633883</v>
      </c>
      <c r="G137" t="s">
        <v>104</v>
      </c>
      <c r="H137" t="s">
        <v>108</v>
      </c>
    </row>
    <row r="138" spans="1:8" x14ac:dyDescent="0.3">
      <c r="A138" t="s">
        <v>14</v>
      </c>
      <c r="B138" t="s">
        <v>46</v>
      </c>
      <c r="C138" t="s">
        <v>82</v>
      </c>
      <c r="D138">
        <v>1.7</v>
      </c>
      <c r="E138">
        <v>3.3204117647058831</v>
      </c>
      <c r="F138">
        <v>6.8428961748633883</v>
      </c>
      <c r="G138" t="s">
        <v>104</v>
      </c>
      <c r="H138" t="s">
        <v>108</v>
      </c>
    </row>
    <row r="139" spans="1:8" x14ac:dyDescent="0.3">
      <c r="A139" t="s">
        <v>14</v>
      </c>
      <c r="B139" t="s">
        <v>46</v>
      </c>
      <c r="C139" t="s">
        <v>84</v>
      </c>
      <c r="D139">
        <v>0.3</v>
      </c>
      <c r="E139">
        <v>2.6503333333333332</v>
      </c>
      <c r="F139">
        <v>28.139870918023309</v>
      </c>
      <c r="G139" t="s">
        <v>105</v>
      </c>
      <c r="H139" t="s">
        <v>108</v>
      </c>
    </row>
    <row r="140" spans="1:8" x14ac:dyDescent="0.3">
      <c r="A140" t="s">
        <v>14</v>
      </c>
      <c r="B140" t="s">
        <v>46</v>
      </c>
      <c r="C140" t="s">
        <v>85</v>
      </c>
      <c r="D140">
        <v>0.1</v>
      </c>
      <c r="E140">
        <v>3.9420000000000002</v>
      </c>
      <c r="F140">
        <v>2.9521711768407801</v>
      </c>
      <c r="G140" t="s">
        <v>104</v>
      </c>
      <c r="H140" t="s">
        <v>108</v>
      </c>
    </row>
    <row r="141" spans="1:8" x14ac:dyDescent="0.3">
      <c r="A141" t="s">
        <v>14</v>
      </c>
      <c r="B141" t="s">
        <v>55</v>
      </c>
      <c r="C141" t="s">
        <v>86</v>
      </c>
      <c r="D141">
        <v>0.41870000000000002</v>
      </c>
      <c r="E141">
        <v>10.548</v>
      </c>
      <c r="F141">
        <v>11.9</v>
      </c>
      <c r="G141" t="s">
        <v>106</v>
      </c>
      <c r="H141" t="s">
        <v>109</v>
      </c>
    </row>
    <row r="142" spans="1:8" x14ac:dyDescent="0.3">
      <c r="A142" t="s">
        <v>14</v>
      </c>
      <c r="B142" t="s">
        <v>55</v>
      </c>
      <c r="C142" t="s">
        <v>88</v>
      </c>
      <c r="D142">
        <v>1.7263999999999999</v>
      </c>
      <c r="E142">
        <v>10.798999999999999</v>
      </c>
      <c r="F142">
        <v>11.9</v>
      </c>
      <c r="G142" t="s">
        <v>106</v>
      </c>
      <c r="H142" t="s">
        <v>109</v>
      </c>
    </row>
    <row r="143" spans="1:8" x14ac:dyDescent="0.3">
      <c r="A143" t="s">
        <v>14</v>
      </c>
      <c r="B143" t="s">
        <v>55</v>
      </c>
      <c r="C143" t="s">
        <v>89</v>
      </c>
      <c r="D143">
        <v>0.1186</v>
      </c>
      <c r="E143">
        <v>0</v>
      </c>
      <c r="F143">
        <v>11.9</v>
      </c>
      <c r="G143" t="s">
        <v>106</v>
      </c>
      <c r="H143" t="s">
        <v>109</v>
      </c>
    </row>
    <row r="144" spans="1:8" x14ac:dyDescent="0.3">
      <c r="A144" t="s">
        <v>14</v>
      </c>
      <c r="B144" t="s">
        <v>55</v>
      </c>
      <c r="C144" t="s">
        <v>90</v>
      </c>
      <c r="D144">
        <v>5.7999999999999996E-3</v>
      </c>
      <c r="E144">
        <v>9.3460000000000019</v>
      </c>
      <c r="F144">
        <v>11.9</v>
      </c>
      <c r="G144" t="s">
        <v>106</v>
      </c>
      <c r="H144" t="s">
        <v>109</v>
      </c>
    </row>
    <row r="145" spans="1:8" x14ac:dyDescent="0.3">
      <c r="A145" t="s">
        <v>14</v>
      </c>
      <c r="B145" t="s">
        <v>55</v>
      </c>
      <c r="C145" t="s">
        <v>91</v>
      </c>
      <c r="D145">
        <v>0.13</v>
      </c>
      <c r="E145">
        <v>10.103999999999999</v>
      </c>
      <c r="F145">
        <v>11.9</v>
      </c>
      <c r="G145" t="s">
        <v>106</v>
      </c>
      <c r="H145" t="s">
        <v>109</v>
      </c>
    </row>
    <row r="146" spans="1:8" x14ac:dyDescent="0.3">
      <c r="A146" t="s">
        <v>14</v>
      </c>
      <c r="B146" t="s">
        <v>55</v>
      </c>
      <c r="C146" t="s">
        <v>92</v>
      </c>
      <c r="D146">
        <v>0.91498000000000002</v>
      </c>
      <c r="E146">
        <v>9.7859999999999996</v>
      </c>
      <c r="F146">
        <v>11.9</v>
      </c>
      <c r="G146" t="s">
        <v>106</v>
      </c>
      <c r="H146" t="s">
        <v>109</v>
      </c>
    </row>
    <row r="147" spans="1:8" x14ac:dyDescent="0.3">
      <c r="A147" t="s">
        <v>14</v>
      </c>
      <c r="B147" t="s">
        <v>56</v>
      </c>
      <c r="C147" t="s">
        <v>93</v>
      </c>
      <c r="D147">
        <v>14.6416</v>
      </c>
      <c r="E147">
        <v>2.9493975903614462</v>
      </c>
      <c r="F147">
        <v>20.3</v>
      </c>
      <c r="G147" t="s">
        <v>106</v>
      </c>
      <c r="H147" t="s">
        <v>109</v>
      </c>
    </row>
    <row r="148" spans="1:8" x14ac:dyDescent="0.3">
      <c r="A148" t="s">
        <v>14</v>
      </c>
      <c r="B148" t="s">
        <v>47</v>
      </c>
      <c r="C148" t="s">
        <v>68</v>
      </c>
      <c r="D148">
        <v>4.2</v>
      </c>
      <c r="E148">
        <v>3.4689047619047622</v>
      </c>
      <c r="F148">
        <v>18.5</v>
      </c>
      <c r="G148" t="s">
        <v>104</v>
      </c>
      <c r="H148" t="s">
        <v>109</v>
      </c>
    </row>
    <row r="149" spans="1:8" x14ac:dyDescent="0.3">
      <c r="A149" t="s">
        <v>14</v>
      </c>
      <c r="B149" t="s">
        <v>47</v>
      </c>
      <c r="C149" t="s">
        <v>69</v>
      </c>
      <c r="D149">
        <v>5.9</v>
      </c>
      <c r="E149">
        <v>3.0071694915254241</v>
      </c>
      <c r="F149">
        <v>18.5</v>
      </c>
      <c r="G149" t="s">
        <v>104</v>
      </c>
      <c r="H149" t="s">
        <v>109</v>
      </c>
    </row>
    <row r="150" spans="1:8" x14ac:dyDescent="0.3">
      <c r="A150" t="s">
        <v>14</v>
      </c>
      <c r="B150" t="s">
        <v>57</v>
      </c>
      <c r="C150" t="s">
        <v>94</v>
      </c>
      <c r="D150">
        <v>4.7</v>
      </c>
      <c r="E150">
        <v>7.3995957446808509</v>
      </c>
      <c r="F150">
        <v>14.4</v>
      </c>
      <c r="G150" t="s">
        <v>104</v>
      </c>
      <c r="H150" t="s">
        <v>109</v>
      </c>
    </row>
    <row r="151" spans="1:8" x14ac:dyDescent="0.3">
      <c r="A151" t="s">
        <v>14</v>
      </c>
      <c r="B151" t="s">
        <v>49</v>
      </c>
      <c r="C151" t="s">
        <v>71</v>
      </c>
      <c r="D151">
        <v>39.880139999999997</v>
      </c>
      <c r="E151">
        <v>5.994148291355045</v>
      </c>
      <c r="F151">
        <v>3.86607608129234</v>
      </c>
      <c r="G151" t="s">
        <v>104</v>
      </c>
      <c r="H151" t="s">
        <v>108</v>
      </c>
    </row>
    <row r="152" spans="1:8" x14ac:dyDescent="0.3">
      <c r="A152" t="s">
        <v>14</v>
      </c>
      <c r="B152" t="s">
        <v>49</v>
      </c>
      <c r="C152" t="s">
        <v>72</v>
      </c>
      <c r="D152">
        <v>2.8</v>
      </c>
      <c r="E152">
        <v>4.8066071428571426</v>
      </c>
      <c r="F152">
        <v>3.86607608129234</v>
      </c>
      <c r="G152" t="s">
        <v>104</v>
      </c>
      <c r="H152" t="s">
        <v>108</v>
      </c>
    </row>
    <row r="153" spans="1:8" x14ac:dyDescent="0.3">
      <c r="A153" t="s">
        <v>14</v>
      </c>
      <c r="B153" t="s">
        <v>58</v>
      </c>
      <c r="C153" t="s">
        <v>95</v>
      </c>
      <c r="D153">
        <v>6.1417800000000007</v>
      </c>
      <c r="E153">
        <v>3.5569999999999999</v>
      </c>
      <c r="F153">
        <v>2.9521711768407801</v>
      </c>
      <c r="G153" t="s">
        <v>104</v>
      </c>
      <c r="H153" t="s">
        <v>108</v>
      </c>
    </row>
    <row r="154" spans="1:8" x14ac:dyDescent="0.3">
      <c r="A154" t="s">
        <v>14</v>
      </c>
      <c r="B154" t="s">
        <v>50</v>
      </c>
      <c r="C154" t="s">
        <v>73</v>
      </c>
      <c r="D154">
        <v>3.7</v>
      </c>
      <c r="E154">
        <v>5.0943243243243241</v>
      </c>
      <c r="F154">
        <v>20.723404255319149</v>
      </c>
      <c r="G154" t="s">
        <v>105</v>
      </c>
      <c r="H154" t="s">
        <v>108</v>
      </c>
    </row>
    <row r="155" spans="1:8" x14ac:dyDescent="0.3">
      <c r="A155" t="s">
        <v>14</v>
      </c>
      <c r="B155" t="s">
        <v>50</v>
      </c>
      <c r="C155" t="s">
        <v>74</v>
      </c>
      <c r="D155">
        <v>38.200000000000003</v>
      </c>
      <c r="E155">
        <v>3.6191492146596849</v>
      </c>
      <c r="F155">
        <v>2.0635593220338988</v>
      </c>
      <c r="G155" t="s">
        <v>105</v>
      </c>
      <c r="H155" t="s">
        <v>108</v>
      </c>
    </row>
    <row r="156" spans="1:8" x14ac:dyDescent="0.3">
      <c r="A156" t="s">
        <v>14</v>
      </c>
      <c r="B156" t="s">
        <v>59</v>
      </c>
      <c r="C156" t="s">
        <v>96</v>
      </c>
      <c r="D156">
        <v>0.43809999999999999</v>
      </c>
      <c r="E156">
        <v>18.337</v>
      </c>
      <c r="F156">
        <v>5.5</v>
      </c>
      <c r="G156" t="s">
        <v>107</v>
      </c>
      <c r="H156" t="s">
        <v>109</v>
      </c>
    </row>
    <row r="157" spans="1:8" x14ac:dyDescent="0.3">
      <c r="A157" t="s">
        <v>14</v>
      </c>
      <c r="B157" t="s">
        <v>59</v>
      </c>
      <c r="C157" t="s">
        <v>97</v>
      </c>
      <c r="D157">
        <v>0.2029</v>
      </c>
      <c r="E157">
        <v>14.81280520889853</v>
      </c>
      <c r="F157">
        <v>5.5</v>
      </c>
      <c r="G157" t="s">
        <v>107</v>
      </c>
      <c r="H157" t="s">
        <v>109</v>
      </c>
    </row>
    <row r="158" spans="1:8" x14ac:dyDescent="0.3">
      <c r="A158" t="s">
        <v>14</v>
      </c>
      <c r="B158" t="s">
        <v>51</v>
      </c>
      <c r="C158" t="s">
        <v>75</v>
      </c>
      <c r="D158">
        <v>2.2185579999999998</v>
      </c>
      <c r="E158">
        <v>3.50815453216986E-4</v>
      </c>
      <c r="F158">
        <v>11.74</v>
      </c>
      <c r="G158" t="s">
        <v>104</v>
      </c>
      <c r="H158" t="s">
        <v>108</v>
      </c>
    </row>
    <row r="159" spans="1:8" x14ac:dyDescent="0.3">
      <c r="A159" t="s">
        <v>14</v>
      </c>
      <c r="B159" t="s">
        <v>60</v>
      </c>
      <c r="C159" t="s">
        <v>98</v>
      </c>
      <c r="D159">
        <v>6.1114100000000002</v>
      </c>
      <c r="E159">
        <v>16.380236305048339</v>
      </c>
      <c r="F159">
        <v>27.8</v>
      </c>
      <c r="G159" t="s">
        <v>107</v>
      </c>
      <c r="H159" t="s">
        <v>109</v>
      </c>
    </row>
    <row r="160" spans="1:8" x14ac:dyDescent="0.3">
      <c r="A160" t="s">
        <v>14</v>
      </c>
      <c r="B160" t="s">
        <v>52</v>
      </c>
      <c r="C160" t="s">
        <v>76</v>
      </c>
      <c r="D160">
        <v>0.26400000000000001</v>
      </c>
      <c r="E160">
        <v>8.4824999999999999</v>
      </c>
      <c r="F160">
        <v>12.68872359754714</v>
      </c>
      <c r="G160" t="s">
        <v>105</v>
      </c>
      <c r="H160" t="s">
        <v>108</v>
      </c>
    </row>
    <row r="161" spans="1:8" x14ac:dyDescent="0.3">
      <c r="A161" t="s">
        <v>14</v>
      </c>
      <c r="B161" t="s">
        <v>53</v>
      </c>
      <c r="C161" t="s">
        <v>77</v>
      </c>
      <c r="D161">
        <v>4.3482900000000004</v>
      </c>
      <c r="E161">
        <v>4.8066485629983271</v>
      </c>
      <c r="F161">
        <v>3.86607608129234</v>
      </c>
      <c r="G161" t="s">
        <v>104</v>
      </c>
      <c r="H161" t="s">
        <v>108</v>
      </c>
    </row>
    <row r="162" spans="1:8" x14ac:dyDescent="0.3">
      <c r="A162" t="s">
        <v>14</v>
      </c>
      <c r="B162" t="s">
        <v>61</v>
      </c>
      <c r="C162" t="s">
        <v>99</v>
      </c>
      <c r="D162">
        <v>12</v>
      </c>
      <c r="E162">
        <v>1.9988250000000001</v>
      </c>
      <c r="F162">
        <v>2.9245635910224439</v>
      </c>
      <c r="G162" t="s">
        <v>104</v>
      </c>
      <c r="H162" t="s">
        <v>108</v>
      </c>
    </row>
    <row r="163" spans="1:8" x14ac:dyDescent="0.3">
      <c r="A163" t="s">
        <v>14</v>
      </c>
      <c r="B163" t="s">
        <v>62</v>
      </c>
      <c r="C163" t="s">
        <v>100</v>
      </c>
      <c r="D163">
        <v>4.2</v>
      </c>
      <c r="E163">
        <v>0.57857142857142863</v>
      </c>
      <c r="F163">
        <v>2.6764106050305911</v>
      </c>
      <c r="G163" t="s">
        <v>104</v>
      </c>
      <c r="H163" t="s">
        <v>108</v>
      </c>
    </row>
    <row r="164" spans="1:8" x14ac:dyDescent="0.3">
      <c r="A164" t="s">
        <v>14</v>
      </c>
      <c r="B164" t="s">
        <v>54</v>
      </c>
      <c r="C164" t="s">
        <v>78</v>
      </c>
      <c r="D164">
        <v>63.400000000000013</v>
      </c>
      <c r="E164">
        <v>10.148473186119871</v>
      </c>
      <c r="F164">
        <v>3.86607608129234</v>
      </c>
      <c r="G164" t="s">
        <v>104</v>
      </c>
      <c r="H164" t="s">
        <v>108</v>
      </c>
    </row>
    <row r="165" spans="1:8" x14ac:dyDescent="0.3">
      <c r="A165" t="s">
        <v>15</v>
      </c>
      <c r="B165" t="s">
        <v>46</v>
      </c>
      <c r="C165" t="s">
        <v>64</v>
      </c>
      <c r="D165">
        <v>0.10174</v>
      </c>
      <c r="E165">
        <v>7.1738173776292511</v>
      </c>
      <c r="F165">
        <v>2.9521711768407801</v>
      </c>
      <c r="G165" t="s">
        <v>104</v>
      </c>
      <c r="H165" t="s">
        <v>108</v>
      </c>
    </row>
    <row r="166" spans="1:8" x14ac:dyDescent="0.3">
      <c r="A166" t="s">
        <v>15</v>
      </c>
      <c r="B166" t="s">
        <v>46</v>
      </c>
      <c r="C166" t="s">
        <v>79</v>
      </c>
      <c r="D166">
        <v>65.3</v>
      </c>
      <c r="E166">
        <v>6.9701439509954062</v>
      </c>
      <c r="F166">
        <v>6.8428961748633883</v>
      </c>
      <c r="G166" t="s">
        <v>104</v>
      </c>
      <c r="H166" t="s">
        <v>108</v>
      </c>
    </row>
    <row r="167" spans="1:8" x14ac:dyDescent="0.3">
      <c r="A167" t="s">
        <v>15</v>
      </c>
      <c r="B167" t="s">
        <v>46</v>
      </c>
      <c r="C167" t="s">
        <v>80</v>
      </c>
      <c r="D167">
        <v>20.98</v>
      </c>
      <c r="E167">
        <v>1.21105866486851</v>
      </c>
      <c r="F167">
        <v>28.139870918023309</v>
      </c>
      <c r="G167" t="s">
        <v>105</v>
      </c>
      <c r="H167" t="s">
        <v>108</v>
      </c>
    </row>
    <row r="168" spans="1:8" x14ac:dyDescent="0.3">
      <c r="A168" t="s">
        <v>15</v>
      </c>
      <c r="B168" t="s">
        <v>46</v>
      </c>
      <c r="C168" t="s">
        <v>81</v>
      </c>
      <c r="D168">
        <v>44.371699999999997</v>
      </c>
      <c r="E168">
        <v>1.7549941245593419</v>
      </c>
      <c r="F168">
        <v>8.9647473560517046</v>
      </c>
      <c r="G168" t="s">
        <v>105</v>
      </c>
      <c r="H168" t="s">
        <v>108</v>
      </c>
    </row>
    <row r="169" spans="1:8" x14ac:dyDescent="0.3">
      <c r="A169" t="s">
        <v>15</v>
      </c>
      <c r="B169" t="s">
        <v>46</v>
      </c>
      <c r="C169" t="s">
        <v>66</v>
      </c>
      <c r="D169">
        <v>5.8</v>
      </c>
      <c r="E169">
        <v>7.2023103448275867</v>
      </c>
      <c r="F169">
        <v>6.8428961748633883</v>
      </c>
      <c r="G169" t="s">
        <v>104</v>
      </c>
      <c r="H169" t="s">
        <v>108</v>
      </c>
    </row>
    <row r="170" spans="1:8" x14ac:dyDescent="0.3">
      <c r="A170" t="s">
        <v>15</v>
      </c>
      <c r="B170" t="s">
        <v>46</v>
      </c>
      <c r="C170" t="s">
        <v>82</v>
      </c>
      <c r="D170">
        <v>6.5</v>
      </c>
      <c r="E170">
        <v>4.3176615384615378</v>
      </c>
      <c r="F170">
        <v>6.8428961748633883</v>
      </c>
      <c r="G170" t="s">
        <v>104</v>
      </c>
      <c r="H170" t="s">
        <v>108</v>
      </c>
    </row>
    <row r="171" spans="1:8" x14ac:dyDescent="0.3">
      <c r="A171" t="s">
        <v>15</v>
      </c>
      <c r="B171" t="s">
        <v>46</v>
      </c>
      <c r="C171" t="s">
        <v>84</v>
      </c>
      <c r="D171">
        <v>1.1000000000000001</v>
      </c>
      <c r="E171">
        <v>3.458636363636364</v>
      </c>
      <c r="F171">
        <v>28.139870918023309</v>
      </c>
      <c r="G171" t="s">
        <v>105</v>
      </c>
      <c r="H171" t="s">
        <v>108</v>
      </c>
    </row>
    <row r="172" spans="1:8" x14ac:dyDescent="0.3">
      <c r="A172" t="s">
        <v>15</v>
      </c>
      <c r="B172" t="s">
        <v>46</v>
      </c>
      <c r="C172" t="s">
        <v>85</v>
      </c>
      <c r="D172">
        <v>0.2</v>
      </c>
      <c r="E172">
        <v>4.915</v>
      </c>
      <c r="F172">
        <v>2.9521711768407801</v>
      </c>
      <c r="G172" t="s">
        <v>104</v>
      </c>
      <c r="H172" t="s">
        <v>108</v>
      </c>
    </row>
    <row r="173" spans="1:8" x14ac:dyDescent="0.3">
      <c r="A173" t="s">
        <v>15</v>
      </c>
      <c r="B173" t="s">
        <v>55</v>
      </c>
      <c r="C173" t="s">
        <v>86</v>
      </c>
      <c r="D173">
        <v>0.13639999999999999</v>
      </c>
      <c r="E173">
        <v>11.824000000000011</v>
      </c>
      <c r="F173">
        <v>7.7</v>
      </c>
      <c r="G173" t="s">
        <v>106</v>
      </c>
      <c r="H173" t="s">
        <v>109</v>
      </c>
    </row>
    <row r="174" spans="1:8" x14ac:dyDescent="0.3">
      <c r="A174" t="s">
        <v>15</v>
      </c>
      <c r="B174" t="s">
        <v>55</v>
      </c>
      <c r="C174" t="s">
        <v>89</v>
      </c>
      <c r="D174">
        <v>2.98E-2</v>
      </c>
      <c r="E174">
        <v>0</v>
      </c>
      <c r="F174">
        <v>7.7</v>
      </c>
      <c r="G174" t="s">
        <v>106</v>
      </c>
      <c r="H174" t="s">
        <v>109</v>
      </c>
    </row>
    <row r="175" spans="1:8" x14ac:dyDescent="0.3">
      <c r="A175" t="s">
        <v>15</v>
      </c>
      <c r="B175" t="s">
        <v>55</v>
      </c>
      <c r="C175" t="s">
        <v>91</v>
      </c>
      <c r="D175">
        <v>0.4264</v>
      </c>
      <c r="E175">
        <v>11.48199999999999</v>
      </c>
      <c r="F175">
        <v>7.7</v>
      </c>
      <c r="G175" t="s">
        <v>106</v>
      </c>
      <c r="H175" t="s">
        <v>109</v>
      </c>
    </row>
    <row r="176" spans="1:8" x14ac:dyDescent="0.3">
      <c r="A176" t="s">
        <v>15</v>
      </c>
      <c r="B176" t="s">
        <v>55</v>
      </c>
      <c r="C176" t="s">
        <v>92</v>
      </c>
      <c r="D176">
        <v>1.925</v>
      </c>
      <c r="E176">
        <v>12.74599999999999</v>
      </c>
      <c r="F176">
        <v>7.7</v>
      </c>
      <c r="G176" t="s">
        <v>106</v>
      </c>
      <c r="H176" t="s">
        <v>109</v>
      </c>
    </row>
    <row r="177" spans="1:8" x14ac:dyDescent="0.3">
      <c r="A177" t="s">
        <v>15</v>
      </c>
      <c r="B177" t="s">
        <v>56</v>
      </c>
      <c r="C177" t="s">
        <v>93</v>
      </c>
      <c r="D177">
        <v>48.939900000000002</v>
      </c>
      <c r="E177">
        <v>2.939759036144578</v>
      </c>
      <c r="F177">
        <v>22.3</v>
      </c>
      <c r="G177" t="s">
        <v>106</v>
      </c>
      <c r="H177" t="s">
        <v>109</v>
      </c>
    </row>
    <row r="178" spans="1:8" x14ac:dyDescent="0.3">
      <c r="A178" t="s">
        <v>15</v>
      </c>
      <c r="B178" t="s">
        <v>47</v>
      </c>
      <c r="C178" t="s">
        <v>68</v>
      </c>
      <c r="D178">
        <v>28.4</v>
      </c>
      <c r="E178">
        <v>6.6039542253521129</v>
      </c>
      <c r="F178">
        <v>25.4</v>
      </c>
      <c r="G178" t="s">
        <v>104</v>
      </c>
      <c r="H178" t="s">
        <v>109</v>
      </c>
    </row>
    <row r="179" spans="1:8" x14ac:dyDescent="0.3">
      <c r="A179" t="s">
        <v>15</v>
      </c>
      <c r="B179" t="s">
        <v>47</v>
      </c>
      <c r="C179" t="s">
        <v>69</v>
      </c>
      <c r="D179">
        <v>31.3</v>
      </c>
      <c r="E179">
        <v>5.7361118210862623</v>
      </c>
      <c r="F179">
        <v>25.4</v>
      </c>
      <c r="G179" t="s">
        <v>104</v>
      </c>
      <c r="H179" t="s">
        <v>109</v>
      </c>
    </row>
    <row r="180" spans="1:8" x14ac:dyDescent="0.3">
      <c r="A180" t="s">
        <v>15</v>
      </c>
      <c r="B180" t="s">
        <v>57</v>
      </c>
      <c r="C180" t="s">
        <v>94</v>
      </c>
      <c r="D180">
        <v>23.9</v>
      </c>
      <c r="E180">
        <v>11.02219665271967</v>
      </c>
      <c r="F180">
        <v>23.7</v>
      </c>
      <c r="G180" t="s">
        <v>104</v>
      </c>
      <c r="H180" t="s">
        <v>109</v>
      </c>
    </row>
    <row r="181" spans="1:8" x14ac:dyDescent="0.3">
      <c r="A181" t="s">
        <v>15</v>
      </c>
      <c r="B181" t="s">
        <v>49</v>
      </c>
      <c r="C181" t="s">
        <v>71</v>
      </c>
      <c r="D181">
        <v>223.17126999999999</v>
      </c>
      <c r="E181">
        <v>6.3572003290566927</v>
      </c>
      <c r="F181">
        <v>3.86607608129234</v>
      </c>
      <c r="G181" t="s">
        <v>104</v>
      </c>
      <c r="H181" t="s">
        <v>108</v>
      </c>
    </row>
    <row r="182" spans="1:8" x14ac:dyDescent="0.3">
      <c r="A182" t="s">
        <v>15</v>
      </c>
      <c r="B182" t="s">
        <v>49</v>
      </c>
      <c r="C182" t="s">
        <v>72</v>
      </c>
      <c r="D182">
        <v>14</v>
      </c>
      <c r="E182">
        <v>5.0940500000000002</v>
      </c>
      <c r="F182">
        <v>3.86607608129234</v>
      </c>
      <c r="G182" t="s">
        <v>104</v>
      </c>
      <c r="H182" t="s">
        <v>108</v>
      </c>
    </row>
    <row r="183" spans="1:8" x14ac:dyDescent="0.3">
      <c r="A183" t="s">
        <v>15</v>
      </c>
      <c r="B183" t="s">
        <v>58</v>
      </c>
      <c r="C183" t="s">
        <v>95</v>
      </c>
      <c r="D183">
        <v>11.273960000000001</v>
      </c>
      <c r="E183">
        <v>3.4218512785214781</v>
      </c>
      <c r="F183">
        <v>2.9521711768407801</v>
      </c>
      <c r="G183" t="s">
        <v>104</v>
      </c>
      <c r="H183" t="s">
        <v>108</v>
      </c>
    </row>
    <row r="184" spans="1:8" x14ac:dyDescent="0.3">
      <c r="A184" t="s">
        <v>15</v>
      </c>
      <c r="B184" t="s">
        <v>50</v>
      </c>
      <c r="C184" t="s">
        <v>73</v>
      </c>
      <c r="D184">
        <v>19</v>
      </c>
      <c r="E184">
        <v>5.6621736842105266</v>
      </c>
      <c r="F184">
        <v>20.723404255319149</v>
      </c>
      <c r="G184" t="s">
        <v>105</v>
      </c>
      <c r="H184" t="s">
        <v>108</v>
      </c>
    </row>
    <row r="185" spans="1:8" x14ac:dyDescent="0.3">
      <c r="A185" t="s">
        <v>15</v>
      </c>
      <c r="B185" t="s">
        <v>50</v>
      </c>
      <c r="C185" t="s">
        <v>74</v>
      </c>
      <c r="D185">
        <v>23.8</v>
      </c>
      <c r="E185">
        <v>6.1122815126050423</v>
      </c>
      <c r="F185">
        <v>2.0635593220338988</v>
      </c>
      <c r="G185" t="s">
        <v>105</v>
      </c>
      <c r="H185" t="s">
        <v>108</v>
      </c>
    </row>
    <row r="186" spans="1:8" x14ac:dyDescent="0.3">
      <c r="A186" t="s">
        <v>15</v>
      </c>
      <c r="B186" t="s">
        <v>51</v>
      </c>
      <c r="C186" t="s">
        <v>75</v>
      </c>
      <c r="D186">
        <v>89.726150000000004</v>
      </c>
      <c r="E186">
        <v>8.4386211192343602E-2</v>
      </c>
      <c r="F186">
        <v>11.74</v>
      </c>
      <c r="G186" t="s">
        <v>104</v>
      </c>
      <c r="H186" t="s">
        <v>108</v>
      </c>
    </row>
    <row r="187" spans="1:8" x14ac:dyDescent="0.3">
      <c r="A187" t="s">
        <v>15</v>
      </c>
      <c r="B187" t="s">
        <v>60</v>
      </c>
      <c r="C187" t="s">
        <v>98</v>
      </c>
      <c r="D187">
        <v>73.611180000000004</v>
      </c>
      <c r="E187">
        <v>18.259935553168631</v>
      </c>
      <c r="F187">
        <v>19.399999999999999</v>
      </c>
      <c r="G187" t="s">
        <v>107</v>
      </c>
      <c r="H187" t="s">
        <v>109</v>
      </c>
    </row>
    <row r="188" spans="1:8" x14ac:dyDescent="0.3">
      <c r="A188" t="s">
        <v>15</v>
      </c>
      <c r="B188" t="s">
        <v>52</v>
      </c>
      <c r="C188" t="s">
        <v>76</v>
      </c>
      <c r="D188">
        <v>5.9930000000000003</v>
      </c>
      <c r="E188">
        <v>8.4824999999999999</v>
      </c>
      <c r="F188">
        <v>12.68872359754714</v>
      </c>
      <c r="G188" t="s">
        <v>105</v>
      </c>
      <c r="H188" t="s">
        <v>108</v>
      </c>
    </row>
    <row r="189" spans="1:8" x14ac:dyDescent="0.3">
      <c r="A189" t="s">
        <v>15</v>
      </c>
      <c r="B189" t="s">
        <v>53</v>
      </c>
      <c r="C189" t="s">
        <v>77</v>
      </c>
      <c r="D189">
        <v>17.51155</v>
      </c>
      <c r="E189">
        <v>5.0943995437297103</v>
      </c>
      <c r="F189">
        <v>3.86607608129234</v>
      </c>
      <c r="G189" t="s">
        <v>104</v>
      </c>
      <c r="H189" t="s">
        <v>108</v>
      </c>
    </row>
    <row r="190" spans="1:8" x14ac:dyDescent="0.3">
      <c r="A190" t="s">
        <v>15</v>
      </c>
      <c r="B190" t="s">
        <v>61</v>
      </c>
      <c r="C190" t="s">
        <v>99</v>
      </c>
      <c r="D190">
        <v>34.9</v>
      </c>
      <c r="E190">
        <v>2.540988538681948</v>
      </c>
      <c r="F190">
        <v>2.9245635910224439</v>
      </c>
      <c r="G190" t="s">
        <v>104</v>
      </c>
      <c r="H190" t="s">
        <v>108</v>
      </c>
    </row>
    <row r="191" spans="1:8" x14ac:dyDescent="0.3">
      <c r="A191" t="s">
        <v>15</v>
      </c>
      <c r="B191" t="s">
        <v>62</v>
      </c>
      <c r="C191" t="s">
        <v>100</v>
      </c>
      <c r="D191">
        <v>10</v>
      </c>
      <c r="E191">
        <v>0.108</v>
      </c>
      <c r="F191">
        <v>2.6764106050305911</v>
      </c>
      <c r="G191" t="s">
        <v>104</v>
      </c>
      <c r="H191" t="s">
        <v>108</v>
      </c>
    </row>
    <row r="192" spans="1:8" x14ac:dyDescent="0.3">
      <c r="A192" t="s">
        <v>15</v>
      </c>
      <c r="B192" t="s">
        <v>54</v>
      </c>
      <c r="C192" t="s">
        <v>78</v>
      </c>
      <c r="D192">
        <v>275.39999999999998</v>
      </c>
      <c r="E192">
        <v>10.065375816993461</v>
      </c>
      <c r="F192">
        <v>3.86607608129234</v>
      </c>
      <c r="G192" t="s">
        <v>104</v>
      </c>
      <c r="H192" t="s">
        <v>108</v>
      </c>
    </row>
    <row r="193" spans="1:8" x14ac:dyDescent="0.3">
      <c r="A193" t="s">
        <v>16</v>
      </c>
      <c r="B193" t="s">
        <v>46</v>
      </c>
      <c r="C193" t="s">
        <v>64</v>
      </c>
      <c r="D193">
        <v>4.7499999999999999E-3</v>
      </c>
      <c r="E193">
        <v>11.499989473684209</v>
      </c>
      <c r="F193">
        <v>2.9521711768407801</v>
      </c>
      <c r="G193" t="s">
        <v>104</v>
      </c>
      <c r="H193" t="s">
        <v>108</v>
      </c>
    </row>
    <row r="194" spans="1:8" x14ac:dyDescent="0.3">
      <c r="A194" t="s">
        <v>16</v>
      </c>
      <c r="B194" t="s">
        <v>46</v>
      </c>
      <c r="C194" t="s">
        <v>79</v>
      </c>
      <c r="D194">
        <v>13.6</v>
      </c>
      <c r="E194">
        <v>5.7279705882352934</v>
      </c>
      <c r="F194">
        <v>6.8428961748633883</v>
      </c>
      <c r="G194" t="s">
        <v>104</v>
      </c>
      <c r="H194" t="s">
        <v>108</v>
      </c>
    </row>
    <row r="195" spans="1:8" x14ac:dyDescent="0.3">
      <c r="A195" t="s">
        <v>16</v>
      </c>
      <c r="B195" t="s">
        <v>46</v>
      </c>
      <c r="C195" t="s">
        <v>80</v>
      </c>
      <c r="D195">
        <v>0.13789999999999999</v>
      </c>
      <c r="E195">
        <v>0.58125421443020897</v>
      </c>
      <c r="F195">
        <v>28.139870918023309</v>
      </c>
      <c r="G195" t="s">
        <v>105</v>
      </c>
      <c r="H195" t="s">
        <v>108</v>
      </c>
    </row>
    <row r="196" spans="1:8" x14ac:dyDescent="0.3">
      <c r="A196" t="s">
        <v>16</v>
      </c>
      <c r="B196" t="s">
        <v>46</v>
      </c>
      <c r="C196" t="s">
        <v>81</v>
      </c>
      <c r="D196">
        <v>0.87290000000000001</v>
      </c>
      <c r="E196">
        <v>1.7121034077555819</v>
      </c>
      <c r="F196">
        <v>8.9647473560517046</v>
      </c>
      <c r="G196" t="s">
        <v>105</v>
      </c>
      <c r="H196" t="s">
        <v>108</v>
      </c>
    </row>
    <row r="197" spans="1:8" x14ac:dyDescent="0.3">
      <c r="A197" t="s">
        <v>16</v>
      </c>
      <c r="B197" t="s">
        <v>46</v>
      </c>
      <c r="C197" t="s">
        <v>82</v>
      </c>
      <c r="D197">
        <v>0.60000000000000009</v>
      </c>
      <c r="E197">
        <v>3.6364999999999998</v>
      </c>
      <c r="F197">
        <v>6.8428961748633883</v>
      </c>
      <c r="G197" t="s">
        <v>104</v>
      </c>
      <c r="H197" t="s">
        <v>108</v>
      </c>
    </row>
    <row r="198" spans="1:8" x14ac:dyDescent="0.3">
      <c r="A198" t="s">
        <v>16</v>
      </c>
      <c r="B198" t="s">
        <v>46</v>
      </c>
      <c r="C198" t="s">
        <v>84</v>
      </c>
      <c r="D198">
        <v>0.2</v>
      </c>
      <c r="E198">
        <v>3.468</v>
      </c>
      <c r="F198">
        <v>28.139870918023309</v>
      </c>
      <c r="G198" t="s">
        <v>105</v>
      </c>
      <c r="H198" t="s">
        <v>108</v>
      </c>
    </row>
    <row r="199" spans="1:8" x14ac:dyDescent="0.3">
      <c r="A199" t="s">
        <v>16</v>
      </c>
      <c r="B199" t="s">
        <v>55</v>
      </c>
      <c r="C199" t="s">
        <v>86</v>
      </c>
      <c r="D199">
        <v>0.5071</v>
      </c>
      <c r="E199">
        <v>12.321999999999999</v>
      </c>
      <c r="F199">
        <v>20.7</v>
      </c>
      <c r="G199" t="s">
        <v>106</v>
      </c>
      <c r="H199" t="s">
        <v>109</v>
      </c>
    </row>
    <row r="200" spans="1:8" x14ac:dyDescent="0.3">
      <c r="A200" t="s">
        <v>16</v>
      </c>
      <c r="B200" t="s">
        <v>55</v>
      </c>
      <c r="C200" t="s">
        <v>91</v>
      </c>
      <c r="D200">
        <v>0.43559999999999999</v>
      </c>
      <c r="E200">
        <v>11.154999999999999</v>
      </c>
      <c r="F200">
        <v>20.7</v>
      </c>
      <c r="G200" t="s">
        <v>106</v>
      </c>
      <c r="H200" t="s">
        <v>109</v>
      </c>
    </row>
    <row r="201" spans="1:8" x14ac:dyDescent="0.3">
      <c r="A201" t="s">
        <v>16</v>
      </c>
      <c r="B201" t="s">
        <v>55</v>
      </c>
      <c r="C201" t="s">
        <v>92</v>
      </c>
      <c r="D201">
        <v>0.66549999999999998</v>
      </c>
      <c r="E201">
        <v>12.113</v>
      </c>
      <c r="F201">
        <v>20.7</v>
      </c>
      <c r="G201" t="s">
        <v>106</v>
      </c>
      <c r="H201" t="s">
        <v>109</v>
      </c>
    </row>
    <row r="202" spans="1:8" x14ac:dyDescent="0.3">
      <c r="A202" t="s">
        <v>16</v>
      </c>
      <c r="B202" t="s">
        <v>56</v>
      </c>
      <c r="C202" t="s">
        <v>93</v>
      </c>
      <c r="D202">
        <v>0.6714</v>
      </c>
      <c r="E202">
        <v>4.3084337349397588</v>
      </c>
      <c r="F202">
        <v>29.8</v>
      </c>
      <c r="G202" t="s">
        <v>106</v>
      </c>
      <c r="H202" t="s">
        <v>109</v>
      </c>
    </row>
    <row r="203" spans="1:8" x14ac:dyDescent="0.3">
      <c r="A203" t="s">
        <v>16</v>
      </c>
      <c r="B203" t="s">
        <v>49</v>
      </c>
      <c r="C203" t="s">
        <v>71</v>
      </c>
      <c r="D203">
        <v>9.1707300000000007</v>
      </c>
      <c r="E203">
        <v>5.4095099975683496</v>
      </c>
      <c r="F203">
        <v>3.86607608129234</v>
      </c>
      <c r="G203" t="s">
        <v>104</v>
      </c>
      <c r="H203" t="s">
        <v>108</v>
      </c>
    </row>
    <row r="204" spans="1:8" x14ac:dyDescent="0.3">
      <c r="A204" t="s">
        <v>16</v>
      </c>
      <c r="B204" t="s">
        <v>49</v>
      </c>
      <c r="C204" t="s">
        <v>72</v>
      </c>
      <c r="D204">
        <v>2.4</v>
      </c>
      <c r="E204">
        <v>4.3465833333333341</v>
      </c>
      <c r="F204">
        <v>3.86607608129234</v>
      </c>
      <c r="G204" t="s">
        <v>104</v>
      </c>
      <c r="H204" t="s">
        <v>108</v>
      </c>
    </row>
    <row r="205" spans="1:8" x14ac:dyDescent="0.3">
      <c r="A205" t="s">
        <v>16</v>
      </c>
      <c r="B205" t="s">
        <v>58</v>
      </c>
      <c r="C205" t="s">
        <v>95</v>
      </c>
      <c r="D205">
        <v>1.63984</v>
      </c>
      <c r="E205">
        <v>3.666778527173383</v>
      </c>
      <c r="F205">
        <v>2.9521711768407801</v>
      </c>
      <c r="G205" t="s">
        <v>104</v>
      </c>
      <c r="H205" t="s">
        <v>108</v>
      </c>
    </row>
    <row r="206" spans="1:8" x14ac:dyDescent="0.3">
      <c r="A206" t="s">
        <v>16</v>
      </c>
      <c r="B206" t="s">
        <v>50</v>
      </c>
      <c r="C206" t="s">
        <v>73</v>
      </c>
      <c r="D206">
        <v>12.6</v>
      </c>
      <c r="E206">
        <v>6.6304365079365084</v>
      </c>
      <c r="F206">
        <v>20.723404255319149</v>
      </c>
      <c r="G206" t="s">
        <v>105</v>
      </c>
      <c r="H206" t="s">
        <v>108</v>
      </c>
    </row>
    <row r="207" spans="1:8" x14ac:dyDescent="0.3">
      <c r="A207" t="s">
        <v>16</v>
      </c>
      <c r="B207" t="s">
        <v>50</v>
      </c>
      <c r="C207" t="s">
        <v>74</v>
      </c>
      <c r="D207">
        <v>18.8</v>
      </c>
      <c r="E207">
        <v>7.2486914893617032</v>
      </c>
      <c r="F207">
        <v>2.0635593220338988</v>
      </c>
      <c r="G207" t="s">
        <v>105</v>
      </c>
      <c r="H207" t="s">
        <v>108</v>
      </c>
    </row>
    <row r="208" spans="1:8" x14ac:dyDescent="0.3">
      <c r="A208" t="s">
        <v>16</v>
      </c>
      <c r="B208" t="s">
        <v>51</v>
      </c>
      <c r="C208" t="s">
        <v>75</v>
      </c>
      <c r="D208">
        <v>16.58821</v>
      </c>
      <c r="E208">
        <v>4.5688454260772197E-3</v>
      </c>
      <c r="F208">
        <v>11.74</v>
      </c>
      <c r="G208" t="s">
        <v>104</v>
      </c>
      <c r="H208" t="s">
        <v>108</v>
      </c>
    </row>
    <row r="209" spans="1:8" x14ac:dyDescent="0.3">
      <c r="A209" t="s">
        <v>16</v>
      </c>
      <c r="B209" t="s">
        <v>60</v>
      </c>
      <c r="C209" t="s">
        <v>98</v>
      </c>
      <c r="D209">
        <v>2.90537</v>
      </c>
      <c r="E209">
        <v>18.421052631578949</v>
      </c>
      <c r="F209">
        <v>32.6</v>
      </c>
      <c r="G209" t="s">
        <v>107</v>
      </c>
      <c r="H209" t="s">
        <v>109</v>
      </c>
    </row>
    <row r="210" spans="1:8" x14ac:dyDescent="0.3">
      <c r="A210" t="s">
        <v>16</v>
      </c>
      <c r="B210" t="s">
        <v>52</v>
      </c>
      <c r="C210" t="s">
        <v>76</v>
      </c>
      <c r="D210">
        <v>0.153</v>
      </c>
      <c r="E210">
        <v>8.4824999999999999</v>
      </c>
      <c r="F210">
        <v>12.68872359754714</v>
      </c>
      <c r="G210" t="s">
        <v>105</v>
      </c>
      <c r="H210" t="s">
        <v>108</v>
      </c>
    </row>
    <row r="211" spans="1:8" x14ac:dyDescent="0.3">
      <c r="A211" t="s">
        <v>16</v>
      </c>
      <c r="B211" t="s">
        <v>53</v>
      </c>
      <c r="C211" t="s">
        <v>77</v>
      </c>
      <c r="D211">
        <v>2.0067300000000001</v>
      </c>
      <c r="E211">
        <v>4.3469178165473181</v>
      </c>
      <c r="F211">
        <v>3.86607608129234</v>
      </c>
      <c r="G211" t="s">
        <v>104</v>
      </c>
      <c r="H211" t="s">
        <v>108</v>
      </c>
    </row>
    <row r="212" spans="1:8" x14ac:dyDescent="0.3">
      <c r="A212" t="s">
        <v>16</v>
      </c>
      <c r="B212" t="s">
        <v>61</v>
      </c>
      <c r="C212" t="s">
        <v>99</v>
      </c>
      <c r="D212">
        <v>0.5</v>
      </c>
      <c r="E212">
        <v>2.5194000000000001</v>
      </c>
      <c r="F212">
        <v>2.9245635910224439</v>
      </c>
      <c r="G212" t="s">
        <v>104</v>
      </c>
      <c r="H212" t="s">
        <v>108</v>
      </c>
    </row>
    <row r="213" spans="1:8" x14ac:dyDescent="0.3">
      <c r="A213" t="s">
        <v>16</v>
      </c>
      <c r="B213" t="s">
        <v>54</v>
      </c>
      <c r="C213" t="s">
        <v>78</v>
      </c>
      <c r="D213">
        <v>7.9</v>
      </c>
      <c r="E213">
        <v>8.4116455696202532</v>
      </c>
      <c r="F213">
        <v>3.86607608129234</v>
      </c>
      <c r="G213" t="s">
        <v>104</v>
      </c>
      <c r="H213" t="s">
        <v>108</v>
      </c>
    </row>
    <row r="214" spans="1:8" x14ac:dyDescent="0.3">
      <c r="A214" t="s">
        <v>17</v>
      </c>
      <c r="B214" t="s">
        <v>46</v>
      </c>
      <c r="C214" t="s">
        <v>64</v>
      </c>
      <c r="D214">
        <v>4.64E-3</v>
      </c>
      <c r="E214">
        <v>11.762</v>
      </c>
      <c r="F214">
        <v>2.9521711768407801</v>
      </c>
      <c r="G214" t="s">
        <v>104</v>
      </c>
      <c r="H214" t="s">
        <v>108</v>
      </c>
    </row>
    <row r="215" spans="1:8" x14ac:dyDescent="0.3">
      <c r="A215" t="s">
        <v>17</v>
      </c>
      <c r="B215" t="s">
        <v>46</v>
      </c>
      <c r="C215" t="s">
        <v>79</v>
      </c>
      <c r="D215">
        <v>1.8</v>
      </c>
      <c r="E215">
        <v>3.3740000000000001</v>
      </c>
      <c r="F215">
        <v>6.8428961748633883</v>
      </c>
      <c r="G215" t="s">
        <v>104</v>
      </c>
      <c r="H215" t="s">
        <v>108</v>
      </c>
    </row>
    <row r="216" spans="1:8" x14ac:dyDescent="0.3">
      <c r="A216" t="s">
        <v>17</v>
      </c>
      <c r="B216" t="s">
        <v>46</v>
      </c>
      <c r="C216" t="s">
        <v>80</v>
      </c>
      <c r="D216">
        <v>2.3599999999999999E-2</v>
      </c>
      <c r="E216">
        <v>0.28186109238031021</v>
      </c>
      <c r="F216">
        <v>28.139870918023309</v>
      </c>
      <c r="G216" t="s">
        <v>105</v>
      </c>
      <c r="H216" t="s">
        <v>108</v>
      </c>
    </row>
    <row r="217" spans="1:8" x14ac:dyDescent="0.3">
      <c r="A217" t="s">
        <v>17</v>
      </c>
      <c r="B217" t="s">
        <v>46</v>
      </c>
      <c r="C217" t="s">
        <v>81</v>
      </c>
      <c r="D217">
        <v>0.19320000000000001</v>
      </c>
      <c r="E217">
        <v>2.0681551116333732</v>
      </c>
      <c r="F217">
        <v>8.9647473560517046</v>
      </c>
      <c r="G217" t="s">
        <v>105</v>
      </c>
      <c r="H217" t="s">
        <v>108</v>
      </c>
    </row>
    <row r="218" spans="1:8" x14ac:dyDescent="0.3">
      <c r="A218" t="s">
        <v>17</v>
      </c>
      <c r="B218" t="s">
        <v>46</v>
      </c>
      <c r="C218" t="s">
        <v>82</v>
      </c>
      <c r="D218">
        <v>0.3</v>
      </c>
      <c r="E218">
        <v>2.1389999999999998</v>
      </c>
      <c r="F218">
        <v>6.8428961748633883</v>
      </c>
      <c r="G218" t="s">
        <v>104</v>
      </c>
      <c r="H218" t="s">
        <v>108</v>
      </c>
    </row>
    <row r="219" spans="1:8" x14ac:dyDescent="0.3">
      <c r="A219" t="s">
        <v>17</v>
      </c>
      <c r="B219" t="s">
        <v>55</v>
      </c>
      <c r="C219" t="s">
        <v>86</v>
      </c>
      <c r="D219">
        <v>0.1321</v>
      </c>
      <c r="E219">
        <v>8.9179999999999993</v>
      </c>
      <c r="F219">
        <v>27.4</v>
      </c>
      <c r="G219" t="s">
        <v>106</v>
      </c>
      <c r="H219" t="s">
        <v>109</v>
      </c>
    </row>
    <row r="220" spans="1:8" x14ac:dyDescent="0.3">
      <c r="A220" t="s">
        <v>17</v>
      </c>
      <c r="B220" t="s">
        <v>55</v>
      </c>
      <c r="C220" t="s">
        <v>89</v>
      </c>
      <c r="D220">
        <v>3.8999999999999998E-3</v>
      </c>
      <c r="E220">
        <v>0</v>
      </c>
      <c r="F220">
        <v>27.4</v>
      </c>
      <c r="G220" t="s">
        <v>106</v>
      </c>
      <c r="H220" t="s">
        <v>109</v>
      </c>
    </row>
    <row r="221" spans="1:8" x14ac:dyDescent="0.3">
      <c r="A221" t="s">
        <v>17</v>
      </c>
      <c r="B221" t="s">
        <v>55</v>
      </c>
      <c r="C221" t="s">
        <v>91</v>
      </c>
      <c r="D221">
        <v>9.2200000000000004E-2</v>
      </c>
      <c r="E221">
        <v>10.147</v>
      </c>
      <c r="F221">
        <v>27.4</v>
      </c>
      <c r="G221" t="s">
        <v>106</v>
      </c>
      <c r="H221" t="s">
        <v>109</v>
      </c>
    </row>
    <row r="222" spans="1:8" x14ac:dyDescent="0.3">
      <c r="A222" t="s">
        <v>17</v>
      </c>
      <c r="B222" t="s">
        <v>55</v>
      </c>
      <c r="C222" t="s">
        <v>92</v>
      </c>
      <c r="D222">
        <v>0.13063</v>
      </c>
      <c r="E222">
        <v>10.837999999999999</v>
      </c>
      <c r="F222">
        <v>27.4</v>
      </c>
      <c r="G222" t="s">
        <v>106</v>
      </c>
      <c r="H222" t="s">
        <v>109</v>
      </c>
    </row>
    <row r="223" spans="1:8" x14ac:dyDescent="0.3">
      <c r="A223" t="s">
        <v>17</v>
      </c>
      <c r="B223" t="s">
        <v>47</v>
      </c>
      <c r="C223" t="s">
        <v>101</v>
      </c>
      <c r="D223">
        <v>3.1</v>
      </c>
      <c r="E223">
        <v>2.9849999999999999</v>
      </c>
      <c r="F223">
        <v>43.8</v>
      </c>
      <c r="G223" t="s">
        <v>104</v>
      </c>
      <c r="H223" t="s">
        <v>109</v>
      </c>
    </row>
    <row r="224" spans="1:8" x14ac:dyDescent="0.3">
      <c r="A224" t="s">
        <v>17</v>
      </c>
      <c r="B224" t="s">
        <v>57</v>
      </c>
      <c r="C224" t="s">
        <v>94</v>
      </c>
      <c r="D224">
        <v>2.2999999999999998</v>
      </c>
      <c r="E224">
        <v>7.8860000000000001</v>
      </c>
      <c r="F224">
        <v>19.8</v>
      </c>
      <c r="G224" t="s">
        <v>104</v>
      </c>
      <c r="H224" t="s">
        <v>109</v>
      </c>
    </row>
    <row r="225" spans="1:8" x14ac:dyDescent="0.3">
      <c r="A225" t="s">
        <v>17</v>
      </c>
      <c r="B225" t="s">
        <v>49</v>
      </c>
      <c r="C225" t="s">
        <v>71</v>
      </c>
      <c r="D225">
        <v>22.209779999999999</v>
      </c>
      <c r="E225">
        <v>3.2120000000000002</v>
      </c>
      <c r="F225">
        <v>3.86607608129234</v>
      </c>
      <c r="G225" t="s">
        <v>104</v>
      </c>
      <c r="H225" t="s">
        <v>108</v>
      </c>
    </row>
    <row r="226" spans="1:8" x14ac:dyDescent="0.3">
      <c r="A226" t="s">
        <v>17</v>
      </c>
      <c r="B226" t="s">
        <v>49</v>
      </c>
      <c r="C226" t="s">
        <v>72</v>
      </c>
      <c r="D226">
        <v>2.7</v>
      </c>
      <c r="E226">
        <v>4.3730000000000002</v>
      </c>
      <c r="F226">
        <v>3.86607608129234</v>
      </c>
      <c r="G226" t="s">
        <v>104</v>
      </c>
      <c r="H226" t="s">
        <v>108</v>
      </c>
    </row>
    <row r="227" spans="1:8" x14ac:dyDescent="0.3">
      <c r="A227" t="s">
        <v>17</v>
      </c>
      <c r="B227" t="s">
        <v>58</v>
      </c>
      <c r="C227" t="s">
        <v>95</v>
      </c>
      <c r="D227">
        <v>2.9219599999999999</v>
      </c>
      <c r="E227">
        <v>3.6970000000000001</v>
      </c>
      <c r="F227">
        <v>2.9521711768407801</v>
      </c>
      <c r="G227" t="s">
        <v>104</v>
      </c>
      <c r="H227" t="s">
        <v>108</v>
      </c>
    </row>
    <row r="228" spans="1:8" x14ac:dyDescent="0.3">
      <c r="A228" t="s">
        <v>17</v>
      </c>
      <c r="B228" t="s">
        <v>50</v>
      </c>
      <c r="C228" t="s">
        <v>73</v>
      </c>
      <c r="D228">
        <v>0.7</v>
      </c>
      <c r="E228">
        <v>5.0869999999999997</v>
      </c>
      <c r="F228">
        <v>20.723404255319149</v>
      </c>
      <c r="G228" t="s">
        <v>105</v>
      </c>
      <c r="H228" t="s">
        <v>108</v>
      </c>
    </row>
    <row r="229" spans="1:8" x14ac:dyDescent="0.3">
      <c r="A229" t="s">
        <v>17</v>
      </c>
      <c r="B229" t="s">
        <v>50</v>
      </c>
      <c r="C229" t="s">
        <v>74</v>
      </c>
      <c r="D229">
        <v>5.5</v>
      </c>
      <c r="E229">
        <v>3.625</v>
      </c>
      <c r="F229">
        <v>2.0635593220338988</v>
      </c>
      <c r="G229" t="s">
        <v>105</v>
      </c>
      <c r="H229" t="s">
        <v>108</v>
      </c>
    </row>
    <row r="230" spans="1:8" x14ac:dyDescent="0.3">
      <c r="A230" t="s">
        <v>17</v>
      </c>
      <c r="B230" t="s">
        <v>51</v>
      </c>
      <c r="C230" t="s">
        <v>75</v>
      </c>
      <c r="D230">
        <v>1.8446070000000001</v>
      </c>
      <c r="E230">
        <v>6.3375317272285001E-3</v>
      </c>
      <c r="F230">
        <v>11.74</v>
      </c>
      <c r="G230" t="s">
        <v>104</v>
      </c>
      <c r="H230" t="s">
        <v>108</v>
      </c>
    </row>
    <row r="231" spans="1:8" x14ac:dyDescent="0.3">
      <c r="A231" t="s">
        <v>17</v>
      </c>
      <c r="B231" t="s">
        <v>60</v>
      </c>
      <c r="C231" t="s">
        <v>98</v>
      </c>
      <c r="D231">
        <v>1.53975</v>
      </c>
      <c r="E231">
        <v>18.045112781954892</v>
      </c>
      <c r="F231">
        <v>41.8</v>
      </c>
      <c r="G231" t="s">
        <v>107</v>
      </c>
      <c r="H231" t="s">
        <v>109</v>
      </c>
    </row>
    <row r="232" spans="1:8" x14ac:dyDescent="0.3">
      <c r="A232" t="s">
        <v>17</v>
      </c>
      <c r="B232" t="s">
        <v>53</v>
      </c>
      <c r="C232" t="s">
        <v>77</v>
      </c>
      <c r="D232">
        <v>4.1403400000000001</v>
      </c>
      <c r="E232">
        <v>4.3730000000000002</v>
      </c>
      <c r="F232">
        <v>3.86607608129234</v>
      </c>
      <c r="G232" t="s">
        <v>104</v>
      </c>
      <c r="H232" t="s">
        <v>108</v>
      </c>
    </row>
    <row r="233" spans="1:8" x14ac:dyDescent="0.3">
      <c r="A233" t="s">
        <v>17</v>
      </c>
      <c r="B233" t="s">
        <v>61</v>
      </c>
      <c r="C233" t="s">
        <v>99</v>
      </c>
      <c r="D233">
        <v>1.8</v>
      </c>
      <c r="E233">
        <v>1.958</v>
      </c>
      <c r="F233">
        <v>2.9245635910224439</v>
      </c>
      <c r="G233" t="s">
        <v>104</v>
      </c>
      <c r="H233" t="s">
        <v>108</v>
      </c>
    </row>
    <row r="234" spans="1:8" x14ac:dyDescent="0.3">
      <c r="A234" t="s">
        <v>17</v>
      </c>
      <c r="B234" t="s">
        <v>62</v>
      </c>
      <c r="C234" t="s">
        <v>100</v>
      </c>
      <c r="D234">
        <v>0.8</v>
      </c>
      <c r="E234">
        <v>2</v>
      </c>
      <c r="F234">
        <v>2.6764106050305911</v>
      </c>
      <c r="G234" t="s">
        <v>104</v>
      </c>
      <c r="H234" t="s">
        <v>108</v>
      </c>
    </row>
    <row r="235" spans="1:8" x14ac:dyDescent="0.3">
      <c r="A235" t="s">
        <v>17</v>
      </c>
      <c r="B235" t="s">
        <v>54</v>
      </c>
      <c r="C235" t="s">
        <v>78</v>
      </c>
      <c r="D235">
        <v>34.6</v>
      </c>
      <c r="E235">
        <v>4.3140000000000001</v>
      </c>
      <c r="F235">
        <v>3.86607608129234</v>
      </c>
      <c r="G235" t="s">
        <v>104</v>
      </c>
      <c r="H235" t="s">
        <v>108</v>
      </c>
    </row>
    <row r="236" spans="1:8" x14ac:dyDescent="0.3">
      <c r="A236" t="s">
        <v>18</v>
      </c>
      <c r="B236" t="s">
        <v>46</v>
      </c>
      <c r="C236" t="s">
        <v>63</v>
      </c>
      <c r="D236">
        <v>1.8080000000000001</v>
      </c>
      <c r="E236">
        <v>2.9286474973375931</v>
      </c>
      <c r="F236">
        <v>3.950479233226837</v>
      </c>
      <c r="G236" t="s">
        <v>104</v>
      </c>
      <c r="H236" t="s">
        <v>108</v>
      </c>
    </row>
    <row r="237" spans="1:8" x14ac:dyDescent="0.3">
      <c r="A237" t="s">
        <v>18</v>
      </c>
      <c r="B237" t="s">
        <v>46</v>
      </c>
      <c r="C237" t="s">
        <v>64</v>
      </c>
      <c r="D237">
        <v>0.18532999999999999</v>
      </c>
      <c r="E237">
        <v>9.9205567366319549</v>
      </c>
      <c r="F237">
        <v>2.9521711768407801</v>
      </c>
      <c r="G237" t="s">
        <v>104</v>
      </c>
      <c r="H237" t="s">
        <v>108</v>
      </c>
    </row>
    <row r="238" spans="1:8" x14ac:dyDescent="0.3">
      <c r="A238" t="s">
        <v>18</v>
      </c>
      <c r="B238" t="s">
        <v>46</v>
      </c>
      <c r="C238" t="s">
        <v>79</v>
      </c>
      <c r="D238">
        <v>1.5</v>
      </c>
      <c r="E238">
        <v>4.5376000000000003</v>
      </c>
      <c r="F238">
        <v>6.8428961748633883</v>
      </c>
      <c r="G238" t="s">
        <v>104</v>
      </c>
      <c r="H238" t="s">
        <v>108</v>
      </c>
    </row>
    <row r="239" spans="1:8" x14ac:dyDescent="0.3">
      <c r="A239" t="s">
        <v>18</v>
      </c>
      <c r="B239" t="s">
        <v>46</v>
      </c>
      <c r="C239" t="s">
        <v>65</v>
      </c>
      <c r="D239">
        <v>0.1</v>
      </c>
      <c r="E239">
        <v>6.024</v>
      </c>
      <c r="F239">
        <v>2.9521711768407801</v>
      </c>
      <c r="G239" t="s">
        <v>104</v>
      </c>
      <c r="H239" t="s">
        <v>108</v>
      </c>
    </row>
    <row r="240" spans="1:8" x14ac:dyDescent="0.3">
      <c r="A240" t="s">
        <v>18</v>
      </c>
      <c r="B240" t="s">
        <v>46</v>
      </c>
      <c r="C240" t="s">
        <v>102</v>
      </c>
      <c r="D240">
        <v>0.1</v>
      </c>
      <c r="E240">
        <v>5.1989999999999998</v>
      </c>
      <c r="F240">
        <v>2.9521711768407801</v>
      </c>
      <c r="G240" t="s">
        <v>104</v>
      </c>
      <c r="H240" t="s">
        <v>108</v>
      </c>
    </row>
    <row r="241" spans="1:8" x14ac:dyDescent="0.3">
      <c r="A241" t="s">
        <v>18</v>
      </c>
      <c r="B241" t="s">
        <v>46</v>
      </c>
      <c r="C241" t="s">
        <v>80</v>
      </c>
      <c r="D241">
        <v>0.248</v>
      </c>
      <c r="E241">
        <v>1.2016183412002699</v>
      </c>
      <c r="F241">
        <v>28.139870918023309</v>
      </c>
      <c r="G241" t="s">
        <v>105</v>
      </c>
      <c r="H241" t="s">
        <v>108</v>
      </c>
    </row>
    <row r="242" spans="1:8" x14ac:dyDescent="0.3">
      <c r="A242" t="s">
        <v>18</v>
      </c>
      <c r="B242" t="s">
        <v>46</v>
      </c>
      <c r="C242" t="s">
        <v>81</v>
      </c>
      <c r="D242">
        <v>7.8299999999999995E-2</v>
      </c>
      <c r="E242">
        <v>2.6686251468860172</v>
      </c>
      <c r="F242">
        <v>8.9647473560517046</v>
      </c>
      <c r="G242" t="s">
        <v>105</v>
      </c>
      <c r="H242" t="s">
        <v>108</v>
      </c>
    </row>
    <row r="243" spans="1:8" x14ac:dyDescent="0.3">
      <c r="A243" t="s">
        <v>18</v>
      </c>
      <c r="B243" t="s">
        <v>46</v>
      </c>
      <c r="C243" t="s">
        <v>66</v>
      </c>
      <c r="D243">
        <v>2.1</v>
      </c>
      <c r="E243">
        <v>4.6859999999999999</v>
      </c>
      <c r="F243">
        <v>6.8428961748633883</v>
      </c>
      <c r="G243" t="s">
        <v>104</v>
      </c>
      <c r="H243" t="s">
        <v>108</v>
      </c>
    </row>
    <row r="244" spans="1:8" x14ac:dyDescent="0.3">
      <c r="A244" t="s">
        <v>18</v>
      </c>
      <c r="B244" t="s">
        <v>46</v>
      </c>
      <c r="C244" t="s">
        <v>67</v>
      </c>
      <c r="D244">
        <v>1.9</v>
      </c>
      <c r="E244">
        <v>8.6498947368421071</v>
      </c>
      <c r="F244">
        <v>2.9521711768407801</v>
      </c>
      <c r="G244" t="s">
        <v>104</v>
      </c>
      <c r="H244" t="s">
        <v>108</v>
      </c>
    </row>
    <row r="245" spans="1:8" x14ac:dyDescent="0.3">
      <c r="A245" t="s">
        <v>18</v>
      </c>
      <c r="B245" t="s">
        <v>46</v>
      </c>
      <c r="C245" t="s">
        <v>82</v>
      </c>
      <c r="D245">
        <v>0.3</v>
      </c>
      <c r="E245">
        <v>2.8523333333333332</v>
      </c>
      <c r="F245">
        <v>6.8428961748633883</v>
      </c>
      <c r="G245" t="s">
        <v>104</v>
      </c>
      <c r="H245" t="s">
        <v>108</v>
      </c>
    </row>
    <row r="246" spans="1:8" x14ac:dyDescent="0.3">
      <c r="A246" t="s">
        <v>18</v>
      </c>
      <c r="B246" t="s">
        <v>46</v>
      </c>
      <c r="C246" t="s">
        <v>83</v>
      </c>
      <c r="D246">
        <v>0.45582</v>
      </c>
      <c r="E246">
        <v>4.3419863981396167</v>
      </c>
      <c r="F246">
        <v>6.8428961748633883</v>
      </c>
      <c r="G246" t="s">
        <v>104</v>
      </c>
      <c r="H246" t="s">
        <v>108</v>
      </c>
    </row>
    <row r="247" spans="1:8" x14ac:dyDescent="0.3">
      <c r="A247" t="s">
        <v>18</v>
      </c>
      <c r="B247" t="s">
        <v>46</v>
      </c>
      <c r="C247" t="s">
        <v>84</v>
      </c>
      <c r="D247">
        <v>0.2</v>
      </c>
      <c r="E247">
        <v>2.5590000000000002</v>
      </c>
      <c r="F247">
        <v>28.139870918023309</v>
      </c>
      <c r="G247" t="s">
        <v>105</v>
      </c>
      <c r="H247" t="s">
        <v>108</v>
      </c>
    </row>
    <row r="248" spans="1:8" x14ac:dyDescent="0.3">
      <c r="A248" t="s">
        <v>18</v>
      </c>
      <c r="B248" t="s">
        <v>46</v>
      </c>
      <c r="C248" t="s">
        <v>85</v>
      </c>
      <c r="D248">
        <v>0.1</v>
      </c>
      <c r="E248">
        <v>4.4279999999999999</v>
      </c>
      <c r="F248">
        <v>2.9521711768407801</v>
      </c>
      <c r="G248" t="s">
        <v>104</v>
      </c>
      <c r="H248" t="s">
        <v>108</v>
      </c>
    </row>
    <row r="249" spans="1:8" x14ac:dyDescent="0.3">
      <c r="A249" t="s">
        <v>18</v>
      </c>
      <c r="B249" t="s">
        <v>55</v>
      </c>
      <c r="C249" t="s">
        <v>86</v>
      </c>
      <c r="D249">
        <v>0.92080000000000006</v>
      </c>
      <c r="E249">
        <v>14.109</v>
      </c>
      <c r="G249" t="s">
        <v>106</v>
      </c>
      <c r="H249" t="s">
        <v>109</v>
      </c>
    </row>
    <row r="250" spans="1:8" x14ac:dyDescent="0.3">
      <c r="A250" t="s">
        <v>18</v>
      </c>
      <c r="B250" t="s">
        <v>55</v>
      </c>
      <c r="C250" t="s">
        <v>87</v>
      </c>
      <c r="D250">
        <v>3.4325999999999999</v>
      </c>
      <c r="E250">
        <v>19.335000000000001</v>
      </c>
      <c r="G250" t="s">
        <v>106</v>
      </c>
      <c r="H250" t="s">
        <v>109</v>
      </c>
    </row>
    <row r="251" spans="1:8" x14ac:dyDescent="0.3">
      <c r="A251" t="s">
        <v>18</v>
      </c>
      <c r="B251" t="s">
        <v>55</v>
      </c>
      <c r="C251" t="s">
        <v>88</v>
      </c>
      <c r="D251">
        <v>1.3866000000000001</v>
      </c>
      <c r="E251">
        <v>16.361999999999998</v>
      </c>
      <c r="G251" t="s">
        <v>106</v>
      </c>
      <c r="H251" t="s">
        <v>109</v>
      </c>
    </row>
    <row r="252" spans="1:8" x14ac:dyDescent="0.3">
      <c r="A252" t="s">
        <v>18</v>
      </c>
      <c r="B252" t="s">
        <v>55</v>
      </c>
      <c r="C252" t="s">
        <v>91</v>
      </c>
      <c r="D252">
        <v>1.8E-3</v>
      </c>
      <c r="E252">
        <v>13.2</v>
      </c>
      <c r="G252" t="s">
        <v>106</v>
      </c>
      <c r="H252" t="s">
        <v>109</v>
      </c>
    </row>
    <row r="253" spans="1:8" x14ac:dyDescent="0.3">
      <c r="A253" t="s">
        <v>18</v>
      </c>
      <c r="B253" t="s">
        <v>56</v>
      </c>
      <c r="C253" t="s">
        <v>93</v>
      </c>
      <c r="D253">
        <v>14.722899999999999</v>
      </c>
      <c r="E253">
        <v>2.939759036144578</v>
      </c>
      <c r="G253" t="s">
        <v>106</v>
      </c>
      <c r="H253" t="s">
        <v>109</v>
      </c>
    </row>
    <row r="254" spans="1:8" x14ac:dyDescent="0.3">
      <c r="A254" t="s">
        <v>18</v>
      </c>
      <c r="B254" t="s">
        <v>47</v>
      </c>
      <c r="C254" t="s">
        <v>68</v>
      </c>
      <c r="D254">
        <v>5.8</v>
      </c>
      <c r="E254">
        <v>7.3589137931034481</v>
      </c>
      <c r="G254" t="s">
        <v>104</v>
      </c>
      <c r="H254" t="s">
        <v>109</v>
      </c>
    </row>
    <row r="255" spans="1:8" x14ac:dyDescent="0.3">
      <c r="A255" t="s">
        <v>18</v>
      </c>
      <c r="B255" t="s">
        <v>47</v>
      </c>
      <c r="C255" t="s">
        <v>69</v>
      </c>
      <c r="D255">
        <v>3.1</v>
      </c>
      <c r="E255">
        <v>11.409645161290319</v>
      </c>
      <c r="G255" t="s">
        <v>104</v>
      </c>
      <c r="H255" t="s">
        <v>109</v>
      </c>
    </row>
    <row r="256" spans="1:8" x14ac:dyDescent="0.3">
      <c r="A256" t="s">
        <v>18</v>
      </c>
      <c r="B256" t="s">
        <v>48</v>
      </c>
      <c r="C256" t="s">
        <v>70</v>
      </c>
      <c r="D256">
        <v>2.8</v>
      </c>
      <c r="E256">
        <v>17.05535714285714</v>
      </c>
      <c r="G256" t="s">
        <v>104</v>
      </c>
      <c r="H256" t="s">
        <v>109</v>
      </c>
    </row>
    <row r="257" spans="1:8" x14ac:dyDescent="0.3">
      <c r="A257" t="s">
        <v>18</v>
      </c>
      <c r="B257" t="s">
        <v>49</v>
      </c>
      <c r="C257" t="s">
        <v>71</v>
      </c>
      <c r="D257">
        <v>4.4055</v>
      </c>
      <c r="E257">
        <v>5.8131218022925886</v>
      </c>
      <c r="F257">
        <v>3.86607608129234</v>
      </c>
      <c r="G257" t="s">
        <v>104</v>
      </c>
      <c r="H257" t="s">
        <v>108</v>
      </c>
    </row>
    <row r="258" spans="1:8" x14ac:dyDescent="0.3">
      <c r="A258" t="s">
        <v>18</v>
      </c>
      <c r="B258" t="s">
        <v>49</v>
      </c>
      <c r="C258" t="s">
        <v>72</v>
      </c>
      <c r="D258">
        <v>0.9</v>
      </c>
      <c r="E258">
        <v>4.6617777777777771</v>
      </c>
      <c r="F258">
        <v>3.86607608129234</v>
      </c>
      <c r="G258" t="s">
        <v>104</v>
      </c>
      <c r="H258" t="s">
        <v>108</v>
      </c>
    </row>
    <row r="259" spans="1:8" x14ac:dyDescent="0.3">
      <c r="A259" t="s">
        <v>18</v>
      </c>
      <c r="B259" t="s">
        <v>58</v>
      </c>
      <c r="C259" t="s">
        <v>95</v>
      </c>
      <c r="D259">
        <v>3.48468</v>
      </c>
      <c r="E259">
        <v>3.719997382829987</v>
      </c>
      <c r="F259">
        <v>2.9521711768407801</v>
      </c>
      <c r="G259" t="s">
        <v>104</v>
      </c>
      <c r="H259" t="s">
        <v>108</v>
      </c>
    </row>
    <row r="260" spans="1:8" x14ac:dyDescent="0.3">
      <c r="A260" t="s">
        <v>18</v>
      </c>
      <c r="B260" t="s">
        <v>50</v>
      </c>
      <c r="C260" t="s">
        <v>73</v>
      </c>
      <c r="D260">
        <v>0.4</v>
      </c>
      <c r="E260">
        <v>5.3465000000000007</v>
      </c>
      <c r="F260">
        <v>20.723404255319149</v>
      </c>
      <c r="G260" t="s">
        <v>105</v>
      </c>
      <c r="H260" t="s">
        <v>108</v>
      </c>
    </row>
    <row r="261" spans="1:8" x14ac:dyDescent="0.3">
      <c r="A261" t="s">
        <v>18</v>
      </c>
      <c r="B261" t="s">
        <v>50</v>
      </c>
      <c r="C261" t="s">
        <v>74</v>
      </c>
      <c r="D261">
        <v>2.1</v>
      </c>
      <c r="E261">
        <v>4.1098571428571429</v>
      </c>
      <c r="F261">
        <v>2.0635593220338988</v>
      </c>
      <c r="G261" t="s">
        <v>105</v>
      </c>
      <c r="H261" t="s">
        <v>108</v>
      </c>
    </row>
    <row r="262" spans="1:8" x14ac:dyDescent="0.3">
      <c r="A262" t="s">
        <v>18</v>
      </c>
      <c r="B262" t="s">
        <v>59</v>
      </c>
      <c r="C262" t="s">
        <v>96</v>
      </c>
      <c r="D262">
        <v>0.23580000000000001</v>
      </c>
      <c r="E262">
        <v>17.279</v>
      </c>
      <c r="G262" t="s">
        <v>107</v>
      </c>
      <c r="H262" t="s">
        <v>109</v>
      </c>
    </row>
    <row r="263" spans="1:8" x14ac:dyDescent="0.3">
      <c r="A263" t="s">
        <v>18</v>
      </c>
      <c r="B263" t="s">
        <v>59</v>
      </c>
      <c r="C263" t="s">
        <v>97</v>
      </c>
      <c r="D263">
        <v>0.34429999999999999</v>
      </c>
      <c r="E263">
        <v>19.96744438415627</v>
      </c>
      <c r="G263" t="s">
        <v>107</v>
      </c>
      <c r="H263" t="s">
        <v>109</v>
      </c>
    </row>
    <row r="264" spans="1:8" x14ac:dyDescent="0.3">
      <c r="A264" t="s">
        <v>18</v>
      </c>
      <c r="B264" t="s">
        <v>51</v>
      </c>
      <c r="C264" t="s">
        <v>75</v>
      </c>
      <c r="D264">
        <v>1.9776670000000001</v>
      </c>
      <c r="E264">
        <v>0.106125203555838</v>
      </c>
      <c r="F264">
        <v>11.74</v>
      </c>
      <c r="G264" t="s">
        <v>104</v>
      </c>
      <c r="H264" t="s">
        <v>108</v>
      </c>
    </row>
    <row r="265" spans="1:8" x14ac:dyDescent="0.3">
      <c r="A265" t="s">
        <v>18</v>
      </c>
      <c r="B265" t="s">
        <v>52</v>
      </c>
      <c r="C265" t="s">
        <v>76</v>
      </c>
      <c r="D265">
        <v>0.33600000000000002</v>
      </c>
      <c r="E265">
        <v>0</v>
      </c>
      <c r="F265">
        <v>12.68872359754714</v>
      </c>
      <c r="G265" t="s">
        <v>105</v>
      </c>
      <c r="H265" t="s">
        <v>108</v>
      </c>
    </row>
    <row r="266" spans="1:8" x14ac:dyDescent="0.3">
      <c r="A266" t="s">
        <v>18</v>
      </c>
      <c r="B266" t="s">
        <v>53</v>
      </c>
      <c r="C266" t="s">
        <v>77</v>
      </c>
      <c r="D266">
        <v>2.4478599999999999</v>
      </c>
      <c r="E266">
        <v>4.6586589469986031</v>
      </c>
      <c r="F266">
        <v>3.86607608129234</v>
      </c>
      <c r="G266" t="s">
        <v>104</v>
      </c>
      <c r="H266" t="s">
        <v>108</v>
      </c>
    </row>
    <row r="267" spans="1:8" x14ac:dyDescent="0.3">
      <c r="A267" t="s">
        <v>18</v>
      </c>
      <c r="B267" t="s">
        <v>61</v>
      </c>
      <c r="C267" t="s">
        <v>99</v>
      </c>
      <c r="D267">
        <v>0.8</v>
      </c>
      <c r="E267">
        <v>2.1859999999999999</v>
      </c>
      <c r="F267">
        <v>2.9245635910224439</v>
      </c>
      <c r="G267" t="s">
        <v>104</v>
      </c>
      <c r="H267" t="s">
        <v>108</v>
      </c>
    </row>
    <row r="268" spans="1:8" x14ac:dyDescent="0.3">
      <c r="A268" t="s">
        <v>18</v>
      </c>
      <c r="B268" t="s">
        <v>54</v>
      </c>
      <c r="C268" t="s">
        <v>78</v>
      </c>
      <c r="D268">
        <v>10.6</v>
      </c>
      <c r="E268">
        <v>9.7804716981132085</v>
      </c>
      <c r="F268">
        <v>3.86607608129234</v>
      </c>
      <c r="G268" t="s">
        <v>104</v>
      </c>
      <c r="H268" t="s">
        <v>108</v>
      </c>
    </row>
    <row r="269" spans="1:8" x14ac:dyDescent="0.3">
      <c r="A269" t="s">
        <v>19</v>
      </c>
      <c r="B269" t="s">
        <v>46</v>
      </c>
      <c r="C269" t="s">
        <v>63</v>
      </c>
      <c r="D269">
        <v>4.8374000000000006</v>
      </c>
      <c r="E269">
        <v>2.9286474973375931</v>
      </c>
      <c r="F269">
        <v>3.950479233226837</v>
      </c>
      <c r="G269" t="s">
        <v>104</v>
      </c>
      <c r="H269" t="s">
        <v>108</v>
      </c>
    </row>
    <row r="270" spans="1:8" x14ac:dyDescent="0.3">
      <c r="A270" t="s">
        <v>19</v>
      </c>
      <c r="B270" t="s">
        <v>46</v>
      </c>
      <c r="C270" t="s">
        <v>64</v>
      </c>
      <c r="D270">
        <v>0.31258999999999998</v>
      </c>
      <c r="E270">
        <v>10.2874604433923</v>
      </c>
      <c r="F270">
        <v>2.9521711768407801</v>
      </c>
      <c r="G270" t="s">
        <v>104</v>
      </c>
      <c r="H270" t="s">
        <v>108</v>
      </c>
    </row>
    <row r="271" spans="1:8" x14ac:dyDescent="0.3">
      <c r="A271" t="s">
        <v>19</v>
      </c>
      <c r="B271" t="s">
        <v>46</v>
      </c>
      <c r="C271" t="s">
        <v>79</v>
      </c>
      <c r="D271">
        <v>20.8</v>
      </c>
      <c r="E271">
        <v>3.031278846153846</v>
      </c>
      <c r="F271">
        <v>6.8428961748633883</v>
      </c>
      <c r="G271" t="s">
        <v>104</v>
      </c>
      <c r="H271" t="s">
        <v>108</v>
      </c>
    </row>
    <row r="272" spans="1:8" x14ac:dyDescent="0.3">
      <c r="A272" t="s">
        <v>19</v>
      </c>
      <c r="B272" t="s">
        <v>46</v>
      </c>
      <c r="C272" t="s">
        <v>65</v>
      </c>
      <c r="D272">
        <v>2.2999999999999998</v>
      </c>
      <c r="E272">
        <v>6.7070869565217386</v>
      </c>
      <c r="F272">
        <v>2.9521711768407801</v>
      </c>
      <c r="G272" t="s">
        <v>104</v>
      </c>
      <c r="H272" t="s">
        <v>108</v>
      </c>
    </row>
    <row r="273" spans="1:8" x14ac:dyDescent="0.3">
      <c r="A273" t="s">
        <v>19</v>
      </c>
      <c r="B273" t="s">
        <v>46</v>
      </c>
      <c r="C273" t="s">
        <v>102</v>
      </c>
      <c r="D273">
        <v>1.1000000000000001</v>
      </c>
      <c r="E273">
        <v>5.6550909090909087</v>
      </c>
      <c r="F273">
        <v>2.9521711768407801</v>
      </c>
      <c r="G273" t="s">
        <v>104</v>
      </c>
      <c r="H273" t="s">
        <v>108</v>
      </c>
    </row>
    <row r="274" spans="1:8" x14ac:dyDescent="0.3">
      <c r="A274" t="s">
        <v>19</v>
      </c>
      <c r="B274" t="s">
        <v>46</v>
      </c>
      <c r="C274" t="s">
        <v>80</v>
      </c>
      <c r="D274">
        <v>1.9359999999999999</v>
      </c>
      <c r="E274">
        <v>0.53674983142279165</v>
      </c>
      <c r="F274">
        <v>28.139870918023309</v>
      </c>
      <c r="G274" t="s">
        <v>105</v>
      </c>
      <c r="H274" t="s">
        <v>108</v>
      </c>
    </row>
    <row r="275" spans="1:8" x14ac:dyDescent="0.3">
      <c r="A275" t="s">
        <v>19</v>
      </c>
      <c r="B275" t="s">
        <v>46</v>
      </c>
      <c r="C275" t="s">
        <v>81</v>
      </c>
      <c r="D275">
        <v>0.44219999999999998</v>
      </c>
      <c r="E275">
        <v>1.0987074030552291</v>
      </c>
      <c r="F275">
        <v>8.9647473560517046</v>
      </c>
      <c r="G275" t="s">
        <v>105</v>
      </c>
      <c r="H275" t="s">
        <v>108</v>
      </c>
    </row>
    <row r="276" spans="1:8" x14ac:dyDescent="0.3">
      <c r="A276" t="s">
        <v>19</v>
      </c>
      <c r="B276" t="s">
        <v>46</v>
      </c>
      <c r="C276" t="s">
        <v>66</v>
      </c>
      <c r="D276">
        <v>2.7</v>
      </c>
      <c r="E276">
        <v>3.1258888888888881</v>
      </c>
      <c r="F276">
        <v>6.8428961748633883</v>
      </c>
      <c r="G276" t="s">
        <v>104</v>
      </c>
      <c r="H276" t="s">
        <v>108</v>
      </c>
    </row>
    <row r="277" spans="1:8" x14ac:dyDescent="0.3">
      <c r="A277" t="s">
        <v>19</v>
      </c>
      <c r="B277" t="s">
        <v>46</v>
      </c>
      <c r="C277" t="s">
        <v>67</v>
      </c>
      <c r="D277">
        <v>5.2</v>
      </c>
      <c r="E277">
        <v>10.153884615384611</v>
      </c>
      <c r="F277">
        <v>2.9521711768407801</v>
      </c>
      <c r="G277" t="s">
        <v>104</v>
      </c>
      <c r="H277" t="s">
        <v>108</v>
      </c>
    </row>
    <row r="278" spans="1:8" x14ac:dyDescent="0.3">
      <c r="A278" t="s">
        <v>19</v>
      </c>
      <c r="B278" t="s">
        <v>46</v>
      </c>
      <c r="C278" t="s">
        <v>82</v>
      </c>
      <c r="D278">
        <v>3</v>
      </c>
      <c r="E278">
        <v>1.9635666666666669</v>
      </c>
      <c r="F278">
        <v>6.8428961748633883</v>
      </c>
      <c r="G278" t="s">
        <v>104</v>
      </c>
      <c r="H278" t="s">
        <v>108</v>
      </c>
    </row>
    <row r="279" spans="1:8" x14ac:dyDescent="0.3">
      <c r="A279" t="s">
        <v>19</v>
      </c>
      <c r="B279" t="s">
        <v>46</v>
      </c>
      <c r="C279" t="s">
        <v>83</v>
      </c>
      <c r="D279">
        <v>1.5202199999999999</v>
      </c>
      <c r="E279">
        <v>2.9098338727289468</v>
      </c>
      <c r="F279">
        <v>6.8428961748633883</v>
      </c>
      <c r="G279" t="s">
        <v>104</v>
      </c>
      <c r="H279" t="s">
        <v>108</v>
      </c>
    </row>
    <row r="280" spans="1:8" x14ac:dyDescent="0.3">
      <c r="A280" t="s">
        <v>19</v>
      </c>
      <c r="B280" t="s">
        <v>46</v>
      </c>
      <c r="C280" t="s">
        <v>84</v>
      </c>
      <c r="D280">
        <v>0.7</v>
      </c>
      <c r="E280">
        <v>2.117</v>
      </c>
      <c r="F280">
        <v>28.139870918023309</v>
      </c>
      <c r="G280" t="s">
        <v>105</v>
      </c>
      <c r="H280" t="s">
        <v>108</v>
      </c>
    </row>
    <row r="281" spans="1:8" x14ac:dyDescent="0.3">
      <c r="A281" t="s">
        <v>19</v>
      </c>
      <c r="B281" t="s">
        <v>46</v>
      </c>
      <c r="C281" t="s">
        <v>85</v>
      </c>
      <c r="D281">
        <v>2.8</v>
      </c>
      <c r="E281">
        <v>4.6355357142857141</v>
      </c>
      <c r="F281">
        <v>2.9521711768407801</v>
      </c>
      <c r="G281" t="s">
        <v>104</v>
      </c>
      <c r="H281" t="s">
        <v>108</v>
      </c>
    </row>
    <row r="282" spans="1:8" x14ac:dyDescent="0.3">
      <c r="A282" t="s">
        <v>19</v>
      </c>
      <c r="B282" t="s">
        <v>55</v>
      </c>
      <c r="C282" t="s">
        <v>86</v>
      </c>
      <c r="D282">
        <v>13.4686</v>
      </c>
      <c r="E282">
        <v>12.451000000000001</v>
      </c>
      <c r="F282">
        <v>11.3</v>
      </c>
      <c r="G282" t="s">
        <v>106</v>
      </c>
      <c r="H282" t="s">
        <v>109</v>
      </c>
    </row>
    <row r="283" spans="1:8" x14ac:dyDescent="0.3">
      <c r="A283" t="s">
        <v>19</v>
      </c>
      <c r="B283" t="s">
        <v>55</v>
      </c>
      <c r="C283" t="s">
        <v>87</v>
      </c>
      <c r="D283">
        <v>1.5038</v>
      </c>
      <c r="E283">
        <v>14.749000000000001</v>
      </c>
      <c r="F283">
        <v>11.3</v>
      </c>
      <c r="G283" t="s">
        <v>106</v>
      </c>
      <c r="H283" t="s">
        <v>109</v>
      </c>
    </row>
    <row r="284" spans="1:8" x14ac:dyDescent="0.3">
      <c r="A284" t="s">
        <v>19</v>
      </c>
      <c r="B284" t="s">
        <v>55</v>
      </c>
      <c r="C284" t="s">
        <v>88</v>
      </c>
      <c r="D284">
        <v>3.5546000000000002</v>
      </c>
      <c r="E284">
        <v>14.413999999999991</v>
      </c>
      <c r="F284">
        <v>11.3</v>
      </c>
      <c r="G284" t="s">
        <v>106</v>
      </c>
      <c r="H284" t="s">
        <v>109</v>
      </c>
    </row>
    <row r="285" spans="1:8" x14ac:dyDescent="0.3">
      <c r="A285" t="s">
        <v>19</v>
      </c>
      <c r="B285" t="s">
        <v>55</v>
      </c>
      <c r="C285" t="s">
        <v>89</v>
      </c>
      <c r="D285">
        <v>3.1576</v>
      </c>
      <c r="E285">
        <v>0</v>
      </c>
      <c r="F285">
        <v>11.3</v>
      </c>
      <c r="G285" t="s">
        <v>106</v>
      </c>
      <c r="H285" t="s">
        <v>109</v>
      </c>
    </row>
    <row r="286" spans="1:8" x14ac:dyDescent="0.3">
      <c r="A286" t="s">
        <v>19</v>
      </c>
      <c r="B286" t="s">
        <v>55</v>
      </c>
      <c r="C286" t="s">
        <v>90</v>
      </c>
      <c r="D286">
        <v>0.105</v>
      </c>
      <c r="E286">
        <v>15.036</v>
      </c>
      <c r="F286">
        <v>11.3</v>
      </c>
      <c r="G286" t="s">
        <v>106</v>
      </c>
      <c r="H286" t="s">
        <v>109</v>
      </c>
    </row>
    <row r="287" spans="1:8" x14ac:dyDescent="0.3">
      <c r="A287" t="s">
        <v>19</v>
      </c>
      <c r="B287" t="s">
        <v>55</v>
      </c>
      <c r="C287" t="s">
        <v>91</v>
      </c>
      <c r="D287">
        <v>3.1450999999999998</v>
      </c>
      <c r="E287">
        <v>13.113</v>
      </c>
      <c r="F287">
        <v>11.3</v>
      </c>
      <c r="G287" t="s">
        <v>106</v>
      </c>
      <c r="H287" t="s">
        <v>109</v>
      </c>
    </row>
    <row r="288" spans="1:8" x14ac:dyDescent="0.3">
      <c r="A288" t="s">
        <v>19</v>
      </c>
      <c r="B288" t="s">
        <v>55</v>
      </c>
      <c r="C288" t="s">
        <v>92</v>
      </c>
      <c r="D288">
        <v>0.93060999999999994</v>
      </c>
      <c r="E288">
        <v>14.749000000000001</v>
      </c>
      <c r="F288">
        <v>11.3</v>
      </c>
      <c r="G288" t="s">
        <v>106</v>
      </c>
      <c r="H288" t="s">
        <v>109</v>
      </c>
    </row>
    <row r="289" spans="1:8" x14ac:dyDescent="0.3">
      <c r="A289" t="s">
        <v>19</v>
      </c>
      <c r="B289" t="s">
        <v>56</v>
      </c>
      <c r="C289" t="s">
        <v>93</v>
      </c>
      <c r="D289">
        <v>106.0793</v>
      </c>
      <c r="E289">
        <v>2.939759036144578</v>
      </c>
      <c r="F289">
        <v>23.6</v>
      </c>
      <c r="G289" t="s">
        <v>106</v>
      </c>
      <c r="H289" t="s">
        <v>109</v>
      </c>
    </row>
    <row r="290" spans="1:8" x14ac:dyDescent="0.3">
      <c r="A290" t="s">
        <v>19</v>
      </c>
      <c r="B290" t="s">
        <v>47</v>
      </c>
      <c r="C290" t="s">
        <v>68</v>
      </c>
      <c r="D290">
        <v>90</v>
      </c>
      <c r="E290">
        <v>6.7532800000000002</v>
      </c>
      <c r="F290">
        <v>14.9</v>
      </c>
      <c r="G290" t="s">
        <v>104</v>
      </c>
      <c r="H290" t="s">
        <v>109</v>
      </c>
    </row>
    <row r="291" spans="1:8" x14ac:dyDescent="0.3">
      <c r="A291" t="s">
        <v>19</v>
      </c>
      <c r="B291" t="s">
        <v>47</v>
      </c>
      <c r="C291" t="s">
        <v>69</v>
      </c>
      <c r="D291">
        <v>38.799999999999997</v>
      </c>
      <c r="E291">
        <v>11.30656958762887</v>
      </c>
      <c r="F291">
        <v>14.9</v>
      </c>
      <c r="G291" t="s">
        <v>104</v>
      </c>
      <c r="H291" t="s">
        <v>109</v>
      </c>
    </row>
    <row r="292" spans="1:8" x14ac:dyDescent="0.3">
      <c r="A292" t="s">
        <v>19</v>
      </c>
      <c r="B292" t="s">
        <v>48</v>
      </c>
      <c r="C292" t="s">
        <v>70</v>
      </c>
      <c r="D292">
        <v>34.299999999999997</v>
      </c>
      <c r="E292">
        <v>17.098696793002919</v>
      </c>
      <c r="F292">
        <v>16.8</v>
      </c>
      <c r="G292" t="s">
        <v>104</v>
      </c>
      <c r="H292" t="s">
        <v>109</v>
      </c>
    </row>
    <row r="293" spans="1:8" x14ac:dyDescent="0.3">
      <c r="A293" t="s">
        <v>19</v>
      </c>
      <c r="B293" t="s">
        <v>49</v>
      </c>
      <c r="C293" t="s">
        <v>71</v>
      </c>
      <c r="D293">
        <v>77.388339999999999</v>
      </c>
      <c r="E293">
        <v>6.6687482123275936</v>
      </c>
      <c r="F293">
        <v>3.86607608129234</v>
      </c>
      <c r="G293" t="s">
        <v>104</v>
      </c>
      <c r="H293" t="s">
        <v>108</v>
      </c>
    </row>
    <row r="294" spans="1:8" x14ac:dyDescent="0.3">
      <c r="A294" t="s">
        <v>19</v>
      </c>
      <c r="B294" t="s">
        <v>49</v>
      </c>
      <c r="C294" t="s">
        <v>72</v>
      </c>
      <c r="D294">
        <v>9.3000000000000007</v>
      </c>
      <c r="E294">
        <v>5.3484516129032258</v>
      </c>
      <c r="F294">
        <v>3.86607608129234</v>
      </c>
      <c r="G294" t="s">
        <v>104</v>
      </c>
      <c r="H294" t="s">
        <v>108</v>
      </c>
    </row>
    <row r="295" spans="1:8" x14ac:dyDescent="0.3">
      <c r="A295" t="s">
        <v>19</v>
      </c>
      <c r="B295" t="s">
        <v>58</v>
      </c>
      <c r="C295" t="s">
        <v>95</v>
      </c>
      <c r="D295">
        <v>14.55364</v>
      </c>
      <c r="E295">
        <v>3.4474357397874349</v>
      </c>
      <c r="F295">
        <v>2.9521711768407801</v>
      </c>
      <c r="G295" t="s">
        <v>104</v>
      </c>
      <c r="H295" t="s">
        <v>108</v>
      </c>
    </row>
    <row r="296" spans="1:8" x14ac:dyDescent="0.3">
      <c r="A296" t="s">
        <v>19</v>
      </c>
      <c r="B296" t="s">
        <v>50</v>
      </c>
      <c r="C296" t="s">
        <v>73</v>
      </c>
      <c r="D296">
        <v>20.9</v>
      </c>
      <c r="E296">
        <v>5.4890239234449769</v>
      </c>
      <c r="F296">
        <v>20.723404255319149</v>
      </c>
      <c r="G296" t="s">
        <v>105</v>
      </c>
      <c r="H296" t="s">
        <v>108</v>
      </c>
    </row>
    <row r="297" spans="1:8" x14ac:dyDescent="0.3">
      <c r="A297" t="s">
        <v>19</v>
      </c>
      <c r="B297" t="s">
        <v>50</v>
      </c>
      <c r="C297" t="s">
        <v>74</v>
      </c>
      <c r="D297">
        <v>44</v>
      </c>
      <c r="E297">
        <v>4.2121363636363638</v>
      </c>
      <c r="F297">
        <v>2.0635593220338988</v>
      </c>
      <c r="G297" t="s">
        <v>105</v>
      </c>
      <c r="H297" t="s">
        <v>108</v>
      </c>
    </row>
    <row r="298" spans="1:8" x14ac:dyDescent="0.3">
      <c r="A298" t="s">
        <v>19</v>
      </c>
      <c r="B298" t="s">
        <v>59</v>
      </c>
      <c r="C298" t="s">
        <v>96</v>
      </c>
      <c r="D298">
        <v>1.7427999999999999</v>
      </c>
      <c r="E298">
        <v>17.309999999999999</v>
      </c>
      <c r="F298">
        <v>33.700000000000003</v>
      </c>
      <c r="G298" t="s">
        <v>107</v>
      </c>
      <c r="H298" t="s">
        <v>109</v>
      </c>
    </row>
    <row r="299" spans="1:8" x14ac:dyDescent="0.3">
      <c r="A299" t="s">
        <v>19</v>
      </c>
      <c r="B299" t="s">
        <v>59</v>
      </c>
      <c r="C299" t="s">
        <v>97</v>
      </c>
      <c r="D299">
        <v>7.5465</v>
      </c>
      <c r="E299">
        <v>20.835594139989151</v>
      </c>
      <c r="F299">
        <v>33.700000000000003</v>
      </c>
      <c r="G299" t="s">
        <v>107</v>
      </c>
      <c r="H299" t="s">
        <v>109</v>
      </c>
    </row>
    <row r="300" spans="1:8" x14ac:dyDescent="0.3">
      <c r="A300" t="s">
        <v>19</v>
      </c>
      <c r="B300" t="s">
        <v>51</v>
      </c>
      <c r="C300" t="s">
        <v>75</v>
      </c>
      <c r="D300">
        <v>19.562370000000001</v>
      </c>
      <c r="E300">
        <v>2.6404200617494101E-4</v>
      </c>
      <c r="F300">
        <v>11.74</v>
      </c>
      <c r="G300" t="s">
        <v>104</v>
      </c>
      <c r="H300" t="s">
        <v>108</v>
      </c>
    </row>
    <row r="301" spans="1:8" x14ac:dyDescent="0.3">
      <c r="A301" t="s">
        <v>19</v>
      </c>
      <c r="B301" t="s">
        <v>60</v>
      </c>
      <c r="C301" t="s">
        <v>98</v>
      </c>
      <c r="D301">
        <v>1.5189600000000001</v>
      </c>
      <c r="E301">
        <v>25.563909774436091</v>
      </c>
      <c r="F301">
        <v>19.899999999999999</v>
      </c>
      <c r="G301" t="s">
        <v>107</v>
      </c>
      <c r="H301" t="s">
        <v>109</v>
      </c>
    </row>
    <row r="302" spans="1:8" x14ac:dyDescent="0.3">
      <c r="A302" t="s">
        <v>19</v>
      </c>
      <c r="B302" t="s">
        <v>52</v>
      </c>
      <c r="C302" t="s">
        <v>76</v>
      </c>
      <c r="D302">
        <v>0.752</v>
      </c>
      <c r="E302">
        <v>8.4824999999999999</v>
      </c>
      <c r="F302">
        <v>12.68872359754714</v>
      </c>
      <c r="G302" t="s">
        <v>105</v>
      </c>
      <c r="H302" t="s">
        <v>108</v>
      </c>
    </row>
    <row r="303" spans="1:8" x14ac:dyDescent="0.3">
      <c r="A303" t="s">
        <v>19</v>
      </c>
      <c r="B303" t="s">
        <v>53</v>
      </c>
      <c r="C303" t="s">
        <v>77</v>
      </c>
      <c r="D303">
        <v>7.8501399999999997</v>
      </c>
      <c r="E303">
        <v>5.3484767405422078</v>
      </c>
      <c r="F303">
        <v>3.86607608129234</v>
      </c>
      <c r="G303" t="s">
        <v>104</v>
      </c>
      <c r="H303" t="s">
        <v>108</v>
      </c>
    </row>
    <row r="304" spans="1:8" x14ac:dyDescent="0.3">
      <c r="A304" t="s">
        <v>19</v>
      </c>
      <c r="B304" t="s">
        <v>61</v>
      </c>
      <c r="C304" t="s">
        <v>99</v>
      </c>
      <c r="D304">
        <v>8.4</v>
      </c>
      <c r="E304">
        <v>2.7109404761904758</v>
      </c>
      <c r="F304">
        <v>2.9245635910224439</v>
      </c>
      <c r="G304" t="s">
        <v>104</v>
      </c>
      <c r="H304" t="s">
        <v>108</v>
      </c>
    </row>
    <row r="305" spans="1:8" x14ac:dyDescent="0.3">
      <c r="A305" t="s">
        <v>19</v>
      </c>
      <c r="B305" t="s">
        <v>62</v>
      </c>
      <c r="C305" t="s">
        <v>100</v>
      </c>
      <c r="D305">
        <v>1.7</v>
      </c>
      <c r="E305">
        <v>0.3352941176470588</v>
      </c>
      <c r="F305">
        <v>2.6764106050305911</v>
      </c>
      <c r="G305" t="s">
        <v>104</v>
      </c>
      <c r="H305" t="s">
        <v>108</v>
      </c>
    </row>
    <row r="306" spans="1:8" x14ac:dyDescent="0.3">
      <c r="A306" t="s">
        <v>19</v>
      </c>
      <c r="B306" t="s">
        <v>54</v>
      </c>
      <c r="C306" t="s">
        <v>78</v>
      </c>
      <c r="D306">
        <v>65.400000000000006</v>
      </c>
      <c r="E306">
        <v>11.253111620795099</v>
      </c>
      <c r="F306">
        <v>3.86607608129234</v>
      </c>
      <c r="G306" t="s">
        <v>104</v>
      </c>
      <c r="H306" t="s">
        <v>108</v>
      </c>
    </row>
    <row r="307" spans="1:8" x14ac:dyDescent="0.3">
      <c r="A307" t="s">
        <v>20</v>
      </c>
      <c r="B307" t="s">
        <v>46</v>
      </c>
      <c r="C307" t="s">
        <v>64</v>
      </c>
      <c r="D307">
        <v>3.7299999999999998E-3</v>
      </c>
      <c r="E307">
        <v>10.238249329758711</v>
      </c>
      <c r="F307">
        <v>2.9521711768407801</v>
      </c>
      <c r="G307" t="s">
        <v>104</v>
      </c>
      <c r="H307" t="s">
        <v>108</v>
      </c>
    </row>
    <row r="308" spans="1:8" x14ac:dyDescent="0.3">
      <c r="A308" t="s">
        <v>20</v>
      </c>
      <c r="B308" t="s">
        <v>46</v>
      </c>
      <c r="C308" t="s">
        <v>79</v>
      </c>
      <c r="D308">
        <v>11.4</v>
      </c>
      <c r="E308">
        <v>5.6139210526315786</v>
      </c>
      <c r="F308">
        <v>6.8428961748633883</v>
      </c>
      <c r="G308" t="s">
        <v>104</v>
      </c>
      <c r="H308" t="s">
        <v>108</v>
      </c>
    </row>
    <row r="309" spans="1:8" x14ac:dyDescent="0.3">
      <c r="A309" t="s">
        <v>20</v>
      </c>
      <c r="B309" t="s">
        <v>46</v>
      </c>
      <c r="C309" t="s">
        <v>82</v>
      </c>
      <c r="D309">
        <v>0.2</v>
      </c>
      <c r="E309">
        <v>3.5215000000000001</v>
      </c>
      <c r="F309">
        <v>6.8428961748633883</v>
      </c>
      <c r="G309" t="s">
        <v>104</v>
      </c>
      <c r="H309" t="s">
        <v>108</v>
      </c>
    </row>
    <row r="310" spans="1:8" x14ac:dyDescent="0.3">
      <c r="A310" t="s">
        <v>20</v>
      </c>
      <c r="B310" t="s">
        <v>55</v>
      </c>
      <c r="C310" t="s">
        <v>86</v>
      </c>
      <c r="D310">
        <v>0.27760000000000001</v>
      </c>
      <c r="E310">
        <v>11.166</v>
      </c>
      <c r="F310">
        <v>40.299999999999997</v>
      </c>
      <c r="G310" t="s">
        <v>106</v>
      </c>
      <c r="H310" t="s">
        <v>109</v>
      </c>
    </row>
    <row r="311" spans="1:8" x14ac:dyDescent="0.3">
      <c r="A311" t="s">
        <v>20</v>
      </c>
      <c r="B311" t="s">
        <v>55</v>
      </c>
      <c r="C311" t="s">
        <v>89</v>
      </c>
      <c r="D311">
        <v>0.1338</v>
      </c>
      <c r="E311">
        <v>0</v>
      </c>
      <c r="F311">
        <v>40.299999999999997</v>
      </c>
      <c r="G311" t="s">
        <v>106</v>
      </c>
      <c r="H311" t="s">
        <v>109</v>
      </c>
    </row>
    <row r="312" spans="1:8" x14ac:dyDescent="0.3">
      <c r="A312" t="s">
        <v>20</v>
      </c>
      <c r="B312" t="s">
        <v>55</v>
      </c>
      <c r="C312" t="s">
        <v>91</v>
      </c>
      <c r="D312">
        <v>4.2099999999999999E-2</v>
      </c>
      <c r="E312">
        <v>13.903</v>
      </c>
      <c r="F312">
        <v>40.299999999999997</v>
      </c>
      <c r="G312" t="s">
        <v>106</v>
      </c>
      <c r="H312" t="s">
        <v>109</v>
      </c>
    </row>
    <row r="313" spans="1:8" x14ac:dyDescent="0.3">
      <c r="A313" t="s">
        <v>20</v>
      </c>
      <c r="B313" t="s">
        <v>55</v>
      </c>
      <c r="C313" t="s">
        <v>92</v>
      </c>
      <c r="D313">
        <v>0.25703999999999999</v>
      </c>
      <c r="E313">
        <v>11.269</v>
      </c>
      <c r="F313">
        <v>40.299999999999997</v>
      </c>
      <c r="G313" t="s">
        <v>106</v>
      </c>
      <c r="H313" t="s">
        <v>109</v>
      </c>
    </row>
    <row r="314" spans="1:8" x14ac:dyDescent="0.3">
      <c r="A314" t="s">
        <v>20</v>
      </c>
      <c r="B314" t="s">
        <v>47</v>
      </c>
      <c r="C314" t="s">
        <v>101</v>
      </c>
      <c r="D314">
        <v>5</v>
      </c>
      <c r="E314">
        <v>5.2987599999999997</v>
      </c>
      <c r="F314">
        <v>42</v>
      </c>
      <c r="G314" t="s">
        <v>104</v>
      </c>
      <c r="H314" t="s">
        <v>109</v>
      </c>
    </row>
    <row r="315" spans="1:8" x14ac:dyDescent="0.3">
      <c r="A315" t="s">
        <v>20</v>
      </c>
      <c r="B315" t="s">
        <v>57</v>
      </c>
      <c r="C315" t="s">
        <v>94</v>
      </c>
      <c r="D315">
        <v>2</v>
      </c>
      <c r="E315">
        <v>13.3691</v>
      </c>
      <c r="F315">
        <v>24.6</v>
      </c>
      <c r="G315" t="s">
        <v>104</v>
      </c>
      <c r="H315" t="s">
        <v>109</v>
      </c>
    </row>
    <row r="316" spans="1:8" x14ac:dyDescent="0.3">
      <c r="A316" t="s">
        <v>20</v>
      </c>
      <c r="B316" t="s">
        <v>49</v>
      </c>
      <c r="C316" t="s">
        <v>71</v>
      </c>
      <c r="D316">
        <v>108.37653</v>
      </c>
      <c r="E316">
        <v>7.2729891548474566</v>
      </c>
      <c r="F316">
        <v>3.86607608129234</v>
      </c>
      <c r="G316" t="s">
        <v>104</v>
      </c>
      <c r="H316" t="s">
        <v>108</v>
      </c>
    </row>
    <row r="317" spans="1:8" x14ac:dyDescent="0.3">
      <c r="A317" t="s">
        <v>20</v>
      </c>
      <c r="B317" t="s">
        <v>49</v>
      </c>
      <c r="C317" t="s">
        <v>72</v>
      </c>
      <c r="D317">
        <v>7.2</v>
      </c>
      <c r="E317">
        <v>5.8081805555555546</v>
      </c>
      <c r="F317">
        <v>3.86607608129234</v>
      </c>
      <c r="G317" t="s">
        <v>104</v>
      </c>
      <c r="H317" t="s">
        <v>108</v>
      </c>
    </row>
    <row r="318" spans="1:8" x14ac:dyDescent="0.3">
      <c r="A318" t="s">
        <v>20</v>
      </c>
      <c r="B318" t="s">
        <v>58</v>
      </c>
      <c r="C318" t="s">
        <v>95</v>
      </c>
      <c r="D318">
        <v>4.9195500000000001</v>
      </c>
      <c r="E318">
        <v>3.3780000000000001</v>
      </c>
      <c r="F318">
        <v>2.9521711768407801</v>
      </c>
      <c r="G318" t="s">
        <v>104</v>
      </c>
      <c r="H318" t="s">
        <v>108</v>
      </c>
    </row>
    <row r="319" spans="1:8" x14ac:dyDescent="0.3">
      <c r="A319" t="s">
        <v>20</v>
      </c>
      <c r="B319" t="s">
        <v>50</v>
      </c>
      <c r="C319" t="s">
        <v>73</v>
      </c>
      <c r="D319">
        <v>0.2</v>
      </c>
      <c r="E319">
        <v>5.67</v>
      </c>
      <c r="F319">
        <v>20.723404255319149</v>
      </c>
      <c r="G319" t="s">
        <v>105</v>
      </c>
      <c r="H319" t="s">
        <v>108</v>
      </c>
    </row>
    <row r="320" spans="1:8" x14ac:dyDescent="0.3">
      <c r="A320" t="s">
        <v>20</v>
      </c>
      <c r="B320" t="s">
        <v>50</v>
      </c>
      <c r="C320" t="s">
        <v>74</v>
      </c>
      <c r="D320">
        <v>0.6</v>
      </c>
      <c r="E320">
        <v>6.42</v>
      </c>
      <c r="F320">
        <v>2.0635593220338988</v>
      </c>
      <c r="G320" t="s">
        <v>105</v>
      </c>
      <c r="H320" t="s">
        <v>108</v>
      </c>
    </row>
    <row r="321" spans="1:8" x14ac:dyDescent="0.3">
      <c r="A321" t="s">
        <v>20</v>
      </c>
      <c r="B321" t="s">
        <v>51</v>
      </c>
      <c r="C321" t="s">
        <v>75</v>
      </c>
      <c r="D321">
        <v>8.0220900000000004</v>
      </c>
      <c r="E321">
        <v>6.4445053548415995E-2</v>
      </c>
      <c r="F321">
        <v>11.74</v>
      </c>
      <c r="G321" t="s">
        <v>104</v>
      </c>
      <c r="H321" t="s">
        <v>108</v>
      </c>
    </row>
    <row r="322" spans="1:8" x14ac:dyDescent="0.3">
      <c r="A322" t="s">
        <v>20</v>
      </c>
      <c r="B322" t="s">
        <v>60</v>
      </c>
      <c r="C322" t="s">
        <v>98</v>
      </c>
      <c r="D322">
        <v>1.0769500000000001</v>
      </c>
      <c r="E322">
        <v>19.01181525241676</v>
      </c>
      <c r="F322">
        <v>98.1</v>
      </c>
      <c r="G322" t="s">
        <v>107</v>
      </c>
      <c r="H322" t="s">
        <v>109</v>
      </c>
    </row>
    <row r="323" spans="1:8" x14ac:dyDescent="0.3">
      <c r="A323" t="s">
        <v>20</v>
      </c>
      <c r="B323" t="s">
        <v>52</v>
      </c>
      <c r="C323" t="s">
        <v>76</v>
      </c>
      <c r="D323">
        <v>2.1139999999999999</v>
      </c>
      <c r="E323">
        <v>8.4824999999999999</v>
      </c>
      <c r="F323">
        <v>12.68872359754714</v>
      </c>
      <c r="G323" t="s">
        <v>105</v>
      </c>
      <c r="H323" t="s">
        <v>108</v>
      </c>
    </row>
    <row r="324" spans="1:8" x14ac:dyDescent="0.3">
      <c r="A324" t="s">
        <v>20</v>
      </c>
      <c r="B324" t="s">
        <v>53</v>
      </c>
      <c r="C324" t="s">
        <v>77</v>
      </c>
      <c r="D324">
        <v>10.66056</v>
      </c>
      <c r="E324">
        <v>5.8083336850972183</v>
      </c>
      <c r="F324">
        <v>3.86607608129234</v>
      </c>
      <c r="G324" t="s">
        <v>104</v>
      </c>
      <c r="H324" t="s">
        <v>108</v>
      </c>
    </row>
    <row r="325" spans="1:8" x14ac:dyDescent="0.3">
      <c r="A325" t="s">
        <v>20</v>
      </c>
      <c r="B325" t="s">
        <v>61</v>
      </c>
      <c r="C325" t="s">
        <v>99</v>
      </c>
      <c r="D325">
        <v>22</v>
      </c>
      <c r="E325">
        <v>2.0229227272727268</v>
      </c>
      <c r="F325">
        <v>2.9245635910224439</v>
      </c>
      <c r="G325" t="s">
        <v>104</v>
      </c>
      <c r="H325" t="s">
        <v>108</v>
      </c>
    </row>
    <row r="326" spans="1:8" x14ac:dyDescent="0.3">
      <c r="A326" t="s">
        <v>20</v>
      </c>
      <c r="B326" t="s">
        <v>62</v>
      </c>
      <c r="C326" t="s">
        <v>100</v>
      </c>
      <c r="D326">
        <v>9.1999999999999993</v>
      </c>
      <c r="E326">
        <v>0.71521739130434792</v>
      </c>
      <c r="F326">
        <v>2.6764106050305911</v>
      </c>
      <c r="G326" t="s">
        <v>104</v>
      </c>
      <c r="H326" t="s">
        <v>108</v>
      </c>
    </row>
    <row r="327" spans="1:8" x14ac:dyDescent="0.3">
      <c r="A327" t="s">
        <v>20</v>
      </c>
      <c r="B327" t="s">
        <v>54</v>
      </c>
      <c r="C327" t="s">
        <v>78</v>
      </c>
      <c r="D327">
        <v>160.4</v>
      </c>
      <c r="E327">
        <v>12.23336658354115</v>
      </c>
      <c r="F327">
        <v>3.86607608129234</v>
      </c>
      <c r="G327" t="s">
        <v>104</v>
      </c>
      <c r="H327" t="s">
        <v>108</v>
      </c>
    </row>
    <row r="328" spans="1:8" x14ac:dyDescent="0.3">
      <c r="A328" t="s">
        <v>21</v>
      </c>
      <c r="B328" t="s">
        <v>46</v>
      </c>
      <c r="C328" t="s">
        <v>63</v>
      </c>
      <c r="D328">
        <v>7.4300000000000005E-2</v>
      </c>
      <c r="E328">
        <v>2.9286474973375931</v>
      </c>
      <c r="F328">
        <v>3.950479233226837</v>
      </c>
      <c r="G328" t="s">
        <v>104</v>
      </c>
      <c r="H328" t="s">
        <v>108</v>
      </c>
    </row>
    <row r="329" spans="1:8" x14ac:dyDescent="0.3">
      <c r="A329" t="s">
        <v>21</v>
      </c>
      <c r="B329" t="s">
        <v>46</v>
      </c>
      <c r="C329" t="s">
        <v>64</v>
      </c>
      <c r="D329">
        <v>0.13944999999999999</v>
      </c>
      <c r="E329">
        <v>9.4325014700609557</v>
      </c>
      <c r="F329">
        <v>2.9521711768407801</v>
      </c>
      <c r="G329" t="s">
        <v>104</v>
      </c>
      <c r="H329" t="s">
        <v>108</v>
      </c>
    </row>
    <row r="330" spans="1:8" x14ac:dyDescent="0.3">
      <c r="A330" t="s">
        <v>21</v>
      </c>
      <c r="B330" t="s">
        <v>46</v>
      </c>
      <c r="C330" t="s">
        <v>79</v>
      </c>
      <c r="D330">
        <v>99.8</v>
      </c>
      <c r="E330">
        <v>3.268683366733466</v>
      </c>
      <c r="F330">
        <v>6.8428961748633883</v>
      </c>
      <c r="G330" t="s">
        <v>104</v>
      </c>
      <c r="H330" t="s">
        <v>108</v>
      </c>
    </row>
    <row r="331" spans="1:8" x14ac:dyDescent="0.3">
      <c r="A331" t="s">
        <v>21</v>
      </c>
      <c r="B331" t="s">
        <v>46</v>
      </c>
      <c r="C331" t="s">
        <v>65</v>
      </c>
      <c r="D331">
        <v>0.3</v>
      </c>
      <c r="E331">
        <v>7.3706666666666667</v>
      </c>
      <c r="F331">
        <v>2.9521711768407801</v>
      </c>
      <c r="G331" t="s">
        <v>104</v>
      </c>
      <c r="H331" t="s">
        <v>108</v>
      </c>
    </row>
    <row r="332" spans="1:8" x14ac:dyDescent="0.3">
      <c r="A332" t="s">
        <v>21</v>
      </c>
      <c r="B332" t="s">
        <v>46</v>
      </c>
      <c r="C332" t="s">
        <v>80</v>
      </c>
      <c r="D332">
        <v>2.1061000000000001</v>
      </c>
      <c r="E332">
        <v>0.72016183412002699</v>
      </c>
      <c r="F332">
        <v>28.139870918023309</v>
      </c>
      <c r="G332" t="s">
        <v>105</v>
      </c>
      <c r="H332" t="s">
        <v>108</v>
      </c>
    </row>
    <row r="333" spans="1:8" x14ac:dyDescent="0.3">
      <c r="A333" t="s">
        <v>21</v>
      </c>
      <c r="B333" t="s">
        <v>46</v>
      </c>
      <c r="C333" t="s">
        <v>81</v>
      </c>
      <c r="D333">
        <v>6.0550000000000006</v>
      </c>
      <c r="E333">
        <v>0.98883666274970616</v>
      </c>
      <c r="F333">
        <v>8.9647473560517046</v>
      </c>
      <c r="G333" t="s">
        <v>105</v>
      </c>
      <c r="H333" t="s">
        <v>108</v>
      </c>
    </row>
    <row r="334" spans="1:8" x14ac:dyDescent="0.3">
      <c r="A334" t="s">
        <v>21</v>
      </c>
      <c r="B334" t="s">
        <v>46</v>
      </c>
      <c r="C334" t="s">
        <v>66</v>
      </c>
      <c r="D334">
        <v>15.7</v>
      </c>
      <c r="E334">
        <v>3.3716178343949039</v>
      </c>
      <c r="F334">
        <v>6.8428961748633883</v>
      </c>
      <c r="G334" t="s">
        <v>104</v>
      </c>
      <c r="H334" t="s">
        <v>108</v>
      </c>
    </row>
    <row r="335" spans="1:8" x14ac:dyDescent="0.3">
      <c r="A335" t="s">
        <v>21</v>
      </c>
      <c r="B335" t="s">
        <v>46</v>
      </c>
      <c r="C335" t="s">
        <v>82</v>
      </c>
      <c r="D335">
        <v>13.7</v>
      </c>
      <c r="E335">
        <v>2.1165328467153279</v>
      </c>
      <c r="F335">
        <v>6.8428961748633883</v>
      </c>
      <c r="G335" t="s">
        <v>104</v>
      </c>
      <c r="H335" t="s">
        <v>108</v>
      </c>
    </row>
    <row r="336" spans="1:8" x14ac:dyDescent="0.3">
      <c r="A336" t="s">
        <v>21</v>
      </c>
      <c r="B336" t="s">
        <v>46</v>
      </c>
      <c r="C336" t="s">
        <v>83</v>
      </c>
      <c r="D336">
        <v>0.27134999999999998</v>
      </c>
      <c r="E336">
        <v>3.1480888888888892</v>
      </c>
      <c r="F336">
        <v>6.8428961748633883</v>
      </c>
      <c r="G336" t="s">
        <v>104</v>
      </c>
      <c r="H336" t="s">
        <v>108</v>
      </c>
    </row>
    <row r="337" spans="1:8" x14ac:dyDescent="0.3">
      <c r="A337" t="s">
        <v>21</v>
      </c>
      <c r="B337" t="s">
        <v>46</v>
      </c>
      <c r="C337" t="s">
        <v>84</v>
      </c>
      <c r="D337">
        <v>1.4</v>
      </c>
      <c r="E337">
        <v>2.3029999999999999</v>
      </c>
      <c r="F337">
        <v>28.139870918023309</v>
      </c>
      <c r="G337" t="s">
        <v>105</v>
      </c>
      <c r="H337" t="s">
        <v>108</v>
      </c>
    </row>
    <row r="338" spans="1:8" x14ac:dyDescent="0.3">
      <c r="A338" t="s">
        <v>21</v>
      </c>
      <c r="B338" t="s">
        <v>46</v>
      </c>
      <c r="C338" t="s">
        <v>85</v>
      </c>
      <c r="D338">
        <v>2.5</v>
      </c>
      <c r="E338">
        <v>4.9442399999999997</v>
      </c>
      <c r="F338">
        <v>2.9521711768407801</v>
      </c>
      <c r="G338" t="s">
        <v>104</v>
      </c>
      <c r="H338" t="s">
        <v>108</v>
      </c>
    </row>
    <row r="339" spans="1:8" x14ac:dyDescent="0.3">
      <c r="A339" t="s">
        <v>21</v>
      </c>
      <c r="B339" t="s">
        <v>55</v>
      </c>
      <c r="C339" t="s">
        <v>86</v>
      </c>
      <c r="D339">
        <v>3.2273000000000001</v>
      </c>
      <c r="E339">
        <v>11.15</v>
      </c>
      <c r="F339">
        <v>19.100000000000001</v>
      </c>
      <c r="G339" t="s">
        <v>106</v>
      </c>
      <c r="H339" t="s">
        <v>109</v>
      </c>
    </row>
    <row r="340" spans="1:8" x14ac:dyDescent="0.3">
      <c r="A340" t="s">
        <v>21</v>
      </c>
      <c r="B340" t="s">
        <v>55</v>
      </c>
      <c r="C340" t="s">
        <v>87</v>
      </c>
      <c r="D340">
        <v>11.291600000000001</v>
      </c>
      <c r="E340">
        <v>12.73199999999999</v>
      </c>
      <c r="F340">
        <v>19.100000000000001</v>
      </c>
      <c r="G340" t="s">
        <v>106</v>
      </c>
      <c r="H340" t="s">
        <v>109</v>
      </c>
    </row>
    <row r="341" spans="1:8" x14ac:dyDescent="0.3">
      <c r="A341" t="s">
        <v>21</v>
      </c>
      <c r="B341" t="s">
        <v>55</v>
      </c>
      <c r="C341" t="s">
        <v>88</v>
      </c>
      <c r="D341">
        <v>8.475200000000001</v>
      </c>
      <c r="E341">
        <v>12.164999999999999</v>
      </c>
      <c r="F341">
        <v>19.100000000000001</v>
      </c>
      <c r="G341" t="s">
        <v>106</v>
      </c>
      <c r="H341" t="s">
        <v>109</v>
      </c>
    </row>
    <row r="342" spans="1:8" x14ac:dyDescent="0.3">
      <c r="A342" t="s">
        <v>21</v>
      </c>
      <c r="B342" t="s">
        <v>55</v>
      </c>
      <c r="C342" t="s">
        <v>90</v>
      </c>
      <c r="D342">
        <v>3.4799999999999998E-2</v>
      </c>
      <c r="E342">
        <v>10.86000000000001</v>
      </c>
      <c r="F342">
        <v>19.100000000000001</v>
      </c>
      <c r="G342" t="s">
        <v>106</v>
      </c>
      <c r="H342" t="s">
        <v>109</v>
      </c>
    </row>
    <row r="343" spans="1:8" x14ac:dyDescent="0.3">
      <c r="A343" t="s">
        <v>21</v>
      </c>
      <c r="B343" t="s">
        <v>55</v>
      </c>
      <c r="C343" t="s">
        <v>91</v>
      </c>
      <c r="D343">
        <v>9.1000000000000004E-3</v>
      </c>
      <c r="E343">
        <v>12.561999999999999</v>
      </c>
      <c r="F343">
        <v>19.100000000000001</v>
      </c>
      <c r="G343" t="s">
        <v>106</v>
      </c>
      <c r="H343" t="s">
        <v>109</v>
      </c>
    </row>
    <row r="344" spans="1:8" x14ac:dyDescent="0.3">
      <c r="A344" t="s">
        <v>21</v>
      </c>
      <c r="B344" t="s">
        <v>55</v>
      </c>
      <c r="C344" t="s">
        <v>92</v>
      </c>
      <c r="D344">
        <v>4.0243200000000003</v>
      </c>
      <c r="E344">
        <v>12.73199999999999</v>
      </c>
      <c r="F344">
        <v>19.100000000000001</v>
      </c>
      <c r="G344" t="s">
        <v>106</v>
      </c>
      <c r="H344" t="s">
        <v>109</v>
      </c>
    </row>
    <row r="345" spans="1:8" x14ac:dyDescent="0.3">
      <c r="A345" t="s">
        <v>21</v>
      </c>
      <c r="B345" t="s">
        <v>56</v>
      </c>
      <c r="C345" t="s">
        <v>93</v>
      </c>
      <c r="D345">
        <v>228.25909999999999</v>
      </c>
      <c r="E345">
        <v>2.939759036144578</v>
      </c>
      <c r="F345">
        <v>25.9</v>
      </c>
      <c r="G345" t="s">
        <v>106</v>
      </c>
      <c r="H345" t="s">
        <v>109</v>
      </c>
    </row>
    <row r="346" spans="1:8" x14ac:dyDescent="0.3">
      <c r="A346" t="s">
        <v>21</v>
      </c>
      <c r="B346" t="s">
        <v>47</v>
      </c>
      <c r="C346" t="s">
        <v>68</v>
      </c>
      <c r="D346">
        <v>56.7</v>
      </c>
      <c r="E346">
        <v>5.9633139329805998</v>
      </c>
      <c r="F346">
        <v>18.5</v>
      </c>
      <c r="G346" t="s">
        <v>104</v>
      </c>
      <c r="H346" t="s">
        <v>109</v>
      </c>
    </row>
    <row r="347" spans="1:8" x14ac:dyDescent="0.3">
      <c r="A347" t="s">
        <v>21</v>
      </c>
      <c r="B347" t="s">
        <v>47</v>
      </c>
      <c r="C347" t="s">
        <v>69</v>
      </c>
      <c r="D347">
        <v>54.8</v>
      </c>
      <c r="E347">
        <v>5.5955565693430662</v>
      </c>
      <c r="F347">
        <v>18.5</v>
      </c>
      <c r="G347" t="s">
        <v>104</v>
      </c>
      <c r="H347" t="s">
        <v>109</v>
      </c>
    </row>
    <row r="348" spans="1:8" x14ac:dyDescent="0.3">
      <c r="A348" t="s">
        <v>21</v>
      </c>
      <c r="B348" t="s">
        <v>57</v>
      </c>
      <c r="C348" t="s">
        <v>94</v>
      </c>
      <c r="D348">
        <v>45.7</v>
      </c>
      <c r="E348">
        <v>9.9455995623632383</v>
      </c>
      <c r="F348">
        <v>15</v>
      </c>
      <c r="G348" t="s">
        <v>104</v>
      </c>
      <c r="H348" t="s">
        <v>109</v>
      </c>
    </row>
    <row r="349" spans="1:8" x14ac:dyDescent="0.3">
      <c r="A349" t="s">
        <v>21</v>
      </c>
      <c r="B349" t="s">
        <v>48</v>
      </c>
      <c r="C349" t="s">
        <v>70</v>
      </c>
      <c r="D349">
        <v>4.2</v>
      </c>
      <c r="E349">
        <v>11.874238095238089</v>
      </c>
      <c r="F349">
        <v>15</v>
      </c>
      <c r="G349" t="s">
        <v>104</v>
      </c>
      <c r="H349" t="s">
        <v>109</v>
      </c>
    </row>
    <row r="350" spans="1:8" x14ac:dyDescent="0.3">
      <c r="A350" t="s">
        <v>21</v>
      </c>
      <c r="B350" t="s">
        <v>49</v>
      </c>
      <c r="C350" t="s">
        <v>71</v>
      </c>
      <c r="D350">
        <v>84.983919999999998</v>
      </c>
      <c r="E350">
        <v>5.9790412032064424</v>
      </c>
      <c r="F350">
        <v>3.86607608129234</v>
      </c>
      <c r="G350" t="s">
        <v>104</v>
      </c>
      <c r="H350" t="s">
        <v>108</v>
      </c>
    </row>
    <row r="351" spans="1:8" x14ac:dyDescent="0.3">
      <c r="A351" t="s">
        <v>21</v>
      </c>
      <c r="B351" t="s">
        <v>49</v>
      </c>
      <c r="C351" t="s">
        <v>72</v>
      </c>
      <c r="D351">
        <v>31.3</v>
      </c>
      <c r="E351">
        <v>4.7869680511182109</v>
      </c>
      <c r="F351">
        <v>3.86607608129234</v>
      </c>
      <c r="G351" t="s">
        <v>104</v>
      </c>
      <c r="H351" t="s">
        <v>108</v>
      </c>
    </row>
    <row r="352" spans="1:8" x14ac:dyDescent="0.3">
      <c r="A352" t="s">
        <v>21</v>
      </c>
      <c r="B352" t="s">
        <v>58</v>
      </c>
      <c r="C352" t="s">
        <v>95</v>
      </c>
      <c r="D352">
        <v>29.107299999999999</v>
      </c>
      <c r="E352">
        <v>3.1565494071933848</v>
      </c>
      <c r="F352">
        <v>2.9521711768407801</v>
      </c>
      <c r="G352" t="s">
        <v>104</v>
      </c>
      <c r="H352" t="s">
        <v>108</v>
      </c>
    </row>
    <row r="353" spans="1:8" x14ac:dyDescent="0.3">
      <c r="A353" t="s">
        <v>21</v>
      </c>
      <c r="B353" t="s">
        <v>50</v>
      </c>
      <c r="C353" t="s">
        <v>73</v>
      </c>
      <c r="D353">
        <v>8.8000000000000007</v>
      </c>
      <c r="E353">
        <v>5.5661136363636352</v>
      </c>
      <c r="F353">
        <v>20.723404255319149</v>
      </c>
      <c r="G353" t="s">
        <v>105</v>
      </c>
      <c r="H353" t="s">
        <v>108</v>
      </c>
    </row>
    <row r="354" spans="1:8" x14ac:dyDescent="0.3">
      <c r="A354" t="s">
        <v>21</v>
      </c>
      <c r="B354" t="s">
        <v>50</v>
      </c>
      <c r="C354" t="s">
        <v>74</v>
      </c>
      <c r="D354">
        <v>47.6</v>
      </c>
      <c r="E354">
        <v>6.3681218487394951</v>
      </c>
      <c r="F354">
        <v>2.0635593220338988</v>
      </c>
      <c r="G354" t="s">
        <v>105</v>
      </c>
      <c r="H354" t="s">
        <v>108</v>
      </c>
    </row>
    <row r="355" spans="1:8" x14ac:dyDescent="0.3">
      <c r="A355" t="s">
        <v>21</v>
      </c>
      <c r="B355" t="s">
        <v>59</v>
      </c>
      <c r="C355" t="s">
        <v>96</v>
      </c>
      <c r="D355">
        <v>12.4503</v>
      </c>
      <c r="E355">
        <v>17.413</v>
      </c>
      <c r="F355">
        <v>20</v>
      </c>
      <c r="G355" t="s">
        <v>107</v>
      </c>
      <c r="H355" t="s">
        <v>109</v>
      </c>
    </row>
    <row r="356" spans="1:8" x14ac:dyDescent="0.3">
      <c r="A356" t="s">
        <v>21</v>
      </c>
      <c r="B356" t="s">
        <v>59</v>
      </c>
      <c r="C356" t="s">
        <v>97</v>
      </c>
      <c r="D356">
        <v>19.6188</v>
      </c>
      <c r="E356">
        <v>18.393922951709168</v>
      </c>
      <c r="F356">
        <v>20</v>
      </c>
      <c r="G356" t="s">
        <v>107</v>
      </c>
      <c r="H356" t="s">
        <v>109</v>
      </c>
    </row>
    <row r="357" spans="1:8" x14ac:dyDescent="0.3">
      <c r="A357" t="s">
        <v>21</v>
      </c>
      <c r="B357" t="s">
        <v>51</v>
      </c>
      <c r="C357" t="s">
        <v>75</v>
      </c>
      <c r="D357">
        <v>58.366529999999997</v>
      </c>
      <c r="E357">
        <v>9.7486631906593998E-2</v>
      </c>
      <c r="F357">
        <v>11.74</v>
      </c>
      <c r="G357" t="s">
        <v>104</v>
      </c>
      <c r="H357" t="s">
        <v>108</v>
      </c>
    </row>
    <row r="358" spans="1:8" x14ac:dyDescent="0.3">
      <c r="A358" t="s">
        <v>21</v>
      </c>
      <c r="B358" t="s">
        <v>60</v>
      </c>
      <c r="C358" t="s">
        <v>98</v>
      </c>
      <c r="D358">
        <v>79.589129999999997</v>
      </c>
      <c r="E358">
        <v>17.3469387755102</v>
      </c>
      <c r="F358">
        <v>26.3</v>
      </c>
      <c r="G358" t="s">
        <v>107</v>
      </c>
      <c r="H358" t="s">
        <v>109</v>
      </c>
    </row>
    <row r="359" spans="1:8" x14ac:dyDescent="0.3">
      <c r="A359" t="s">
        <v>21</v>
      </c>
      <c r="B359" t="s">
        <v>52</v>
      </c>
      <c r="C359" t="s">
        <v>76</v>
      </c>
      <c r="D359">
        <v>4.0000000000000001E-3</v>
      </c>
      <c r="E359">
        <v>8.4824999999999999</v>
      </c>
      <c r="F359">
        <v>12.68872359754714</v>
      </c>
      <c r="G359" t="s">
        <v>105</v>
      </c>
      <c r="H359" t="s">
        <v>108</v>
      </c>
    </row>
    <row r="360" spans="1:8" x14ac:dyDescent="0.3">
      <c r="A360" t="s">
        <v>21</v>
      </c>
      <c r="B360" t="s">
        <v>53</v>
      </c>
      <c r="C360" t="s">
        <v>77</v>
      </c>
      <c r="D360">
        <v>76.843220000000002</v>
      </c>
      <c r="E360">
        <v>4.7871030129919081</v>
      </c>
      <c r="F360">
        <v>3.86607608129234</v>
      </c>
      <c r="G360" t="s">
        <v>104</v>
      </c>
      <c r="H360" t="s">
        <v>108</v>
      </c>
    </row>
    <row r="361" spans="1:8" x14ac:dyDescent="0.3">
      <c r="A361" t="s">
        <v>21</v>
      </c>
      <c r="B361" t="s">
        <v>61</v>
      </c>
      <c r="C361" t="s">
        <v>99</v>
      </c>
      <c r="D361">
        <v>15.2</v>
      </c>
      <c r="E361">
        <v>2.3803552631578939</v>
      </c>
      <c r="F361">
        <v>2.9245635910224439</v>
      </c>
      <c r="G361" t="s">
        <v>104</v>
      </c>
      <c r="H361" t="s">
        <v>108</v>
      </c>
    </row>
    <row r="362" spans="1:8" x14ac:dyDescent="0.3">
      <c r="A362" t="s">
        <v>21</v>
      </c>
      <c r="B362" t="s">
        <v>62</v>
      </c>
      <c r="C362" t="s">
        <v>100</v>
      </c>
      <c r="D362">
        <v>4.5</v>
      </c>
      <c r="E362">
        <v>0.17333333333333331</v>
      </c>
      <c r="F362">
        <v>2.6764106050305911</v>
      </c>
      <c r="G362" t="s">
        <v>104</v>
      </c>
      <c r="H362" t="s">
        <v>108</v>
      </c>
    </row>
    <row r="363" spans="1:8" x14ac:dyDescent="0.3">
      <c r="A363" t="s">
        <v>21</v>
      </c>
      <c r="B363" t="s">
        <v>54</v>
      </c>
      <c r="C363" t="s">
        <v>78</v>
      </c>
      <c r="D363">
        <v>209.1</v>
      </c>
      <c r="E363">
        <v>10.018890004782399</v>
      </c>
      <c r="F363">
        <v>3.86607608129234</v>
      </c>
      <c r="G363" t="s">
        <v>104</v>
      </c>
      <c r="H363" t="s">
        <v>108</v>
      </c>
    </row>
    <row r="364" spans="1:8" x14ac:dyDescent="0.3">
      <c r="A364" t="s">
        <v>22</v>
      </c>
      <c r="B364" t="s">
        <v>46</v>
      </c>
      <c r="C364" t="s">
        <v>103</v>
      </c>
      <c r="D364">
        <v>5.367</v>
      </c>
      <c r="E364">
        <v>0</v>
      </c>
    </row>
    <row r="365" spans="1:8" x14ac:dyDescent="0.3">
      <c r="A365" t="s">
        <v>22</v>
      </c>
      <c r="B365" t="s">
        <v>46</v>
      </c>
      <c r="C365" t="s">
        <v>63</v>
      </c>
      <c r="D365">
        <v>3.8100000000000002E-2</v>
      </c>
      <c r="E365">
        <v>2.9286474973375931</v>
      </c>
      <c r="F365">
        <v>3.950479233226837</v>
      </c>
      <c r="G365" t="s">
        <v>104</v>
      </c>
      <c r="H365" t="s">
        <v>108</v>
      </c>
    </row>
    <row r="366" spans="1:8" x14ac:dyDescent="0.3">
      <c r="A366" t="s">
        <v>22</v>
      </c>
      <c r="B366" t="s">
        <v>46</v>
      </c>
      <c r="C366" t="s">
        <v>80</v>
      </c>
      <c r="D366">
        <v>0.4143</v>
      </c>
      <c r="E366">
        <v>0.91773432231962238</v>
      </c>
      <c r="F366">
        <v>28.139870918023309</v>
      </c>
      <c r="G366" t="s">
        <v>105</v>
      </c>
      <c r="H366" t="s">
        <v>108</v>
      </c>
    </row>
    <row r="367" spans="1:8" x14ac:dyDescent="0.3">
      <c r="A367" t="s">
        <v>22</v>
      </c>
      <c r="B367" t="s">
        <v>46</v>
      </c>
      <c r="C367" t="s">
        <v>81</v>
      </c>
      <c r="D367">
        <v>0.33789999999999998</v>
      </c>
      <c r="E367">
        <v>3.6856639247943601</v>
      </c>
      <c r="F367">
        <v>8.9647473560517046</v>
      </c>
      <c r="G367" t="s">
        <v>105</v>
      </c>
      <c r="H367" t="s">
        <v>108</v>
      </c>
    </row>
    <row r="368" spans="1:8" x14ac:dyDescent="0.3">
      <c r="A368" t="s">
        <v>22</v>
      </c>
      <c r="B368" t="s">
        <v>55</v>
      </c>
      <c r="C368" t="s">
        <v>87</v>
      </c>
      <c r="D368">
        <v>25.9925</v>
      </c>
      <c r="E368">
        <v>12.648999999999999</v>
      </c>
      <c r="F368">
        <v>11.5</v>
      </c>
      <c r="G368" t="s">
        <v>106</v>
      </c>
      <c r="H368" t="s">
        <v>109</v>
      </c>
    </row>
    <row r="369" spans="1:8" x14ac:dyDescent="0.3">
      <c r="A369" t="s">
        <v>22</v>
      </c>
      <c r="B369" t="s">
        <v>55</v>
      </c>
      <c r="C369" t="s">
        <v>88</v>
      </c>
      <c r="D369">
        <v>0.47310000000000002</v>
      </c>
      <c r="E369">
        <v>8.6709999999999994</v>
      </c>
      <c r="F369">
        <v>11.5</v>
      </c>
      <c r="G369" t="s">
        <v>106</v>
      </c>
      <c r="H369" t="s">
        <v>109</v>
      </c>
    </row>
    <row r="370" spans="1:8" x14ac:dyDescent="0.3">
      <c r="A370" t="s">
        <v>22</v>
      </c>
      <c r="B370" t="s">
        <v>55</v>
      </c>
      <c r="C370" t="s">
        <v>89</v>
      </c>
      <c r="D370">
        <v>8.0000000000000004E-4</v>
      </c>
      <c r="E370">
        <v>0</v>
      </c>
      <c r="F370">
        <v>11.5</v>
      </c>
      <c r="G370" t="s">
        <v>106</v>
      </c>
      <c r="H370" t="s">
        <v>109</v>
      </c>
    </row>
    <row r="371" spans="1:8" x14ac:dyDescent="0.3">
      <c r="A371" t="s">
        <v>22</v>
      </c>
      <c r="B371" t="s">
        <v>55</v>
      </c>
      <c r="C371" t="s">
        <v>92</v>
      </c>
      <c r="D371">
        <v>4.9500000000000002E-2</v>
      </c>
      <c r="E371">
        <v>12.648999999999999</v>
      </c>
      <c r="F371">
        <v>11.5</v>
      </c>
      <c r="G371" t="s">
        <v>106</v>
      </c>
      <c r="H371" t="s">
        <v>109</v>
      </c>
    </row>
    <row r="372" spans="1:8" x14ac:dyDescent="0.3">
      <c r="A372" t="s">
        <v>22</v>
      </c>
      <c r="B372" t="s">
        <v>49</v>
      </c>
      <c r="C372" t="s">
        <v>71</v>
      </c>
      <c r="D372">
        <v>11.071580000000001</v>
      </c>
      <c r="E372">
        <v>3.2080000000000002</v>
      </c>
      <c r="F372">
        <v>3.86607608129234</v>
      </c>
      <c r="G372" t="s">
        <v>104</v>
      </c>
      <c r="H372" t="s">
        <v>108</v>
      </c>
    </row>
    <row r="373" spans="1:8" x14ac:dyDescent="0.3">
      <c r="A373" t="s">
        <v>22</v>
      </c>
      <c r="B373" t="s">
        <v>49</v>
      </c>
      <c r="C373" t="s">
        <v>72</v>
      </c>
      <c r="D373">
        <v>2</v>
      </c>
      <c r="E373">
        <v>2.1844999999999999</v>
      </c>
      <c r="F373">
        <v>3.86607608129234</v>
      </c>
      <c r="G373" t="s">
        <v>104</v>
      </c>
      <c r="H373" t="s">
        <v>108</v>
      </c>
    </row>
    <row r="374" spans="1:8" x14ac:dyDescent="0.3">
      <c r="A374" t="s">
        <v>22</v>
      </c>
      <c r="B374" t="s">
        <v>58</v>
      </c>
      <c r="C374" t="s">
        <v>103</v>
      </c>
      <c r="D374">
        <v>1.0837810000000001</v>
      </c>
      <c r="E374">
        <v>0</v>
      </c>
    </row>
    <row r="375" spans="1:8" x14ac:dyDescent="0.3">
      <c r="A375" t="s">
        <v>22</v>
      </c>
      <c r="B375" t="s">
        <v>50</v>
      </c>
      <c r="C375" t="s">
        <v>103</v>
      </c>
      <c r="D375">
        <v>2.1116990000000002</v>
      </c>
      <c r="E375">
        <v>0</v>
      </c>
    </row>
    <row r="376" spans="1:8" x14ac:dyDescent="0.3">
      <c r="A376" t="s">
        <v>22</v>
      </c>
      <c r="B376" t="s">
        <v>51</v>
      </c>
      <c r="C376" t="s">
        <v>75</v>
      </c>
      <c r="D376">
        <v>5.1743999999999998E-2</v>
      </c>
      <c r="E376">
        <v>4.0460041093785301E-2</v>
      </c>
      <c r="F376">
        <v>11.74</v>
      </c>
      <c r="G376" t="s">
        <v>104</v>
      </c>
      <c r="H376" t="s">
        <v>108</v>
      </c>
    </row>
    <row r="377" spans="1:8" x14ac:dyDescent="0.3">
      <c r="A377" t="s">
        <v>22</v>
      </c>
      <c r="B377" t="s">
        <v>52</v>
      </c>
      <c r="C377" t="s">
        <v>76</v>
      </c>
      <c r="D377">
        <v>2.1000000000000001E-2</v>
      </c>
      <c r="E377">
        <v>8.4824999999999999</v>
      </c>
      <c r="F377">
        <v>12.68872359754714</v>
      </c>
      <c r="G377" t="s">
        <v>105</v>
      </c>
      <c r="H377" t="s">
        <v>108</v>
      </c>
    </row>
    <row r="378" spans="1:8" x14ac:dyDescent="0.3">
      <c r="A378" t="s">
        <v>22</v>
      </c>
      <c r="B378" t="s">
        <v>53</v>
      </c>
      <c r="C378" t="s">
        <v>77</v>
      </c>
      <c r="D378">
        <v>3.58649</v>
      </c>
      <c r="E378">
        <v>2.1844817021656269</v>
      </c>
      <c r="F378">
        <v>3.86607608129234</v>
      </c>
      <c r="G378" t="s">
        <v>104</v>
      </c>
      <c r="H378" t="s">
        <v>108</v>
      </c>
    </row>
    <row r="379" spans="1:8" x14ac:dyDescent="0.3">
      <c r="A379" t="s">
        <v>22</v>
      </c>
      <c r="B379" t="s">
        <v>61</v>
      </c>
      <c r="C379" t="s">
        <v>103</v>
      </c>
      <c r="D379">
        <v>0.29282200000000003</v>
      </c>
      <c r="E379">
        <v>0</v>
      </c>
    </row>
    <row r="380" spans="1:8" x14ac:dyDescent="0.3">
      <c r="A380" t="s">
        <v>22</v>
      </c>
      <c r="B380" t="s">
        <v>62</v>
      </c>
      <c r="C380" t="s">
        <v>103</v>
      </c>
      <c r="D380">
        <v>9.1351999999999989E-2</v>
      </c>
      <c r="E380">
        <v>0</v>
      </c>
    </row>
    <row r="381" spans="1:8" x14ac:dyDescent="0.3">
      <c r="A381" t="s">
        <v>22</v>
      </c>
      <c r="B381" t="s">
        <v>54</v>
      </c>
      <c r="C381" t="s">
        <v>78</v>
      </c>
      <c r="D381">
        <v>19.8</v>
      </c>
      <c r="E381">
        <v>4.0129999999999999</v>
      </c>
      <c r="F381">
        <v>3.86607608129234</v>
      </c>
      <c r="G381" t="s">
        <v>104</v>
      </c>
      <c r="H381" t="s">
        <v>108</v>
      </c>
    </row>
    <row r="382" spans="1:8" x14ac:dyDescent="0.3">
      <c r="A382" t="s">
        <v>23</v>
      </c>
      <c r="B382" t="s">
        <v>46</v>
      </c>
      <c r="C382" t="s">
        <v>64</v>
      </c>
      <c r="D382">
        <v>0.17266999999999999</v>
      </c>
      <c r="E382">
        <v>4.9883640470261197</v>
      </c>
      <c r="F382">
        <v>2.9521711768407801</v>
      </c>
      <c r="G382" t="s">
        <v>104</v>
      </c>
      <c r="H382" t="s">
        <v>108</v>
      </c>
    </row>
    <row r="383" spans="1:8" x14ac:dyDescent="0.3">
      <c r="A383" t="s">
        <v>23</v>
      </c>
      <c r="B383" t="s">
        <v>46</v>
      </c>
      <c r="C383" t="s">
        <v>79</v>
      </c>
      <c r="D383">
        <v>16.8</v>
      </c>
      <c r="E383">
        <v>4.3470000000000004</v>
      </c>
      <c r="F383">
        <v>6.8428961748633883</v>
      </c>
      <c r="G383" t="s">
        <v>104</v>
      </c>
      <c r="H383" t="s">
        <v>108</v>
      </c>
    </row>
    <row r="384" spans="1:8" x14ac:dyDescent="0.3">
      <c r="A384" t="s">
        <v>23</v>
      </c>
      <c r="B384" t="s">
        <v>46</v>
      </c>
      <c r="C384" t="s">
        <v>80</v>
      </c>
      <c r="D384">
        <v>0.53890000000000005</v>
      </c>
      <c r="E384">
        <v>0.26432906271072149</v>
      </c>
      <c r="F384">
        <v>28.139870918023309</v>
      </c>
      <c r="G384" t="s">
        <v>105</v>
      </c>
      <c r="H384" t="s">
        <v>108</v>
      </c>
    </row>
    <row r="385" spans="1:8" x14ac:dyDescent="0.3">
      <c r="A385" t="s">
        <v>23</v>
      </c>
      <c r="B385" t="s">
        <v>46</v>
      </c>
      <c r="C385" t="s">
        <v>81</v>
      </c>
      <c r="D385">
        <v>0.2883</v>
      </c>
      <c r="E385">
        <v>1.533490011750881</v>
      </c>
      <c r="F385">
        <v>8.9647473560517046</v>
      </c>
      <c r="G385" t="s">
        <v>105</v>
      </c>
      <c r="H385" t="s">
        <v>108</v>
      </c>
    </row>
    <row r="386" spans="1:8" x14ac:dyDescent="0.3">
      <c r="A386" t="s">
        <v>23</v>
      </c>
      <c r="B386" t="s">
        <v>46</v>
      </c>
      <c r="C386" t="s">
        <v>66</v>
      </c>
      <c r="D386">
        <v>9.8000000000000007</v>
      </c>
      <c r="E386">
        <v>4.4895714285714279</v>
      </c>
      <c r="F386">
        <v>6.8428961748633883</v>
      </c>
      <c r="G386" t="s">
        <v>104</v>
      </c>
      <c r="H386" t="s">
        <v>108</v>
      </c>
    </row>
    <row r="387" spans="1:8" x14ac:dyDescent="0.3">
      <c r="A387" t="s">
        <v>23</v>
      </c>
      <c r="B387" t="s">
        <v>46</v>
      </c>
      <c r="C387" t="s">
        <v>82</v>
      </c>
      <c r="D387">
        <v>4.4000000000000004</v>
      </c>
      <c r="E387">
        <v>2.7160909090909091</v>
      </c>
      <c r="F387">
        <v>6.8428961748633883</v>
      </c>
      <c r="G387" t="s">
        <v>104</v>
      </c>
      <c r="H387" t="s">
        <v>108</v>
      </c>
    </row>
    <row r="388" spans="1:8" x14ac:dyDescent="0.3">
      <c r="A388" t="s">
        <v>23</v>
      </c>
      <c r="B388" t="s">
        <v>46</v>
      </c>
      <c r="C388" t="s">
        <v>83</v>
      </c>
      <c r="D388">
        <v>2.0820000000000002E-2</v>
      </c>
      <c r="E388">
        <v>0</v>
      </c>
      <c r="F388">
        <v>6.8428961748633883</v>
      </c>
      <c r="G388" t="s">
        <v>104</v>
      </c>
      <c r="H388" t="s">
        <v>108</v>
      </c>
    </row>
    <row r="389" spans="1:8" x14ac:dyDescent="0.3">
      <c r="A389" t="s">
        <v>23</v>
      </c>
      <c r="B389" t="s">
        <v>46</v>
      </c>
      <c r="C389" t="s">
        <v>85</v>
      </c>
      <c r="D389">
        <v>0.1</v>
      </c>
      <c r="E389">
        <v>3.7719999999999998</v>
      </c>
      <c r="F389">
        <v>2.9521711768407801</v>
      </c>
      <c r="G389" t="s">
        <v>104</v>
      </c>
      <c r="H389" t="s">
        <v>108</v>
      </c>
    </row>
    <row r="390" spans="1:8" x14ac:dyDescent="0.3">
      <c r="A390" t="s">
        <v>23</v>
      </c>
      <c r="B390" t="s">
        <v>55</v>
      </c>
      <c r="C390" t="s">
        <v>86</v>
      </c>
      <c r="D390">
        <v>0.83260000000000001</v>
      </c>
      <c r="E390">
        <v>10.669</v>
      </c>
      <c r="F390">
        <v>22.1</v>
      </c>
      <c r="G390" t="s">
        <v>106</v>
      </c>
      <c r="H390" t="s">
        <v>109</v>
      </c>
    </row>
    <row r="391" spans="1:8" x14ac:dyDescent="0.3">
      <c r="A391" t="s">
        <v>23</v>
      </c>
      <c r="B391" t="s">
        <v>55</v>
      </c>
      <c r="C391" t="s">
        <v>87</v>
      </c>
      <c r="D391">
        <v>0.443</v>
      </c>
      <c r="E391">
        <v>11.878</v>
      </c>
      <c r="F391">
        <v>22.1</v>
      </c>
      <c r="G391" t="s">
        <v>106</v>
      </c>
      <c r="H391" t="s">
        <v>109</v>
      </c>
    </row>
    <row r="392" spans="1:8" x14ac:dyDescent="0.3">
      <c r="A392" t="s">
        <v>23</v>
      </c>
      <c r="B392" t="s">
        <v>55</v>
      </c>
      <c r="C392" t="s">
        <v>88</v>
      </c>
      <c r="D392">
        <v>12.5617</v>
      </c>
      <c r="E392">
        <v>10.557</v>
      </c>
      <c r="F392">
        <v>22.1</v>
      </c>
      <c r="G392" t="s">
        <v>106</v>
      </c>
      <c r="H392" t="s">
        <v>109</v>
      </c>
    </row>
    <row r="393" spans="1:8" x14ac:dyDescent="0.3">
      <c r="A393" t="s">
        <v>23</v>
      </c>
      <c r="B393" t="s">
        <v>55</v>
      </c>
      <c r="C393" t="s">
        <v>90</v>
      </c>
      <c r="D393">
        <v>0.2727</v>
      </c>
      <c r="E393">
        <v>11.625999999999999</v>
      </c>
      <c r="F393">
        <v>22.1</v>
      </c>
      <c r="G393" t="s">
        <v>106</v>
      </c>
      <c r="H393" t="s">
        <v>109</v>
      </c>
    </row>
    <row r="394" spans="1:8" x14ac:dyDescent="0.3">
      <c r="A394" t="s">
        <v>23</v>
      </c>
      <c r="B394" t="s">
        <v>55</v>
      </c>
      <c r="C394" t="s">
        <v>92</v>
      </c>
      <c r="D394">
        <v>0.99047000000000007</v>
      </c>
      <c r="E394">
        <v>11.878</v>
      </c>
      <c r="F394">
        <v>22.1</v>
      </c>
      <c r="G394" t="s">
        <v>106</v>
      </c>
      <c r="H394" t="s">
        <v>109</v>
      </c>
    </row>
    <row r="395" spans="1:8" x14ac:dyDescent="0.3">
      <c r="A395" t="s">
        <v>23</v>
      </c>
      <c r="B395" t="s">
        <v>56</v>
      </c>
      <c r="C395" t="s">
        <v>93</v>
      </c>
      <c r="D395">
        <v>4.2585999999999986</v>
      </c>
      <c r="E395">
        <v>2.9493975903614462</v>
      </c>
      <c r="F395">
        <v>26.1</v>
      </c>
      <c r="G395" t="s">
        <v>106</v>
      </c>
      <c r="H395" t="s">
        <v>109</v>
      </c>
    </row>
    <row r="396" spans="1:8" x14ac:dyDescent="0.3">
      <c r="A396" t="s">
        <v>23</v>
      </c>
      <c r="B396" t="s">
        <v>47</v>
      </c>
      <c r="C396" t="s">
        <v>68</v>
      </c>
      <c r="D396">
        <v>27.5</v>
      </c>
      <c r="E396">
        <v>3.1211818181818178</v>
      </c>
      <c r="F396">
        <v>41.3</v>
      </c>
      <c r="G396" t="s">
        <v>104</v>
      </c>
      <c r="H396" t="s">
        <v>109</v>
      </c>
    </row>
    <row r="397" spans="1:8" x14ac:dyDescent="0.3">
      <c r="A397" t="s">
        <v>23</v>
      </c>
      <c r="B397" t="s">
        <v>47</v>
      </c>
      <c r="C397" t="s">
        <v>69</v>
      </c>
      <c r="D397">
        <v>23.8</v>
      </c>
      <c r="E397">
        <v>2.8909117647058822</v>
      </c>
      <c r="F397">
        <v>41.3</v>
      </c>
      <c r="G397" t="s">
        <v>104</v>
      </c>
      <c r="H397" t="s">
        <v>109</v>
      </c>
    </row>
    <row r="398" spans="1:8" x14ac:dyDescent="0.3">
      <c r="A398" t="s">
        <v>23</v>
      </c>
      <c r="B398" t="s">
        <v>57</v>
      </c>
      <c r="C398" t="s">
        <v>94</v>
      </c>
      <c r="D398">
        <v>17.399999999999999</v>
      </c>
      <c r="E398">
        <v>7.3531379310344827</v>
      </c>
      <c r="F398">
        <v>46.8</v>
      </c>
      <c r="G398" t="s">
        <v>104</v>
      </c>
      <c r="H398" t="s">
        <v>109</v>
      </c>
    </row>
    <row r="399" spans="1:8" x14ac:dyDescent="0.3">
      <c r="A399" t="s">
        <v>23</v>
      </c>
      <c r="B399" t="s">
        <v>49</v>
      </c>
      <c r="C399" t="s">
        <v>71</v>
      </c>
      <c r="D399">
        <v>27.097570000000001</v>
      </c>
      <c r="E399">
        <v>2.6872751958939491</v>
      </c>
      <c r="F399">
        <v>3.86607608129234</v>
      </c>
      <c r="G399" t="s">
        <v>104</v>
      </c>
      <c r="H399" t="s">
        <v>108</v>
      </c>
    </row>
    <row r="400" spans="1:8" x14ac:dyDescent="0.3">
      <c r="A400" t="s">
        <v>23</v>
      </c>
      <c r="B400" t="s">
        <v>49</v>
      </c>
      <c r="C400" t="s">
        <v>72</v>
      </c>
      <c r="D400">
        <v>6.4</v>
      </c>
      <c r="E400">
        <v>3.6432656250000002</v>
      </c>
      <c r="F400">
        <v>3.86607608129234</v>
      </c>
      <c r="G400" t="s">
        <v>104</v>
      </c>
      <c r="H400" t="s">
        <v>108</v>
      </c>
    </row>
    <row r="401" spans="1:8" x14ac:dyDescent="0.3">
      <c r="A401" t="s">
        <v>23</v>
      </c>
      <c r="B401" t="s">
        <v>58</v>
      </c>
      <c r="C401" t="s">
        <v>95</v>
      </c>
      <c r="D401">
        <v>3.2797100000000001</v>
      </c>
      <c r="E401">
        <v>3.3759999999999999</v>
      </c>
      <c r="F401">
        <v>2.9521711768407801</v>
      </c>
      <c r="G401" t="s">
        <v>104</v>
      </c>
      <c r="H401" t="s">
        <v>108</v>
      </c>
    </row>
    <row r="402" spans="1:8" x14ac:dyDescent="0.3">
      <c r="A402" t="s">
        <v>23</v>
      </c>
      <c r="B402" t="s">
        <v>50</v>
      </c>
      <c r="C402" t="s">
        <v>73</v>
      </c>
      <c r="D402">
        <v>1.7</v>
      </c>
      <c r="E402">
        <v>5.1371176470588233</v>
      </c>
      <c r="F402">
        <v>20.723404255319149</v>
      </c>
      <c r="G402" t="s">
        <v>105</v>
      </c>
      <c r="H402" t="s">
        <v>108</v>
      </c>
    </row>
    <row r="403" spans="1:8" x14ac:dyDescent="0.3">
      <c r="A403" t="s">
        <v>23</v>
      </c>
      <c r="B403" t="s">
        <v>50</v>
      </c>
      <c r="C403" t="s">
        <v>74</v>
      </c>
      <c r="D403">
        <v>52.4</v>
      </c>
      <c r="E403">
        <v>3.5088129770992369</v>
      </c>
      <c r="F403">
        <v>2.0635593220338988</v>
      </c>
      <c r="G403" t="s">
        <v>105</v>
      </c>
      <c r="H403" t="s">
        <v>108</v>
      </c>
    </row>
    <row r="404" spans="1:8" x14ac:dyDescent="0.3">
      <c r="A404" t="s">
        <v>23</v>
      </c>
      <c r="B404" t="s">
        <v>59</v>
      </c>
      <c r="C404" t="s">
        <v>96</v>
      </c>
      <c r="D404">
        <v>1.2579</v>
      </c>
      <c r="E404">
        <v>18.27</v>
      </c>
      <c r="F404">
        <v>28.2</v>
      </c>
      <c r="G404" t="s">
        <v>107</v>
      </c>
      <c r="H404" t="s">
        <v>109</v>
      </c>
    </row>
    <row r="405" spans="1:8" x14ac:dyDescent="0.3">
      <c r="A405" t="s">
        <v>23</v>
      </c>
      <c r="B405" t="s">
        <v>59</v>
      </c>
      <c r="C405" t="s">
        <v>97</v>
      </c>
      <c r="D405">
        <v>6.2286999999999999</v>
      </c>
      <c r="E405">
        <v>18.55670103092784</v>
      </c>
      <c r="F405">
        <v>28.2</v>
      </c>
      <c r="G405" t="s">
        <v>107</v>
      </c>
      <c r="H405" t="s">
        <v>109</v>
      </c>
    </row>
    <row r="406" spans="1:8" x14ac:dyDescent="0.3">
      <c r="A406" t="s">
        <v>23</v>
      </c>
      <c r="B406" t="s">
        <v>51</v>
      </c>
      <c r="C406" t="s">
        <v>75</v>
      </c>
      <c r="D406">
        <v>6.1182889999999999</v>
      </c>
      <c r="E406">
        <v>4.7402723866509996E-3</v>
      </c>
      <c r="F406">
        <v>11.74</v>
      </c>
      <c r="G406" t="s">
        <v>104</v>
      </c>
      <c r="H406" t="s">
        <v>108</v>
      </c>
    </row>
    <row r="407" spans="1:8" x14ac:dyDescent="0.3">
      <c r="A407" t="s">
        <v>23</v>
      </c>
      <c r="B407" t="s">
        <v>60</v>
      </c>
      <c r="C407" t="s">
        <v>98</v>
      </c>
      <c r="D407">
        <v>2.5007100000000002</v>
      </c>
      <c r="E407">
        <v>18.582169709989259</v>
      </c>
      <c r="F407">
        <v>47.4</v>
      </c>
      <c r="G407" t="s">
        <v>107</v>
      </c>
      <c r="H407" t="s">
        <v>109</v>
      </c>
    </row>
    <row r="408" spans="1:8" x14ac:dyDescent="0.3">
      <c r="A408" t="s">
        <v>23</v>
      </c>
      <c r="B408" t="s">
        <v>52</v>
      </c>
      <c r="C408" t="s">
        <v>76</v>
      </c>
      <c r="D408">
        <v>0.16500000000000001</v>
      </c>
      <c r="E408">
        <v>8.4824999999999999</v>
      </c>
      <c r="F408">
        <v>12.68872359754714</v>
      </c>
      <c r="G408" t="s">
        <v>105</v>
      </c>
      <c r="H408" t="s">
        <v>108</v>
      </c>
    </row>
    <row r="409" spans="1:8" x14ac:dyDescent="0.3">
      <c r="A409" t="s">
        <v>23</v>
      </c>
      <c r="B409" t="s">
        <v>53</v>
      </c>
      <c r="C409" t="s">
        <v>77</v>
      </c>
      <c r="D409">
        <v>7.2910500000000003</v>
      </c>
      <c r="E409">
        <v>3.6433930503836902</v>
      </c>
      <c r="F409">
        <v>3.86607608129234</v>
      </c>
      <c r="G409" t="s">
        <v>104</v>
      </c>
      <c r="H409" t="s">
        <v>108</v>
      </c>
    </row>
    <row r="410" spans="1:8" x14ac:dyDescent="0.3">
      <c r="A410" t="s">
        <v>23</v>
      </c>
      <c r="B410" t="s">
        <v>61</v>
      </c>
      <c r="C410" t="s">
        <v>99</v>
      </c>
      <c r="D410">
        <v>1</v>
      </c>
      <c r="E410">
        <v>2.4792999999999998</v>
      </c>
      <c r="F410">
        <v>2.9245635910224439</v>
      </c>
      <c r="G410" t="s">
        <v>104</v>
      </c>
      <c r="H410" t="s">
        <v>108</v>
      </c>
    </row>
    <row r="411" spans="1:8" x14ac:dyDescent="0.3">
      <c r="A411" t="s">
        <v>23</v>
      </c>
      <c r="B411" t="s">
        <v>54</v>
      </c>
      <c r="C411" t="s">
        <v>78</v>
      </c>
      <c r="D411">
        <v>30.7</v>
      </c>
      <c r="E411">
        <v>3.5933192182410418</v>
      </c>
      <c r="F411">
        <v>3.86607608129234</v>
      </c>
      <c r="G411" t="s">
        <v>104</v>
      </c>
      <c r="H411" t="s">
        <v>108</v>
      </c>
    </row>
    <row r="412" spans="1:8" x14ac:dyDescent="0.3">
      <c r="A412" t="s">
        <v>24</v>
      </c>
      <c r="B412" t="s">
        <v>46</v>
      </c>
      <c r="C412" t="s">
        <v>64</v>
      </c>
      <c r="D412">
        <v>9.7999999999999997E-4</v>
      </c>
      <c r="E412">
        <v>5.1798163265306121</v>
      </c>
      <c r="F412">
        <v>2.9521711768407801</v>
      </c>
      <c r="G412" t="s">
        <v>104</v>
      </c>
      <c r="H412" t="s">
        <v>108</v>
      </c>
    </row>
    <row r="413" spans="1:8" x14ac:dyDescent="0.3">
      <c r="A413" t="s">
        <v>24</v>
      </c>
      <c r="B413" t="s">
        <v>46</v>
      </c>
      <c r="C413" t="s">
        <v>80</v>
      </c>
      <c r="D413">
        <v>5.2299999999999999E-2</v>
      </c>
      <c r="E413">
        <v>0.33378287255563049</v>
      </c>
      <c r="F413">
        <v>28.139870918023309</v>
      </c>
      <c r="G413" t="s">
        <v>105</v>
      </c>
      <c r="H413" t="s">
        <v>108</v>
      </c>
    </row>
    <row r="414" spans="1:8" x14ac:dyDescent="0.3">
      <c r="A414" t="s">
        <v>24</v>
      </c>
      <c r="B414" t="s">
        <v>46</v>
      </c>
      <c r="C414" t="s">
        <v>81</v>
      </c>
      <c r="D414">
        <v>7.6800000000000007E-2</v>
      </c>
      <c r="E414">
        <v>2.6022326674500591</v>
      </c>
      <c r="F414">
        <v>8.9647473560517046</v>
      </c>
      <c r="G414" t="s">
        <v>105</v>
      </c>
      <c r="H414" t="s">
        <v>108</v>
      </c>
    </row>
    <row r="415" spans="1:8" x14ac:dyDescent="0.3">
      <c r="A415" t="s">
        <v>24</v>
      </c>
      <c r="B415" t="s">
        <v>46</v>
      </c>
      <c r="C415" t="s">
        <v>82</v>
      </c>
      <c r="D415">
        <v>0.1</v>
      </c>
      <c r="E415">
        <v>1.504</v>
      </c>
      <c r="F415">
        <v>6.8428961748633883</v>
      </c>
      <c r="G415" t="s">
        <v>104</v>
      </c>
      <c r="H415" t="s">
        <v>108</v>
      </c>
    </row>
    <row r="416" spans="1:8" x14ac:dyDescent="0.3">
      <c r="A416" t="s">
        <v>24</v>
      </c>
      <c r="B416" t="s">
        <v>55</v>
      </c>
      <c r="C416" t="s">
        <v>86</v>
      </c>
      <c r="D416">
        <v>6.5099999999999991E-2</v>
      </c>
      <c r="E416">
        <v>10.17</v>
      </c>
      <c r="F416">
        <v>10.199999999999999</v>
      </c>
      <c r="G416" t="s">
        <v>106</v>
      </c>
      <c r="H416" t="s">
        <v>109</v>
      </c>
    </row>
    <row r="417" spans="1:8" x14ac:dyDescent="0.3">
      <c r="A417" t="s">
        <v>24</v>
      </c>
      <c r="B417" t="s">
        <v>55</v>
      </c>
      <c r="C417" t="s">
        <v>89</v>
      </c>
      <c r="D417">
        <v>7.6899999999999996E-2</v>
      </c>
      <c r="E417">
        <v>0</v>
      </c>
      <c r="F417">
        <v>10.199999999999999</v>
      </c>
      <c r="G417" t="s">
        <v>106</v>
      </c>
      <c r="H417" t="s">
        <v>109</v>
      </c>
    </row>
    <row r="418" spans="1:8" x14ac:dyDescent="0.3">
      <c r="A418" t="s">
        <v>24</v>
      </c>
      <c r="B418" t="s">
        <v>55</v>
      </c>
      <c r="C418" t="s">
        <v>92</v>
      </c>
      <c r="D418">
        <v>9.0179999999999996E-2</v>
      </c>
      <c r="E418">
        <v>9.58</v>
      </c>
      <c r="F418">
        <v>10.199999999999999</v>
      </c>
      <c r="G418" t="s">
        <v>106</v>
      </c>
      <c r="H418" t="s">
        <v>109</v>
      </c>
    </row>
    <row r="419" spans="1:8" x14ac:dyDescent="0.3">
      <c r="A419" t="s">
        <v>24</v>
      </c>
      <c r="B419" t="s">
        <v>47</v>
      </c>
      <c r="C419" t="s">
        <v>101</v>
      </c>
      <c r="D419">
        <v>7.3</v>
      </c>
      <c r="E419">
        <v>5.1467123287671228</v>
      </c>
      <c r="F419">
        <v>61.2</v>
      </c>
      <c r="G419" t="s">
        <v>104</v>
      </c>
      <c r="H419" t="s">
        <v>109</v>
      </c>
    </row>
    <row r="420" spans="1:8" x14ac:dyDescent="0.3">
      <c r="A420" t="s">
        <v>24</v>
      </c>
      <c r="B420" t="s">
        <v>57</v>
      </c>
      <c r="C420" t="s">
        <v>94</v>
      </c>
      <c r="D420">
        <v>6.4</v>
      </c>
      <c r="E420">
        <v>10.011390625000001</v>
      </c>
      <c r="F420">
        <v>24.6</v>
      </c>
      <c r="G420" t="s">
        <v>104</v>
      </c>
      <c r="H420" t="s">
        <v>109</v>
      </c>
    </row>
    <row r="421" spans="1:8" x14ac:dyDescent="0.3">
      <c r="A421" t="s">
        <v>24</v>
      </c>
      <c r="B421" t="s">
        <v>49</v>
      </c>
      <c r="C421" t="s">
        <v>71</v>
      </c>
      <c r="D421">
        <v>5.9781199999999997</v>
      </c>
      <c r="E421">
        <v>5.7996144021866396</v>
      </c>
      <c r="F421">
        <v>3.86607608129234</v>
      </c>
      <c r="G421" t="s">
        <v>104</v>
      </c>
      <c r="H421" t="s">
        <v>108</v>
      </c>
    </row>
    <row r="422" spans="1:8" x14ac:dyDescent="0.3">
      <c r="A422" t="s">
        <v>24</v>
      </c>
      <c r="B422" t="s">
        <v>49</v>
      </c>
      <c r="C422" t="s">
        <v>72</v>
      </c>
      <c r="D422">
        <v>0.2</v>
      </c>
      <c r="E422">
        <v>4.6440000000000001</v>
      </c>
      <c r="F422">
        <v>3.86607608129234</v>
      </c>
      <c r="G422" t="s">
        <v>104</v>
      </c>
      <c r="H422" t="s">
        <v>108</v>
      </c>
    </row>
    <row r="423" spans="1:8" x14ac:dyDescent="0.3">
      <c r="A423" t="s">
        <v>24</v>
      </c>
      <c r="B423" t="s">
        <v>58</v>
      </c>
      <c r="C423" t="s">
        <v>95</v>
      </c>
      <c r="D423">
        <v>2.4597699999999998</v>
      </c>
      <c r="E423">
        <v>3.3759999999999999</v>
      </c>
      <c r="F423">
        <v>2.9521711768407801</v>
      </c>
      <c r="G423" t="s">
        <v>104</v>
      </c>
      <c r="H423" t="s">
        <v>108</v>
      </c>
    </row>
    <row r="424" spans="1:8" x14ac:dyDescent="0.3">
      <c r="A424" t="s">
        <v>24</v>
      </c>
      <c r="B424" t="s">
        <v>50</v>
      </c>
      <c r="C424" t="s">
        <v>73</v>
      </c>
      <c r="D424">
        <v>2</v>
      </c>
      <c r="E424">
        <v>5.6319999999999997</v>
      </c>
      <c r="F424">
        <v>20.723404255319149</v>
      </c>
      <c r="G424" t="s">
        <v>105</v>
      </c>
      <c r="H424" t="s">
        <v>108</v>
      </c>
    </row>
    <row r="425" spans="1:8" x14ac:dyDescent="0.3">
      <c r="A425" t="s">
        <v>24</v>
      </c>
      <c r="B425" t="s">
        <v>50</v>
      </c>
      <c r="C425" t="s">
        <v>74</v>
      </c>
      <c r="D425">
        <v>1.9</v>
      </c>
      <c r="E425">
        <v>6.1875263157894738</v>
      </c>
      <c r="F425">
        <v>2.0635593220338988</v>
      </c>
      <c r="G425" t="s">
        <v>105</v>
      </c>
      <c r="H425" t="s">
        <v>108</v>
      </c>
    </row>
    <row r="426" spans="1:8" x14ac:dyDescent="0.3">
      <c r="A426" t="s">
        <v>24</v>
      </c>
      <c r="B426" t="s">
        <v>51</v>
      </c>
      <c r="C426" t="s">
        <v>75</v>
      </c>
      <c r="D426">
        <v>1.0225979999999999</v>
      </c>
      <c r="E426">
        <v>4.9675196864339098E-2</v>
      </c>
      <c r="F426">
        <v>11.74</v>
      </c>
      <c r="G426" t="s">
        <v>104</v>
      </c>
      <c r="H426" t="s">
        <v>108</v>
      </c>
    </row>
    <row r="427" spans="1:8" x14ac:dyDescent="0.3">
      <c r="A427" t="s">
        <v>24</v>
      </c>
      <c r="B427" t="s">
        <v>60</v>
      </c>
      <c r="C427" t="s">
        <v>98</v>
      </c>
      <c r="D427">
        <v>0.92274999999999996</v>
      </c>
      <c r="E427">
        <v>26.262083780880769</v>
      </c>
      <c r="F427">
        <v>33.200000000000003</v>
      </c>
      <c r="G427" t="s">
        <v>107</v>
      </c>
      <c r="H427" t="s">
        <v>109</v>
      </c>
    </row>
    <row r="428" spans="1:8" x14ac:dyDescent="0.3">
      <c r="A428" t="s">
        <v>24</v>
      </c>
      <c r="B428" t="s">
        <v>52</v>
      </c>
      <c r="C428" t="s">
        <v>76</v>
      </c>
      <c r="D428">
        <v>1E-3</v>
      </c>
      <c r="E428">
        <v>8.4824999999999999</v>
      </c>
      <c r="F428">
        <v>12.68872359754714</v>
      </c>
      <c r="G428" t="s">
        <v>105</v>
      </c>
      <c r="H428" t="s">
        <v>108</v>
      </c>
    </row>
    <row r="429" spans="1:8" x14ac:dyDescent="0.3">
      <c r="A429" t="s">
        <v>24</v>
      </c>
      <c r="B429" t="s">
        <v>53</v>
      </c>
      <c r="C429" t="s">
        <v>77</v>
      </c>
      <c r="D429">
        <v>0.46348</v>
      </c>
      <c r="E429">
        <v>4.6440000000000001</v>
      </c>
      <c r="F429">
        <v>3.86607608129234</v>
      </c>
      <c r="G429" t="s">
        <v>104</v>
      </c>
      <c r="H429" t="s">
        <v>108</v>
      </c>
    </row>
    <row r="430" spans="1:8" x14ac:dyDescent="0.3">
      <c r="A430" t="s">
        <v>24</v>
      </c>
      <c r="B430" t="s">
        <v>61</v>
      </c>
      <c r="C430" t="s">
        <v>99</v>
      </c>
      <c r="D430">
        <v>2.1</v>
      </c>
      <c r="E430">
        <v>2.6850000000000001</v>
      </c>
      <c r="F430">
        <v>2.9245635910224439</v>
      </c>
      <c r="G430" t="s">
        <v>104</v>
      </c>
      <c r="H430" t="s">
        <v>108</v>
      </c>
    </row>
    <row r="431" spans="1:8" x14ac:dyDescent="0.3">
      <c r="A431" t="s">
        <v>24</v>
      </c>
      <c r="B431" t="s">
        <v>62</v>
      </c>
      <c r="C431" t="s">
        <v>100</v>
      </c>
      <c r="D431">
        <v>0.7</v>
      </c>
      <c r="E431">
        <v>1.342857142857143</v>
      </c>
      <c r="F431">
        <v>2.6764106050305911</v>
      </c>
      <c r="G431" t="s">
        <v>104</v>
      </c>
      <c r="H431" t="s">
        <v>108</v>
      </c>
    </row>
    <row r="432" spans="1:8" x14ac:dyDescent="0.3">
      <c r="A432" t="s">
        <v>24</v>
      </c>
      <c r="B432" t="s">
        <v>54</v>
      </c>
      <c r="C432" t="s">
        <v>78</v>
      </c>
      <c r="D432">
        <v>11.6</v>
      </c>
      <c r="E432">
        <v>10.006</v>
      </c>
      <c r="F432">
        <v>3.86607608129234</v>
      </c>
      <c r="G432" t="s">
        <v>104</v>
      </c>
      <c r="H432" t="s">
        <v>108</v>
      </c>
    </row>
    <row r="433" spans="1:8" x14ac:dyDescent="0.3">
      <c r="A433" t="s">
        <v>25</v>
      </c>
      <c r="B433" t="s">
        <v>51</v>
      </c>
      <c r="C433" t="s">
        <v>75</v>
      </c>
      <c r="D433">
        <v>0.70660100000000003</v>
      </c>
      <c r="E433">
        <v>3.6873466284242898E-3</v>
      </c>
      <c r="F433">
        <v>11.74</v>
      </c>
      <c r="G433" t="s">
        <v>104</v>
      </c>
      <c r="H433" t="s">
        <v>108</v>
      </c>
    </row>
    <row r="434" spans="1:8" x14ac:dyDescent="0.3">
      <c r="A434" t="s">
        <v>26</v>
      </c>
      <c r="B434" t="s">
        <v>46</v>
      </c>
      <c r="C434" t="s">
        <v>63</v>
      </c>
      <c r="D434">
        <v>2.3117000000000001</v>
      </c>
      <c r="E434">
        <v>2.9286474973375931</v>
      </c>
      <c r="F434">
        <v>3.950479233226837</v>
      </c>
      <c r="G434" t="s">
        <v>104</v>
      </c>
      <c r="H434" t="s">
        <v>108</v>
      </c>
    </row>
    <row r="435" spans="1:8" x14ac:dyDescent="0.3">
      <c r="A435" t="s">
        <v>26</v>
      </c>
      <c r="B435" t="s">
        <v>46</v>
      </c>
      <c r="C435" t="s">
        <v>64</v>
      </c>
      <c r="D435">
        <v>0.37923000000000001</v>
      </c>
      <c r="E435">
        <v>5.3186036705956816</v>
      </c>
      <c r="F435">
        <v>2.9521711768407801</v>
      </c>
      <c r="G435" t="s">
        <v>104</v>
      </c>
      <c r="H435" t="s">
        <v>108</v>
      </c>
    </row>
    <row r="436" spans="1:8" x14ac:dyDescent="0.3">
      <c r="A436" t="s">
        <v>26</v>
      </c>
      <c r="B436" t="s">
        <v>46</v>
      </c>
      <c r="C436" t="s">
        <v>79</v>
      </c>
      <c r="D436">
        <v>10</v>
      </c>
      <c r="E436">
        <v>3.6150000000000011</v>
      </c>
      <c r="F436">
        <v>6.8428961748633883</v>
      </c>
      <c r="G436" t="s">
        <v>104</v>
      </c>
      <c r="H436" t="s">
        <v>108</v>
      </c>
    </row>
    <row r="437" spans="1:8" x14ac:dyDescent="0.3">
      <c r="A437" t="s">
        <v>26</v>
      </c>
      <c r="B437" t="s">
        <v>46</v>
      </c>
      <c r="C437" t="s">
        <v>65</v>
      </c>
      <c r="D437">
        <v>0.60000000000000009</v>
      </c>
      <c r="E437">
        <v>7.4844999999999997</v>
      </c>
      <c r="F437">
        <v>2.9521711768407801</v>
      </c>
      <c r="G437" t="s">
        <v>104</v>
      </c>
      <c r="H437" t="s">
        <v>108</v>
      </c>
    </row>
    <row r="438" spans="1:8" x14ac:dyDescent="0.3">
      <c r="A438" t="s">
        <v>26</v>
      </c>
      <c r="B438" t="s">
        <v>46</v>
      </c>
      <c r="C438" t="s">
        <v>102</v>
      </c>
      <c r="D438">
        <v>0.4</v>
      </c>
      <c r="E438">
        <v>6.2800000000000011</v>
      </c>
      <c r="F438">
        <v>2.9521711768407801</v>
      </c>
      <c r="G438" t="s">
        <v>104</v>
      </c>
      <c r="H438" t="s">
        <v>108</v>
      </c>
    </row>
    <row r="439" spans="1:8" x14ac:dyDescent="0.3">
      <c r="A439" t="s">
        <v>26</v>
      </c>
      <c r="B439" t="s">
        <v>46</v>
      </c>
      <c r="C439" t="s">
        <v>80</v>
      </c>
      <c r="D439">
        <v>3.0150999999999999</v>
      </c>
      <c r="E439">
        <v>0.7329737019554956</v>
      </c>
      <c r="F439">
        <v>28.139870918023309</v>
      </c>
      <c r="G439" t="s">
        <v>105</v>
      </c>
      <c r="H439" t="s">
        <v>108</v>
      </c>
    </row>
    <row r="440" spans="1:8" x14ac:dyDescent="0.3">
      <c r="A440" t="s">
        <v>26</v>
      </c>
      <c r="B440" t="s">
        <v>46</v>
      </c>
      <c r="C440" t="s">
        <v>81</v>
      </c>
      <c r="D440">
        <v>1.4512</v>
      </c>
      <c r="E440">
        <v>1.2708578143360749</v>
      </c>
      <c r="F440">
        <v>8.9647473560517046</v>
      </c>
      <c r="G440" t="s">
        <v>105</v>
      </c>
      <c r="H440" t="s">
        <v>108</v>
      </c>
    </row>
    <row r="441" spans="1:8" x14ac:dyDescent="0.3">
      <c r="A441" t="s">
        <v>26</v>
      </c>
      <c r="B441" t="s">
        <v>46</v>
      </c>
      <c r="C441" t="s">
        <v>66</v>
      </c>
      <c r="D441">
        <v>9.4</v>
      </c>
      <c r="E441">
        <v>3.7454999999999998</v>
      </c>
      <c r="F441">
        <v>6.8428961748633883</v>
      </c>
      <c r="G441" t="s">
        <v>104</v>
      </c>
      <c r="H441" t="s">
        <v>108</v>
      </c>
    </row>
    <row r="442" spans="1:8" x14ac:dyDescent="0.3">
      <c r="A442" t="s">
        <v>26</v>
      </c>
      <c r="B442" t="s">
        <v>46</v>
      </c>
      <c r="C442" t="s">
        <v>67</v>
      </c>
      <c r="D442">
        <v>2.4</v>
      </c>
      <c r="E442">
        <v>11.47854166666667</v>
      </c>
      <c r="F442">
        <v>2.9521711768407801</v>
      </c>
      <c r="G442" t="s">
        <v>104</v>
      </c>
      <c r="H442" t="s">
        <v>108</v>
      </c>
    </row>
    <row r="443" spans="1:8" x14ac:dyDescent="0.3">
      <c r="A443" t="s">
        <v>26</v>
      </c>
      <c r="B443" t="s">
        <v>46</v>
      </c>
      <c r="C443" t="s">
        <v>82</v>
      </c>
      <c r="D443">
        <v>0.70000000000000007</v>
      </c>
      <c r="E443">
        <v>2.3421428571428571</v>
      </c>
      <c r="F443">
        <v>6.8428961748633883</v>
      </c>
      <c r="G443" t="s">
        <v>104</v>
      </c>
      <c r="H443" t="s">
        <v>108</v>
      </c>
    </row>
    <row r="444" spans="1:8" x14ac:dyDescent="0.3">
      <c r="A444" t="s">
        <v>26</v>
      </c>
      <c r="B444" t="s">
        <v>46</v>
      </c>
      <c r="C444" t="s">
        <v>83</v>
      </c>
      <c r="D444">
        <v>2.7533099999999999</v>
      </c>
      <c r="E444">
        <v>3.4917478780086522</v>
      </c>
      <c r="F444">
        <v>6.8428961748633883</v>
      </c>
      <c r="G444" t="s">
        <v>104</v>
      </c>
      <c r="H444" t="s">
        <v>108</v>
      </c>
    </row>
    <row r="445" spans="1:8" x14ac:dyDescent="0.3">
      <c r="A445" t="s">
        <v>26</v>
      </c>
      <c r="B445" t="s">
        <v>46</v>
      </c>
      <c r="C445" t="s">
        <v>84</v>
      </c>
      <c r="D445">
        <v>0.5</v>
      </c>
      <c r="E445">
        <v>2.5196000000000001</v>
      </c>
      <c r="F445">
        <v>28.139870918023309</v>
      </c>
      <c r="G445" t="s">
        <v>105</v>
      </c>
      <c r="H445" t="s">
        <v>108</v>
      </c>
    </row>
    <row r="446" spans="1:8" x14ac:dyDescent="0.3">
      <c r="A446" t="s">
        <v>26</v>
      </c>
      <c r="B446" t="s">
        <v>46</v>
      </c>
      <c r="C446" t="s">
        <v>85</v>
      </c>
      <c r="D446">
        <v>2.2999999999999998</v>
      </c>
      <c r="E446">
        <v>5.0792608695652177</v>
      </c>
      <c r="F446">
        <v>2.9521711768407801</v>
      </c>
      <c r="G446" t="s">
        <v>104</v>
      </c>
      <c r="H446" t="s">
        <v>108</v>
      </c>
    </row>
    <row r="447" spans="1:8" x14ac:dyDescent="0.3">
      <c r="A447" t="s">
        <v>26</v>
      </c>
      <c r="B447" t="s">
        <v>55</v>
      </c>
      <c r="C447" t="s">
        <v>86</v>
      </c>
      <c r="D447">
        <v>0.98509999999999998</v>
      </c>
      <c r="E447">
        <v>13.37</v>
      </c>
      <c r="F447">
        <v>15.2</v>
      </c>
      <c r="G447" t="s">
        <v>106</v>
      </c>
      <c r="H447" t="s">
        <v>109</v>
      </c>
    </row>
    <row r="448" spans="1:8" x14ac:dyDescent="0.3">
      <c r="A448" t="s">
        <v>26</v>
      </c>
      <c r="B448" t="s">
        <v>55</v>
      </c>
      <c r="C448" t="s">
        <v>87</v>
      </c>
      <c r="D448">
        <v>6.0103</v>
      </c>
      <c r="E448">
        <v>18.117000000000001</v>
      </c>
      <c r="F448">
        <v>15.2</v>
      </c>
      <c r="G448" t="s">
        <v>106</v>
      </c>
      <c r="H448" t="s">
        <v>109</v>
      </c>
    </row>
    <row r="449" spans="1:8" x14ac:dyDescent="0.3">
      <c r="A449" t="s">
        <v>26</v>
      </c>
      <c r="B449" t="s">
        <v>55</v>
      </c>
      <c r="C449" t="s">
        <v>88</v>
      </c>
      <c r="D449">
        <v>10.439399999999999</v>
      </c>
      <c r="E449">
        <v>14.14</v>
      </c>
      <c r="F449">
        <v>15.2</v>
      </c>
      <c r="G449" t="s">
        <v>106</v>
      </c>
      <c r="H449" t="s">
        <v>109</v>
      </c>
    </row>
    <row r="450" spans="1:8" x14ac:dyDescent="0.3">
      <c r="A450" t="s">
        <v>26</v>
      </c>
      <c r="B450" t="s">
        <v>55</v>
      </c>
      <c r="C450" t="s">
        <v>92</v>
      </c>
      <c r="D450">
        <v>2.0763699999999998</v>
      </c>
      <c r="E450">
        <v>18.117000000000001</v>
      </c>
      <c r="F450">
        <v>15.2</v>
      </c>
      <c r="G450" t="s">
        <v>106</v>
      </c>
      <c r="H450" t="s">
        <v>109</v>
      </c>
    </row>
    <row r="451" spans="1:8" x14ac:dyDescent="0.3">
      <c r="A451" t="s">
        <v>26</v>
      </c>
      <c r="B451" t="s">
        <v>56</v>
      </c>
      <c r="C451" t="s">
        <v>93</v>
      </c>
      <c r="D451">
        <v>44.343400000000003</v>
      </c>
      <c r="E451">
        <v>2.939759036144578</v>
      </c>
      <c r="F451">
        <v>23.4</v>
      </c>
      <c r="G451" t="s">
        <v>106</v>
      </c>
      <c r="H451" t="s">
        <v>109</v>
      </c>
    </row>
    <row r="452" spans="1:8" x14ac:dyDescent="0.3">
      <c r="A452" t="s">
        <v>26</v>
      </c>
      <c r="B452" t="s">
        <v>47</v>
      </c>
      <c r="C452" t="s">
        <v>68</v>
      </c>
      <c r="D452">
        <v>47.4</v>
      </c>
      <c r="E452">
        <v>6.8632067510548529</v>
      </c>
      <c r="F452">
        <v>20.8</v>
      </c>
      <c r="G452" t="s">
        <v>104</v>
      </c>
      <c r="H452" t="s">
        <v>109</v>
      </c>
    </row>
    <row r="453" spans="1:8" x14ac:dyDescent="0.3">
      <c r="A453" t="s">
        <v>26</v>
      </c>
      <c r="B453" t="s">
        <v>47</v>
      </c>
      <c r="C453" t="s">
        <v>69</v>
      </c>
      <c r="D453">
        <v>31.4</v>
      </c>
      <c r="E453">
        <v>8.7918280254777077</v>
      </c>
      <c r="F453">
        <v>20.8</v>
      </c>
      <c r="G453" t="s">
        <v>104</v>
      </c>
      <c r="H453" t="s">
        <v>109</v>
      </c>
    </row>
    <row r="454" spans="1:8" x14ac:dyDescent="0.3">
      <c r="A454" t="s">
        <v>26</v>
      </c>
      <c r="B454" t="s">
        <v>48</v>
      </c>
      <c r="C454" t="s">
        <v>70</v>
      </c>
      <c r="D454">
        <v>21.1</v>
      </c>
      <c r="E454">
        <v>15.669815165876781</v>
      </c>
      <c r="F454">
        <v>0</v>
      </c>
      <c r="G454" t="s">
        <v>104</v>
      </c>
      <c r="H454" t="s">
        <v>109</v>
      </c>
    </row>
    <row r="455" spans="1:8" x14ac:dyDescent="0.3">
      <c r="A455" t="s">
        <v>26</v>
      </c>
      <c r="B455" t="s">
        <v>49</v>
      </c>
      <c r="C455" t="s">
        <v>71</v>
      </c>
      <c r="D455">
        <v>69.17295</v>
      </c>
      <c r="E455">
        <v>5.9542693087399039</v>
      </c>
      <c r="F455">
        <v>3.86607608129234</v>
      </c>
      <c r="G455" t="s">
        <v>104</v>
      </c>
      <c r="H455" t="s">
        <v>108</v>
      </c>
    </row>
    <row r="456" spans="1:8" x14ac:dyDescent="0.3">
      <c r="A456" t="s">
        <v>26</v>
      </c>
      <c r="B456" t="s">
        <v>49</v>
      </c>
      <c r="C456" t="s">
        <v>72</v>
      </c>
      <c r="D456">
        <v>11.8</v>
      </c>
      <c r="E456">
        <v>4.7826864406779661</v>
      </c>
      <c r="F456">
        <v>3.86607608129234</v>
      </c>
      <c r="G456" t="s">
        <v>104</v>
      </c>
      <c r="H456" t="s">
        <v>108</v>
      </c>
    </row>
    <row r="457" spans="1:8" x14ac:dyDescent="0.3">
      <c r="A457" t="s">
        <v>26</v>
      </c>
      <c r="B457" t="s">
        <v>58</v>
      </c>
      <c r="C457" t="s">
        <v>95</v>
      </c>
      <c r="D457">
        <v>7.5843100000000003</v>
      </c>
      <c r="E457">
        <v>3.6555127005620811</v>
      </c>
      <c r="F457">
        <v>2.9521711768407801</v>
      </c>
      <c r="G457" t="s">
        <v>104</v>
      </c>
      <c r="H457" t="s">
        <v>108</v>
      </c>
    </row>
    <row r="458" spans="1:8" x14ac:dyDescent="0.3">
      <c r="A458" t="s">
        <v>26</v>
      </c>
      <c r="B458" t="s">
        <v>50</v>
      </c>
      <c r="C458" t="s">
        <v>73</v>
      </c>
      <c r="D458">
        <v>14.3</v>
      </c>
      <c r="E458">
        <v>5.895104895104895</v>
      </c>
      <c r="F458">
        <v>20.723404255319149</v>
      </c>
      <c r="G458" t="s">
        <v>105</v>
      </c>
      <c r="H458" t="s">
        <v>108</v>
      </c>
    </row>
    <row r="459" spans="1:8" x14ac:dyDescent="0.3">
      <c r="A459" t="s">
        <v>26</v>
      </c>
      <c r="B459" t="s">
        <v>50</v>
      </c>
      <c r="C459" t="s">
        <v>74</v>
      </c>
      <c r="D459">
        <v>45.3</v>
      </c>
      <c r="E459">
        <v>4.7957306843267116</v>
      </c>
      <c r="F459">
        <v>2.0635593220338988</v>
      </c>
      <c r="G459" t="s">
        <v>105</v>
      </c>
      <c r="H459" t="s">
        <v>108</v>
      </c>
    </row>
    <row r="460" spans="1:8" x14ac:dyDescent="0.3">
      <c r="A460" t="s">
        <v>26</v>
      </c>
      <c r="B460" t="s">
        <v>59</v>
      </c>
      <c r="C460" t="s">
        <v>96</v>
      </c>
      <c r="D460">
        <v>1.0789</v>
      </c>
      <c r="E460">
        <v>17.364000000000001</v>
      </c>
      <c r="F460">
        <v>18.600000000000001</v>
      </c>
      <c r="G460" t="s">
        <v>107</v>
      </c>
      <c r="H460" t="s">
        <v>109</v>
      </c>
    </row>
    <row r="461" spans="1:8" x14ac:dyDescent="0.3">
      <c r="A461" t="s">
        <v>26</v>
      </c>
      <c r="B461" t="s">
        <v>59</v>
      </c>
      <c r="C461" t="s">
        <v>97</v>
      </c>
      <c r="D461">
        <v>2.0878999999999999</v>
      </c>
      <c r="E461">
        <v>13.94465545306565</v>
      </c>
      <c r="F461">
        <v>18.600000000000001</v>
      </c>
      <c r="G461" t="s">
        <v>107</v>
      </c>
      <c r="H461" t="s">
        <v>109</v>
      </c>
    </row>
    <row r="462" spans="1:8" x14ac:dyDescent="0.3">
      <c r="A462" t="s">
        <v>26</v>
      </c>
      <c r="B462" t="s">
        <v>51</v>
      </c>
      <c r="C462" t="s">
        <v>75</v>
      </c>
      <c r="D462">
        <v>22.219519999999999</v>
      </c>
      <c r="E462">
        <v>0.106125203555838</v>
      </c>
      <c r="F462">
        <v>11.74</v>
      </c>
      <c r="G462" t="s">
        <v>104</v>
      </c>
      <c r="H462" t="s">
        <v>108</v>
      </c>
    </row>
    <row r="463" spans="1:8" x14ac:dyDescent="0.3">
      <c r="A463" t="s">
        <v>26</v>
      </c>
      <c r="B463" t="s">
        <v>60</v>
      </c>
      <c r="C463" t="s">
        <v>98</v>
      </c>
      <c r="D463">
        <v>0.15329000000000001</v>
      </c>
      <c r="E463">
        <v>10.79484425349087</v>
      </c>
      <c r="F463">
        <v>39</v>
      </c>
      <c r="G463" t="s">
        <v>107</v>
      </c>
      <c r="H463" t="s">
        <v>109</v>
      </c>
    </row>
    <row r="464" spans="1:8" x14ac:dyDescent="0.3">
      <c r="A464" t="s">
        <v>26</v>
      </c>
      <c r="B464" t="s">
        <v>52</v>
      </c>
      <c r="C464" t="s">
        <v>76</v>
      </c>
      <c r="D464">
        <v>0.151</v>
      </c>
      <c r="E464">
        <v>8.4824999999999999</v>
      </c>
      <c r="F464">
        <v>12.68872359754714</v>
      </c>
      <c r="G464" t="s">
        <v>105</v>
      </c>
      <c r="H464" t="s">
        <v>108</v>
      </c>
    </row>
    <row r="465" spans="1:8" x14ac:dyDescent="0.3">
      <c r="A465" t="s">
        <v>26</v>
      </c>
      <c r="B465" t="s">
        <v>53</v>
      </c>
      <c r="C465" t="s">
        <v>77</v>
      </c>
      <c r="D465">
        <v>14.29814</v>
      </c>
      <c r="E465">
        <v>4.7831372542162827</v>
      </c>
      <c r="F465">
        <v>3.86607608129234</v>
      </c>
      <c r="G465" t="s">
        <v>104</v>
      </c>
      <c r="H465" t="s">
        <v>108</v>
      </c>
    </row>
    <row r="466" spans="1:8" x14ac:dyDescent="0.3">
      <c r="A466" t="s">
        <v>26</v>
      </c>
      <c r="B466" t="s">
        <v>61</v>
      </c>
      <c r="C466" t="s">
        <v>99</v>
      </c>
      <c r="D466">
        <v>6.4</v>
      </c>
      <c r="E466">
        <v>2.865421875</v>
      </c>
      <c r="F466">
        <v>2.9245635910224439</v>
      </c>
      <c r="G466" t="s">
        <v>104</v>
      </c>
      <c r="H466" t="s">
        <v>108</v>
      </c>
    </row>
    <row r="467" spans="1:8" x14ac:dyDescent="0.3">
      <c r="A467" t="s">
        <v>26</v>
      </c>
      <c r="B467" t="s">
        <v>62</v>
      </c>
      <c r="C467" t="s">
        <v>100</v>
      </c>
      <c r="D467">
        <v>0.60000000000000009</v>
      </c>
      <c r="E467">
        <v>0.23333333333333331</v>
      </c>
      <c r="F467">
        <v>2.6764106050305911</v>
      </c>
      <c r="G467" t="s">
        <v>104</v>
      </c>
      <c r="H467" t="s">
        <v>108</v>
      </c>
    </row>
    <row r="468" spans="1:8" x14ac:dyDescent="0.3">
      <c r="A468" t="s">
        <v>26</v>
      </c>
      <c r="B468" t="s">
        <v>54</v>
      </c>
      <c r="C468" t="s">
        <v>78</v>
      </c>
      <c r="D468">
        <v>84.1</v>
      </c>
      <c r="E468">
        <v>9.9486147443519624</v>
      </c>
      <c r="F468">
        <v>3.86607608129234</v>
      </c>
      <c r="G468" t="s">
        <v>104</v>
      </c>
      <c r="H468" t="s">
        <v>108</v>
      </c>
    </row>
    <row r="469" spans="1:8" x14ac:dyDescent="0.3">
      <c r="A469" t="s">
        <v>27</v>
      </c>
      <c r="B469" t="s">
        <v>46</v>
      </c>
      <c r="C469" t="s">
        <v>64</v>
      </c>
      <c r="D469">
        <v>1.1440000000000001E-2</v>
      </c>
      <c r="E469">
        <v>0</v>
      </c>
      <c r="F469">
        <v>2.9521711768407801</v>
      </c>
      <c r="G469" t="s">
        <v>104</v>
      </c>
      <c r="H469" t="s">
        <v>108</v>
      </c>
    </row>
    <row r="470" spans="1:8" x14ac:dyDescent="0.3">
      <c r="A470" t="s">
        <v>27</v>
      </c>
      <c r="B470" t="s">
        <v>46</v>
      </c>
      <c r="C470" t="s">
        <v>79</v>
      </c>
      <c r="D470">
        <v>8.3000000000000007</v>
      </c>
      <c r="E470">
        <v>0</v>
      </c>
      <c r="F470">
        <v>6.8428961748633883</v>
      </c>
      <c r="G470" t="s">
        <v>104</v>
      </c>
      <c r="H470" t="s">
        <v>108</v>
      </c>
    </row>
    <row r="471" spans="1:8" x14ac:dyDescent="0.3">
      <c r="A471" t="s">
        <v>27</v>
      </c>
      <c r="B471" t="s">
        <v>46</v>
      </c>
      <c r="C471" t="s">
        <v>80</v>
      </c>
      <c r="D471">
        <v>1.15E-2</v>
      </c>
      <c r="E471">
        <v>0.25084288604180721</v>
      </c>
      <c r="F471">
        <v>28.139870918023309</v>
      </c>
      <c r="G471" t="s">
        <v>105</v>
      </c>
      <c r="H471" t="s">
        <v>108</v>
      </c>
    </row>
    <row r="472" spans="1:8" x14ac:dyDescent="0.3">
      <c r="A472" t="s">
        <v>27</v>
      </c>
      <c r="B472" t="s">
        <v>46</v>
      </c>
      <c r="C472" t="s">
        <v>81</v>
      </c>
      <c r="D472">
        <v>3.3E-3</v>
      </c>
      <c r="E472">
        <v>1.663924794359577</v>
      </c>
      <c r="F472">
        <v>8.9647473560517046</v>
      </c>
      <c r="G472" t="s">
        <v>105</v>
      </c>
      <c r="H472" t="s">
        <v>108</v>
      </c>
    </row>
    <row r="473" spans="1:8" x14ac:dyDescent="0.3">
      <c r="A473" t="s">
        <v>27</v>
      </c>
      <c r="B473" t="s">
        <v>46</v>
      </c>
      <c r="C473" t="s">
        <v>66</v>
      </c>
      <c r="D473">
        <v>0.1</v>
      </c>
      <c r="E473">
        <v>3.456</v>
      </c>
      <c r="F473">
        <v>6.8428961748633883</v>
      </c>
      <c r="G473" t="s">
        <v>104</v>
      </c>
      <c r="H473" t="s">
        <v>108</v>
      </c>
    </row>
    <row r="474" spans="1:8" x14ac:dyDescent="0.3">
      <c r="A474" t="s">
        <v>27</v>
      </c>
      <c r="B474" t="s">
        <v>46</v>
      </c>
      <c r="C474" t="s">
        <v>82</v>
      </c>
      <c r="D474">
        <v>0.9</v>
      </c>
      <c r="E474">
        <v>2.1120000000000001</v>
      </c>
      <c r="F474">
        <v>6.8428961748633883</v>
      </c>
      <c r="G474" t="s">
        <v>104</v>
      </c>
      <c r="H474" t="s">
        <v>108</v>
      </c>
    </row>
    <row r="475" spans="1:8" x14ac:dyDescent="0.3">
      <c r="A475" t="s">
        <v>27</v>
      </c>
      <c r="B475" t="s">
        <v>46</v>
      </c>
      <c r="C475" t="s">
        <v>84</v>
      </c>
      <c r="D475">
        <v>0.2</v>
      </c>
      <c r="E475">
        <v>1.919</v>
      </c>
      <c r="F475">
        <v>28.139870918023309</v>
      </c>
      <c r="G475" t="s">
        <v>105</v>
      </c>
      <c r="H475" t="s">
        <v>108</v>
      </c>
    </row>
    <row r="476" spans="1:8" x14ac:dyDescent="0.3">
      <c r="A476" t="s">
        <v>27</v>
      </c>
      <c r="B476" t="s">
        <v>55</v>
      </c>
      <c r="C476" t="s">
        <v>86</v>
      </c>
      <c r="D476">
        <v>0.66349999999999998</v>
      </c>
      <c r="E476">
        <v>9.9629999999999992</v>
      </c>
      <c r="F476">
        <v>6.2</v>
      </c>
      <c r="G476" t="s">
        <v>106</v>
      </c>
      <c r="H476" t="s">
        <v>109</v>
      </c>
    </row>
    <row r="477" spans="1:8" x14ac:dyDescent="0.3">
      <c r="A477" t="s">
        <v>27</v>
      </c>
      <c r="B477" t="s">
        <v>55</v>
      </c>
      <c r="C477" t="s">
        <v>88</v>
      </c>
      <c r="D477">
        <v>0.1208</v>
      </c>
      <c r="E477">
        <v>12.96</v>
      </c>
      <c r="F477">
        <v>6.2</v>
      </c>
      <c r="G477" t="s">
        <v>106</v>
      </c>
      <c r="H477" t="s">
        <v>109</v>
      </c>
    </row>
    <row r="478" spans="1:8" x14ac:dyDescent="0.3">
      <c r="A478" t="s">
        <v>27</v>
      </c>
      <c r="B478" t="s">
        <v>55</v>
      </c>
      <c r="C478" t="s">
        <v>89</v>
      </c>
      <c r="D478">
        <v>1.6000000000000001E-3</v>
      </c>
      <c r="E478">
        <v>0</v>
      </c>
      <c r="F478">
        <v>6.2</v>
      </c>
      <c r="G478" t="s">
        <v>106</v>
      </c>
      <c r="H478" t="s">
        <v>109</v>
      </c>
    </row>
    <row r="479" spans="1:8" x14ac:dyDescent="0.3">
      <c r="A479" t="s">
        <v>27</v>
      </c>
      <c r="B479" t="s">
        <v>55</v>
      </c>
      <c r="C479" t="s">
        <v>90</v>
      </c>
      <c r="D479">
        <v>0.72109999999999996</v>
      </c>
      <c r="E479">
        <v>8.8279999999999994</v>
      </c>
      <c r="F479">
        <v>6.2</v>
      </c>
      <c r="G479" t="s">
        <v>106</v>
      </c>
      <c r="H479" t="s">
        <v>109</v>
      </c>
    </row>
    <row r="480" spans="1:8" x14ac:dyDescent="0.3">
      <c r="A480" t="s">
        <v>27</v>
      </c>
      <c r="B480" t="s">
        <v>55</v>
      </c>
      <c r="C480" t="s">
        <v>91</v>
      </c>
      <c r="D480">
        <v>0.3397</v>
      </c>
      <c r="E480">
        <v>8.484</v>
      </c>
      <c r="F480">
        <v>6.2</v>
      </c>
      <c r="G480" t="s">
        <v>106</v>
      </c>
      <c r="H480" t="s">
        <v>109</v>
      </c>
    </row>
    <row r="481" spans="1:8" x14ac:dyDescent="0.3">
      <c r="A481" t="s">
        <v>27</v>
      </c>
      <c r="B481" t="s">
        <v>55</v>
      </c>
      <c r="C481" t="s">
        <v>92</v>
      </c>
      <c r="D481">
        <v>0.50973000000000002</v>
      </c>
      <c r="E481">
        <v>10.994</v>
      </c>
      <c r="F481">
        <v>6.2</v>
      </c>
      <c r="G481" t="s">
        <v>106</v>
      </c>
      <c r="H481" t="s">
        <v>109</v>
      </c>
    </row>
    <row r="482" spans="1:8" x14ac:dyDescent="0.3">
      <c r="A482" t="s">
        <v>27</v>
      </c>
      <c r="B482" t="s">
        <v>56</v>
      </c>
      <c r="C482" t="s">
        <v>93</v>
      </c>
      <c r="D482">
        <v>24.2959</v>
      </c>
      <c r="E482">
        <v>2.9493975903614462</v>
      </c>
      <c r="F482">
        <v>18.3</v>
      </c>
      <c r="G482" t="s">
        <v>106</v>
      </c>
      <c r="H482" t="s">
        <v>109</v>
      </c>
    </row>
    <row r="483" spans="1:8" x14ac:dyDescent="0.3">
      <c r="A483" t="s">
        <v>27</v>
      </c>
      <c r="B483" t="s">
        <v>47</v>
      </c>
      <c r="C483" t="s">
        <v>101</v>
      </c>
      <c r="D483">
        <v>16.8</v>
      </c>
      <c r="E483">
        <v>2.3929999999999998</v>
      </c>
      <c r="F483">
        <v>43.8</v>
      </c>
      <c r="G483" t="s">
        <v>104</v>
      </c>
      <c r="H483" t="s">
        <v>109</v>
      </c>
    </row>
    <row r="484" spans="1:8" x14ac:dyDescent="0.3">
      <c r="A484" t="s">
        <v>27</v>
      </c>
      <c r="B484" t="s">
        <v>57</v>
      </c>
      <c r="C484" t="s">
        <v>94</v>
      </c>
      <c r="D484">
        <v>13.2</v>
      </c>
      <c r="E484">
        <v>6.9180000000000001</v>
      </c>
      <c r="F484">
        <v>19.8</v>
      </c>
      <c r="G484" t="s">
        <v>104</v>
      </c>
      <c r="H484" t="s">
        <v>109</v>
      </c>
    </row>
    <row r="485" spans="1:8" x14ac:dyDescent="0.3">
      <c r="A485" t="s">
        <v>27</v>
      </c>
      <c r="B485" t="s">
        <v>49</v>
      </c>
      <c r="C485" t="s">
        <v>71</v>
      </c>
      <c r="D485">
        <v>18.055009999999999</v>
      </c>
      <c r="E485">
        <v>0</v>
      </c>
      <c r="F485">
        <v>3.86607608129234</v>
      </c>
      <c r="G485" t="s">
        <v>104</v>
      </c>
      <c r="H485" t="s">
        <v>108</v>
      </c>
    </row>
    <row r="486" spans="1:8" x14ac:dyDescent="0.3">
      <c r="A486" t="s">
        <v>27</v>
      </c>
      <c r="B486" t="s">
        <v>49</v>
      </c>
      <c r="C486" t="s">
        <v>72</v>
      </c>
      <c r="D486">
        <v>2.8</v>
      </c>
      <c r="E486">
        <v>0</v>
      </c>
      <c r="F486">
        <v>3.86607608129234</v>
      </c>
      <c r="G486" t="s">
        <v>104</v>
      </c>
      <c r="H486" t="s">
        <v>108</v>
      </c>
    </row>
    <row r="487" spans="1:8" x14ac:dyDescent="0.3">
      <c r="A487" t="s">
        <v>27</v>
      </c>
      <c r="B487" t="s">
        <v>58</v>
      </c>
      <c r="C487" t="s">
        <v>95</v>
      </c>
      <c r="D487">
        <v>2.0498099999999999</v>
      </c>
      <c r="E487">
        <v>3.3580000000000001</v>
      </c>
      <c r="F487">
        <v>2.9521711768407801</v>
      </c>
      <c r="G487" t="s">
        <v>104</v>
      </c>
      <c r="H487" t="s">
        <v>108</v>
      </c>
    </row>
    <row r="488" spans="1:8" x14ac:dyDescent="0.3">
      <c r="A488" t="s">
        <v>27</v>
      </c>
      <c r="B488" t="s">
        <v>50</v>
      </c>
      <c r="C488" t="s">
        <v>73</v>
      </c>
      <c r="D488">
        <v>1.4</v>
      </c>
      <c r="E488">
        <v>4.976</v>
      </c>
      <c r="F488">
        <v>20.723404255319149</v>
      </c>
      <c r="G488" t="s">
        <v>105</v>
      </c>
      <c r="H488" t="s">
        <v>108</v>
      </c>
    </row>
    <row r="489" spans="1:8" x14ac:dyDescent="0.3">
      <c r="A489" t="s">
        <v>27</v>
      </c>
      <c r="B489" t="s">
        <v>50</v>
      </c>
      <c r="C489" t="s">
        <v>74</v>
      </c>
      <c r="D489">
        <v>9.6</v>
      </c>
      <c r="E489">
        <v>3.383</v>
      </c>
      <c r="F489">
        <v>2.0635593220338988</v>
      </c>
      <c r="G489" t="s">
        <v>105</v>
      </c>
      <c r="H489" t="s">
        <v>108</v>
      </c>
    </row>
    <row r="490" spans="1:8" x14ac:dyDescent="0.3">
      <c r="A490" t="s">
        <v>27</v>
      </c>
      <c r="B490" t="s">
        <v>51</v>
      </c>
      <c r="C490" t="s">
        <v>75</v>
      </c>
      <c r="D490">
        <v>0.85884400000000005</v>
      </c>
      <c r="E490">
        <v>5.9711205314269003E-2</v>
      </c>
      <c r="F490">
        <v>11.74</v>
      </c>
      <c r="G490" t="s">
        <v>104</v>
      </c>
      <c r="H490" t="s">
        <v>108</v>
      </c>
    </row>
    <row r="491" spans="1:8" x14ac:dyDescent="0.3">
      <c r="A491" t="s">
        <v>27</v>
      </c>
      <c r="B491" t="s">
        <v>60</v>
      </c>
      <c r="C491" t="s">
        <v>98</v>
      </c>
      <c r="D491">
        <v>5.3362299999999996</v>
      </c>
      <c r="E491">
        <v>16.809881847475829</v>
      </c>
      <c r="F491">
        <v>26.9</v>
      </c>
      <c r="G491" t="s">
        <v>107</v>
      </c>
      <c r="H491" t="s">
        <v>109</v>
      </c>
    </row>
    <row r="492" spans="1:8" x14ac:dyDescent="0.3">
      <c r="A492" t="s">
        <v>27</v>
      </c>
      <c r="B492" t="s">
        <v>53</v>
      </c>
      <c r="C492" t="s">
        <v>77</v>
      </c>
      <c r="D492">
        <v>3.58718</v>
      </c>
      <c r="E492">
        <v>0</v>
      </c>
      <c r="F492">
        <v>3.86607608129234</v>
      </c>
      <c r="G492" t="s">
        <v>104</v>
      </c>
      <c r="H492" t="s">
        <v>108</v>
      </c>
    </row>
    <row r="493" spans="1:8" x14ac:dyDescent="0.3">
      <c r="A493" t="s">
        <v>27</v>
      </c>
      <c r="B493" t="s">
        <v>61</v>
      </c>
      <c r="C493" t="s">
        <v>99</v>
      </c>
      <c r="D493">
        <v>2.4</v>
      </c>
      <c r="E493">
        <v>0</v>
      </c>
      <c r="F493">
        <v>2.9245635910224439</v>
      </c>
      <c r="G493" t="s">
        <v>104</v>
      </c>
      <c r="H493" t="s">
        <v>108</v>
      </c>
    </row>
    <row r="494" spans="1:8" x14ac:dyDescent="0.3">
      <c r="A494" t="s">
        <v>27</v>
      </c>
      <c r="B494" t="s">
        <v>62</v>
      </c>
      <c r="C494" t="s">
        <v>100</v>
      </c>
      <c r="D494">
        <v>0.9</v>
      </c>
      <c r="E494">
        <v>1.9</v>
      </c>
      <c r="F494">
        <v>2.6764106050305911</v>
      </c>
      <c r="G494" t="s">
        <v>104</v>
      </c>
      <c r="H494" t="s">
        <v>108</v>
      </c>
    </row>
    <row r="495" spans="1:8" x14ac:dyDescent="0.3">
      <c r="A495" t="s">
        <v>27</v>
      </c>
      <c r="B495" t="s">
        <v>54</v>
      </c>
      <c r="C495" t="s">
        <v>78</v>
      </c>
      <c r="D495">
        <v>23.5</v>
      </c>
      <c r="E495">
        <v>0</v>
      </c>
      <c r="F495">
        <v>3.86607608129234</v>
      </c>
      <c r="G495" t="s">
        <v>104</v>
      </c>
      <c r="H495" t="s">
        <v>108</v>
      </c>
    </row>
    <row r="496" spans="1:8" x14ac:dyDescent="0.3">
      <c r="A496" t="s">
        <v>28</v>
      </c>
      <c r="B496" t="s">
        <v>46</v>
      </c>
      <c r="C496" t="s">
        <v>103</v>
      </c>
      <c r="D496">
        <v>0.194887</v>
      </c>
      <c r="E496">
        <v>0</v>
      </c>
    </row>
    <row r="497" spans="1:8" x14ac:dyDescent="0.3">
      <c r="A497" t="s">
        <v>28</v>
      </c>
      <c r="B497" t="s">
        <v>46</v>
      </c>
      <c r="C497" t="s">
        <v>80</v>
      </c>
      <c r="D497">
        <v>1.01E-2</v>
      </c>
      <c r="E497">
        <v>0</v>
      </c>
      <c r="F497">
        <v>28.139870918023309</v>
      </c>
      <c r="G497" t="s">
        <v>105</v>
      </c>
      <c r="H497" t="s">
        <v>108</v>
      </c>
    </row>
    <row r="498" spans="1:8" x14ac:dyDescent="0.3">
      <c r="A498" t="s">
        <v>28</v>
      </c>
      <c r="B498" t="s">
        <v>46</v>
      </c>
      <c r="C498" t="s">
        <v>81</v>
      </c>
      <c r="D498">
        <v>7.5499999999999998E-2</v>
      </c>
      <c r="E498">
        <v>0</v>
      </c>
      <c r="F498">
        <v>8.9647473560517046</v>
      </c>
      <c r="G498" t="s">
        <v>105</v>
      </c>
      <c r="H498" t="s">
        <v>108</v>
      </c>
    </row>
    <row r="499" spans="1:8" x14ac:dyDescent="0.3">
      <c r="A499" t="s">
        <v>28</v>
      </c>
      <c r="B499" t="s">
        <v>55</v>
      </c>
      <c r="C499" t="s">
        <v>86</v>
      </c>
      <c r="D499">
        <v>0.19409999999999999</v>
      </c>
      <c r="E499">
        <v>5.4980000000000002</v>
      </c>
      <c r="F499">
        <v>26.8</v>
      </c>
      <c r="G499" t="s">
        <v>106</v>
      </c>
      <c r="H499" t="s">
        <v>109</v>
      </c>
    </row>
    <row r="500" spans="1:8" x14ac:dyDescent="0.3">
      <c r="A500" t="s">
        <v>28</v>
      </c>
      <c r="B500" t="s">
        <v>55</v>
      </c>
      <c r="C500" t="s">
        <v>88</v>
      </c>
      <c r="D500">
        <v>8.0000000000000002E-3</v>
      </c>
      <c r="E500">
        <v>3.4870000000000001</v>
      </c>
      <c r="F500">
        <v>26.8</v>
      </c>
      <c r="G500" t="s">
        <v>106</v>
      </c>
      <c r="H500" t="s">
        <v>109</v>
      </c>
    </row>
    <row r="501" spans="1:8" x14ac:dyDescent="0.3">
      <c r="A501" t="s">
        <v>28</v>
      </c>
      <c r="B501" t="s">
        <v>55</v>
      </c>
      <c r="C501" t="s">
        <v>92</v>
      </c>
      <c r="D501">
        <v>0.14877000000000001</v>
      </c>
      <c r="E501">
        <v>6.0330000000000004</v>
      </c>
      <c r="F501">
        <v>26.8</v>
      </c>
      <c r="G501" t="s">
        <v>106</v>
      </c>
      <c r="H501" t="s">
        <v>109</v>
      </c>
    </row>
    <row r="502" spans="1:8" x14ac:dyDescent="0.3">
      <c r="A502" t="s">
        <v>28</v>
      </c>
      <c r="B502" t="s">
        <v>49</v>
      </c>
      <c r="C502" t="s">
        <v>71</v>
      </c>
      <c r="D502">
        <v>1.7386600000000001</v>
      </c>
      <c r="E502">
        <v>0</v>
      </c>
      <c r="F502">
        <v>3.86607608129234</v>
      </c>
      <c r="G502" t="s">
        <v>104</v>
      </c>
      <c r="H502" t="s">
        <v>108</v>
      </c>
    </row>
    <row r="503" spans="1:8" x14ac:dyDescent="0.3">
      <c r="A503" t="s">
        <v>28</v>
      </c>
      <c r="B503" t="s">
        <v>51</v>
      </c>
      <c r="C503" t="s">
        <v>75</v>
      </c>
      <c r="D503">
        <v>8.4952E-2</v>
      </c>
      <c r="E503">
        <v>8.1588885227622699E-4</v>
      </c>
      <c r="F503">
        <v>11.74</v>
      </c>
      <c r="G503" t="s">
        <v>104</v>
      </c>
      <c r="H503" t="s">
        <v>108</v>
      </c>
    </row>
    <row r="504" spans="1:8" x14ac:dyDescent="0.3">
      <c r="A504" t="s">
        <v>28</v>
      </c>
      <c r="B504" t="s">
        <v>60</v>
      </c>
      <c r="C504" t="s">
        <v>98</v>
      </c>
      <c r="D504">
        <v>0.94345999999999997</v>
      </c>
      <c r="E504">
        <v>0</v>
      </c>
      <c r="F504">
        <v>37.799999999999997</v>
      </c>
      <c r="G504" t="s">
        <v>107</v>
      </c>
      <c r="H504" t="s">
        <v>109</v>
      </c>
    </row>
    <row r="505" spans="1:8" x14ac:dyDescent="0.3">
      <c r="A505" t="s">
        <v>28</v>
      </c>
      <c r="B505" t="s">
        <v>53</v>
      </c>
      <c r="C505" t="s">
        <v>77</v>
      </c>
      <c r="D505">
        <v>4.4319999999999998E-2</v>
      </c>
      <c r="E505">
        <v>0</v>
      </c>
      <c r="F505">
        <v>3.86607608129234</v>
      </c>
      <c r="G505" t="s">
        <v>104</v>
      </c>
      <c r="H505" t="s">
        <v>108</v>
      </c>
    </row>
    <row r="506" spans="1:8" x14ac:dyDescent="0.3">
      <c r="A506" t="s">
        <v>28</v>
      </c>
      <c r="B506" t="s">
        <v>61</v>
      </c>
      <c r="C506" t="s">
        <v>103</v>
      </c>
      <c r="D506">
        <v>0.52701799999999999</v>
      </c>
      <c r="E506">
        <v>0</v>
      </c>
    </row>
    <row r="507" spans="1:8" x14ac:dyDescent="0.3">
      <c r="A507" t="s">
        <v>28</v>
      </c>
      <c r="B507" t="s">
        <v>62</v>
      </c>
      <c r="C507" t="s">
        <v>103</v>
      </c>
      <c r="D507">
        <v>6.6886000000000001E-2</v>
      </c>
      <c r="E507">
        <v>0</v>
      </c>
    </row>
    <row r="508" spans="1:8" x14ac:dyDescent="0.3">
      <c r="A508" t="s">
        <v>28</v>
      </c>
      <c r="B508" t="s">
        <v>54</v>
      </c>
      <c r="C508" t="s">
        <v>78</v>
      </c>
      <c r="D508">
        <v>3.1</v>
      </c>
      <c r="E508">
        <v>0</v>
      </c>
      <c r="F508">
        <v>3.86607608129234</v>
      </c>
      <c r="G508" t="s">
        <v>104</v>
      </c>
      <c r="H508" t="s">
        <v>108</v>
      </c>
    </row>
    <row r="509" spans="1:8" x14ac:dyDescent="0.3">
      <c r="A509" t="s">
        <v>29</v>
      </c>
      <c r="B509" t="s">
        <v>46</v>
      </c>
      <c r="C509" t="s">
        <v>64</v>
      </c>
      <c r="D509">
        <v>7.4400000000000004E-3</v>
      </c>
      <c r="E509">
        <v>0</v>
      </c>
      <c r="F509">
        <v>2.9521711768407801</v>
      </c>
      <c r="G509" t="s">
        <v>104</v>
      </c>
      <c r="H509" t="s">
        <v>108</v>
      </c>
    </row>
    <row r="510" spans="1:8" x14ac:dyDescent="0.3">
      <c r="A510" t="s">
        <v>29</v>
      </c>
      <c r="B510" t="s">
        <v>46</v>
      </c>
      <c r="C510" t="s">
        <v>79</v>
      </c>
      <c r="D510">
        <v>5.3</v>
      </c>
      <c r="E510">
        <v>0</v>
      </c>
      <c r="F510">
        <v>6.8428961748633883</v>
      </c>
      <c r="G510" t="s">
        <v>104</v>
      </c>
      <c r="H510" t="s">
        <v>108</v>
      </c>
    </row>
    <row r="511" spans="1:8" x14ac:dyDescent="0.3">
      <c r="A511" t="s">
        <v>29</v>
      </c>
      <c r="B511" t="s">
        <v>46</v>
      </c>
      <c r="C511" t="s">
        <v>80</v>
      </c>
      <c r="D511">
        <v>3.1099999999999999E-2</v>
      </c>
      <c r="E511">
        <v>0.18071476736345249</v>
      </c>
      <c r="F511">
        <v>28.139870918023309</v>
      </c>
      <c r="G511" t="s">
        <v>105</v>
      </c>
      <c r="H511" t="s">
        <v>108</v>
      </c>
    </row>
    <row r="512" spans="1:8" x14ac:dyDescent="0.3">
      <c r="A512" t="s">
        <v>29</v>
      </c>
      <c r="B512" t="s">
        <v>46</v>
      </c>
      <c r="C512" t="s">
        <v>81</v>
      </c>
      <c r="D512">
        <v>1.89E-2</v>
      </c>
      <c r="E512">
        <v>0.36545240893066983</v>
      </c>
      <c r="F512">
        <v>8.9647473560517046</v>
      </c>
      <c r="G512" t="s">
        <v>105</v>
      </c>
      <c r="H512" t="s">
        <v>108</v>
      </c>
    </row>
    <row r="513" spans="1:8" x14ac:dyDescent="0.3">
      <c r="A513" t="s">
        <v>29</v>
      </c>
      <c r="B513" t="s">
        <v>46</v>
      </c>
      <c r="C513" t="s">
        <v>82</v>
      </c>
      <c r="D513">
        <v>0.4</v>
      </c>
      <c r="E513">
        <v>2.1240000000000001</v>
      </c>
      <c r="F513">
        <v>6.8428961748633883</v>
      </c>
      <c r="G513" t="s">
        <v>104</v>
      </c>
      <c r="H513" t="s">
        <v>108</v>
      </c>
    </row>
    <row r="514" spans="1:8" x14ac:dyDescent="0.3">
      <c r="A514" t="s">
        <v>29</v>
      </c>
      <c r="B514" t="s">
        <v>55</v>
      </c>
      <c r="C514" t="s">
        <v>86</v>
      </c>
      <c r="D514">
        <v>9.5000000000000001E-2</v>
      </c>
      <c r="E514">
        <v>8.6820000000000004</v>
      </c>
      <c r="F514">
        <v>12.7</v>
      </c>
      <c r="G514" t="s">
        <v>106</v>
      </c>
      <c r="H514" t="s">
        <v>109</v>
      </c>
    </row>
    <row r="515" spans="1:8" x14ac:dyDescent="0.3">
      <c r="A515" t="s">
        <v>29</v>
      </c>
      <c r="B515" t="s">
        <v>55</v>
      </c>
      <c r="C515" t="s">
        <v>89</v>
      </c>
      <c r="D515">
        <v>2.8999999999999998E-3</v>
      </c>
      <c r="E515">
        <v>0</v>
      </c>
      <c r="F515">
        <v>12.7</v>
      </c>
      <c r="G515" t="s">
        <v>106</v>
      </c>
      <c r="H515" t="s">
        <v>109</v>
      </c>
    </row>
    <row r="516" spans="1:8" x14ac:dyDescent="0.3">
      <c r="A516" t="s">
        <v>29</v>
      </c>
      <c r="B516" t="s">
        <v>55</v>
      </c>
      <c r="C516" t="s">
        <v>90</v>
      </c>
      <c r="D516">
        <v>5.1400000000000001E-2</v>
      </c>
      <c r="E516">
        <v>10.387</v>
      </c>
      <c r="F516">
        <v>12.7</v>
      </c>
      <c r="G516" t="s">
        <v>106</v>
      </c>
      <c r="H516" t="s">
        <v>109</v>
      </c>
    </row>
    <row r="517" spans="1:8" x14ac:dyDescent="0.3">
      <c r="A517" t="s">
        <v>29</v>
      </c>
      <c r="B517" t="s">
        <v>55</v>
      </c>
      <c r="C517" t="s">
        <v>91</v>
      </c>
      <c r="D517">
        <v>6.0499999999999998E-2</v>
      </c>
      <c r="E517">
        <v>8.9979999999999993</v>
      </c>
      <c r="F517">
        <v>12.7</v>
      </c>
      <c r="G517" t="s">
        <v>106</v>
      </c>
      <c r="H517" t="s">
        <v>109</v>
      </c>
    </row>
    <row r="518" spans="1:8" x14ac:dyDescent="0.3">
      <c r="A518" t="s">
        <v>29</v>
      </c>
      <c r="B518" t="s">
        <v>55</v>
      </c>
      <c r="C518" t="s">
        <v>92</v>
      </c>
      <c r="D518">
        <v>0.53463000000000005</v>
      </c>
      <c r="E518">
        <v>10.631</v>
      </c>
      <c r="F518">
        <v>12.7</v>
      </c>
      <c r="G518" t="s">
        <v>106</v>
      </c>
      <c r="H518" t="s">
        <v>109</v>
      </c>
    </row>
    <row r="519" spans="1:8" x14ac:dyDescent="0.3">
      <c r="A519" t="s">
        <v>29</v>
      </c>
      <c r="B519" t="s">
        <v>47</v>
      </c>
      <c r="C519" t="s">
        <v>101</v>
      </c>
      <c r="D519">
        <v>2</v>
      </c>
      <c r="E519">
        <v>2.4350000000000001</v>
      </c>
      <c r="F519">
        <v>43.8</v>
      </c>
      <c r="G519" t="s">
        <v>104</v>
      </c>
      <c r="H519" t="s">
        <v>109</v>
      </c>
    </row>
    <row r="520" spans="1:8" x14ac:dyDescent="0.3">
      <c r="A520" t="s">
        <v>29</v>
      </c>
      <c r="B520" t="s">
        <v>57</v>
      </c>
      <c r="C520" t="s">
        <v>94</v>
      </c>
      <c r="D520">
        <v>1.6</v>
      </c>
      <c r="E520">
        <v>6.9569999999999999</v>
      </c>
      <c r="F520">
        <v>19.8</v>
      </c>
      <c r="G520" t="s">
        <v>104</v>
      </c>
      <c r="H520" t="s">
        <v>109</v>
      </c>
    </row>
    <row r="521" spans="1:8" x14ac:dyDescent="0.3">
      <c r="A521" t="s">
        <v>29</v>
      </c>
      <c r="B521" t="s">
        <v>49</v>
      </c>
      <c r="C521" t="s">
        <v>71</v>
      </c>
      <c r="D521">
        <v>31.767659999999999</v>
      </c>
      <c r="E521">
        <v>0</v>
      </c>
      <c r="F521">
        <v>3.86607608129234</v>
      </c>
      <c r="G521" t="s">
        <v>104</v>
      </c>
      <c r="H521" t="s">
        <v>108</v>
      </c>
    </row>
    <row r="522" spans="1:8" x14ac:dyDescent="0.3">
      <c r="A522" t="s">
        <v>29</v>
      </c>
      <c r="B522" t="s">
        <v>49</v>
      </c>
      <c r="C522" t="s">
        <v>72</v>
      </c>
      <c r="D522">
        <v>3.5</v>
      </c>
      <c r="E522">
        <v>0</v>
      </c>
      <c r="F522">
        <v>3.86607608129234</v>
      </c>
      <c r="G522" t="s">
        <v>104</v>
      </c>
      <c r="H522" t="s">
        <v>108</v>
      </c>
    </row>
    <row r="523" spans="1:8" x14ac:dyDescent="0.3">
      <c r="A523" t="s">
        <v>29</v>
      </c>
      <c r="B523" t="s">
        <v>58</v>
      </c>
      <c r="C523" t="s">
        <v>95</v>
      </c>
      <c r="D523">
        <v>1.84483</v>
      </c>
      <c r="E523">
        <v>3.3580000000000001</v>
      </c>
      <c r="F523">
        <v>2.9521711768407801</v>
      </c>
      <c r="G523" t="s">
        <v>104</v>
      </c>
      <c r="H523" t="s">
        <v>108</v>
      </c>
    </row>
    <row r="524" spans="1:8" x14ac:dyDescent="0.3">
      <c r="A524" t="s">
        <v>29</v>
      </c>
      <c r="B524" t="s">
        <v>50</v>
      </c>
      <c r="C524" t="s">
        <v>73</v>
      </c>
      <c r="D524">
        <v>0.3</v>
      </c>
      <c r="E524">
        <v>5.0090000000000003</v>
      </c>
      <c r="F524">
        <v>20.723404255319149</v>
      </c>
      <c r="G524" t="s">
        <v>105</v>
      </c>
      <c r="H524" t="s">
        <v>108</v>
      </c>
    </row>
    <row r="525" spans="1:8" x14ac:dyDescent="0.3">
      <c r="A525" t="s">
        <v>29</v>
      </c>
      <c r="B525" t="s">
        <v>50</v>
      </c>
      <c r="C525" t="s">
        <v>74</v>
      </c>
      <c r="D525">
        <v>5.0999999999999996</v>
      </c>
      <c r="E525">
        <v>3.5</v>
      </c>
      <c r="F525">
        <v>2.0635593220338988</v>
      </c>
      <c r="G525" t="s">
        <v>105</v>
      </c>
      <c r="H525" t="s">
        <v>108</v>
      </c>
    </row>
    <row r="526" spans="1:8" x14ac:dyDescent="0.3">
      <c r="A526" t="s">
        <v>29</v>
      </c>
      <c r="B526" t="s">
        <v>51</v>
      </c>
      <c r="C526" t="s">
        <v>75</v>
      </c>
      <c r="D526">
        <v>0.47428399999999998</v>
      </c>
      <c r="E526">
        <v>2.41107984301965E-4</v>
      </c>
      <c r="F526">
        <v>11.74</v>
      </c>
      <c r="G526" t="s">
        <v>104</v>
      </c>
      <c r="H526" t="s">
        <v>108</v>
      </c>
    </row>
    <row r="527" spans="1:8" x14ac:dyDescent="0.3">
      <c r="A527" t="s">
        <v>29</v>
      </c>
      <c r="B527" t="s">
        <v>60</v>
      </c>
      <c r="C527" t="s">
        <v>98</v>
      </c>
      <c r="D527">
        <v>1.86835</v>
      </c>
      <c r="E527">
        <v>16.058002148227711</v>
      </c>
      <c r="F527">
        <v>28.2</v>
      </c>
      <c r="G527" t="s">
        <v>107</v>
      </c>
      <c r="H527" t="s">
        <v>109</v>
      </c>
    </row>
    <row r="528" spans="1:8" x14ac:dyDescent="0.3">
      <c r="A528" t="s">
        <v>29</v>
      </c>
      <c r="B528" t="s">
        <v>53</v>
      </c>
      <c r="C528" t="s">
        <v>77</v>
      </c>
      <c r="D528">
        <v>4.7766900000000003</v>
      </c>
      <c r="E528">
        <v>0</v>
      </c>
      <c r="F528">
        <v>3.86607608129234</v>
      </c>
      <c r="G528" t="s">
        <v>104</v>
      </c>
      <c r="H528" t="s">
        <v>108</v>
      </c>
    </row>
    <row r="529" spans="1:8" x14ac:dyDescent="0.3">
      <c r="A529" t="s">
        <v>29</v>
      </c>
      <c r="B529" t="s">
        <v>61</v>
      </c>
      <c r="C529" t="s">
        <v>99</v>
      </c>
      <c r="D529">
        <v>6.4</v>
      </c>
      <c r="E529">
        <v>0</v>
      </c>
      <c r="F529">
        <v>2.9245635910224439</v>
      </c>
      <c r="G529" t="s">
        <v>104</v>
      </c>
      <c r="H529" t="s">
        <v>108</v>
      </c>
    </row>
    <row r="530" spans="1:8" x14ac:dyDescent="0.3">
      <c r="A530" t="s">
        <v>29</v>
      </c>
      <c r="B530" t="s">
        <v>62</v>
      </c>
      <c r="C530" t="s">
        <v>100</v>
      </c>
      <c r="D530">
        <v>2.8</v>
      </c>
      <c r="E530">
        <v>1.9</v>
      </c>
      <c r="F530">
        <v>2.6764106050305911</v>
      </c>
      <c r="G530" t="s">
        <v>104</v>
      </c>
      <c r="H530" t="s">
        <v>108</v>
      </c>
    </row>
    <row r="531" spans="1:8" x14ac:dyDescent="0.3">
      <c r="A531" t="s">
        <v>29</v>
      </c>
      <c r="B531" t="s">
        <v>54</v>
      </c>
      <c r="C531" t="s">
        <v>78</v>
      </c>
      <c r="D531">
        <v>43.6</v>
      </c>
      <c r="E531">
        <v>0</v>
      </c>
      <c r="F531">
        <v>3.86607608129234</v>
      </c>
      <c r="G531" t="s">
        <v>104</v>
      </c>
      <c r="H531" t="s">
        <v>108</v>
      </c>
    </row>
    <row r="532" spans="1:8" x14ac:dyDescent="0.3">
      <c r="A532" t="s">
        <v>30</v>
      </c>
      <c r="B532" t="s">
        <v>46</v>
      </c>
      <c r="C532" t="s">
        <v>63</v>
      </c>
      <c r="D532">
        <v>2.0999999999999999E-3</v>
      </c>
      <c r="E532">
        <v>2.9286474973375931</v>
      </c>
      <c r="F532">
        <v>3.950479233226837</v>
      </c>
      <c r="G532" t="s">
        <v>104</v>
      </c>
      <c r="H532" t="s">
        <v>108</v>
      </c>
    </row>
    <row r="533" spans="1:8" x14ac:dyDescent="0.3">
      <c r="A533" t="s">
        <v>30</v>
      </c>
      <c r="B533" t="s">
        <v>46</v>
      </c>
      <c r="C533" t="s">
        <v>64</v>
      </c>
      <c r="D533">
        <v>9.5600000000000008E-3</v>
      </c>
      <c r="E533">
        <v>5.9870000000000001</v>
      </c>
      <c r="F533">
        <v>2.9521711768407801</v>
      </c>
      <c r="G533" t="s">
        <v>104</v>
      </c>
      <c r="H533" t="s">
        <v>108</v>
      </c>
    </row>
    <row r="534" spans="1:8" x14ac:dyDescent="0.3">
      <c r="A534" t="s">
        <v>30</v>
      </c>
      <c r="B534" t="s">
        <v>47</v>
      </c>
      <c r="C534" t="s">
        <v>68</v>
      </c>
      <c r="D534">
        <v>0.5</v>
      </c>
      <c r="E534">
        <v>6.101</v>
      </c>
      <c r="F534">
        <v>14.5</v>
      </c>
      <c r="G534" t="s">
        <v>104</v>
      </c>
      <c r="H534" t="s">
        <v>109</v>
      </c>
    </row>
    <row r="535" spans="1:8" x14ac:dyDescent="0.3">
      <c r="A535" t="s">
        <v>30</v>
      </c>
      <c r="B535" t="s">
        <v>47</v>
      </c>
      <c r="C535" t="s">
        <v>69</v>
      </c>
      <c r="D535">
        <v>0.4</v>
      </c>
      <c r="E535">
        <v>5.052999999999999</v>
      </c>
      <c r="F535">
        <v>14.5</v>
      </c>
      <c r="G535" t="s">
        <v>104</v>
      </c>
      <c r="H535" t="s">
        <v>109</v>
      </c>
    </row>
    <row r="536" spans="1:8" x14ac:dyDescent="0.3">
      <c r="A536" t="s">
        <v>30</v>
      </c>
      <c r="B536" t="s">
        <v>48</v>
      </c>
      <c r="C536" t="s">
        <v>70</v>
      </c>
      <c r="D536">
        <v>0.2</v>
      </c>
      <c r="E536">
        <v>0</v>
      </c>
      <c r="F536">
        <v>0</v>
      </c>
      <c r="G536" t="s">
        <v>104</v>
      </c>
      <c r="H536" t="s">
        <v>109</v>
      </c>
    </row>
    <row r="537" spans="1:8" x14ac:dyDescent="0.3">
      <c r="A537" t="s">
        <v>30</v>
      </c>
      <c r="B537" t="s">
        <v>49</v>
      </c>
      <c r="C537" t="s">
        <v>72</v>
      </c>
      <c r="D537">
        <v>0.3</v>
      </c>
      <c r="E537">
        <v>1.903</v>
      </c>
      <c r="F537">
        <v>3.86607608129234</v>
      </c>
      <c r="G537" t="s">
        <v>104</v>
      </c>
      <c r="H537" t="s">
        <v>108</v>
      </c>
    </row>
    <row r="538" spans="1:8" x14ac:dyDescent="0.3">
      <c r="A538" t="s">
        <v>30</v>
      </c>
      <c r="B538" t="s">
        <v>50</v>
      </c>
      <c r="C538" t="s">
        <v>74</v>
      </c>
      <c r="D538">
        <v>0.1</v>
      </c>
      <c r="E538">
        <v>4.7690000000000001</v>
      </c>
      <c r="F538">
        <v>2.0635593220338988</v>
      </c>
      <c r="G538" t="s">
        <v>105</v>
      </c>
      <c r="H538" t="s">
        <v>108</v>
      </c>
    </row>
    <row r="539" spans="1:8" x14ac:dyDescent="0.3">
      <c r="A539" t="s">
        <v>30</v>
      </c>
      <c r="B539" t="s">
        <v>51</v>
      </c>
      <c r="C539" t="s">
        <v>75</v>
      </c>
      <c r="D539">
        <v>0</v>
      </c>
      <c r="E539">
        <v>0.170963909829246</v>
      </c>
      <c r="F539">
        <v>11.74</v>
      </c>
      <c r="G539" t="s">
        <v>104</v>
      </c>
      <c r="H539" t="s">
        <v>108</v>
      </c>
    </row>
    <row r="540" spans="1:8" x14ac:dyDescent="0.3">
      <c r="A540" t="s">
        <v>30</v>
      </c>
      <c r="B540" t="s">
        <v>53</v>
      </c>
      <c r="C540" t="s">
        <v>77</v>
      </c>
      <c r="D540">
        <v>0.79108000000000001</v>
      </c>
      <c r="E540">
        <v>1.903</v>
      </c>
      <c r="F540">
        <v>3.86607608129234</v>
      </c>
      <c r="G540" t="s">
        <v>104</v>
      </c>
      <c r="H540" t="s">
        <v>108</v>
      </c>
    </row>
    <row r="541" spans="1:8" x14ac:dyDescent="0.3">
      <c r="A541" t="s">
        <v>31</v>
      </c>
      <c r="B541" t="s">
        <v>46</v>
      </c>
      <c r="C541" t="s">
        <v>63</v>
      </c>
      <c r="D541">
        <v>8.0999999999999996E-3</v>
      </c>
      <c r="E541">
        <v>2.9286474973375931</v>
      </c>
      <c r="F541">
        <v>3.950479233226837</v>
      </c>
      <c r="G541" t="s">
        <v>104</v>
      </c>
      <c r="H541" t="s">
        <v>108</v>
      </c>
    </row>
    <row r="542" spans="1:8" x14ac:dyDescent="0.3">
      <c r="A542" t="s">
        <v>31</v>
      </c>
      <c r="B542" t="s">
        <v>46</v>
      </c>
      <c r="C542" t="s">
        <v>64</v>
      </c>
      <c r="D542">
        <v>6.198E-2</v>
      </c>
      <c r="E542">
        <v>6.2270000000000003</v>
      </c>
      <c r="F542">
        <v>2.9521711768407801</v>
      </c>
      <c r="G542" t="s">
        <v>104</v>
      </c>
      <c r="H542" t="s">
        <v>108</v>
      </c>
    </row>
    <row r="543" spans="1:8" x14ac:dyDescent="0.3">
      <c r="A543" t="s">
        <v>31</v>
      </c>
      <c r="B543" t="s">
        <v>46</v>
      </c>
      <c r="C543" t="s">
        <v>66</v>
      </c>
      <c r="D543">
        <v>0.1</v>
      </c>
      <c r="E543">
        <v>0</v>
      </c>
      <c r="F543">
        <v>6.8428961748633883</v>
      </c>
      <c r="G543" t="s">
        <v>104</v>
      </c>
      <c r="H543" t="s">
        <v>108</v>
      </c>
    </row>
    <row r="544" spans="1:8" x14ac:dyDescent="0.3">
      <c r="A544" t="s">
        <v>31</v>
      </c>
      <c r="B544" t="s">
        <v>46</v>
      </c>
      <c r="C544" t="s">
        <v>83</v>
      </c>
      <c r="D544">
        <v>3.696E-2</v>
      </c>
      <c r="E544">
        <v>0</v>
      </c>
      <c r="F544">
        <v>6.8428961748633883</v>
      </c>
      <c r="G544" t="s">
        <v>104</v>
      </c>
      <c r="H544" t="s">
        <v>108</v>
      </c>
    </row>
    <row r="545" spans="1:8" x14ac:dyDescent="0.3">
      <c r="A545" t="s">
        <v>31</v>
      </c>
      <c r="B545" t="s">
        <v>46</v>
      </c>
      <c r="C545" t="s">
        <v>85</v>
      </c>
      <c r="D545">
        <v>0.1</v>
      </c>
      <c r="E545">
        <v>4.1369999999999996</v>
      </c>
      <c r="F545">
        <v>2.9521711768407801</v>
      </c>
      <c r="G545" t="s">
        <v>104</v>
      </c>
      <c r="H545" t="s">
        <v>108</v>
      </c>
    </row>
    <row r="546" spans="1:8" x14ac:dyDescent="0.3">
      <c r="A546" t="s">
        <v>31</v>
      </c>
      <c r="B546" t="s">
        <v>47</v>
      </c>
      <c r="C546" t="s">
        <v>68</v>
      </c>
      <c r="D546">
        <v>3.5</v>
      </c>
      <c r="E546">
        <v>3.4910000000000001</v>
      </c>
      <c r="F546">
        <v>14.5</v>
      </c>
      <c r="G546" t="s">
        <v>104</v>
      </c>
      <c r="H546" t="s">
        <v>109</v>
      </c>
    </row>
    <row r="547" spans="1:8" x14ac:dyDescent="0.3">
      <c r="A547" t="s">
        <v>31</v>
      </c>
      <c r="B547" t="s">
        <v>47</v>
      </c>
      <c r="C547" t="s">
        <v>69</v>
      </c>
      <c r="D547">
        <v>2.5</v>
      </c>
      <c r="E547">
        <v>3.4660000000000002</v>
      </c>
      <c r="F547">
        <v>14.5</v>
      </c>
      <c r="G547" t="s">
        <v>104</v>
      </c>
      <c r="H547" t="s">
        <v>109</v>
      </c>
    </row>
    <row r="548" spans="1:8" x14ac:dyDescent="0.3">
      <c r="A548" t="s">
        <v>31</v>
      </c>
      <c r="B548" t="s">
        <v>48</v>
      </c>
      <c r="C548" t="s">
        <v>70</v>
      </c>
      <c r="D548">
        <v>1.3</v>
      </c>
      <c r="E548">
        <v>8.8469999999999995</v>
      </c>
      <c r="F548">
        <v>0</v>
      </c>
      <c r="G548" t="s">
        <v>104</v>
      </c>
      <c r="H548" t="s">
        <v>109</v>
      </c>
    </row>
    <row r="549" spans="1:8" x14ac:dyDescent="0.3">
      <c r="A549" t="s">
        <v>31</v>
      </c>
      <c r="B549" t="s">
        <v>49</v>
      </c>
      <c r="C549" t="s">
        <v>71</v>
      </c>
      <c r="D549">
        <v>0.64019000000000004</v>
      </c>
      <c r="E549">
        <v>0</v>
      </c>
      <c r="F549">
        <v>3.86607608129234</v>
      </c>
      <c r="G549" t="s">
        <v>104</v>
      </c>
      <c r="H549" t="s">
        <v>108</v>
      </c>
    </row>
    <row r="550" spans="1:8" x14ac:dyDescent="0.3">
      <c r="A550" t="s">
        <v>31</v>
      </c>
      <c r="B550" t="s">
        <v>49</v>
      </c>
      <c r="C550" t="s">
        <v>72</v>
      </c>
      <c r="D550">
        <v>1</v>
      </c>
      <c r="E550">
        <v>0</v>
      </c>
      <c r="F550">
        <v>3.86607608129234</v>
      </c>
      <c r="G550" t="s">
        <v>104</v>
      </c>
      <c r="H550" t="s">
        <v>108</v>
      </c>
    </row>
    <row r="551" spans="1:8" x14ac:dyDescent="0.3">
      <c r="A551" t="s">
        <v>31</v>
      </c>
      <c r="B551" t="s">
        <v>50</v>
      </c>
      <c r="C551" t="s">
        <v>73</v>
      </c>
      <c r="D551">
        <v>0.2</v>
      </c>
      <c r="E551">
        <v>4.7309999999999999</v>
      </c>
      <c r="F551">
        <v>20.723404255319149</v>
      </c>
      <c r="G551" t="s">
        <v>105</v>
      </c>
      <c r="H551" t="s">
        <v>108</v>
      </c>
    </row>
    <row r="552" spans="1:8" x14ac:dyDescent="0.3">
      <c r="A552" t="s">
        <v>31</v>
      </c>
      <c r="B552" t="s">
        <v>50</v>
      </c>
      <c r="C552" t="s">
        <v>74</v>
      </c>
      <c r="D552">
        <v>0.3</v>
      </c>
      <c r="E552">
        <v>4.7690000000000001</v>
      </c>
      <c r="F552">
        <v>2.0635593220338988</v>
      </c>
      <c r="G552" t="s">
        <v>105</v>
      </c>
      <c r="H552" t="s">
        <v>108</v>
      </c>
    </row>
    <row r="553" spans="1:8" x14ac:dyDescent="0.3">
      <c r="A553" t="s">
        <v>31</v>
      </c>
      <c r="B553" t="s">
        <v>51</v>
      </c>
      <c r="C553" t="s">
        <v>75</v>
      </c>
      <c r="D553">
        <v>0.42175200000000002</v>
      </c>
      <c r="E553">
        <v>0.100350700965732</v>
      </c>
      <c r="F553">
        <v>11.74</v>
      </c>
      <c r="G553" t="s">
        <v>104</v>
      </c>
      <c r="H553" t="s">
        <v>108</v>
      </c>
    </row>
    <row r="554" spans="1:8" x14ac:dyDescent="0.3">
      <c r="A554" t="s">
        <v>31</v>
      </c>
      <c r="B554" t="s">
        <v>52</v>
      </c>
      <c r="C554" t="s">
        <v>76</v>
      </c>
      <c r="D554">
        <v>2E-3</v>
      </c>
      <c r="E554">
        <v>8.4824999999999999</v>
      </c>
      <c r="F554">
        <v>12.68872359754714</v>
      </c>
      <c r="G554" t="s">
        <v>105</v>
      </c>
      <c r="H554" t="s">
        <v>108</v>
      </c>
    </row>
    <row r="555" spans="1:8" x14ac:dyDescent="0.3">
      <c r="A555" t="s">
        <v>31</v>
      </c>
      <c r="B555" t="s">
        <v>53</v>
      </c>
      <c r="C555" t="s">
        <v>77</v>
      </c>
      <c r="D555">
        <v>3.9526300000000001</v>
      </c>
      <c r="E555">
        <v>0</v>
      </c>
      <c r="F555">
        <v>3.86607608129234</v>
      </c>
      <c r="G555" t="s">
        <v>104</v>
      </c>
      <c r="H555" t="s">
        <v>108</v>
      </c>
    </row>
    <row r="556" spans="1:8" x14ac:dyDescent="0.3">
      <c r="A556" t="s">
        <v>31</v>
      </c>
      <c r="B556" t="s">
        <v>54</v>
      </c>
      <c r="C556" t="s">
        <v>78</v>
      </c>
      <c r="D556">
        <v>2.5</v>
      </c>
      <c r="E556">
        <v>0</v>
      </c>
      <c r="F556">
        <v>3.86607608129234</v>
      </c>
      <c r="G556" t="s">
        <v>104</v>
      </c>
      <c r="H556" t="s">
        <v>108</v>
      </c>
    </row>
    <row r="557" spans="1:8" x14ac:dyDescent="0.3">
      <c r="A557" t="s">
        <v>32</v>
      </c>
      <c r="B557" t="s">
        <v>46</v>
      </c>
      <c r="C557" t="s">
        <v>103</v>
      </c>
      <c r="D557">
        <v>1.0678E-2</v>
      </c>
      <c r="E557">
        <v>0</v>
      </c>
    </row>
    <row r="558" spans="1:8" x14ac:dyDescent="0.3">
      <c r="A558" t="s">
        <v>32</v>
      </c>
      <c r="B558" t="s">
        <v>51</v>
      </c>
      <c r="C558" t="s">
        <v>75</v>
      </c>
      <c r="D558">
        <v>2.8699810000000001</v>
      </c>
      <c r="E558">
        <v>3.4227324776695998E-5</v>
      </c>
      <c r="F558">
        <v>11.74</v>
      </c>
      <c r="G558" t="s">
        <v>104</v>
      </c>
      <c r="H558" t="s">
        <v>108</v>
      </c>
    </row>
    <row r="559" spans="1:8" x14ac:dyDescent="0.3">
      <c r="A559" t="s">
        <v>33</v>
      </c>
      <c r="B559" t="s">
        <v>46</v>
      </c>
      <c r="C559" t="s">
        <v>64</v>
      </c>
      <c r="D559">
        <v>4.6050000000000001E-2</v>
      </c>
      <c r="E559">
        <v>4.7655461454940289</v>
      </c>
      <c r="F559">
        <v>2.9521711768407801</v>
      </c>
      <c r="G559" t="s">
        <v>104</v>
      </c>
      <c r="H559" t="s">
        <v>108</v>
      </c>
    </row>
    <row r="560" spans="1:8" x14ac:dyDescent="0.3">
      <c r="A560" t="s">
        <v>33</v>
      </c>
      <c r="B560" t="s">
        <v>46</v>
      </c>
      <c r="C560" t="s">
        <v>79</v>
      </c>
      <c r="D560">
        <v>0.9</v>
      </c>
      <c r="E560">
        <v>7.9247777777777788</v>
      </c>
      <c r="F560">
        <v>6.8428961748633883</v>
      </c>
      <c r="G560" t="s">
        <v>104</v>
      </c>
      <c r="H560" t="s">
        <v>108</v>
      </c>
    </row>
    <row r="561" spans="1:8" x14ac:dyDescent="0.3">
      <c r="A561" t="s">
        <v>33</v>
      </c>
      <c r="B561" t="s">
        <v>46</v>
      </c>
      <c r="C561" t="s">
        <v>80</v>
      </c>
      <c r="D561">
        <v>0.94310000000000005</v>
      </c>
      <c r="E561">
        <v>0.33378287255563049</v>
      </c>
      <c r="F561">
        <v>28.139870918023309</v>
      </c>
      <c r="G561" t="s">
        <v>105</v>
      </c>
      <c r="H561" t="s">
        <v>108</v>
      </c>
    </row>
    <row r="562" spans="1:8" x14ac:dyDescent="0.3">
      <c r="A562" t="s">
        <v>33</v>
      </c>
      <c r="B562" t="s">
        <v>46</v>
      </c>
      <c r="C562" t="s">
        <v>81</v>
      </c>
      <c r="D562">
        <v>0.94179999999999997</v>
      </c>
      <c r="E562">
        <v>1.173913043478261</v>
      </c>
      <c r="F562">
        <v>8.9647473560517046</v>
      </c>
      <c r="G562" t="s">
        <v>105</v>
      </c>
      <c r="H562" t="s">
        <v>108</v>
      </c>
    </row>
    <row r="563" spans="1:8" x14ac:dyDescent="0.3">
      <c r="A563" t="s">
        <v>33</v>
      </c>
      <c r="B563" t="s">
        <v>46</v>
      </c>
      <c r="C563" t="s">
        <v>66</v>
      </c>
      <c r="D563">
        <v>0.2</v>
      </c>
      <c r="E563">
        <v>8.277000000000001</v>
      </c>
      <c r="F563">
        <v>6.8428961748633883</v>
      </c>
      <c r="G563" t="s">
        <v>104</v>
      </c>
      <c r="H563" t="s">
        <v>108</v>
      </c>
    </row>
    <row r="564" spans="1:8" x14ac:dyDescent="0.3">
      <c r="A564" t="s">
        <v>33</v>
      </c>
      <c r="B564" t="s">
        <v>46</v>
      </c>
      <c r="C564" t="s">
        <v>84</v>
      </c>
      <c r="D564">
        <v>0.1</v>
      </c>
      <c r="E564">
        <v>3.6680000000000001</v>
      </c>
      <c r="F564">
        <v>28.139870918023309</v>
      </c>
      <c r="G564" t="s">
        <v>105</v>
      </c>
      <c r="H564" t="s">
        <v>108</v>
      </c>
    </row>
    <row r="565" spans="1:8" x14ac:dyDescent="0.3">
      <c r="A565" t="s">
        <v>33</v>
      </c>
      <c r="B565" t="s">
        <v>55</v>
      </c>
      <c r="C565" t="s">
        <v>86</v>
      </c>
      <c r="D565">
        <v>0.1313</v>
      </c>
      <c r="E565">
        <v>11.643000000000001</v>
      </c>
      <c r="F565">
        <v>42.1</v>
      </c>
      <c r="G565" t="s">
        <v>106</v>
      </c>
      <c r="H565" t="s">
        <v>109</v>
      </c>
    </row>
    <row r="566" spans="1:8" x14ac:dyDescent="0.3">
      <c r="A566" t="s">
        <v>33</v>
      </c>
      <c r="B566" t="s">
        <v>55</v>
      </c>
      <c r="C566" t="s">
        <v>88</v>
      </c>
      <c r="D566">
        <v>6.7400000000000002E-2</v>
      </c>
      <c r="E566">
        <v>11.102</v>
      </c>
      <c r="F566">
        <v>42.1</v>
      </c>
      <c r="G566" t="s">
        <v>106</v>
      </c>
      <c r="H566" t="s">
        <v>109</v>
      </c>
    </row>
    <row r="567" spans="1:8" x14ac:dyDescent="0.3">
      <c r="A567" t="s">
        <v>33</v>
      </c>
      <c r="B567" t="s">
        <v>55</v>
      </c>
      <c r="C567" t="s">
        <v>89</v>
      </c>
      <c r="D567">
        <v>6.7900000000000002E-2</v>
      </c>
      <c r="E567">
        <v>0</v>
      </c>
      <c r="F567">
        <v>42.1</v>
      </c>
      <c r="G567" t="s">
        <v>106</v>
      </c>
      <c r="H567" t="s">
        <v>109</v>
      </c>
    </row>
    <row r="568" spans="1:8" x14ac:dyDescent="0.3">
      <c r="A568" t="s">
        <v>33</v>
      </c>
      <c r="B568" t="s">
        <v>55</v>
      </c>
      <c r="C568" t="s">
        <v>90</v>
      </c>
      <c r="D568">
        <v>1.89E-2</v>
      </c>
      <c r="E568">
        <v>15.02100000000001</v>
      </c>
      <c r="F568">
        <v>42.1</v>
      </c>
      <c r="G568" t="s">
        <v>106</v>
      </c>
      <c r="H568" t="s">
        <v>109</v>
      </c>
    </row>
    <row r="569" spans="1:8" x14ac:dyDescent="0.3">
      <c r="A569" t="s">
        <v>33</v>
      </c>
      <c r="B569" t="s">
        <v>55</v>
      </c>
      <c r="C569" t="s">
        <v>91</v>
      </c>
      <c r="D569">
        <v>9.9999999999999992E-2</v>
      </c>
      <c r="E569">
        <v>12.728</v>
      </c>
      <c r="F569">
        <v>42.1</v>
      </c>
      <c r="G569" t="s">
        <v>106</v>
      </c>
      <c r="H569" t="s">
        <v>109</v>
      </c>
    </row>
    <row r="570" spans="1:8" x14ac:dyDescent="0.3">
      <c r="A570" t="s">
        <v>33</v>
      </c>
      <c r="B570" t="s">
        <v>55</v>
      </c>
      <c r="C570" t="s">
        <v>92</v>
      </c>
      <c r="D570">
        <v>0.30449999999999999</v>
      </c>
      <c r="E570">
        <v>11.698</v>
      </c>
      <c r="F570">
        <v>42.1</v>
      </c>
      <c r="G570" t="s">
        <v>106</v>
      </c>
      <c r="H570" t="s">
        <v>109</v>
      </c>
    </row>
    <row r="571" spans="1:8" x14ac:dyDescent="0.3">
      <c r="A571" t="s">
        <v>33</v>
      </c>
      <c r="B571" t="s">
        <v>56</v>
      </c>
      <c r="C571" t="s">
        <v>93</v>
      </c>
      <c r="D571">
        <v>14.172000000000001</v>
      </c>
      <c r="E571">
        <v>2.939759036144578</v>
      </c>
      <c r="F571">
        <v>53.4</v>
      </c>
      <c r="G571" t="s">
        <v>106</v>
      </c>
      <c r="H571" t="s">
        <v>109</v>
      </c>
    </row>
    <row r="572" spans="1:8" x14ac:dyDescent="0.3">
      <c r="A572" t="s">
        <v>33</v>
      </c>
      <c r="B572" t="s">
        <v>47</v>
      </c>
      <c r="C572" t="s">
        <v>68</v>
      </c>
      <c r="D572">
        <v>4.4000000000000004</v>
      </c>
      <c r="E572">
        <v>8.9379772727272719</v>
      </c>
      <c r="F572">
        <v>23.9</v>
      </c>
      <c r="G572" t="s">
        <v>104</v>
      </c>
      <c r="H572" t="s">
        <v>109</v>
      </c>
    </row>
    <row r="573" spans="1:8" x14ac:dyDescent="0.3">
      <c r="A573" t="s">
        <v>33</v>
      </c>
      <c r="B573" t="s">
        <v>47</v>
      </c>
      <c r="C573" t="s">
        <v>69</v>
      </c>
      <c r="D573">
        <v>4.4000000000000004</v>
      </c>
      <c r="E573">
        <v>8.1014545454545441</v>
      </c>
      <c r="F573">
        <v>23.9</v>
      </c>
      <c r="G573" t="s">
        <v>104</v>
      </c>
      <c r="H573" t="s">
        <v>109</v>
      </c>
    </row>
    <row r="574" spans="1:8" x14ac:dyDescent="0.3">
      <c r="A574" t="s">
        <v>33</v>
      </c>
      <c r="B574" t="s">
        <v>57</v>
      </c>
      <c r="C574" t="s">
        <v>94</v>
      </c>
      <c r="D574">
        <v>3.3</v>
      </c>
      <c r="E574">
        <v>14.056060606060599</v>
      </c>
      <c r="F574">
        <v>49.1</v>
      </c>
      <c r="G574" t="s">
        <v>104</v>
      </c>
      <c r="H574" t="s">
        <v>109</v>
      </c>
    </row>
    <row r="575" spans="1:8" x14ac:dyDescent="0.3">
      <c r="A575" t="s">
        <v>33</v>
      </c>
      <c r="B575" t="s">
        <v>49</v>
      </c>
      <c r="C575" t="s">
        <v>71</v>
      </c>
      <c r="D575">
        <v>3.0607099999999998</v>
      </c>
      <c r="E575">
        <v>4.0264666662310384</v>
      </c>
      <c r="F575">
        <v>3.86607608129234</v>
      </c>
      <c r="G575" t="s">
        <v>104</v>
      </c>
      <c r="H575" t="s">
        <v>108</v>
      </c>
    </row>
    <row r="576" spans="1:8" x14ac:dyDescent="0.3">
      <c r="A576" t="s">
        <v>33</v>
      </c>
      <c r="B576" t="s">
        <v>49</v>
      </c>
      <c r="C576" t="s">
        <v>72</v>
      </c>
      <c r="D576">
        <v>0.4</v>
      </c>
      <c r="E576">
        <v>5.8095000000000008</v>
      </c>
      <c r="F576">
        <v>3.86607608129234</v>
      </c>
      <c r="G576" t="s">
        <v>104</v>
      </c>
      <c r="H576" t="s">
        <v>108</v>
      </c>
    </row>
    <row r="577" spans="1:8" x14ac:dyDescent="0.3">
      <c r="A577" t="s">
        <v>33</v>
      </c>
      <c r="B577" t="s">
        <v>58</v>
      </c>
      <c r="C577" t="s">
        <v>95</v>
      </c>
      <c r="D577">
        <v>1.43486</v>
      </c>
      <c r="E577">
        <v>3.4551987510976678</v>
      </c>
      <c r="F577">
        <v>2.9521711768407801</v>
      </c>
      <c r="G577" t="s">
        <v>104</v>
      </c>
      <c r="H577" t="s">
        <v>108</v>
      </c>
    </row>
    <row r="578" spans="1:8" x14ac:dyDescent="0.3">
      <c r="A578" t="s">
        <v>33</v>
      </c>
      <c r="B578" t="s">
        <v>50</v>
      </c>
      <c r="C578" t="s">
        <v>73</v>
      </c>
      <c r="D578">
        <v>7.5</v>
      </c>
      <c r="E578">
        <v>5.9187333333333338</v>
      </c>
      <c r="F578">
        <v>20.723404255319149</v>
      </c>
      <c r="G578" t="s">
        <v>105</v>
      </c>
      <c r="H578" t="s">
        <v>108</v>
      </c>
    </row>
    <row r="579" spans="1:8" x14ac:dyDescent="0.3">
      <c r="A579" t="s">
        <v>33</v>
      </c>
      <c r="B579" t="s">
        <v>50</v>
      </c>
      <c r="C579" t="s">
        <v>74</v>
      </c>
      <c r="D579">
        <v>18.2</v>
      </c>
      <c r="E579">
        <v>6.3412527472527476</v>
      </c>
      <c r="F579">
        <v>2.0635593220338988</v>
      </c>
      <c r="G579" t="s">
        <v>105</v>
      </c>
      <c r="H579" t="s">
        <v>108</v>
      </c>
    </row>
    <row r="580" spans="1:8" x14ac:dyDescent="0.3">
      <c r="A580" t="s">
        <v>33</v>
      </c>
      <c r="B580" t="s">
        <v>59</v>
      </c>
      <c r="C580" t="s">
        <v>97</v>
      </c>
      <c r="D580">
        <v>1.66E-2</v>
      </c>
      <c r="E580">
        <v>20.2930005425936</v>
      </c>
      <c r="F580">
        <v>25.7</v>
      </c>
      <c r="G580" t="s">
        <v>107</v>
      </c>
      <c r="H580" t="s">
        <v>109</v>
      </c>
    </row>
    <row r="581" spans="1:8" x14ac:dyDescent="0.3">
      <c r="A581" t="s">
        <v>33</v>
      </c>
      <c r="B581" t="s">
        <v>51</v>
      </c>
      <c r="C581" t="s">
        <v>75</v>
      </c>
      <c r="D581">
        <v>36.028149999999997</v>
      </c>
      <c r="E581">
        <v>7.2182046377837303E-2</v>
      </c>
      <c r="F581">
        <v>11.74</v>
      </c>
      <c r="G581" t="s">
        <v>104</v>
      </c>
      <c r="H581" t="s">
        <v>108</v>
      </c>
    </row>
    <row r="582" spans="1:8" x14ac:dyDescent="0.3">
      <c r="A582" t="s">
        <v>33</v>
      </c>
      <c r="B582" t="s">
        <v>60</v>
      </c>
      <c r="C582" t="s">
        <v>98</v>
      </c>
      <c r="D582">
        <v>9.4210000000000002E-2</v>
      </c>
      <c r="E582">
        <v>12.19119226638024</v>
      </c>
      <c r="F582">
        <v>61.8</v>
      </c>
      <c r="G582" t="s">
        <v>107</v>
      </c>
      <c r="H582" t="s">
        <v>109</v>
      </c>
    </row>
    <row r="583" spans="1:8" x14ac:dyDescent="0.3">
      <c r="A583" t="s">
        <v>33</v>
      </c>
      <c r="B583" t="s">
        <v>52</v>
      </c>
      <c r="C583" t="s">
        <v>76</v>
      </c>
      <c r="D583">
        <v>0.23</v>
      </c>
      <c r="E583">
        <v>8.4824999999999999</v>
      </c>
      <c r="F583">
        <v>12.68872359754714</v>
      </c>
      <c r="G583" t="s">
        <v>105</v>
      </c>
      <c r="H583" t="s">
        <v>108</v>
      </c>
    </row>
    <row r="584" spans="1:8" x14ac:dyDescent="0.3">
      <c r="A584" t="s">
        <v>33</v>
      </c>
      <c r="B584" t="s">
        <v>53</v>
      </c>
      <c r="C584" t="s">
        <v>77</v>
      </c>
      <c r="D584">
        <v>0.68162</v>
      </c>
      <c r="E584">
        <v>5.8072495378656734</v>
      </c>
      <c r="F584">
        <v>3.86607608129234</v>
      </c>
      <c r="G584" t="s">
        <v>104</v>
      </c>
      <c r="H584" t="s">
        <v>108</v>
      </c>
    </row>
    <row r="585" spans="1:8" x14ac:dyDescent="0.3">
      <c r="A585" t="s">
        <v>33</v>
      </c>
      <c r="B585" t="s">
        <v>61</v>
      </c>
      <c r="C585" t="s">
        <v>99</v>
      </c>
      <c r="D585">
        <v>0.1</v>
      </c>
      <c r="E585">
        <v>2.5129999999999999</v>
      </c>
      <c r="F585">
        <v>2.9245635910224439</v>
      </c>
      <c r="G585" t="s">
        <v>104</v>
      </c>
      <c r="H585" t="s">
        <v>108</v>
      </c>
    </row>
    <row r="586" spans="1:8" x14ac:dyDescent="0.3">
      <c r="A586" t="s">
        <v>33</v>
      </c>
      <c r="B586" t="s">
        <v>54</v>
      </c>
      <c r="C586" t="s">
        <v>78</v>
      </c>
      <c r="D586">
        <v>3.8</v>
      </c>
      <c r="E586">
        <v>12.20168421052632</v>
      </c>
      <c r="F586">
        <v>3.86607608129234</v>
      </c>
      <c r="G586" t="s">
        <v>104</v>
      </c>
      <c r="H586" t="s">
        <v>108</v>
      </c>
    </row>
    <row r="587" spans="1:8" x14ac:dyDescent="0.3">
      <c r="A587" t="s">
        <v>34</v>
      </c>
      <c r="B587" t="s">
        <v>47</v>
      </c>
      <c r="C587" t="s">
        <v>101</v>
      </c>
      <c r="D587">
        <v>1.4</v>
      </c>
      <c r="E587">
        <v>0</v>
      </c>
      <c r="F587">
        <v>0</v>
      </c>
      <c r="G587" t="s">
        <v>104</v>
      </c>
      <c r="H587" t="s">
        <v>109</v>
      </c>
    </row>
    <row r="588" spans="1:8" x14ac:dyDescent="0.3">
      <c r="A588" t="s">
        <v>34</v>
      </c>
      <c r="B588" t="s">
        <v>57</v>
      </c>
      <c r="C588" t="s">
        <v>94</v>
      </c>
      <c r="D588">
        <v>1.4</v>
      </c>
      <c r="E588">
        <v>0</v>
      </c>
      <c r="F588">
        <v>0</v>
      </c>
      <c r="G588" t="s">
        <v>104</v>
      </c>
      <c r="H588" t="s">
        <v>109</v>
      </c>
    </row>
    <row r="589" spans="1:8" x14ac:dyDescent="0.3">
      <c r="A589" t="s">
        <v>34</v>
      </c>
      <c r="B589" t="s">
        <v>49</v>
      </c>
      <c r="C589" t="s">
        <v>71</v>
      </c>
      <c r="D589">
        <v>31.51455</v>
      </c>
      <c r="E589">
        <v>5.8417085885725797</v>
      </c>
      <c r="F589">
        <v>3.86607608129234</v>
      </c>
      <c r="G589" t="s">
        <v>104</v>
      </c>
      <c r="H589" t="s">
        <v>108</v>
      </c>
    </row>
    <row r="590" spans="1:8" x14ac:dyDescent="0.3">
      <c r="A590" t="s">
        <v>34</v>
      </c>
      <c r="B590" t="s">
        <v>49</v>
      </c>
      <c r="C590" t="s">
        <v>72</v>
      </c>
      <c r="D590">
        <v>2.7</v>
      </c>
      <c r="E590">
        <v>4.6706666666666674</v>
      </c>
      <c r="F590">
        <v>3.86607608129234</v>
      </c>
      <c r="G590" t="s">
        <v>104</v>
      </c>
      <c r="H590" t="s">
        <v>108</v>
      </c>
    </row>
    <row r="591" spans="1:8" x14ac:dyDescent="0.3">
      <c r="A591" t="s">
        <v>34</v>
      </c>
      <c r="B591" t="s">
        <v>51</v>
      </c>
      <c r="C591" t="s">
        <v>75</v>
      </c>
      <c r="D591">
        <v>12.71983</v>
      </c>
      <c r="E591">
        <v>5.0577814779852398E-3</v>
      </c>
      <c r="F591">
        <v>11.74</v>
      </c>
      <c r="G591" t="s">
        <v>104</v>
      </c>
      <c r="H591" t="s">
        <v>108</v>
      </c>
    </row>
    <row r="592" spans="1:8" x14ac:dyDescent="0.3">
      <c r="A592" t="s">
        <v>34</v>
      </c>
      <c r="B592" t="s">
        <v>52</v>
      </c>
      <c r="C592" t="s">
        <v>76</v>
      </c>
      <c r="D592">
        <v>0.29699999999999999</v>
      </c>
      <c r="E592">
        <v>8.4824999999999999</v>
      </c>
      <c r="F592">
        <v>12.68872359754714</v>
      </c>
      <c r="G592" t="s">
        <v>105</v>
      </c>
      <c r="H592" t="s">
        <v>108</v>
      </c>
    </row>
    <row r="593" spans="1:8" x14ac:dyDescent="0.3">
      <c r="A593" t="s">
        <v>34</v>
      </c>
      <c r="B593" t="s">
        <v>53</v>
      </c>
      <c r="C593" t="s">
        <v>77</v>
      </c>
      <c r="D593">
        <v>5.1100899999999996</v>
      </c>
      <c r="E593">
        <v>4.6712269881743778</v>
      </c>
      <c r="F593">
        <v>3.86607608129234</v>
      </c>
      <c r="G593" t="s">
        <v>104</v>
      </c>
      <c r="H593" t="s">
        <v>108</v>
      </c>
    </row>
    <row r="594" spans="1:8" x14ac:dyDescent="0.3">
      <c r="A594" t="s">
        <v>34</v>
      </c>
      <c r="B594" t="s">
        <v>54</v>
      </c>
      <c r="C594" t="s">
        <v>78</v>
      </c>
      <c r="D594">
        <v>58.9</v>
      </c>
      <c r="E594">
        <v>9.724645161290324</v>
      </c>
      <c r="F594">
        <v>3.86607608129234</v>
      </c>
      <c r="G594" t="s">
        <v>104</v>
      </c>
      <c r="H594" t="s">
        <v>108</v>
      </c>
    </row>
    <row r="595" spans="1:8" x14ac:dyDescent="0.3">
      <c r="A595" t="s">
        <v>35</v>
      </c>
      <c r="B595" t="s">
        <v>46</v>
      </c>
      <c r="C595" t="s">
        <v>64</v>
      </c>
      <c r="D595">
        <v>0.56440999999999997</v>
      </c>
      <c r="E595">
        <v>5.699982335536224</v>
      </c>
      <c r="F595">
        <v>2.9521711768407801</v>
      </c>
      <c r="G595" t="s">
        <v>104</v>
      </c>
      <c r="H595" t="s">
        <v>108</v>
      </c>
    </row>
    <row r="596" spans="1:8" x14ac:dyDescent="0.3">
      <c r="A596" t="s">
        <v>35</v>
      </c>
      <c r="B596" t="s">
        <v>46</v>
      </c>
      <c r="C596" t="s">
        <v>79</v>
      </c>
      <c r="D596">
        <v>54.8</v>
      </c>
      <c r="E596">
        <v>3.366808394160584</v>
      </c>
      <c r="F596">
        <v>6.8428961748633883</v>
      </c>
      <c r="G596" t="s">
        <v>104</v>
      </c>
      <c r="H596" t="s">
        <v>108</v>
      </c>
    </row>
    <row r="597" spans="1:8" x14ac:dyDescent="0.3">
      <c r="A597" t="s">
        <v>35</v>
      </c>
      <c r="B597" t="s">
        <v>46</v>
      </c>
      <c r="C597" t="s">
        <v>65</v>
      </c>
      <c r="D597">
        <v>0.5</v>
      </c>
      <c r="E597">
        <v>4.9972000000000003</v>
      </c>
      <c r="F597">
        <v>2.9521711768407801</v>
      </c>
      <c r="G597" t="s">
        <v>104</v>
      </c>
      <c r="H597" t="s">
        <v>108</v>
      </c>
    </row>
    <row r="598" spans="1:8" x14ac:dyDescent="0.3">
      <c r="A598" t="s">
        <v>35</v>
      </c>
      <c r="B598" t="s">
        <v>46</v>
      </c>
      <c r="C598" t="s">
        <v>80</v>
      </c>
      <c r="D598">
        <v>0.78029999999999999</v>
      </c>
      <c r="E598">
        <v>0.46459878624409978</v>
      </c>
      <c r="F598">
        <v>28.139870918023309</v>
      </c>
      <c r="G598" t="s">
        <v>105</v>
      </c>
      <c r="H598" t="s">
        <v>108</v>
      </c>
    </row>
    <row r="599" spans="1:8" x14ac:dyDescent="0.3">
      <c r="A599" t="s">
        <v>35</v>
      </c>
      <c r="B599" t="s">
        <v>46</v>
      </c>
      <c r="C599" t="s">
        <v>81</v>
      </c>
      <c r="D599">
        <v>2.5533999999999999</v>
      </c>
      <c r="E599">
        <v>0.69388954171562867</v>
      </c>
      <c r="F599">
        <v>8.9647473560517046</v>
      </c>
      <c r="G599" t="s">
        <v>105</v>
      </c>
      <c r="H599" t="s">
        <v>108</v>
      </c>
    </row>
    <row r="600" spans="1:8" x14ac:dyDescent="0.3">
      <c r="A600" t="s">
        <v>35</v>
      </c>
      <c r="B600" t="s">
        <v>46</v>
      </c>
      <c r="C600" t="s">
        <v>66</v>
      </c>
      <c r="D600">
        <v>3.3</v>
      </c>
      <c r="E600">
        <v>3.4743030303030298</v>
      </c>
      <c r="F600">
        <v>6.8428961748633883</v>
      </c>
      <c r="G600" t="s">
        <v>104</v>
      </c>
      <c r="H600" t="s">
        <v>108</v>
      </c>
    </row>
    <row r="601" spans="1:8" x14ac:dyDescent="0.3">
      <c r="A601" t="s">
        <v>35</v>
      </c>
      <c r="B601" t="s">
        <v>46</v>
      </c>
      <c r="C601" t="s">
        <v>82</v>
      </c>
      <c r="D601">
        <v>2.8</v>
      </c>
      <c r="E601">
        <v>2.1309999999999989</v>
      </c>
      <c r="F601">
        <v>6.8428961748633883</v>
      </c>
      <c r="G601" t="s">
        <v>104</v>
      </c>
      <c r="H601" t="s">
        <v>108</v>
      </c>
    </row>
    <row r="602" spans="1:8" x14ac:dyDescent="0.3">
      <c r="A602" t="s">
        <v>35</v>
      </c>
      <c r="B602" t="s">
        <v>46</v>
      </c>
      <c r="C602" t="s">
        <v>84</v>
      </c>
      <c r="D602">
        <v>0.9</v>
      </c>
      <c r="E602">
        <v>1.959444444444445</v>
      </c>
      <c r="F602">
        <v>28.139870918023309</v>
      </c>
      <c r="G602" t="s">
        <v>105</v>
      </c>
      <c r="H602" t="s">
        <v>108</v>
      </c>
    </row>
    <row r="603" spans="1:8" x14ac:dyDescent="0.3">
      <c r="A603" t="s">
        <v>35</v>
      </c>
      <c r="B603" t="s">
        <v>55</v>
      </c>
      <c r="C603" t="s">
        <v>86</v>
      </c>
      <c r="D603">
        <v>2.1977000000000002</v>
      </c>
      <c r="E603">
        <v>9.7590000000000003</v>
      </c>
      <c r="F603">
        <v>12.6</v>
      </c>
      <c r="G603" t="s">
        <v>106</v>
      </c>
      <c r="H603" t="s">
        <v>109</v>
      </c>
    </row>
    <row r="604" spans="1:8" x14ac:dyDescent="0.3">
      <c r="A604" t="s">
        <v>35</v>
      </c>
      <c r="B604" t="s">
        <v>55</v>
      </c>
      <c r="C604" t="s">
        <v>88</v>
      </c>
      <c r="D604">
        <v>2.1255999999999999</v>
      </c>
      <c r="E604">
        <v>10.297000000000001</v>
      </c>
      <c r="F604">
        <v>12.6</v>
      </c>
      <c r="G604" t="s">
        <v>106</v>
      </c>
      <c r="H604" t="s">
        <v>109</v>
      </c>
    </row>
    <row r="605" spans="1:8" x14ac:dyDescent="0.3">
      <c r="A605" t="s">
        <v>35</v>
      </c>
      <c r="B605" t="s">
        <v>55</v>
      </c>
      <c r="C605" t="s">
        <v>89</v>
      </c>
      <c r="D605">
        <v>5.6399999999999999E-2</v>
      </c>
      <c r="E605">
        <v>0</v>
      </c>
      <c r="F605">
        <v>12.6</v>
      </c>
      <c r="G605" t="s">
        <v>106</v>
      </c>
      <c r="H605" t="s">
        <v>109</v>
      </c>
    </row>
    <row r="606" spans="1:8" x14ac:dyDescent="0.3">
      <c r="A606" t="s">
        <v>35</v>
      </c>
      <c r="B606" t="s">
        <v>55</v>
      </c>
      <c r="C606" t="s">
        <v>90</v>
      </c>
      <c r="D606">
        <v>1.2123999999999999</v>
      </c>
      <c r="E606">
        <v>10.423999999999999</v>
      </c>
      <c r="F606">
        <v>12.6</v>
      </c>
      <c r="G606" t="s">
        <v>106</v>
      </c>
      <c r="H606" t="s">
        <v>109</v>
      </c>
    </row>
    <row r="607" spans="1:8" x14ac:dyDescent="0.3">
      <c r="A607" t="s">
        <v>35</v>
      </c>
      <c r="B607" t="s">
        <v>55</v>
      </c>
      <c r="C607" t="s">
        <v>91</v>
      </c>
      <c r="D607">
        <v>3.7515999999999998</v>
      </c>
      <c r="E607">
        <v>8.9329999999999963</v>
      </c>
      <c r="F607">
        <v>12.6</v>
      </c>
      <c r="G607" t="s">
        <v>106</v>
      </c>
      <c r="H607" t="s">
        <v>109</v>
      </c>
    </row>
    <row r="608" spans="1:8" x14ac:dyDescent="0.3">
      <c r="A608" t="s">
        <v>35</v>
      </c>
      <c r="B608" t="s">
        <v>55</v>
      </c>
      <c r="C608" t="s">
        <v>92</v>
      </c>
      <c r="D608">
        <v>1.82101</v>
      </c>
      <c r="E608">
        <v>10.840999999999999</v>
      </c>
      <c r="F608">
        <v>12.6</v>
      </c>
      <c r="G608" t="s">
        <v>106</v>
      </c>
      <c r="H608" t="s">
        <v>109</v>
      </c>
    </row>
    <row r="609" spans="1:8" x14ac:dyDescent="0.3">
      <c r="A609" t="s">
        <v>35</v>
      </c>
      <c r="B609" t="s">
        <v>56</v>
      </c>
      <c r="C609" t="s">
        <v>93</v>
      </c>
      <c r="D609">
        <v>28.6905</v>
      </c>
      <c r="E609">
        <v>2.9493975903614462</v>
      </c>
      <c r="F609">
        <v>29.5</v>
      </c>
      <c r="G609" t="s">
        <v>106</v>
      </c>
      <c r="H609" t="s">
        <v>109</v>
      </c>
    </row>
    <row r="610" spans="1:8" x14ac:dyDescent="0.3">
      <c r="A610" t="s">
        <v>35</v>
      </c>
      <c r="B610" t="s">
        <v>47</v>
      </c>
      <c r="C610" t="s">
        <v>101</v>
      </c>
      <c r="D610">
        <v>82.6</v>
      </c>
      <c r="E610">
        <v>3.819061743341404</v>
      </c>
      <c r="F610">
        <v>43.8</v>
      </c>
      <c r="G610" t="s">
        <v>104</v>
      </c>
      <c r="H610" t="s">
        <v>109</v>
      </c>
    </row>
    <row r="611" spans="1:8" x14ac:dyDescent="0.3">
      <c r="A611" t="s">
        <v>35</v>
      </c>
      <c r="B611" t="s">
        <v>57</v>
      </c>
      <c r="C611" t="s">
        <v>94</v>
      </c>
      <c r="D611">
        <v>58.6</v>
      </c>
      <c r="E611">
        <v>8.9582013651877137</v>
      </c>
      <c r="F611">
        <v>19.8</v>
      </c>
      <c r="G611" t="s">
        <v>104</v>
      </c>
      <c r="H611" t="s">
        <v>109</v>
      </c>
    </row>
    <row r="612" spans="1:8" x14ac:dyDescent="0.3">
      <c r="A612" t="s">
        <v>35</v>
      </c>
      <c r="B612" t="s">
        <v>49</v>
      </c>
      <c r="C612" t="s">
        <v>71</v>
      </c>
      <c r="D612">
        <v>130.64207999999999</v>
      </c>
      <c r="E612">
        <v>3.4987914527233501</v>
      </c>
      <c r="F612">
        <v>3.86607608129234</v>
      </c>
      <c r="G612" t="s">
        <v>104</v>
      </c>
      <c r="H612" t="s">
        <v>108</v>
      </c>
    </row>
    <row r="613" spans="1:8" x14ac:dyDescent="0.3">
      <c r="A613" t="s">
        <v>35</v>
      </c>
      <c r="B613" t="s">
        <v>49</v>
      </c>
      <c r="C613" t="s">
        <v>72</v>
      </c>
      <c r="D613">
        <v>6.4</v>
      </c>
      <c r="E613">
        <v>4.8066718750000001</v>
      </c>
      <c r="F613">
        <v>3.86607608129234</v>
      </c>
      <c r="G613" t="s">
        <v>104</v>
      </c>
      <c r="H613" t="s">
        <v>108</v>
      </c>
    </row>
    <row r="614" spans="1:8" x14ac:dyDescent="0.3">
      <c r="A614" t="s">
        <v>35</v>
      </c>
      <c r="B614" t="s">
        <v>58</v>
      </c>
      <c r="C614" t="s">
        <v>95</v>
      </c>
      <c r="D614">
        <v>11.47894</v>
      </c>
      <c r="E614">
        <v>3.3519666484884492</v>
      </c>
      <c r="F614">
        <v>2.9521711768407801</v>
      </c>
      <c r="G614" t="s">
        <v>104</v>
      </c>
      <c r="H614" t="s">
        <v>108</v>
      </c>
    </row>
    <row r="615" spans="1:8" x14ac:dyDescent="0.3">
      <c r="A615" t="s">
        <v>35</v>
      </c>
      <c r="B615" t="s">
        <v>50</v>
      </c>
      <c r="C615" t="s">
        <v>73</v>
      </c>
      <c r="D615">
        <v>2.9</v>
      </c>
      <c r="E615">
        <v>5.1068965517241374</v>
      </c>
      <c r="F615">
        <v>20.723404255319149</v>
      </c>
      <c r="G615" t="s">
        <v>105</v>
      </c>
      <c r="H615" t="s">
        <v>108</v>
      </c>
    </row>
    <row r="616" spans="1:8" x14ac:dyDescent="0.3">
      <c r="A616" t="s">
        <v>35</v>
      </c>
      <c r="B616" t="s">
        <v>50</v>
      </c>
      <c r="C616" t="s">
        <v>74</v>
      </c>
      <c r="D616">
        <v>45.8</v>
      </c>
      <c r="E616">
        <v>3.482628820960699</v>
      </c>
      <c r="F616">
        <v>2.0635593220338988</v>
      </c>
      <c r="G616" t="s">
        <v>105</v>
      </c>
      <c r="H616" t="s">
        <v>108</v>
      </c>
    </row>
    <row r="617" spans="1:8" x14ac:dyDescent="0.3">
      <c r="A617" t="s">
        <v>35</v>
      </c>
      <c r="B617" t="s">
        <v>59</v>
      </c>
      <c r="C617" t="s">
        <v>96</v>
      </c>
      <c r="D617">
        <v>9.8699999999999996E-2</v>
      </c>
      <c r="E617">
        <v>18.283000000000001</v>
      </c>
      <c r="F617">
        <v>19.100000000000001</v>
      </c>
      <c r="G617" t="s">
        <v>107</v>
      </c>
      <c r="H617" t="s">
        <v>109</v>
      </c>
    </row>
    <row r="618" spans="1:8" x14ac:dyDescent="0.3">
      <c r="A618" t="s">
        <v>35</v>
      </c>
      <c r="B618" t="s">
        <v>59</v>
      </c>
      <c r="C618" t="s">
        <v>97</v>
      </c>
      <c r="D618">
        <v>0.21859999999999999</v>
      </c>
      <c r="E618">
        <v>19.099294628323381</v>
      </c>
      <c r="F618">
        <v>19.100000000000001</v>
      </c>
      <c r="G618" t="s">
        <v>107</v>
      </c>
      <c r="H618" t="s">
        <v>109</v>
      </c>
    </row>
    <row r="619" spans="1:8" x14ac:dyDescent="0.3">
      <c r="A619" t="s">
        <v>35</v>
      </c>
      <c r="B619" t="s">
        <v>51</v>
      </c>
      <c r="C619" t="s">
        <v>75</v>
      </c>
      <c r="D619">
        <v>16.485279999999999</v>
      </c>
      <c r="E619">
        <v>3.2295262128591998E-3</v>
      </c>
      <c r="F619">
        <v>11.74</v>
      </c>
      <c r="G619" t="s">
        <v>104</v>
      </c>
      <c r="H619" t="s">
        <v>108</v>
      </c>
    </row>
    <row r="620" spans="1:8" x14ac:dyDescent="0.3">
      <c r="A620" t="s">
        <v>35</v>
      </c>
      <c r="B620" t="s">
        <v>60</v>
      </c>
      <c r="C620" t="s">
        <v>98</v>
      </c>
      <c r="D620">
        <v>16.77102</v>
      </c>
      <c r="E620">
        <v>16.165413533834581</v>
      </c>
      <c r="F620">
        <v>46</v>
      </c>
      <c r="G620" t="s">
        <v>107</v>
      </c>
      <c r="H620" t="s">
        <v>109</v>
      </c>
    </row>
    <row r="621" spans="1:8" x14ac:dyDescent="0.3">
      <c r="A621" t="s">
        <v>35</v>
      </c>
      <c r="B621" t="s">
        <v>52</v>
      </c>
      <c r="C621" t="s">
        <v>76</v>
      </c>
      <c r="D621">
        <v>0.65</v>
      </c>
      <c r="E621">
        <v>8.4824999999999999</v>
      </c>
      <c r="F621">
        <v>12.68872359754714</v>
      </c>
      <c r="G621" t="s">
        <v>105</v>
      </c>
      <c r="H621" t="s">
        <v>108</v>
      </c>
    </row>
    <row r="622" spans="1:8" x14ac:dyDescent="0.3">
      <c r="A622" t="s">
        <v>35</v>
      </c>
      <c r="B622" t="s">
        <v>53</v>
      </c>
      <c r="C622" t="s">
        <v>77</v>
      </c>
      <c r="D622">
        <v>7.7642699999999998</v>
      </c>
      <c r="E622">
        <v>4.8065210135659893</v>
      </c>
      <c r="F622">
        <v>3.86607608129234</v>
      </c>
      <c r="G622" t="s">
        <v>104</v>
      </c>
      <c r="H622" t="s">
        <v>108</v>
      </c>
    </row>
    <row r="623" spans="1:8" x14ac:dyDescent="0.3">
      <c r="A623" t="s">
        <v>35</v>
      </c>
      <c r="B623" t="s">
        <v>61</v>
      </c>
      <c r="C623" t="s">
        <v>99</v>
      </c>
      <c r="D623">
        <v>9.8000000000000007</v>
      </c>
      <c r="E623">
        <v>1.721336734693877</v>
      </c>
      <c r="F623">
        <v>2.9245635910224439</v>
      </c>
      <c r="G623" t="s">
        <v>104</v>
      </c>
      <c r="H623" t="s">
        <v>108</v>
      </c>
    </row>
    <row r="624" spans="1:8" x14ac:dyDescent="0.3">
      <c r="A624" t="s">
        <v>35</v>
      </c>
      <c r="B624" t="s">
        <v>62</v>
      </c>
      <c r="C624" t="s">
        <v>100</v>
      </c>
      <c r="D624">
        <v>1.5</v>
      </c>
      <c r="E624">
        <v>0.12666666666666671</v>
      </c>
      <c r="F624">
        <v>2.6764106050305911</v>
      </c>
      <c r="G624" t="s">
        <v>104</v>
      </c>
      <c r="H624" t="s">
        <v>108</v>
      </c>
    </row>
    <row r="625" spans="1:8" x14ac:dyDescent="0.3">
      <c r="A625" t="s">
        <v>35</v>
      </c>
      <c r="B625" t="s">
        <v>54</v>
      </c>
      <c r="C625" t="s">
        <v>78</v>
      </c>
      <c r="D625">
        <v>159</v>
      </c>
      <c r="E625">
        <v>4.7198471698113202</v>
      </c>
      <c r="F625">
        <v>3.86607608129234</v>
      </c>
      <c r="G625" t="s">
        <v>104</v>
      </c>
      <c r="H625" t="s">
        <v>108</v>
      </c>
    </row>
    <row r="626" spans="1:8" x14ac:dyDescent="0.3">
      <c r="A626" t="s">
        <v>36</v>
      </c>
      <c r="B626" t="s">
        <v>46</v>
      </c>
      <c r="C626" t="s">
        <v>63</v>
      </c>
      <c r="D626">
        <v>0.63639999999999997</v>
      </c>
      <c r="E626">
        <v>2.9286474973375931</v>
      </c>
      <c r="F626">
        <v>3.950479233226837</v>
      </c>
      <c r="G626" t="s">
        <v>104</v>
      </c>
      <c r="H626" t="s">
        <v>108</v>
      </c>
    </row>
    <row r="627" spans="1:8" x14ac:dyDescent="0.3">
      <c r="A627" t="s">
        <v>36</v>
      </c>
      <c r="B627" t="s">
        <v>46</v>
      </c>
      <c r="C627" t="s">
        <v>64</v>
      </c>
      <c r="D627">
        <v>6.4179999999999987E-2</v>
      </c>
      <c r="E627">
        <v>6.3782577126830793</v>
      </c>
      <c r="F627">
        <v>2.9521711768407801</v>
      </c>
      <c r="G627" t="s">
        <v>104</v>
      </c>
      <c r="H627" t="s">
        <v>108</v>
      </c>
    </row>
    <row r="628" spans="1:8" x14ac:dyDescent="0.3">
      <c r="A628" t="s">
        <v>36</v>
      </c>
      <c r="B628" t="s">
        <v>46</v>
      </c>
      <c r="C628" t="s">
        <v>65</v>
      </c>
      <c r="D628">
        <v>0.3</v>
      </c>
      <c r="E628">
        <v>4.7543333333333333</v>
      </c>
      <c r="F628">
        <v>2.9521711768407801</v>
      </c>
      <c r="G628" t="s">
        <v>104</v>
      </c>
      <c r="H628" t="s">
        <v>108</v>
      </c>
    </row>
    <row r="629" spans="1:8" x14ac:dyDescent="0.3">
      <c r="A629" t="s">
        <v>36</v>
      </c>
      <c r="B629" t="s">
        <v>46</v>
      </c>
      <c r="C629" t="s">
        <v>80</v>
      </c>
      <c r="D629">
        <v>0.13020000000000001</v>
      </c>
      <c r="E629">
        <v>0.36952124072825349</v>
      </c>
      <c r="F629">
        <v>28.139870918023309</v>
      </c>
      <c r="G629" t="s">
        <v>105</v>
      </c>
      <c r="H629" t="s">
        <v>108</v>
      </c>
    </row>
    <row r="630" spans="1:8" x14ac:dyDescent="0.3">
      <c r="A630" t="s">
        <v>36</v>
      </c>
      <c r="B630" t="s">
        <v>46</v>
      </c>
      <c r="C630" t="s">
        <v>81</v>
      </c>
      <c r="D630">
        <v>0.54069999999999996</v>
      </c>
      <c r="E630">
        <v>1.463572267920094</v>
      </c>
      <c r="F630">
        <v>8.9647473560517046</v>
      </c>
      <c r="G630" t="s">
        <v>105</v>
      </c>
      <c r="H630" t="s">
        <v>108</v>
      </c>
    </row>
    <row r="631" spans="1:8" x14ac:dyDescent="0.3">
      <c r="A631" t="s">
        <v>36</v>
      </c>
      <c r="B631" t="s">
        <v>46</v>
      </c>
      <c r="C631" t="s">
        <v>66</v>
      </c>
      <c r="D631">
        <v>0.4</v>
      </c>
      <c r="E631">
        <v>3.0667499999999999</v>
      </c>
      <c r="F631">
        <v>6.8428961748633883</v>
      </c>
      <c r="G631" t="s">
        <v>104</v>
      </c>
      <c r="H631" t="s">
        <v>108</v>
      </c>
    </row>
    <row r="632" spans="1:8" x14ac:dyDescent="0.3">
      <c r="A632" t="s">
        <v>36</v>
      </c>
      <c r="B632" t="s">
        <v>46</v>
      </c>
      <c r="C632" t="s">
        <v>67</v>
      </c>
      <c r="D632">
        <v>0.60000000000000009</v>
      </c>
      <c r="E632">
        <v>6.1113333333333326</v>
      </c>
      <c r="F632">
        <v>2.9521711768407801</v>
      </c>
      <c r="G632" t="s">
        <v>104</v>
      </c>
      <c r="H632" t="s">
        <v>108</v>
      </c>
    </row>
    <row r="633" spans="1:8" x14ac:dyDescent="0.3">
      <c r="A633" t="s">
        <v>36</v>
      </c>
      <c r="B633" t="s">
        <v>46</v>
      </c>
      <c r="C633" t="s">
        <v>82</v>
      </c>
      <c r="D633">
        <v>0.1</v>
      </c>
      <c r="E633">
        <v>1.9059999999999999</v>
      </c>
      <c r="F633">
        <v>6.8428961748633883</v>
      </c>
      <c r="G633" t="s">
        <v>104</v>
      </c>
      <c r="H633" t="s">
        <v>108</v>
      </c>
    </row>
    <row r="634" spans="1:8" x14ac:dyDescent="0.3">
      <c r="A634" t="s">
        <v>36</v>
      </c>
      <c r="B634" t="s">
        <v>46</v>
      </c>
      <c r="C634" t="s">
        <v>83</v>
      </c>
      <c r="D634">
        <v>0.37930000000000003</v>
      </c>
      <c r="E634">
        <v>2.8479665172686519</v>
      </c>
      <c r="F634">
        <v>6.8428961748633883</v>
      </c>
      <c r="G634" t="s">
        <v>104</v>
      </c>
      <c r="H634" t="s">
        <v>108</v>
      </c>
    </row>
    <row r="635" spans="1:8" x14ac:dyDescent="0.3">
      <c r="A635" t="s">
        <v>36</v>
      </c>
      <c r="B635" t="s">
        <v>46</v>
      </c>
      <c r="C635" t="s">
        <v>85</v>
      </c>
      <c r="D635">
        <v>0.3</v>
      </c>
      <c r="E635">
        <v>3.9403333333333328</v>
      </c>
      <c r="F635">
        <v>2.9521711768407801</v>
      </c>
      <c r="G635" t="s">
        <v>104</v>
      </c>
      <c r="H635" t="s">
        <v>108</v>
      </c>
    </row>
    <row r="636" spans="1:8" x14ac:dyDescent="0.3">
      <c r="A636" t="s">
        <v>36</v>
      </c>
      <c r="B636" t="s">
        <v>55</v>
      </c>
      <c r="C636" t="s">
        <v>86</v>
      </c>
      <c r="D636">
        <v>6.0300000000000013E-2</v>
      </c>
      <c r="E636">
        <v>13.714</v>
      </c>
      <c r="F636">
        <v>22.9</v>
      </c>
      <c r="G636" t="s">
        <v>106</v>
      </c>
      <c r="H636" t="s">
        <v>109</v>
      </c>
    </row>
    <row r="637" spans="1:8" x14ac:dyDescent="0.3">
      <c r="A637" t="s">
        <v>36</v>
      </c>
      <c r="B637" t="s">
        <v>55</v>
      </c>
      <c r="C637" t="s">
        <v>88</v>
      </c>
      <c r="D637">
        <v>0.10340000000000001</v>
      </c>
      <c r="E637">
        <v>12.385</v>
      </c>
      <c r="F637">
        <v>22.9</v>
      </c>
      <c r="G637" t="s">
        <v>106</v>
      </c>
      <c r="H637" t="s">
        <v>109</v>
      </c>
    </row>
    <row r="638" spans="1:8" x14ac:dyDescent="0.3">
      <c r="A638" t="s">
        <v>36</v>
      </c>
      <c r="B638" t="s">
        <v>56</v>
      </c>
      <c r="C638" t="s">
        <v>93</v>
      </c>
      <c r="D638">
        <v>0.20169999999999999</v>
      </c>
      <c r="E638">
        <v>2.939759036144578</v>
      </c>
      <c r="F638">
        <v>26.7</v>
      </c>
      <c r="G638" t="s">
        <v>106</v>
      </c>
      <c r="H638" t="s">
        <v>109</v>
      </c>
    </row>
    <row r="639" spans="1:8" x14ac:dyDescent="0.3">
      <c r="A639" t="s">
        <v>36</v>
      </c>
      <c r="B639" t="s">
        <v>47</v>
      </c>
      <c r="C639" t="s">
        <v>68</v>
      </c>
      <c r="D639">
        <v>5.4</v>
      </c>
      <c r="E639">
        <v>4.7430925925925926</v>
      </c>
      <c r="F639">
        <v>8.1</v>
      </c>
      <c r="G639" t="s">
        <v>104</v>
      </c>
      <c r="H639" t="s">
        <v>109</v>
      </c>
    </row>
    <row r="640" spans="1:8" x14ac:dyDescent="0.3">
      <c r="A640" t="s">
        <v>36</v>
      </c>
      <c r="B640" t="s">
        <v>47</v>
      </c>
      <c r="C640" t="s">
        <v>69</v>
      </c>
      <c r="D640">
        <v>4</v>
      </c>
      <c r="E640">
        <v>5.1803249999999998</v>
      </c>
      <c r="F640">
        <v>8.1</v>
      </c>
      <c r="G640" t="s">
        <v>104</v>
      </c>
      <c r="H640" t="s">
        <v>109</v>
      </c>
    </row>
    <row r="641" spans="1:8" x14ac:dyDescent="0.3">
      <c r="A641" t="s">
        <v>36</v>
      </c>
      <c r="B641" t="s">
        <v>48</v>
      </c>
      <c r="C641" t="s">
        <v>70</v>
      </c>
      <c r="D641">
        <v>2.2999999999999998</v>
      </c>
      <c r="E641">
        <v>11.619782608695649</v>
      </c>
      <c r="F641">
        <v>0</v>
      </c>
      <c r="G641" t="s">
        <v>104</v>
      </c>
      <c r="H641" t="s">
        <v>109</v>
      </c>
    </row>
    <row r="642" spans="1:8" x14ac:dyDescent="0.3">
      <c r="A642" t="s">
        <v>36</v>
      </c>
      <c r="B642" t="s">
        <v>49</v>
      </c>
      <c r="C642" t="s">
        <v>71</v>
      </c>
      <c r="D642">
        <v>31.212209999999999</v>
      </c>
      <c r="E642">
        <v>6.6630536014591737</v>
      </c>
      <c r="F642">
        <v>3.86607608129234</v>
      </c>
      <c r="G642" t="s">
        <v>104</v>
      </c>
      <c r="H642" t="s">
        <v>108</v>
      </c>
    </row>
    <row r="643" spans="1:8" x14ac:dyDescent="0.3">
      <c r="A643" t="s">
        <v>36</v>
      </c>
      <c r="B643" t="s">
        <v>49</v>
      </c>
      <c r="C643" t="s">
        <v>72</v>
      </c>
      <c r="D643">
        <v>0.9</v>
      </c>
      <c r="E643">
        <v>5.336444444444445</v>
      </c>
      <c r="F643">
        <v>3.86607608129234</v>
      </c>
      <c r="G643" t="s">
        <v>104</v>
      </c>
      <c r="H643" t="s">
        <v>108</v>
      </c>
    </row>
    <row r="644" spans="1:8" x14ac:dyDescent="0.3">
      <c r="A644" t="s">
        <v>36</v>
      </c>
      <c r="B644" t="s">
        <v>58</v>
      </c>
      <c r="C644" t="s">
        <v>95</v>
      </c>
      <c r="D644">
        <v>3.2797100000000001</v>
      </c>
      <c r="E644">
        <v>3.8706740047138322</v>
      </c>
      <c r="F644">
        <v>2.9521711768407801</v>
      </c>
      <c r="G644" t="s">
        <v>104</v>
      </c>
      <c r="H644" t="s">
        <v>108</v>
      </c>
    </row>
    <row r="645" spans="1:8" x14ac:dyDescent="0.3">
      <c r="A645" t="s">
        <v>36</v>
      </c>
      <c r="B645" t="s">
        <v>50</v>
      </c>
      <c r="C645" t="s">
        <v>73</v>
      </c>
      <c r="D645">
        <v>1.5</v>
      </c>
      <c r="E645">
        <v>5.0574666666666674</v>
      </c>
      <c r="F645">
        <v>20.723404255319149</v>
      </c>
      <c r="G645" t="s">
        <v>105</v>
      </c>
      <c r="H645" t="s">
        <v>108</v>
      </c>
    </row>
    <row r="646" spans="1:8" x14ac:dyDescent="0.3">
      <c r="A646" t="s">
        <v>36</v>
      </c>
      <c r="B646" t="s">
        <v>50</v>
      </c>
      <c r="C646" t="s">
        <v>74</v>
      </c>
      <c r="D646">
        <v>9.1</v>
      </c>
      <c r="E646">
        <v>3.7775274725274719</v>
      </c>
      <c r="F646">
        <v>2.0635593220338988</v>
      </c>
      <c r="G646" t="s">
        <v>105</v>
      </c>
      <c r="H646" t="s">
        <v>108</v>
      </c>
    </row>
    <row r="647" spans="1:8" x14ac:dyDescent="0.3">
      <c r="A647" t="s">
        <v>36</v>
      </c>
      <c r="B647" t="s">
        <v>59</v>
      </c>
      <c r="C647" t="s">
        <v>97</v>
      </c>
      <c r="D647">
        <v>1.0636000000000001</v>
      </c>
      <c r="E647">
        <v>36.353771025501899</v>
      </c>
      <c r="F647">
        <v>36.299999999999997</v>
      </c>
      <c r="G647" t="s">
        <v>107</v>
      </c>
      <c r="H647" t="s">
        <v>109</v>
      </c>
    </row>
    <row r="648" spans="1:8" x14ac:dyDescent="0.3">
      <c r="A648" t="s">
        <v>36</v>
      </c>
      <c r="B648" t="s">
        <v>51</v>
      </c>
      <c r="C648" t="s">
        <v>75</v>
      </c>
      <c r="D648">
        <v>8.3438239999999997</v>
      </c>
      <c r="E648">
        <v>5.8307821624714803E-3</v>
      </c>
      <c r="F648">
        <v>11.74</v>
      </c>
      <c r="G648" t="s">
        <v>104</v>
      </c>
      <c r="H648" t="s">
        <v>108</v>
      </c>
    </row>
    <row r="649" spans="1:8" x14ac:dyDescent="0.3">
      <c r="A649" t="s">
        <v>36</v>
      </c>
      <c r="B649" t="s">
        <v>52</v>
      </c>
      <c r="C649" t="s">
        <v>76</v>
      </c>
      <c r="D649">
        <v>0.33200000000000002</v>
      </c>
      <c r="E649">
        <v>8.4824999999999999</v>
      </c>
      <c r="F649">
        <v>12.68872359754714</v>
      </c>
      <c r="G649" t="s">
        <v>105</v>
      </c>
      <c r="H649" t="s">
        <v>108</v>
      </c>
    </row>
    <row r="650" spans="1:8" x14ac:dyDescent="0.3">
      <c r="A650" t="s">
        <v>36</v>
      </c>
      <c r="B650" t="s">
        <v>53</v>
      </c>
      <c r="C650" t="s">
        <v>77</v>
      </c>
      <c r="D650">
        <v>0.79537000000000002</v>
      </c>
      <c r="E650">
        <v>5.3359714472509649</v>
      </c>
      <c r="F650">
        <v>3.86607608129234</v>
      </c>
      <c r="G650" t="s">
        <v>104</v>
      </c>
      <c r="H650" t="s">
        <v>108</v>
      </c>
    </row>
    <row r="651" spans="1:8" x14ac:dyDescent="0.3">
      <c r="A651" t="s">
        <v>36</v>
      </c>
      <c r="B651" t="s">
        <v>61</v>
      </c>
      <c r="C651" t="s">
        <v>99</v>
      </c>
      <c r="D651">
        <v>2.7</v>
      </c>
      <c r="E651">
        <v>2.4477407407407399</v>
      </c>
      <c r="F651">
        <v>2.9245635910224439</v>
      </c>
      <c r="G651" t="s">
        <v>104</v>
      </c>
      <c r="H651" t="s">
        <v>108</v>
      </c>
    </row>
    <row r="652" spans="1:8" x14ac:dyDescent="0.3">
      <c r="A652" t="s">
        <v>36</v>
      </c>
      <c r="B652" t="s">
        <v>62</v>
      </c>
      <c r="C652" t="s">
        <v>100</v>
      </c>
      <c r="D652">
        <v>0.5</v>
      </c>
      <c r="E652">
        <v>1.04</v>
      </c>
      <c r="F652">
        <v>2.6764106050305911</v>
      </c>
      <c r="G652" t="s">
        <v>104</v>
      </c>
      <c r="H652" t="s">
        <v>108</v>
      </c>
    </row>
    <row r="653" spans="1:8" x14ac:dyDescent="0.3">
      <c r="A653" t="s">
        <v>36</v>
      </c>
      <c r="B653" t="s">
        <v>54</v>
      </c>
      <c r="C653" t="s">
        <v>78</v>
      </c>
      <c r="D653">
        <v>30.2</v>
      </c>
      <c r="E653">
        <v>11.293337748344371</v>
      </c>
      <c r="F653">
        <v>3.86607608129234</v>
      </c>
      <c r="G653" t="s">
        <v>104</v>
      </c>
      <c r="H653" t="s">
        <v>108</v>
      </c>
    </row>
    <row r="654" spans="1:8" x14ac:dyDescent="0.3">
      <c r="A654" t="s">
        <v>37</v>
      </c>
      <c r="B654" t="s">
        <v>46</v>
      </c>
      <c r="C654" t="s">
        <v>64</v>
      </c>
      <c r="D654">
        <v>0.17430999999999999</v>
      </c>
      <c r="E654">
        <v>5.2813091618381049</v>
      </c>
      <c r="F654">
        <v>2.9521711768407801</v>
      </c>
      <c r="G654" t="s">
        <v>104</v>
      </c>
      <c r="H654" t="s">
        <v>108</v>
      </c>
    </row>
    <row r="655" spans="1:8" x14ac:dyDescent="0.3">
      <c r="A655" t="s">
        <v>37</v>
      </c>
      <c r="B655" t="s">
        <v>46</v>
      </c>
      <c r="C655" t="s">
        <v>79</v>
      </c>
      <c r="D655">
        <v>13.9</v>
      </c>
      <c r="E655">
        <v>3.4471870503597128</v>
      </c>
      <c r="F655">
        <v>6.8428961748633883</v>
      </c>
      <c r="G655" t="s">
        <v>104</v>
      </c>
      <c r="H655" t="s">
        <v>108</v>
      </c>
    </row>
    <row r="656" spans="1:8" x14ac:dyDescent="0.3">
      <c r="A656" t="s">
        <v>37</v>
      </c>
      <c r="B656" t="s">
        <v>46</v>
      </c>
      <c r="C656" t="s">
        <v>65</v>
      </c>
      <c r="D656">
        <v>0.1</v>
      </c>
      <c r="E656">
        <v>4.2569999999999997</v>
      </c>
      <c r="F656">
        <v>2.9521711768407801</v>
      </c>
      <c r="G656" t="s">
        <v>104</v>
      </c>
      <c r="H656" t="s">
        <v>108</v>
      </c>
    </row>
    <row r="657" spans="1:8" x14ac:dyDescent="0.3">
      <c r="A657" t="s">
        <v>37</v>
      </c>
      <c r="B657" t="s">
        <v>46</v>
      </c>
      <c r="C657" t="s">
        <v>80</v>
      </c>
      <c r="D657">
        <v>0.69750000000000001</v>
      </c>
      <c r="E657">
        <v>1.7687120701281189</v>
      </c>
      <c r="F657">
        <v>28.139870918023309</v>
      </c>
      <c r="G657" t="s">
        <v>105</v>
      </c>
      <c r="H657" t="s">
        <v>108</v>
      </c>
    </row>
    <row r="658" spans="1:8" x14ac:dyDescent="0.3">
      <c r="A658" t="s">
        <v>37</v>
      </c>
      <c r="B658" t="s">
        <v>46</v>
      </c>
      <c r="C658" t="s">
        <v>81</v>
      </c>
      <c r="D658">
        <v>0.626</v>
      </c>
      <c r="E658">
        <v>3.96180963572268</v>
      </c>
      <c r="F658">
        <v>8.9647473560517046</v>
      </c>
      <c r="G658" t="s">
        <v>105</v>
      </c>
      <c r="H658" t="s">
        <v>108</v>
      </c>
    </row>
    <row r="659" spans="1:8" x14ac:dyDescent="0.3">
      <c r="A659" t="s">
        <v>37</v>
      </c>
      <c r="B659" t="s">
        <v>46</v>
      </c>
      <c r="C659" t="s">
        <v>66</v>
      </c>
      <c r="D659">
        <v>11.4</v>
      </c>
      <c r="E659">
        <v>3.5591403508771928</v>
      </c>
      <c r="F659">
        <v>6.8428961748633883</v>
      </c>
      <c r="G659" t="s">
        <v>104</v>
      </c>
      <c r="H659" t="s">
        <v>108</v>
      </c>
    </row>
    <row r="660" spans="1:8" x14ac:dyDescent="0.3">
      <c r="A660" t="s">
        <v>37</v>
      </c>
      <c r="B660" t="s">
        <v>46</v>
      </c>
      <c r="C660" t="s">
        <v>82</v>
      </c>
      <c r="D660">
        <v>4.9000000000000004</v>
      </c>
      <c r="E660">
        <v>2.166755102040816</v>
      </c>
      <c r="F660">
        <v>6.8428961748633883</v>
      </c>
      <c r="G660" t="s">
        <v>104</v>
      </c>
      <c r="H660" t="s">
        <v>108</v>
      </c>
    </row>
    <row r="661" spans="1:8" x14ac:dyDescent="0.3">
      <c r="A661" t="s">
        <v>37</v>
      </c>
      <c r="B661" t="s">
        <v>46</v>
      </c>
      <c r="C661" t="s">
        <v>83</v>
      </c>
      <c r="D661">
        <v>0.12003999999999999</v>
      </c>
      <c r="E661">
        <v>2.793491002999001</v>
      </c>
      <c r="F661">
        <v>6.8428961748633883</v>
      </c>
      <c r="G661" t="s">
        <v>104</v>
      </c>
      <c r="H661" t="s">
        <v>108</v>
      </c>
    </row>
    <row r="662" spans="1:8" x14ac:dyDescent="0.3">
      <c r="A662" t="s">
        <v>37</v>
      </c>
      <c r="B662" t="s">
        <v>46</v>
      </c>
      <c r="C662" t="s">
        <v>84</v>
      </c>
      <c r="D662">
        <v>0.3</v>
      </c>
      <c r="E662">
        <v>1.8986666666666661</v>
      </c>
      <c r="F662">
        <v>28.139870918023309</v>
      </c>
      <c r="G662" t="s">
        <v>105</v>
      </c>
      <c r="H662" t="s">
        <v>108</v>
      </c>
    </row>
    <row r="663" spans="1:8" x14ac:dyDescent="0.3">
      <c r="A663" t="s">
        <v>37</v>
      </c>
      <c r="B663" t="s">
        <v>46</v>
      </c>
      <c r="C663" t="s">
        <v>85</v>
      </c>
      <c r="D663">
        <v>0.4</v>
      </c>
      <c r="E663">
        <v>3.5692499999999998</v>
      </c>
      <c r="F663">
        <v>2.9521711768407801</v>
      </c>
      <c r="G663" t="s">
        <v>104</v>
      </c>
      <c r="H663" t="s">
        <v>108</v>
      </c>
    </row>
    <row r="664" spans="1:8" x14ac:dyDescent="0.3">
      <c r="A664" t="s">
        <v>37</v>
      </c>
      <c r="B664" t="s">
        <v>55</v>
      </c>
      <c r="C664" t="s">
        <v>86</v>
      </c>
      <c r="D664">
        <v>1.8662000000000001</v>
      </c>
      <c r="E664">
        <v>13.375</v>
      </c>
      <c r="F664">
        <v>8.6999999999999993</v>
      </c>
      <c r="G664" t="s">
        <v>106</v>
      </c>
      <c r="H664" t="s">
        <v>109</v>
      </c>
    </row>
    <row r="665" spans="1:8" x14ac:dyDescent="0.3">
      <c r="A665" t="s">
        <v>37</v>
      </c>
      <c r="B665" t="s">
        <v>55</v>
      </c>
      <c r="C665" t="s">
        <v>87</v>
      </c>
      <c r="D665">
        <v>0.1318</v>
      </c>
      <c r="E665">
        <v>12.215999999999999</v>
      </c>
      <c r="F665">
        <v>8.6999999999999993</v>
      </c>
      <c r="G665" t="s">
        <v>106</v>
      </c>
      <c r="H665" t="s">
        <v>109</v>
      </c>
    </row>
    <row r="666" spans="1:8" x14ac:dyDescent="0.3">
      <c r="A666" t="s">
        <v>37</v>
      </c>
      <c r="B666" t="s">
        <v>55</v>
      </c>
      <c r="C666" t="s">
        <v>88</v>
      </c>
      <c r="D666">
        <v>13.992000000000001</v>
      </c>
      <c r="E666">
        <v>17.085000000000001</v>
      </c>
      <c r="F666">
        <v>8.6999999999999993</v>
      </c>
      <c r="G666" t="s">
        <v>106</v>
      </c>
      <c r="H666" t="s">
        <v>109</v>
      </c>
    </row>
    <row r="667" spans="1:8" x14ac:dyDescent="0.3">
      <c r="A667" t="s">
        <v>37</v>
      </c>
      <c r="B667" t="s">
        <v>55</v>
      </c>
      <c r="C667" t="s">
        <v>89</v>
      </c>
      <c r="D667">
        <v>5.0000000000000001E-3</v>
      </c>
      <c r="E667">
        <v>0</v>
      </c>
      <c r="F667">
        <v>8.6999999999999993</v>
      </c>
      <c r="G667" t="s">
        <v>106</v>
      </c>
      <c r="H667" t="s">
        <v>109</v>
      </c>
    </row>
    <row r="668" spans="1:8" x14ac:dyDescent="0.3">
      <c r="A668" t="s">
        <v>37</v>
      </c>
      <c r="B668" t="s">
        <v>55</v>
      </c>
      <c r="C668" t="s">
        <v>92</v>
      </c>
      <c r="D668">
        <v>1.8106800000000001</v>
      </c>
      <c r="E668">
        <v>12.215999999999999</v>
      </c>
      <c r="F668">
        <v>8.6999999999999993</v>
      </c>
      <c r="G668" t="s">
        <v>106</v>
      </c>
      <c r="H668" t="s">
        <v>109</v>
      </c>
    </row>
    <row r="669" spans="1:8" x14ac:dyDescent="0.3">
      <c r="A669" t="s">
        <v>37</v>
      </c>
      <c r="B669" t="s">
        <v>56</v>
      </c>
      <c r="C669" t="s">
        <v>93</v>
      </c>
      <c r="D669">
        <v>9.8986999999999998</v>
      </c>
      <c r="E669">
        <v>2.9493975903614462</v>
      </c>
      <c r="F669">
        <v>34</v>
      </c>
      <c r="G669" t="s">
        <v>106</v>
      </c>
      <c r="H669" t="s">
        <v>109</v>
      </c>
    </row>
    <row r="670" spans="1:8" x14ac:dyDescent="0.3">
      <c r="A670" t="s">
        <v>37</v>
      </c>
      <c r="B670" t="s">
        <v>47</v>
      </c>
      <c r="C670" t="s">
        <v>68</v>
      </c>
      <c r="D670">
        <v>91</v>
      </c>
      <c r="E670">
        <v>2.773854945054945</v>
      </c>
      <c r="F670">
        <v>16.600000000000001</v>
      </c>
      <c r="G670" t="s">
        <v>104</v>
      </c>
      <c r="H670" t="s">
        <v>109</v>
      </c>
    </row>
    <row r="671" spans="1:8" x14ac:dyDescent="0.3">
      <c r="A671" t="s">
        <v>37</v>
      </c>
      <c r="B671" t="s">
        <v>47</v>
      </c>
      <c r="C671" t="s">
        <v>69</v>
      </c>
      <c r="D671">
        <v>83.4</v>
      </c>
      <c r="E671">
        <v>2.488687050359712</v>
      </c>
      <c r="F671">
        <v>16.600000000000001</v>
      </c>
      <c r="G671" t="s">
        <v>104</v>
      </c>
      <c r="H671" t="s">
        <v>109</v>
      </c>
    </row>
    <row r="672" spans="1:8" x14ac:dyDescent="0.3">
      <c r="A672" t="s">
        <v>37</v>
      </c>
      <c r="B672" t="s">
        <v>57</v>
      </c>
      <c r="C672" t="s">
        <v>94</v>
      </c>
      <c r="D672">
        <v>62.9</v>
      </c>
      <c r="E672">
        <v>6.7663386327503972</v>
      </c>
      <c r="F672">
        <v>16.600000000000001</v>
      </c>
      <c r="G672" t="s">
        <v>104</v>
      </c>
      <c r="H672" t="s">
        <v>109</v>
      </c>
    </row>
    <row r="673" spans="1:8" x14ac:dyDescent="0.3">
      <c r="A673" t="s">
        <v>37</v>
      </c>
      <c r="B673" t="s">
        <v>49</v>
      </c>
      <c r="C673" t="s">
        <v>71</v>
      </c>
      <c r="D673">
        <v>86.425349999999995</v>
      </c>
      <c r="E673">
        <v>2.805332469813544</v>
      </c>
      <c r="F673">
        <v>3.86607608129234</v>
      </c>
      <c r="G673" t="s">
        <v>104</v>
      </c>
      <c r="H673" t="s">
        <v>108</v>
      </c>
    </row>
    <row r="674" spans="1:8" x14ac:dyDescent="0.3">
      <c r="A674" t="s">
        <v>37</v>
      </c>
      <c r="B674" t="s">
        <v>49</v>
      </c>
      <c r="C674" t="s">
        <v>72</v>
      </c>
      <c r="D674">
        <v>5.0999999999999996</v>
      </c>
      <c r="E674">
        <v>3.8373137254901959</v>
      </c>
      <c r="F674">
        <v>3.86607608129234</v>
      </c>
      <c r="G674" t="s">
        <v>104</v>
      </c>
      <c r="H674" t="s">
        <v>108</v>
      </c>
    </row>
    <row r="675" spans="1:8" x14ac:dyDescent="0.3">
      <c r="A675" t="s">
        <v>37</v>
      </c>
      <c r="B675" t="s">
        <v>58</v>
      </c>
      <c r="C675" t="s">
        <v>95</v>
      </c>
      <c r="D675">
        <v>12.08503</v>
      </c>
      <c r="E675">
        <v>3.108496713702821</v>
      </c>
      <c r="F675">
        <v>2.9521711768407801</v>
      </c>
      <c r="G675" t="s">
        <v>104</v>
      </c>
      <c r="H675" t="s">
        <v>108</v>
      </c>
    </row>
    <row r="676" spans="1:8" x14ac:dyDescent="0.3">
      <c r="A676" t="s">
        <v>37</v>
      </c>
      <c r="B676" t="s">
        <v>50</v>
      </c>
      <c r="C676" t="s">
        <v>73</v>
      </c>
      <c r="D676">
        <v>3.2</v>
      </c>
      <c r="E676">
        <v>4.9503124999999999</v>
      </c>
      <c r="F676">
        <v>20.723404255319149</v>
      </c>
      <c r="G676" t="s">
        <v>105</v>
      </c>
      <c r="H676" t="s">
        <v>108</v>
      </c>
    </row>
    <row r="677" spans="1:8" x14ac:dyDescent="0.3">
      <c r="A677" t="s">
        <v>37</v>
      </c>
      <c r="B677" t="s">
        <v>50</v>
      </c>
      <c r="C677" t="s">
        <v>74</v>
      </c>
      <c r="D677">
        <v>13.9</v>
      </c>
      <c r="E677">
        <v>3.2375251798561151</v>
      </c>
      <c r="F677">
        <v>2.0635593220338988</v>
      </c>
      <c r="G677" t="s">
        <v>105</v>
      </c>
      <c r="H677" t="s">
        <v>108</v>
      </c>
    </row>
    <row r="678" spans="1:8" x14ac:dyDescent="0.3">
      <c r="A678" t="s">
        <v>37</v>
      </c>
      <c r="B678" t="s">
        <v>59</v>
      </c>
      <c r="C678" t="s">
        <v>96</v>
      </c>
      <c r="D678">
        <v>2.0007000000000001</v>
      </c>
      <c r="E678">
        <v>19.170999999999999</v>
      </c>
      <c r="F678">
        <v>7.2</v>
      </c>
      <c r="G678" t="s">
        <v>107</v>
      </c>
      <c r="H678" t="s">
        <v>109</v>
      </c>
    </row>
    <row r="679" spans="1:8" x14ac:dyDescent="0.3">
      <c r="A679" t="s">
        <v>37</v>
      </c>
      <c r="B679" t="s">
        <v>59</v>
      </c>
      <c r="C679" t="s">
        <v>97</v>
      </c>
      <c r="D679">
        <v>2.9916999999999998</v>
      </c>
      <c r="E679">
        <v>15.95225176342919</v>
      </c>
      <c r="F679">
        <v>7.2</v>
      </c>
      <c r="G679" t="s">
        <v>107</v>
      </c>
      <c r="H679" t="s">
        <v>109</v>
      </c>
    </row>
    <row r="680" spans="1:8" x14ac:dyDescent="0.3">
      <c r="A680" t="s">
        <v>37</v>
      </c>
      <c r="B680" t="s">
        <v>51</v>
      </c>
      <c r="C680" t="s">
        <v>75</v>
      </c>
      <c r="D680">
        <v>6.0854679999999997</v>
      </c>
      <c r="E680">
        <v>0.170963909829246</v>
      </c>
      <c r="F680">
        <v>11.74</v>
      </c>
      <c r="G680" t="s">
        <v>104</v>
      </c>
      <c r="H680" t="s">
        <v>108</v>
      </c>
    </row>
    <row r="681" spans="1:8" x14ac:dyDescent="0.3">
      <c r="A681" t="s">
        <v>37</v>
      </c>
      <c r="B681" t="s">
        <v>60</v>
      </c>
      <c r="C681" t="s">
        <v>98</v>
      </c>
      <c r="D681">
        <v>6.6930499999999986</v>
      </c>
      <c r="E681">
        <v>13.856068743286791</v>
      </c>
      <c r="F681">
        <v>24.7</v>
      </c>
      <c r="G681" t="s">
        <v>107</v>
      </c>
      <c r="H681" t="s">
        <v>109</v>
      </c>
    </row>
    <row r="682" spans="1:8" x14ac:dyDescent="0.3">
      <c r="A682" t="s">
        <v>37</v>
      </c>
      <c r="B682" t="s">
        <v>52</v>
      </c>
      <c r="C682" t="s">
        <v>76</v>
      </c>
      <c r="D682">
        <v>1.4E-2</v>
      </c>
      <c r="E682">
        <v>8.4824999999999999</v>
      </c>
      <c r="F682">
        <v>12.68872359754714</v>
      </c>
      <c r="G682" t="s">
        <v>105</v>
      </c>
      <c r="H682" t="s">
        <v>108</v>
      </c>
    </row>
    <row r="683" spans="1:8" x14ac:dyDescent="0.3">
      <c r="A683" t="s">
        <v>37</v>
      </c>
      <c r="B683" t="s">
        <v>53</v>
      </c>
      <c r="C683" t="s">
        <v>77</v>
      </c>
      <c r="D683">
        <v>6.2547300000000003</v>
      </c>
      <c r="E683">
        <v>3.8373456807887791</v>
      </c>
      <c r="F683">
        <v>3.86607608129234</v>
      </c>
      <c r="G683" t="s">
        <v>104</v>
      </c>
      <c r="H683" t="s">
        <v>108</v>
      </c>
    </row>
    <row r="684" spans="1:8" x14ac:dyDescent="0.3">
      <c r="A684" t="s">
        <v>37</v>
      </c>
      <c r="B684" t="s">
        <v>61</v>
      </c>
      <c r="C684" t="s">
        <v>99</v>
      </c>
      <c r="D684">
        <v>13</v>
      </c>
      <c r="E684">
        <v>1.7645538461538459</v>
      </c>
      <c r="F684">
        <v>2.9245635910224439</v>
      </c>
      <c r="G684" t="s">
        <v>104</v>
      </c>
      <c r="H684" t="s">
        <v>108</v>
      </c>
    </row>
    <row r="685" spans="1:8" x14ac:dyDescent="0.3">
      <c r="A685" t="s">
        <v>37</v>
      </c>
      <c r="B685" t="s">
        <v>62</v>
      </c>
      <c r="C685" t="s">
        <v>100</v>
      </c>
      <c r="D685">
        <v>4.3</v>
      </c>
      <c r="E685">
        <v>0.63255813953488371</v>
      </c>
      <c r="F685">
        <v>2.6764106050305911</v>
      </c>
      <c r="G685" t="s">
        <v>104</v>
      </c>
      <c r="H685" t="s">
        <v>108</v>
      </c>
    </row>
    <row r="686" spans="1:8" x14ac:dyDescent="0.3">
      <c r="A686" t="s">
        <v>37</v>
      </c>
      <c r="B686" t="s">
        <v>54</v>
      </c>
      <c r="C686" t="s">
        <v>78</v>
      </c>
      <c r="D686">
        <v>102.6</v>
      </c>
      <c r="E686">
        <v>3.772179337231969</v>
      </c>
      <c r="F686">
        <v>3.86607608129234</v>
      </c>
      <c r="G686" t="s">
        <v>104</v>
      </c>
      <c r="H686" t="s">
        <v>108</v>
      </c>
    </row>
    <row r="687" spans="1:8" x14ac:dyDescent="0.3">
      <c r="A687" t="s">
        <v>38</v>
      </c>
      <c r="B687" t="s">
        <v>46</v>
      </c>
      <c r="C687" t="s">
        <v>64</v>
      </c>
      <c r="D687">
        <v>0.21468000000000001</v>
      </c>
      <c r="E687">
        <v>5.899</v>
      </c>
      <c r="F687">
        <v>2.9521711768407801</v>
      </c>
      <c r="G687" t="s">
        <v>104</v>
      </c>
      <c r="H687" t="s">
        <v>108</v>
      </c>
    </row>
    <row r="688" spans="1:8" x14ac:dyDescent="0.3">
      <c r="A688" t="s">
        <v>38</v>
      </c>
      <c r="B688" t="s">
        <v>46</v>
      </c>
      <c r="C688" t="s">
        <v>79</v>
      </c>
      <c r="D688">
        <v>1.2</v>
      </c>
      <c r="E688">
        <v>4.2309999999999999</v>
      </c>
      <c r="F688">
        <v>6.8428961748633883</v>
      </c>
      <c r="G688" t="s">
        <v>104</v>
      </c>
      <c r="H688" t="s">
        <v>108</v>
      </c>
    </row>
    <row r="689" spans="1:8" x14ac:dyDescent="0.3">
      <c r="A689" t="s">
        <v>38</v>
      </c>
      <c r="B689" t="s">
        <v>46</v>
      </c>
      <c r="C689" t="s">
        <v>65</v>
      </c>
      <c r="D689">
        <v>0.6</v>
      </c>
      <c r="E689">
        <v>4.5759999999999996</v>
      </c>
      <c r="F689">
        <v>2.9521711768407801</v>
      </c>
      <c r="G689" t="s">
        <v>104</v>
      </c>
      <c r="H689" t="s">
        <v>108</v>
      </c>
    </row>
    <row r="690" spans="1:8" x14ac:dyDescent="0.3">
      <c r="A690" t="s">
        <v>38</v>
      </c>
      <c r="B690" t="s">
        <v>46</v>
      </c>
      <c r="C690" t="s">
        <v>66</v>
      </c>
      <c r="D690">
        <v>7.8</v>
      </c>
      <c r="E690">
        <v>4.3710000000000004</v>
      </c>
      <c r="F690">
        <v>6.8428961748633883</v>
      </c>
      <c r="G690" t="s">
        <v>104</v>
      </c>
      <c r="H690" t="s">
        <v>108</v>
      </c>
    </row>
    <row r="691" spans="1:8" x14ac:dyDescent="0.3">
      <c r="A691" t="s">
        <v>38</v>
      </c>
      <c r="B691" t="s">
        <v>46</v>
      </c>
      <c r="C691" t="s">
        <v>82</v>
      </c>
      <c r="D691">
        <v>1</v>
      </c>
      <c r="E691">
        <v>2.6339999999999999</v>
      </c>
      <c r="F691">
        <v>6.8428961748633883</v>
      </c>
      <c r="G691" t="s">
        <v>104</v>
      </c>
      <c r="H691" t="s">
        <v>108</v>
      </c>
    </row>
    <row r="692" spans="1:8" x14ac:dyDescent="0.3">
      <c r="A692" t="s">
        <v>38</v>
      </c>
      <c r="B692" t="s">
        <v>46</v>
      </c>
      <c r="C692" t="s">
        <v>84</v>
      </c>
      <c r="D692">
        <v>0.4</v>
      </c>
      <c r="E692">
        <v>0</v>
      </c>
      <c r="F692">
        <v>28.139870918023309</v>
      </c>
      <c r="G692" t="s">
        <v>105</v>
      </c>
      <c r="H692" t="s">
        <v>108</v>
      </c>
    </row>
    <row r="693" spans="1:8" x14ac:dyDescent="0.3">
      <c r="A693" t="s">
        <v>38</v>
      </c>
      <c r="B693" t="s">
        <v>46</v>
      </c>
      <c r="C693" t="s">
        <v>85</v>
      </c>
      <c r="D693">
        <v>0.2</v>
      </c>
      <c r="E693">
        <v>4.1399999999999997</v>
      </c>
      <c r="F693">
        <v>2.9521711768407801</v>
      </c>
      <c r="G693" t="s">
        <v>104</v>
      </c>
      <c r="H693" t="s">
        <v>108</v>
      </c>
    </row>
    <row r="694" spans="1:8" x14ac:dyDescent="0.3">
      <c r="A694" t="s">
        <v>38</v>
      </c>
      <c r="B694" t="s">
        <v>47</v>
      </c>
      <c r="C694" t="s">
        <v>68</v>
      </c>
      <c r="D694">
        <v>8.1999999999999993</v>
      </c>
      <c r="E694">
        <v>3.4910000000000001</v>
      </c>
      <c r="F694">
        <v>14.5</v>
      </c>
      <c r="G694" t="s">
        <v>104</v>
      </c>
      <c r="H694" t="s">
        <v>109</v>
      </c>
    </row>
    <row r="695" spans="1:8" x14ac:dyDescent="0.3">
      <c r="A695" t="s">
        <v>38</v>
      </c>
      <c r="B695" t="s">
        <v>47</v>
      </c>
      <c r="C695" t="s">
        <v>69</v>
      </c>
      <c r="D695">
        <v>5.7</v>
      </c>
      <c r="E695">
        <v>3.4649999999999999</v>
      </c>
      <c r="F695">
        <v>14.5</v>
      </c>
      <c r="G695" t="s">
        <v>104</v>
      </c>
      <c r="H695" t="s">
        <v>109</v>
      </c>
    </row>
    <row r="696" spans="1:8" x14ac:dyDescent="0.3">
      <c r="A696" t="s">
        <v>38</v>
      </c>
      <c r="B696" t="s">
        <v>48</v>
      </c>
      <c r="C696" t="s">
        <v>70</v>
      </c>
      <c r="D696">
        <v>3</v>
      </c>
      <c r="E696">
        <v>8.8460000000000001</v>
      </c>
      <c r="F696">
        <v>0</v>
      </c>
      <c r="G696" t="s">
        <v>104</v>
      </c>
      <c r="H696" t="s">
        <v>109</v>
      </c>
    </row>
    <row r="697" spans="1:8" x14ac:dyDescent="0.3">
      <c r="A697" t="s">
        <v>38</v>
      </c>
      <c r="B697" t="s">
        <v>49</v>
      </c>
      <c r="C697" t="s">
        <v>72</v>
      </c>
      <c r="D697">
        <v>4.9000000000000004</v>
      </c>
      <c r="E697">
        <v>0</v>
      </c>
      <c r="F697">
        <v>3.86607608129234</v>
      </c>
      <c r="G697" t="s">
        <v>104</v>
      </c>
      <c r="H697" t="s">
        <v>108</v>
      </c>
    </row>
    <row r="698" spans="1:8" x14ac:dyDescent="0.3">
      <c r="A698" t="s">
        <v>38</v>
      </c>
      <c r="B698" t="s">
        <v>50</v>
      </c>
      <c r="C698" t="s">
        <v>73</v>
      </c>
      <c r="D698">
        <v>4.0999999999999996</v>
      </c>
      <c r="E698">
        <v>5.4240000000000004</v>
      </c>
      <c r="F698">
        <v>20.723404255319149</v>
      </c>
      <c r="G698" t="s">
        <v>105</v>
      </c>
      <c r="H698" t="s">
        <v>108</v>
      </c>
    </row>
    <row r="699" spans="1:8" x14ac:dyDescent="0.3">
      <c r="A699" t="s">
        <v>38</v>
      </c>
      <c r="B699" t="s">
        <v>50</v>
      </c>
      <c r="C699" t="s">
        <v>74</v>
      </c>
      <c r="D699">
        <v>4.8</v>
      </c>
      <c r="E699">
        <v>3.484</v>
      </c>
      <c r="F699">
        <v>2.0635593220338988</v>
      </c>
      <c r="G699" t="s">
        <v>105</v>
      </c>
      <c r="H699" t="s">
        <v>108</v>
      </c>
    </row>
    <row r="700" spans="1:8" x14ac:dyDescent="0.3">
      <c r="A700" t="s">
        <v>38</v>
      </c>
      <c r="B700" t="s">
        <v>51</v>
      </c>
      <c r="C700" t="s">
        <v>75</v>
      </c>
      <c r="D700">
        <v>5.3019150000000002</v>
      </c>
      <c r="E700">
        <v>0.170963909829246</v>
      </c>
      <c r="F700">
        <v>11.74</v>
      </c>
      <c r="G700" t="s">
        <v>104</v>
      </c>
      <c r="H700" t="s">
        <v>108</v>
      </c>
    </row>
    <row r="701" spans="1:8" x14ac:dyDescent="0.3">
      <c r="A701" t="s">
        <v>38</v>
      </c>
      <c r="B701" t="s">
        <v>52</v>
      </c>
      <c r="C701" t="s">
        <v>76</v>
      </c>
      <c r="D701">
        <v>2E-3</v>
      </c>
      <c r="E701">
        <v>8.4824999999999999</v>
      </c>
      <c r="F701">
        <v>12.68872359754714</v>
      </c>
      <c r="G701" t="s">
        <v>105</v>
      </c>
      <c r="H701" t="s">
        <v>108</v>
      </c>
    </row>
    <row r="702" spans="1:8" x14ac:dyDescent="0.3">
      <c r="A702" t="s">
        <v>38</v>
      </c>
      <c r="B702" t="s">
        <v>53</v>
      </c>
      <c r="C702" t="s">
        <v>77</v>
      </c>
      <c r="D702">
        <v>22.208169999999999</v>
      </c>
      <c r="E702">
        <v>0</v>
      </c>
      <c r="F702">
        <v>3.86607608129234</v>
      </c>
      <c r="G702" t="s">
        <v>104</v>
      </c>
      <c r="H702" t="s">
        <v>108</v>
      </c>
    </row>
    <row r="703" spans="1:8" x14ac:dyDescent="0.3">
      <c r="A703" t="s">
        <v>39</v>
      </c>
      <c r="B703" t="s">
        <v>46</v>
      </c>
      <c r="C703" t="s">
        <v>64</v>
      </c>
      <c r="D703">
        <v>4.2100000000000002E-3</v>
      </c>
      <c r="E703">
        <v>6.3336080760095008</v>
      </c>
      <c r="F703">
        <v>2.9521711768407801</v>
      </c>
      <c r="G703" t="s">
        <v>104</v>
      </c>
      <c r="H703" t="s">
        <v>108</v>
      </c>
    </row>
    <row r="704" spans="1:8" x14ac:dyDescent="0.3">
      <c r="A704" t="s">
        <v>39</v>
      </c>
      <c r="B704" t="s">
        <v>46</v>
      </c>
      <c r="C704" t="s">
        <v>79</v>
      </c>
      <c r="D704">
        <v>10.1</v>
      </c>
      <c r="E704">
        <v>5.6388712871287137</v>
      </c>
      <c r="F704">
        <v>6.8428961748633883</v>
      </c>
      <c r="G704" t="s">
        <v>104</v>
      </c>
      <c r="H704" t="s">
        <v>108</v>
      </c>
    </row>
    <row r="705" spans="1:8" x14ac:dyDescent="0.3">
      <c r="A705" t="s">
        <v>39</v>
      </c>
      <c r="B705" t="s">
        <v>46</v>
      </c>
      <c r="C705" t="s">
        <v>80</v>
      </c>
      <c r="D705">
        <v>0.92100000000000004</v>
      </c>
      <c r="E705">
        <v>0.56844234659474036</v>
      </c>
      <c r="F705">
        <v>28.139870918023309</v>
      </c>
      <c r="G705" t="s">
        <v>105</v>
      </c>
      <c r="H705" t="s">
        <v>108</v>
      </c>
    </row>
    <row r="706" spans="1:8" x14ac:dyDescent="0.3">
      <c r="A706" t="s">
        <v>39</v>
      </c>
      <c r="B706" t="s">
        <v>46</v>
      </c>
      <c r="C706" t="s">
        <v>81</v>
      </c>
      <c r="D706">
        <v>3.4500000000000003E-2</v>
      </c>
      <c r="E706">
        <v>3.150998824911869</v>
      </c>
      <c r="F706">
        <v>8.9647473560517046</v>
      </c>
      <c r="G706" t="s">
        <v>105</v>
      </c>
      <c r="H706" t="s">
        <v>108</v>
      </c>
    </row>
    <row r="707" spans="1:8" x14ac:dyDescent="0.3">
      <c r="A707" t="s">
        <v>39</v>
      </c>
      <c r="B707" t="s">
        <v>46</v>
      </c>
      <c r="C707" t="s">
        <v>82</v>
      </c>
      <c r="D707">
        <v>0.3</v>
      </c>
      <c r="E707">
        <v>3.548999999999999</v>
      </c>
      <c r="F707">
        <v>6.8428961748633883</v>
      </c>
      <c r="G707" t="s">
        <v>104</v>
      </c>
      <c r="H707" t="s">
        <v>108</v>
      </c>
    </row>
    <row r="708" spans="1:8" x14ac:dyDescent="0.3">
      <c r="A708" t="s">
        <v>39</v>
      </c>
      <c r="B708" t="s">
        <v>46</v>
      </c>
      <c r="C708" t="s">
        <v>84</v>
      </c>
      <c r="D708">
        <v>0.2</v>
      </c>
      <c r="E708">
        <v>3.242</v>
      </c>
      <c r="F708">
        <v>28.139870918023309</v>
      </c>
      <c r="G708" t="s">
        <v>105</v>
      </c>
      <c r="H708" t="s">
        <v>108</v>
      </c>
    </row>
    <row r="709" spans="1:8" x14ac:dyDescent="0.3">
      <c r="A709" t="s">
        <v>39</v>
      </c>
      <c r="B709" t="s">
        <v>55</v>
      </c>
      <c r="C709" t="s">
        <v>86</v>
      </c>
      <c r="D709">
        <v>0.40739999999999998</v>
      </c>
      <c r="E709">
        <v>11.157999999999999</v>
      </c>
      <c r="F709">
        <v>14.2</v>
      </c>
      <c r="G709" t="s">
        <v>106</v>
      </c>
      <c r="H709" t="s">
        <v>109</v>
      </c>
    </row>
    <row r="710" spans="1:8" x14ac:dyDescent="0.3">
      <c r="A710" t="s">
        <v>39</v>
      </c>
      <c r="B710" t="s">
        <v>55</v>
      </c>
      <c r="C710" t="s">
        <v>89</v>
      </c>
      <c r="D710">
        <v>7.5800000000000006E-2</v>
      </c>
      <c r="E710">
        <v>0</v>
      </c>
      <c r="F710">
        <v>14.2</v>
      </c>
      <c r="G710" t="s">
        <v>106</v>
      </c>
      <c r="H710" t="s">
        <v>109</v>
      </c>
    </row>
    <row r="711" spans="1:8" x14ac:dyDescent="0.3">
      <c r="A711" t="s">
        <v>39</v>
      </c>
      <c r="B711" t="s">
        <v>55</v>
      </c>
      <c r="C711" t="s">
        <v>91</v>
      </c>
      <c r="D711">
        <v>3.61E-2</v>
      </c>
      <c r="E711">
        <v>10.734999999999999</v>
      </c>
      <c r="F711">
        <v>14.2</v>
      </c>
      <c r="G711" t="s">
        <v>106</v>
      </c>
      <c r="H711" t="s">
        <v>109</v>
      </c>
    </row>
    <row r="712" spans="1:8" x14ac:dyDescent="0.3">
      <c r="A712" t="s">
        <v>39</v>
      </c>
      <c r="B712" t="s">
        <v>55</v>
      </c>
      <c r="C712" t="s">
        <v>92</v>
      </c>
      <c r="D712">
        <v>0.30456</v>
      </c>
      <c r="E712">
        <v>12.048999999999999</v>
      </c>
      <c r="F712">
        <v>14.2</v>
      </c>
      <c r="G712" t="s">
        <v>106</v>
      </c>
      <c r="H712" t="s">
        <v>109</v>
      </c>
    </row>
    <row r="713" spans="1:8" x14ac:dyDescent="0.3">
      <c r="A713" t="s">
        <v>39</v>
      </c>
      <c r="B713" t="s">
        <v>56</v>
      </c>
      <c r="C713" t="s">
        <v>93</v>
      </c>
      <c r="D713">
        <v>4.5473999999999997</v>
      </c>
      <c r="E713">
        <v>2.939759036144578</v>
      </c>
      <c r="F713">
        <v>0.1</v>
      </c>
      <c r="G713" t="s">
        <v>106</v>
      </c>
      <c r="H713" t="s">
        <v>109</v>
      </c>
    </row>
    <row r="714" spans="1:8" x14ac:dyDescent="0.3">
      <c r="A714" t="s">
        <v>39</v>
      </c>
      <c r="B714" t="s">
        <v>47</v>
      </c>
      <c r="C714" t="s">
        <v>101</v>
      </c>
      <c r="D714">
        <v>6.2</v>
      </c>
      <c r="E714">
        <v>7.2506290322580638</v>
      </c>
      <c r="F714">
        <v>29.8</v>
      </c>
      <c r="G714" t="s">
        <v>104</v>
      </c>
      <c r="H714" t="s">
        <v>109</v>
      </c>
    </row>
    <row r="715" spans="1:8" x14ac:dyDescent="0.3">
      <c r="A715" t="s">
        <v>39</v>
      </c>
      <c r="B715" t="s">
        <v>57</v>
      </c>
      <c r="C715" t="s">
        <v>94</v>
      </c>
      <c r="D715">
        <v>3.8</v>
      </c>
      <c r="E715">
        <v>14.043421052631579</v>
      </c>
      <c r="F715">
        <v>15.5</v>
      </c>
      <c r="G715" t="s">
        <v>104</v>
      </c>
      <c r="H715" t="s">
        <v>109</v>
      </c>
    </row>
    <row r="716" spans="1:8" x14ac:dyDescent="0.3">
      <c r="A716" t="s">
        <v>39</v>
      </c>
      <c r="B716" t="s">
        <v>49</v>
      </c>
      <c r="C716" t="s">
        <v>71</v>
      </c>
      <c r="D716">
        <v>141.70218</v>
      </c>
      <c r="E716">
        <v>7.5496549252806142</v>
      </c>
      <c r="F716">
        <v>3.86607608129234</v>
      </c>
      <c r="G716" t="s">
        <v>104</v>
      </c>
      <c r="H716" t="s">
        <v>108</v>
      </c>
    </row>
    <row r="717" spans="1:8" x14ac:dyDescent="0.3">
      <c r="A717" t="s">
        <v>39</v>
      </c>
      <c r="B717" t="s">
        <v>49</v>
      </c>
      <c r="C717" t="s">
        <v>72</v>
      </c>
      <c r="D717">
        <v>7.2</v>
      </c>
      <c r="E717">
        <v>6.0380000000000003</v>
      </c>
      <c r="F717">
        <v>3.86607608129234</v>
      </c>
      <c r="G717" t="s">
        <v>104</v>
      </c>
      <c r="H717" t="s">
        <v>108</v>
      </c>
    </row>
    <row r="718" spans="1:8" x14ac:dyDescent="0.3">
      <c r="A718" t="s">
        <v>39</v>
      </c>
      <c r="B718" t="s">
        <v>58</v>
      </c>
      <c r="C718" t="s">
        <v>95</v>
      </c>
      <c r="D718">
        <v>16.523250000000001</v>
      </c>
      <c r="E718">
        <v>3.1930000000000001</v>
      </c>
      <c r="F718">
        <v>2.9521711768407801</v>
      </c>
      <c r="G718" t="s">
        <v>104</v>
      </c>
      <c r="H718" t="s">
        <v>108</v>
      </c>
    </row>
    <row r="719" spans="1:8" x14ac:dyDescent="0.3">
      <c r="A719" t="s">
        <v>39</v>
      </c>
      <c r="B719" t="s">
        <v>50</v>
      </c>
      <c r="C719" t="s">
        <v>73</v>
      </c>
      <c r="D719">
        <v>1.2</v>
      </c>
      <c r="E719">
        <v>5.7789999999999999</v>
      </c>
      <c r="F719">
        <v>20.723404255319149</v>
      </c>
      <c r="G719" t="s">
        <v>105</v>
      </c>
      <c r="H719" t="s">
        <v>108</v>
      </c>
    </row>
    <row r="720" spans="1:8" x14ac:dyDescent="0.3">
      <c r="A720" t="s">
        <v>39</v>
      </c>
      <c r="B720" t="s">
        <v>50</v>
      </c>
      <c r="C720" t="s">
        <v>74</v>
      </c>
      <c r="D720">
        <v>3.8</v>
      </c>
      <c r="E720">
        <v>6.6891842105263164</v>
      </c>
      <c r="F720">
        <v>2.0635593220338988</v>
      </c>
      <c r="G720" t="s">
        <v>105</v>
      </c>
      <c r="H720" t="s">
        <v>108</v>
      </c>
    </row>
    <row r="721" spans="1:8" x14ac:dyDescent="0.3">
      <c r="A721" t="s">
        <v>39</v>
      </c>
      <c r="B721" t="s">
        <v>51</v>
      </c>
      <c r="C721" t="s">
        <v>75</v>
      </c>
      <c r="D721">
        <v>20.02636</v>
      </c>
      <c r="E721">
        <v>3.6873466284242898E-3</v>
      </c>
      <c r="F721">
        <v>11.74</v>
      </c>
      <c r="G721" t="s">
        <v>104</v>
      </c>
      <c r="H721" t="s">
        <v>108</v>
      </c>
    </row>
    <row r="722" spans="1:8" x14ac:dyDescent="0.3">
      <c r="A722" t="s">
        <v>39</v>
      </c>
      <c r="B722" t="s">
        <v>60</v>
      </c>
      <c r="C722" t="s">
        <v>98</v>
      </c>
      <c r="D722">
        <v>0.90495000000000003</v>
      </c>
      <c r="E722">
        <v>16.004296455424271</v>
      </c>
      <c r="F722">
        <v>22.8</v>
      </c>
      <c r="G722" t="s">
        <v>107</v>
      </c>
      <c r="H722" t="s">
        <v>109</v>
      </c>
    </row>
    <row r="723" spans="1:8" x14ac:dyDescent="0.3">
      <c r="A723" t="s">
        <v>39</v>
      </c>
      <c r="B723" t="s">
        <v>52</v>
      </c>
      <c r="C723" t="s">
        <v>76</v>
      </c>
      <c r="D723">
        <v>0.98699999999999999</v>
      </c>
      <c r="E723">
        <v>8.4824999999999999</v>
      </c>
      <c r="F723">
        <v>12.68872359754714</v>
      </c>
      <c r="G723" t="s">
        <v>105</v>
      </c>
      <c r="H723" t="s">
        <v>108</v>
      </c>
    </row>
    <row r="724" spans="1:8" x14ac:dyDescent="0.3">
      <c r="A724" t="s">
        <v>39</v>
      </c>
      <c r="B724" t="s">
        <v>53</v>
      </c>
      <c r="C724" t="s">
        <v>77</v>
      </c>
      <c r="D724">
        <v>13.808870000000001</v>
      </c>
      <c r="E724">
        <v>6.0378725094812253</v>
      </c>
      <c r="F724">
        <v>3.86607608129234</v>
      </c>
      <c r="G724" t="s">
        <v>104</v>
      </c>
      <c r="H724" t="s">
        <v>108</v>
      </c>
    </row>
    <row r="725" spans="1:8" x14ac:dyDescent="0.3">
      <c r="A725" t="s">
        <v>39</v>
      </c>
      <c r="B725" t="s">
        <v>61</v>
      </c>
      <c r="C725" t="s">
        <v>99</v>
      </c>
      <c r="D725">
        <v>53.3</v>
      </c>
      <c r="E725">
        <v>2.0389418386491558</v>
      </c>
      <c r="F725">
        <v>2.9245635910224439</v>
      </c>
      <c r="G725" t="s">
        <v>104</v>
      </c>
      <c r="H725" t="s">
        <v>108</v>
      </c>
    </row>
    <row r="726" spans="1:8" x14ac:dyDescent="0.3">
      <c r="A726" t="s">
        <v>39</v>
      </c>
      <c r="B726" t="s">
        <v>62</v>
      </c>
      <c r="C726" t="s">
        <v>100</v>
      </c>
      <c r="D726">
        <v>24.5</v>
      </c>
      <c r="E726">
        <v>0.58897959183673465</v>
      </c>
      <c r="F726">
        <v>2.6764106050305911</v>
      </c>
      <c r="G726" t="s">
        <v>104</v>
      </c>
      <c r="H726" t="s">
        <v>108</v>
      </c>
    </row>
    <row r="727" spans="1:8" x14ac:dyDescent="0.3">
      <c r="A727" t="s">
        <v>39</v>
      </c>
      <c r="B727" t="s">
        <v>54</v>
      </c>
      <c r="C727" t="s">
        <v>78</v>
      </c>
      <c r="D727">
        <v>267.39999999999998</v>
      </c>
      <c r="E727">
        <v>12.70019596110696</v>
      </c>
      <c r="F727">
        <v>3.86607608129234</v>
      </c>
      <c r="G727" t="s">
        <v>104</v>
      </c>
      <c r="H727" t="s">
        <v>108</v>
      </c>
    </row>
    <row r="728" spans="1:8" x14ac:dyDescent="0.3">
      <c r="A728" t="s">
        <v>40</v>
      </c>
      <c r="B728" t="s">
        <v>46</v>
      </c>
      <c r="C728" t="s">
        <v>63</v>
      </c>
      <c r="D728">
        <v>2.3999999999999998E-3</v>
      </c>
      <c r="E728">
        <v>2.9286474973375931</v>
      </c>
      <c r="F728">
        <v>3.950479233226837</v>
      </c>
      <c r="G728" t="s">
        <v>104</v>
      </c>
      <c r="H728" t="s">
        <v>108</v>
      </c>
    </row>
    <row r="729" spans="1:8" x14ac:dyDescent="0.3">
      <c r="A729" t="s">
        <v>40</v>
      </c>
      <c r="B729" t="s">
        <v>46</v>
      </c>
      <c r="C729" t="s">
        <v>64</v>
      </c>
      <c r="D729">
        <v>1.3140000000000001E-2</v>
      </c>
      <c r="E729">
        <v>5.8905844748858449</v>
      </c>
      <c r="F729">
        <v>2.9521711768407801</v>
      </c>
      <c r="G729" t="s">
        <v>104</v>
      </c>
      <c r="H729" t="s">
        <v>108</v>
      </c>
    </row>
    <row r="730" spans="1:8" x14ac:dyDescent="0.3">
      <c r="A730" t="s">
        <v>40</v>
      </c>
      <c r="B730" t="s">
        <v>46</v>
      </c>
      <c r="C730" t="s">
        <v>80</v>
      </c>
      <c r="D730">
        <v>9.4100000000000003E-2</v>
      </c>
      <c r="E730">
        <v>2.7417397167902902</v>
      </c>
      <c r="F730">
        <v>28.139870918023309</v>
      </c>
      <c r="G730" t="s">
        <v>105</v>
      </c>
      <c r="H730" t="s">
        <v>108</v>
      </c>
    </row>
    <row r="731" spans="1:8" x14ac:dyDescent="0.3">
      <c r="A731" t="s">
        <v>40</v>
      </c>
      <c r="B731" t="s">
        <v>46</v>
      </c>
      <c r="C731" t="s">
        <v>81</v>
      </c>
      <c r="D731">
        <v>2.6800000000000001E-2</v>
      </c>
      <c r="E731">
        <v>2.5616921269095179</v>
      </c>
      <c r="F731">
        <v>8.9647473560517046</v>
      </c>
      <c r="G731" t="s">
        <v>105</v>
      </c>
      <c r="H731" t="s">
        <v>108</v>
      </c>
    </row>
    <row r="732" spans="1:8" x14ac:dyDescent="0.3">
      <c r="A732" t="s">
        <v>40</v>
      </c>
      <c r="B732" t="s">
        <v>46</v>
      </c>
      <c r="C732" t="s">
        <v>66</v>
      </c>
      <c r="D732">
        <v>0.3</v>
      </c>
      <c r="E732">
        <v>3.6236666666666659</v>
      </c>
      <c r="F732">
        <v>6.8428961748633883</v>
      </c>
      <c r="G732" t="s">
        <v>104</v>
      </c>
      <c r="H732" t="s">
        <v>108</v>
      </c>
    </row>
    <row r="733" spans="1:8" x14ac:dyDescent="0.3">
      <c r="A733" t="s">
        <v>40</v>
      </c>
      <c r="B733" t="s">
        <v>55</v>
      </c>
      <c r="C733" t="s">
        <v>86</v>
      </c>
      <c r="D733">
        <v>2.3099999999999999E-2</v>
      </c>
      <c r="E733">
        <v>9.6440000000000001</v>
      </c>
      <c r="F733">
        <v>20.2</v>
      </c>
      <c r="G733" t="s">
        <v>106</v>
      </c>
      <c r="H733" t="s">
        <v>109</v>
      </c>
    </row>
    <row r="734" spans="1:8" x14ac:dyDescent="0.3">
      <c r="A734" t="s">
        <v>40</v>
      </c>
      <c r="B734" t="s">
        <v>55</v>
      </c>
      <c r="C734" t="s">
        <v>88</v>
      </c>
      <c r="D734">
        <v>2.12E-2</v>
      </c>
      <c r="E734">
        <v>10.012</v>
      </c>
      <c r="F734">
        <v>20.2</v>
      </c>
      <c r="G734" t="s">
        <v>106</v>
      </c>
      <c r="H734" t="s">
        <v>109</v>
      </c>
    </row>
    <row r="735" spans="1:8" x14ac:dyDescent="0.3">
      <c r="A735" t="s">
        <v>40</v>
      </c>
      <c r="B735" t="s">
        <v>47</v>
      </c>
      <c r="C735" t="s">
        <v>68</v>
      </c>
      <c r="D735">
        <v>0.4</v>
      </c>
      <c r="E735">
        <v>3.5507499999999999</v>
      </c>
      <c r="F735">
        <v>17.3</v>
      </c>
      <c r="G735" t="s">
        <v>104</v>
      </c>
      <c r="H735" t="s">
        <v>109</v>
      </c>
    </row>
    <row r="736" spans="1:8" x14ac:dyDescent="0.3">
      <c r="A736" t="s">
        <v>40</v>
      </c>
      <c r="B736" t="s">
        <v>47</v>
      </c>
      <c r="C736" t="s">
        <v>69</v>
      </c>
      <c r="D736">
        <v>0.3</v>
      </c>
      <c r="E736">
        <v>3.6326666666666658</v>
      </c>
      <c r="F736">
        <v>17.3</v>
      </c>
      <c r="G736" t="s">
        <v>104</v>
      </c>
      <c r="H736" t="s">
        <v>109</v>
      </c>
    </row>
    <row r="737" spans="1:8" x14ac:dyDescent="0.3">
      <c r="A737" t="s">
        <v>40</v>
      </c>
      <c r="B737" t="s">
        <v>48</v>
      </c>
      <c r="C737" t="s">
        <v>70</v>
      </c>
      <c r="D737">
        <v>0.1</v>
      </c>
      <c r="E737">
        <v>9.4979999999999993</v>
      </c>
      <c r="F737">
        <v>0</v>
      </c>
      <c r="G737" t="s">
        <v>104</v>
      </c>
      <c r="H737" t="s">
        <v>109</v>
      </c>
    </row>
    <row r="738" spans="1:8" x14ac:dyDescent="0.3">
      <c r="A738" t="s">
        <v>40</v>
      </c>
      <c r="B738" t="s">
        <v>49</v>
      </c>
      <c r="C738" t="s">
        <v>71</v>
      </c>
      <c r="D738">
        <v>25.47824</v>
      </c>
      <c r="E738">
        <v>3.146244928221102</v>
      </c>
      <c r="F738">
        <v>3.86607608129234</v>
      </c>
      <c r="G738" t="s">
        <v>104</v>
      </c>
      <c r="H738" t="s">
        <v>108</v>
      </c>
    </row>
    <row r="739" spans="1:8" x14ac:dyDescent="0.3">
      <c r="A739" t="s">
        <v>40</v>
      </c>
      <c r="B739" t="s">
        <v>49</v>
      </c>
      <c r="C739" t="s">
        <v>72</v>
      </c>
      <c r="D739">
        <v>2.1</v>
      </c>
      <c r="E739">
        <v>4.2521904761904761</v>
      </c>
      <c r="F739">
        <v>3.86607608129234</v>
      </c>
      <c r="G739" t="s">
        <v>104</v>
      </c>
      <c r="H739" t="s">
        <v>108</v>
      </c>
    </row>
    <row r="740" spans="1:8" x14ac:dyDescent="0.3">
      <c r="A740" t="s">
        <v>40</v>
      </c>
      <c r="B740" t="s">
        <v>58</v>
      </c>
      <c r="C740" t="s">
        <v>95</v>
      </c>
      <c r="D740">
        <v>0.40995999999999999</v>
      </c>
      <c r="E740">
        <v>3.1930000000000001</v>
      </c>
      <c r="F740">
        <v>2.9521711768407801</v>
      </c>
      <c r="G740" t="s">
        <v>104</v>
      </c>
      <c r="H740" t="s">
        <v>108</v>
      </c>
    </row>
    <row r="741" spans="1:8" x14ac:dyDescent="0.3">
      <c r="A741" t="s">
        <v>40</v>
      </c>
      <c r="B741" t="s">
        <v>50</v>
      </c>
      <c r="C741" t="s">
        <v>73</v>
      </c>
      <c r="D741">
        <v>0.3</v>
      </c>
      <c r="E741">
        <v>5.1550000000000002</v>
      </c>
      <c r="F741">
        <v>20.723404255319149</v>
      </c>
      <c r="G741" t="s">
        <v>105</v>
      </c>
      <c r="H741" t="s">
        <v>108</v>
      </c>
    </row>
    <row r="742" spans="1:8" x14ac:dyDescent="0.3">
      <c r="A742" t="s">
        <v>40</v>
      </c>
      <c r="B742" t="s">
        <v>50</v>
      </c>
      <c r="C742" t="s">
        <v>74</v>
      </c>
      <c r="D742">
        <v>0.60000000000000009</v>
      </c>
      <c r="E742">
        <v>3.8740000000000001</v>
      </c>
      <c r="F742">
        <v>2.0635593220338988</v>
      </c>
      <c r="G742" t="s">
        <v>105</v>
      </c>
      <c r="H742" t="s">
        <v>108</v>
      </c>
    </row>
    <row r="743" spans="1:8" x14ac:dyDescent="0.3">
      <c r="A743" t="s">
        <v>40</v>
      </c>
      <c r="B743" t="s">
        <v>51</v>
      </c>
      <c r="C743" t="s">
        <v>75</v>
      </c>
      <c r="D743">
        <v>0.69628000000000001</v>
      </c>
      <c r="E743">
        <v>0.17797308619968699</v>
      </c>
      <c r="F743">
        <v>11.74</v>
      </c>
      <c r="G743" t="s">
        <v>104</v>
      </c>
      <c r="H743" t="s">
        <v>108</v>
      </c>
    </row>
    <row r="744" spans="1:8" x14ac:dyDescent="0.3">
      <c r="A744" t="s">
        <v>40</v>
      </c>
      <c r="B744" t="s">
        <v>60</v>
      </c>
      <c r="C744" t="s">
        <v>98</v>
      </c>
      <c r="D744">
        <v>4.795E-2</v>
      </c>
      <c r="E744">
        <v>28.73254564983888</v>
      </c>
      <c r="F744">
        <v>37.6</v>
      </c>
      <c r="G744" t="s">
        <v>107</v>
      </c>
      <c r="H744" t="s">
        <v>109</v>
      </c>
    </row>
    <row r="745" spans="1:8" x14ac:dyDescent="0.3">
      <c r="A745" t="s">
        <v>40</v>
      </c>
      <c r="B745" t="s">
        <v>52</v>
      </c>
      <c r="C745" t="s">
        <v>76</v>
      </c>
      <c r="D745">
        <v>4.1000000000000002E-2</v>
      </c>
      <c r="E745">
        <v>8.4824999999999999</v>
      </c>
      <c r="F745">
        <v>12.68872359754714</v>
      </c>
      <c r="G745" t="s">
        <v>105</v>
      </c>
      <c r="H745" t="s">
        <v>108</v>
      </c>
    </row>
    <row r="746" spans="1:8" x14ac:dyDescent="0.3">
      <c r="A746" t="s">
        <v>40</v>
      </c>
      <c r="B746" t="s">
        <v>53</v>
      </c>
      <c r="C746" t="s">
        <v>77</v>
      </c>
      <c r="D746">
        <v>2.5525600000000002</v>
      </c>
      <c r="E746">
        <v>4.2520283401761372</v>
      </c>
      <c r="F746">
        <v>3.86607608129234</v>
      </c>
      <c r="G746" t="s">
        <v>104</v>
      </c>
      <c r="H746" t="s">
        <v>108</v>
      </c>
    </row>
    <row r="747" spans="1:8" x14ac:dyDescent="0.3">
      <c r="A747" t="s">
        <v>40</v>
      </c>
      <c r="B747" t="s">
        <v>61</v>
      </c>
      <c r="C747" t="s">
        <v>99</v>
      </c>
      <c r="D747">
        <v>1.4</v>
      </c>
      <c r="E747">
        <v>1.93</v>
      </c>
      <c r="F747">
        <v>2.9245635910224439</v>
      </c>
      <c r="G747" t="s">
        <v>104</v>
      </c>
      <c r="H747" t="s">
        <v>108</v>
      </c>
    </row>
    <row r="748" spans="1:8" x14ac:dyDescent="0.3">
      <c r="A748" t="s">
        <v>40</v>
      </c>
      <c r="B748" t="s">
        <v>62</v>
      </c>
      <c r="C748" t="s">
        <v>100</v>
      </c>
      <c r="D748">
        <v>0.3</v>
      </c>
      <c r="E748">
        <v>1.033333333333333</v>
      </c>
      <c r="F748">
        <v>2.6764106050305911</v>
      </c>
      <c r="G748" t="s">
        <v>104</v>
      </c>
      <c r="H748" t="s">
        <v>108</v>
      </c>
    </row>
    <row r="749" spans="1:8" x14ac:dyDescent="0.3">
      <c r="A749" t="s">
        <v>40</v>
      </c>
      <c r="B749" t="s">
        <v>54</v>
      </c>
      <c r="C749" t="s">
        <v>78</v>
      </c>
      <c r="D749">
        <v>30.6</v>
      </c>
      <c r="E749">
        <v>4.2064901960784313</v>
      </c>
      <c r="F749">
        <v>3.86607608129234</v>
      </c>
      <c r="G749" t="s">
        <v>104</v>
      </c>
      <c r="H749" t="s">
        <v>108</v>
      </c>
    </row>
    <row r="750" spans="1:8" x14ac:dyDescent="0.3">
      <c r="A750" t="s">
        <v>41</v>
      </c>
      <c r="B750" t="s">
        <v>46</v>
      </c>
      <c r="C750" t="s">
        <v>64</v>
      </c>
      <c r="D750">
        <v>1.26E-2</v>
      </c>
      <c r="E750">
        <v>5.63225</v>
      </c>
      <c r="F750">
        <v>2.9521711768407801</v>
      </c>
      <c r="G750" t="s">
        <v>104</v>
      </c>
      <c r="H750" t="s">
        <v>108</v>
      </c>
    </row>
    <row r="751" spans="1:8" x14ac:dyDescent="0.3">
      <c r="A751" t="s">
        <v>41</v>
      </c>
      <c r="B751" t="s">
        <v>46</v>
      </c>
      <c r="C751" t="s">
        <v>79</v>
      </c>
      <c r="D751">
        <v>7.1000000000000014</v>
      </c>
      <c r="E751">
        <v>5.7814366197183098</v>
      </c>
      <c r="F751">
        <v>6.8428961748633883</v>
      </c>
      <c r="G751" t="s">
        <v>104</v>
      </c>
      <c r="H751" t="s">
        <v>108</v>
      </c>
    </row>
    <row r="752" spans="1:8" x14ac:dyDescent="0.3">
      <c r="A752" t="s">
        <v>41</v>
      </c>
      <c r="B752" t="s">
        <v>46</v>
      </c>
      <c r="C752" t="s">
        <v>80</v>
      </c>
      <c r="D752">
        <v>7.1899999999999992E-2</v>
      </c>
      <c r="E752">
        <v>0.2002697235333783</v>
      </c>
      <c r="F752">
        <v>28.139870918023309</v>
      </c>
      <c r="G752" t="s">
        <v>105</v>
      </c>
      <c r="H752" t="s">
        <v>108</v>
      </c>
    </row>
    <row r="753" spans="1:8" x14ac:dyDescent="0.3">
      <c r="A753" t="s">
        <v>41</v>
      </c>
      <c r="B753" t="s">
        <v>46</v>
      </c>
      <c r="C753" t="s">
        <v>81</v>
      </c>
      <c r="D753">
        <v>3.5700000000000003E-2</v>
      </c>
      <c r="E753">
        <v>0.36251468860164521</v>
      </c>
      <c r="F753">
        <v>8.9647473560517046</v>
      </c>
      <c r="G753" t="s">
        <v>105</v>
      </c>
      <c r="H753" t="s">
        <v>108</v>
      </c>
    </row>
    <row r="754" spans="1:8" x14ac:dyDescent="0.3">
      <c r="A754" t="s">
        <v>41</v>
      </c>
      <c r="B754" t="s">
        <v>46</v>
      </c>
      <c r="C754" t="s">
        <v>66</v>
      </c>
      <c r="D754">
        <v>1.5</v>
      </c>
      <c r="E754">
        <v>5.9742666666666677</v>
      </c>
      <c r="F754">
        <v>6.8428961748633883</v>
      </c>
      <c r="G754" t="s">
        <v>104</v>
      </c>
      <c r="H754" t="s">
        <v>108</v>
      </c>
    </row>
    <row r="755" spans="1:8" x14ac:dyDescent="0.3">
      <c r="A755" t="s">
        <v>41</v>
      </c>
      <c r="B755" t="s">
        <v>46</v>
      </c>
      <c r="C755" t="s">
        <v>82</v>
      </c>
      <c r="D755">
        <v>1.1000000000000001</v>
      </c>
      <c r="E755">
        <v>3.57390909090909</v>
      </c>
      <c r="F755">
        <v>6.8428961748633883</v>
      </c>
      <c r="G755" t="s">
        <v>104</v>
      </c>
      <c r="H755" t="s">
        <v>108</v>
      </c>
    </row>
    <row r="756" spans="1:8" x14ac:dyDescent="0.3">
      <c r="A756" t="s">
        <v>41</v>
      </c>
      <c r="B756" t="s">
        <v>46</v>
      </c>
      <c r="C756" t="s">
        <v>84</v>
      </c>
      <c r="D756">
        <v>0.1</v>
      </c>
      <c r="E756">
        <v>2.79</v>
      </c>
      <c r="F756">
        <v>28.139870918023309</v>
      </c>
      <c r="G756" t="s">
        <v>105</v>
      </c>
      <c r="H756" t="s">
        <v>108</v>
      </c>
    </row>
    <row r="757" spans="1:8" x14ac:dyDescent="0.3">
      <c r="A757" t="s">
        <v>41</v>
      </c>
      <c r="B757" t="s">
        <v>55</v>
      </c>
      <c r="C757" t="s">
        <v>86</v>
      </c>
      <c r="D757">
        <v>0.25940000000000002</v>
      </c>
      <c r="E757">
        <v>11.377000000000001</v>
      </c>
      <c r="F757">
        <v>9.1999999999999993</v>
      </c>
      <c r="G757" t="s">
        <v>106</v>
      </c>
      <c r="H757" t="s">
        <v>109</v>
      </c>
    </row>
    <row r="758" spans="1:8" x14ac:dyDescent="0.3">
      <c r="A758" t="s">
        <v>41</v>
      </c>
      <c r="B758" t="s">
        <v>55</v>
      </c>
      <c r="C758" t="s">
        <v>87</v>
      </c>
      <c r="D758">
        <v>0.60580000000000001</v>
      </c>
      <c r="E758">
        <v>10.821999999999999</v>
      </c>
      <c r="F758">
        <v>9.1999999999999993</v>
      </c>
      <c r="G758" t="s">
        <v>106</v>
      </c>
      <c r="H758" t="s">
        <v>109</v>
      </c>
    </row>
    <row r="759" spans="1:8" x14ac:dyDescent="0.3">
      <c r="A759" t="s">
        <v>41</v>
      </c>
      <c r="B759" t="s">
        <v>55</v>
      </c>
      <c r="C759" t="s">
        <v>88</v>
      </c>
      <c r="D759">
        <v>2.0828000000000002</v>
      </c>
      <c r="E759">
        <v>9.9030000000000005</v>
      </c>
      <c r="F759">
        <v>9.1999999999999993</v>
      </c>
      <c r="G759" t="s">
        <v>106</v>
      </c>
      <c r="H759" t="s">
        <v>109</v>
      </c>
    </row>
    <row r="760" spans="1:8" x14ac:dyDescent="0.3">
      <c r="A760" t="s">
        <v>41</v>
      </c>
      <c r="B760" t="s">
        <v>55</v>
      </c>
      <c r="C760" t="s">
        <v>90</v>
      </c>
      <c r="D760">
        <v>4.2999999999999997E-2</v>
      </c>
      <c r="E760">
        <v>11.891999999999999</v>
      </c>
      <c r="F760">
        <v>9.1999999999999993</v>
      </c>
      <c r="G760" t="s">
        <v>106</v>
      </c>
      <c r="H760" t="s">
        <v>109</v>
      </c>
    </row>
    <row r="761" spans="1:8" x14ac:dyDescent="0.3">
      <c r="A761" t="s">
        <v>41</v>
      </c>
      <c r="B761" t="s">
        <v>55</v>
      </c>
      <c r="C761" t="s">
        <v>91</v>
      </c>
      <c r="D761">
        <v>0.13739999999999999</v>
      </c>
      <c r="E761">
        <v>11.093999999999999</v>
      </c>
      <c r="F761">
        <v>9.1999999999999993</v>
      </c>
      <c r="G761" t="s">
        <v>106</v>
      </c>
      <c r="H761" t="s">
        <v>109</v>
      </c>
    </row>
    <row r="762" spans="1:8" x14ac:dyDescent="0.3">
      <c r="A762" t="s">
        <v>41</v>
      </c>
      <c r="B762" t="s">
        <v>55</v>
      </c>
      <c r="C762" t="s">
        <v>92</v>
      </c>
      <c r="D762">
        <v>0.31112000000000001</v>
      </c>
      <c r="E762">
        <v>10.821999999999999</v>
      </c>
      <c r="F762">
        <v>9.1999999999999993</v>
      </c>
      <c r="G762" t="s">
        <v>106</v>
      </c>
      <c r="H762" t="s">
        <v>109</v>
      </c>
    </row>
    <row r="763" spans="1:8" x14ac:dyDescent="0.3">
      <c r="A763" t="s">
        <v>41</v>
      </c>
      <c r="B763" t="s">
        <v>56</v>
      </c>
      <c r="C763" t="s">
        <v>93</v>
      </c>
      <c r="D763">
        <v>1.6141000000000001</v>
      </c>
      <c r="E763">
        <v>2.9493975903614462</v>
      </c>
      <c r="F763">
        <v>15.9</v>
      </c>
      <c r="G763" t="s">
        <v>106</v>
      </c>
      <c r="H763" t="s">
        <v>109</v>
      </c>
    </row>
    <row r="764" spans="1:8" x14ac:dyDescent="0.3">
      <c r="A764" t="s">
        <v>41</v>
      </c>
      <c r="B764" t="s">
        <v>47</v>
      </c>
      <c r="C764" t="s">
        <v>68</v>
      </c>
      <c r="D764">
        <v>3.9</v>
      </c>
      <c r="E764">
        <v>3.09623076923077</v>
      </c>
      <c r="F764">
        <v>23.8</v>
      </c>
      <c r="G764" t="s">
        <v>104</v>
      </c>
      <c r="H764" t="s">
        <v>109</v>
      </c>
    </row>
    <row r="765" spans="1:8" x14ac:dyDescent="0.3">
      <c r="A765" t="s">
        <v>41</v>
      </c>
      <c r="B765" t="s">
        <v>47</v>
      </c>
      <c r="C765" t="s">
        <v>69</v>
      </c>
      <c r="D765">
        <v>2.7</v>
      </c>
      <c r="E765">
        <v>3.0516666666666659</v>
      </c>
      <c r="F765">
        <v>23.8</v>
      </c>
      <c r="G765" t="s">
        <v>104</v>
      </c>
      <c r="H765" t="s">
        <v>109</v>
      </c>
    </row>
    <row r="766" spans="1:8" x14ac:dyDescent="0.3">
      <c r="A766" t="s">
        <v>41</v>
      </c>
      <c r="B766" t="s">
        <v>57</v>
      </c>
      <c r="C766" t="s">
        <v>94</v>
      </c>
      <c r="D766">
        <v>3</v>
      </c>
      <c r="E766">
        <v>7.0001333333333333</v>
      </c>
      <c r="F766">
        <v>15</v>
      </c>
      <c r="G766" t="s">
        <v>104</v>
      </c>
      <c r="H766" t="s">
        <v>109</v>
      </c>
    </row>
    <row r="767" spans="1:8" x14ac:dyDescent="0.3">
      <c r="A767" t="s">
        <v>41</v>
      </c>
      <c r="B767" t="s">
        <v>49</v>
      </c>
      <c r="C767" t="s">
        <v>71</v>
      </c>
      <c r="D767">
        <v>27.3977</v>
      </c>
      <c r="E767">
        <v>2.9862046091460228</v>
      </c>
      <c r="F767">
        <v>3.86607608129234</v>
      </c>
      <c r="G767" t="s">
        <v>104</v>
      </c>
      <c r="H767" t="s">
        <v>108</v>
      </c>
    </row>
    <row r="768" spans="1:8" x14ac:dyDescent="0.3">
      <c r="A768" t="s">
        <v>41</v>
      </c>
      <c r="B768" t="s">
        <v>49</v>
      </c>
      <c r="C768" t="s">
        <v>72</v>
      </c>
      <c r="D768">
        <v>0.7</v>
      </c>
      <c r="E768">
        <v>4.0527142857142859</v>
      </c>
      <c r="F768">
        <v>3.86607608129234</v>
      </c>
      <c r="G768" t="s">
        <v>104</v>
      </c>
      <c r="H768" t="s">
        <v>108</v>
      </c>
    </row>
    <row r="769" spans="1:8" x14ac:dyDescent="0.3">
      <c r="A769" t="s">
        <v>41</v>
      </c>
      <c r="B769" t="s">
        <v>58</v>
      </c>
      <c r="C769" t="s">
        <v>95</v>
      </c>
      <c r="D769">
        <v>1.63984</v>
      </c>
      <c r="E769">
        <v>3.1930000000000001</v>
      </c>
      <c r="F769">
        <v>2.9521711768407801</v>
      </c>
      <c r="G769" t="s">
        <v>104</v>
      </c>
      <c r="H769" t="s">
        <v>108</v>
      </c>
    </row>
    <row r="770" spans="1:8" x14ac:dyDescent="0.3">
      <c r="A770" t="s">
        <v>41</v>
      </c>
      <c r="B770" t="s">
        <v>50</v>
      </c>
      <c r="C770" t="s">
        <v>73</v>
      </c>
      <c r="D770">
        <v>1.2</v>
      </c>
      <c r="E770">
        <v>5.1362500000000004</v>
      </c>
      <c r="F770">
        <v>20.723404255319149</v>
      </c>
      <c r="G770" t="s">
        <v>105</v>
      </c>
      <c r="H770" t="s">
        <v>108</v>
      </c>
    </row>
    <row r="771" spans="1:8" x14ac:dyDescent="0.3">
      <c r="A771" t="s">
        <v>41</v>
      </c>
      <c r="B771" t="s">
        <v>50</v>
      </c>
      <c r="C771" t="s">
        <v>74</v>
      </c>
      <c r="D771">
        <v>9.3000000000000007</v>
      </c>
      <c r="E771">
        <v>3.6211827956989242</v>
      </c>
      <c r="F771">
        <v>2.0635593220338988</v>
      </c>
      <c r="G771" t="s">
        <v>105</v>
      </c>
      <c r="H771" t="s">
        <v>108</v>
      </c>
    </row>
    <row r="772" spans="1:8" x14ac:dyDescent="0.3">
      <c r="A772" t="s">
        <v>41</v>
      </c>
      <c r="B772" t="s">
        <v>59</v>
      </c>
      <c r="C772" t="s">
        <v>96</v>
      </c>
      <c r="D772">
        <v>0.25140000000000001</v>
      </c>
      <c r="E772">
        <v>18.32</v>
      </c>
      <c r="F772">
        <v>10</v>
      </c>
      <c r="G772" t="s">
        <v>107</v>
      </c>
      <c r="H772" t="s">
        <v>109</v>
      </c>
    </row>
    <row r="773" spans="1:8" x14ac:dyDescent="0.3">
      <c r="A773" t="s">
        <v>41</v>
      </c>
      <c r="B773" t="s">
        <v>59</v>
      </c>
      <c r="C773" t="s">
        <v>97</v>
      </c>
      <c r="D773">
        <v>0.7923</v>
      </c>
      <c r="E773">
        <v>15.95225176342919</v>
      </c>
      <c r="F773">
        <v>10</v>
      </c>
      <c r="G773" t="s">
        <v>107</v>
      </c>
      <c r="H773" t="s">
        <v>109</v>
      </c>
    </row>
    <row r="774" spans="1:8" x14ac:dyDescent="0.3">
      <c r="A774" t="s">
        <v>41</v>
      </c>
      <c r="B774" t="s">
        <v>51</v>
      </c>
      <c r="C774" t="s">
        <v>75</v>
      </c>
      <c r="D774">
        <v>2.4377</v>
      </c>
      <c r="E774">
        <v>2.4259530135074699E-2</v>
      </c>
      <c r="F774">
        <v>11.74</v>
      </c>
      <c r="G774" t="s">
        <v>104</v>
      </c>
      <c r="H774" t="s">
        <v>108</v>
      </c>
    </row>
    <row r="775" spans="1:8" x14ac:dyDescent="0.3">
      <c r="A775" t="s">
        <v>41</v>
      </c>
      <c r="B775" t="s">
        <v>60</v>
      </c>
      <c r="C775" t="s">
        <v>98</v>
      </c>
      <c r="D775">
        <v>2.6412399999999998</v>
      </c>
      <c r="E775">
        <v>18.367346938775508</v>
      </c>
      <c r="F775">
        <v>18.8</v>
      </c>
      <c r="G775" t="s">
        <v>107</v>
      </c>
      <c r="H775" t="s">
        <v>109</v>
      </c>
    </row>
    <row r="776" spans="1:8" x14ac:dyDescent="0.3">
      <c r="A776" t="s">
        <v>41</v>
      </c>
      <c r="B776" t="s">
        <v>52</v>
      </c>
      <c r="C776" t="s">
        <v>76</v>
      </c>
      <c r="D776">
        <v>1E-3</v>
      </c>
      <c r="E776">
        <v>8.4824999999999999</v>
      </c>
      <c r="F776">
        <v>12.68872359754714</v>
      </c>
      <c r="G776" t="s">
        <v>105</v>
      </c>
      <c r="H776" t="s">
        <v>108</v>
      </c>
    </row>
    <row r="777" spans="1:8" x14ac:dyDescent="0.3">
      <c r="A777" t="s">
        <v>41</v>
      </c>
      <c r="B777" t="s">
        <v>53</v>
      </c>
      <c r="C777" t="s">
        <v>77</v>
      </c>
      <c r="D777">
        <v>0.91375000000000006</v>
      </c>
      <c r="E777">
        <v>4.0528611874145009</v>
      </c>
      <c r="F777">
        <v>3.86607608129234</v>
      </c>
      <c r="G777" t="s">
        <v>104</v>
      </c>
      <c r="H777" t="s">
        <v>108</v>
      </c>
    </row>
    <row r="778" spans="1:8" x14ac:dyDescent="0.3">
      <c r="A778" t="s">
        <v>41</v>
      </c>
      <c r="B778" t="s">
        <v>61</v>
      </c>
      <c r="C778" t="s">
        <v>99</v>
      </c>
      <c r="D778">
        <v>3.3</v>
      </c>
      <c r="E778">
        <v>2.4262727272727269</v>
      </c>
      <c r="F778">
        <v>2.9245635910224439</v>
      </c>
      <c r="G778" t="s">
        <v>104</v>
      </c>
      <c r="H778" t="s">
        <v>108</v>
      </c>
    </row>
    <row r="779" spans="1:8" x14ac:dyDescent="0.3">
      <c r="A779" t="s">
        <v>41</v>
      </c>
      <c r="B779" t="s">
        <v>62</v>
      </c>
      <c r="C779" t="s">
        <v>100</v>
      </c>
      <c r="D779">
        <v>1</v>
      </c>
      <c r="E779">
        <v>0.92</v>
      </c>
      <c r="F779">
        <v>2.6764106050305911</v>
      </c>
      <c r="G779" t="s">
        <v>104</v>
      </c>
      <c r="H779" t="s">
        <v>108</v>
      </c>
    </row>
    <row r="780" spans="1:8" x14ac:dyDescent="0.3">
      <c r="A780" t="s">
        <v>41</v>
      </c>
      <c r="B780" t="s">
        <v>54</v>
      </c>
      <c r="C780" t="s">
        <v>78</v>
      </c>
      <c r="D780">
        <v>31.5</v>
      </c>
      <c r="E780">
        <v>4.0002190476190478</v>
      </c>
      <c r="F780">
        <v>3.86607608129234</v>
      </c>
      <c r="G780" t="s">
        <v>104</v>
      </c>
      <c r="H780" t="s">
        <v>108</v>
      </c>
    </row>
    <row r="781" spans="1:8" x14ac:dyDescent="0.3">
      <c r="A781" t="s">
        <v>42</v>
      </c>
      <c r="B781" t="s">
        <v>46</v>
      </c>
      <c r="C781" t="s">
        <v>63</v>
      </c>
      <c r="D781">
        <v>1.5831</v>
      </c>
      <c r="E781">
        <v>2.9286474973375931</v>
      </c>
      <c r="F781">
        <v>3.950479233226837</v>
      </c>
      <c r="G781" t="s">
        <v>104</v>
      </c>
      <c r="H781" t="s">
        <v>108</v>
      </c>
    </row>
    <row r="782" spans="1:8" x14ac:dyDescent="0.3">
      <c r="A782" t="s">
        <v>42</v>
      </c>
      <c r="B782" t="s">
        <v>46</v>
      </c>
      <c r="C782" t="s">
        <v>64</v>
      </c>
      <c r="D782">
        <v>0.80018999999999996</v>
      </c>
      <c r="E782">
        <v>5.6674328097076954</v>
      </c>
      <c r="F782">
        <v>2.9521711768407801</v>
      </c>
      <c r="G782" t="s">
        <v>104</v>
      </c>
      <c r="H782" t="s">
        <v>108</v>
      </c>
    </row>
    <row r="783" spans="1:8" x14ac:dyDescent="0.3">
      <c r="A783" t="s">
        <v>42</v>
      </c>
      <c r="B783" t="s">
        <v>46</v>
      </c>
      <c r="C783" t="s">
        <v>65</v>
      </c>
      <c r="D783">
        <v>4.0999999999999996</v>
      </c>
      <c r="E783">
        <v>5.0738048780487803</v>
      </c>
      <c r="F783">
        <v>2.9521711768407801</v>
      </c>
      <c r="G783" t="s">
        <v>104</v>
      </c>
      <c r="H783" t="s">
        <v>108</v>
      </c>
    </row>
    <row r="784" spans="1:8" x14ac:dyDescent="0.3">
      <c r="A784" t="s">
        <v>42</v>
      </c>
      <c r="B784" t="s">
        <v>46</v>
      </c>
      <c r="C784" t="s">
        <v>67</v>
      </c>
      <c r="D784">
        <v>2.2000000000000002</v>
      </c>
      <c r="E784">
        <v>6.9809999999999999</v>
      </c>
      <c r="F784">
        <v>2.9521711768407801</v>
      </c>
      <c r="G784" t="s">
        <v>104</v>
      </c>
      <c r="H784" t="s">
        <v>108</v>
      </c>
    </row>
    <row r="785" spans="1:8" x14ac:dyDescent="0.3">
      <c r="A785" t="s">
        <v>42</v>
      </c>
      <c r="B785" t="s">
        <v>46</v>
      </c>
      <c r="C785" t="s">
        <v>85</v>
      </c>
      <c r="D785">
        <v>1.1000000000000001</v>
      </c>
      <c r="E785">
        <v>4.3410000000000002</v>
      </c>
      <c r="F785">
        <v>2.9521711768407801</v>
      </c>
      <c r="G785" t="s">
        <v>104</v>
      </c>
      <c r="H785" t="s">
        <v>108</v>
      </c>
    </row>
    <row r="786" spans="1:8" x14ac:dyDescent="0.3">
      <c r="A786" t="s">
        <v>42</v>
      </c>
      <c r="B786" t="s">
        <v>47</v>
      </c>
      <c r="C786" t="s">
        <v>68</v>
      </c>
      <c r="D786">
        <v>69.2</v>
      </c>
      <c r="E786">
        <v>2.9477341040462428</v>
      </c>
      <c r="G786" t="s">
        <v>104</v>
      </c>
      <c r="H786" t="s">
        <v>109</v>
      </c>
    </row>
    <row r="787" spans="1:8" x14ac:dyDescent="0.3">
      <c r="A787" t="s">
        <v>42</v>
      </c>
      <c r="B787" t="s">
        <v>47</v>
      </c>
      <c r="C787" t="s">
        <v>69</v>
      </c>
      <c r="D787">
        <v>48.4</v>
      </c>
      <c r="E787">
        <v>2.9359999999999999</v>
      </c>
      <c r="G787" t="s">
        <v>104</v>
      </c>
      <c r="H787" t="s">
        <v>109</v>
      </c>
    </row>
    <row r="788" spans="1:8" x14ac:dyDescent="0.3">
      <c r="A788" t="s">
        <v>42</v>
      </c>
      <c r="B788" t="s">
        <v>48</v>
      </c>
      <c r="C788" t="s">
        <v>70</v>
      </c>
      <c r="D788">
        <v>25.7</v>
      </c>
      <c r="E788">
        <v>7.6870000000000003</v>
      </c>
      <c r="G788" t="s">
        <v>104</v>
      </c>
      <c r="H788" t="s">
        <v>109</v>
      </c>
    </row>
    <row r="789" spans="1:8" x14ac:dyDescent="0.3">
      <c r="A789" t="s">
        <v>42</v>
      </c>
      <c r="B789" t="s">
        <v>49</v>
      </c>
      <c r="C789" t="s">
        <v>71</v>
      </c>
      <c r="D789">
        <v>7.4889999999999998E-2</v>
      </c>
      <c r="E789">
        <v>4.43</v>
      </c>
      <c r="F789">
        <v>3.86607608129234</v>
      </c>
      <c r="G789" t="s">
        <v>104</v>
      </c>
      <c r="H789" t="s">
        <v>108</v>
      </c>
    </row>
    <row r="790" spans="1:8" x14ac:dyDescent="0.3">
      <c r="A790" t="s">
        <v>42</v>
      </c>
      <c r="B790" t="s">
        <v>52</v>
      </c>
      <c r="C790" t="s">
        <v>76</v>
      </c>
      <c r="D790">
        <v>1.591</v>
      </c>
      <c r="E790">
        <v>0</v>
      </c>
      <c r="F790">
        <v>12.68872359754714</v>
      </c>
      <c r="G790" t="s">
        <v>105</v>
      </c>
      <c r="H790" t="s">
        <v>108</v>
      </c>
    </row>
    <row r="791" spans="1:8" x14ac:dyDescent="0.3">
      <c r="A791" t="s">
        <v>43</v>
      </c>
      <c r="B791" t="s">
        <v>49</v>
      </c>
      <c r="C791" t="s">
        <v>71</v>
      </c>
      <c r="D791">
        <v>87.882660000000001</v>
      </c>
      <c r="E791">
        <v>0</v>
      </c>
      <c r="G791" t="s">
        <v>104</v>
      </c>
      <c r="H791" t="s">
        <v>108</v>
      </c>
    </row>
    <row r="792" spans="1:8" x14ac:dyDescent="0.3">
      <c r="A792" t="s">
        <v>43</v>
      </c>
      <c r="B792" t="s">
        <v>49</v>
      </c>
      <c r="C792" t="s">
        <v>72</v>
      </c>
      <c r="D792">
        <v>16</v>
      </c>
      <c r="E792">
        <v>0</v>
      </c>
      <c r="G792" t="s">
        <v>104</v>
      </c>
      <c r="H792" t="s">
        <v>108</v>
      </c>
    </row>
    <row r="793" spans="1:8" x14ac:dyDescent="0.3">
      <c r="A793" t="s">
        <v>43</v>
      </c>
      <c r="B793" t="s">
        <v>53</v>
      </c>
      <c r="C793" t="s">
        <v>77</v>
      </c>
      <c r="D793">
        <v>18.25487</v>
      </c>
      <c r="E793">
        <v>0</v>
      </c>
      <c r="G793" t="s">
        <v>104</v>
      </c>
      <c r="H793" t="s">
        <v>108</v>
      </c>
    </row>
    <row r="794" spans="1:8" x14ac:dyDescent="0.3">
      <c r="A794" t="s">
        <v>43</v>
      </c>
      <c r="B794" t="s">
        <v>54</v>
      </c>
      <c r="C794" t="s">
        <v>78</v>
      </c>
      <c r="D794">
        <v>100.2</v>
      </c>
      <c r="E794">
        <v>0</v>
      </c>
      <c r="G794" t="s">
        <v>104</v>
      </c>
      <c r="H794" t="s">
        <v>108</v>
      </c>
    </row>
    <row r="795" spans="1:8" x14ac:dyDescent="0.3">
      <c r="A795" t="s">
        <v>44</v>
      </c>
      <c r="B795" t="s">
        <v>46</v>
      </c>
      <c r="C795" t="s">
        <v>64</v>
      </c>
      <c r="D795">
        <v>4.5319999999999999E-2</v>
      </c>
      <c r="E795">
        <v>5.5252833186231243</v>
      </c>
      <c r="F795">
        <v>2.9521711768407801</v>
      </c>
      <c r="G795" t="s">
        <v>104</v>
      </c>
      <c r="H795" t="s">
        <v>108</v>
      </c>
    </row>
    <row r="796" spans="1:8" x14ac:dyDescent="0.3">
      <c r="A796" t="s">
        <v>44</v>
      </c>
      <c r="B796" t="s">
        <v>46</v>
      </c>
      <c r="C796" t="s">
        <v>79</v>
      </c>
      <c r="D796">
        <v>33.299999999999997</v>
      </c>
      <c r="E796">
        <v>5.9546456456456456</v>
      </c>
      <c r="F796">
        <v>6.8428961748633883</v>
      </c>
      <c r="G796" t="s">
        <v>104</v>
      </c>
      <c r="H796" t="s">
        <v>108</v>
      </c>
    </row>
    <row r="797" spans="1:8" x14ac:dyDescent="0.3">
      <c r="A797" t="s">
        <v>44</v>
      </c>
      <c r="B797" t="s">
        <v>46</v>
      </c>
      <c r="C797" t="s">
        <v>80</v>
      </c>
      <c r="D797">
        <v>2.0404</v>
      </c>
      <c r="E797">
        <v>4.7201618341200263E-2</v>
      </c>
      <c r="F797">
        <v>28.139870918023309</v>
      </c>
      <c r="G797" t="s">
        <v>105</v>
      </c>
      <c r="H797" t="s">
        <v>108</v>
      </c>
    </row>
    <row r="798" spans="1:8" x14ac:dyDescent="0.3">
      <c r="A798" t="s">
        <v>44</v>
      </c>
      <c r="B798" t="s">
        <v>46</v>
      </c>
      <c r="C798" t="s">
        <v>81</v>
      </c>
      <c r="D798">
        <v>0.72340000000000004</v>
      </c>
      <c r="E798">
        <v>0.69388954171562867</v>
      </c>
      <c r="F798">
        <v>8.9647473560517046</v>
      </c>
      <c r="G798" t="s">
        <v>105</v>
      </c>
      <c r="H798" t="s">
        <v>108</v>
      </c>
    </row>
    <row r="799" spans="1:8" x14ac:dyDescent="0.3">
      <c r="A799" t="s">
        <v>44</v>
      </c>
      <c r="B799" t="s">
        <v>46</v>
      </c>
      <c r="C799" t="s">
        <v>82</v>
      </c>
      <c r="D799">
        <v>2.9</v>
      </c>
      <c r="E799">
        <v>3.7304137931034478</v>
      </c>
      <c r="F799">
        <v>6.8428961748633883</v>
      </c>
      <c r="G799" t="s">
        <v>104</v>
      </c>
      <c r="H799" t="s">
        <v>108</v>
      </c>
    </row>
    <row r="800" spans="1:8" x14ac:dyDescent="0.3">
      <c r="A800" t="s">
        <v>44</v>
      </c>
      <c r="B800" t="s">
        <v>46</v>
      </c>
      <c r="C800" t="s">
        <v>84</v>
      </c>
      <c r="D800">
        <v>0.60000000000000009</v>
      </c>
      <c r="E800">
        <v>3.265499999999999</v>
      </c>
      <c r="F800">
        <v>28.139870918023309</v>
      </c>
      <c r="G800" t="s">
        <v>105</v>
      </c>
      <c r="H800" t="s">
        <v>108</v>
      </c>
    </row>
    <row r="801" spans="1:8" x14ac:dyDescent="0.3">
      <c r="A801" t="s">
        <v>44</v>
      </c>
      <c r="B801" t="s">
        <v>55</v>
      </c>
      <c r="C801" t="s">
        <v>86</v>
      </c>
      <c r="D801">
        <v>2.9796999999999998</v>
      </c>
      <c r="E801">
        <v>12.305999999999999</v>
      </c>
      <c r="F801">
        <v>11.6</v>
      </c>
      <c r="G801" t="s">
        <v>106</v>
      </c>
      <c r="H801" t="s">
        <v>109</v>
      </c>
    </row>
    <row r="802" spans="1:8" x14ac:dyDescent="0.3">
      <c r="A802" t="s">
        <v>44</v>
      </c>
      <c r="B802" t="s">
        <v>55</v>
      </c>
      <c r="C802" t="s">
        <v>89</v>
      </c>
      <c r="D802">
        <v>3.1093999999999999</v>
      </c>
      <c r="E802">
        <v>0</v>
      </c>
      <c r="F802">
        <v>11.6</v>
      </c>
      <c r="G802" t="s">
        <v>106</v>
      </c>
      <c r="H802" t="s">
        <v>109</v>
      </c>
    </row>
    <row r="803" spans="1:8" x14ac:dyDescent="0.3">
      <c r="A803" t="s">
        <v>44</v>
      </c>
      <c r="B803" t="s">
        <v>55</v>
      </c>
      <c r="C803" t="s">
        <v>92</v>
      </c>
      <c r="D803">
        <v>11.995380000000001</v>
      </c>
      <c r="E803">
        <v>12.39999999999999</v>
      </c>
      <c r="F803">
        <v>11.6</v>
      </c>
      <c r="G803" t="s">
        <v>106</v>
      </c>
      <c r="H803" t="s">
        <v>109</v>
      </c>
    </row>
    <row r="804" spans="1:8" x14ac:dyDescent="0.3">
      <c r="A804" t="s">
        <v>44</v>
      </c>
      <c r="B804" t="s">
        <v>56</v>
      </c>
      <c r="C804" t="s">
        <v>93</v>
      </c>
      <c r="D804">
        <v>18.166799999999999</v>
      </c>
      <c r="E804">
        <v>2.939759036144578</v>
      </c>
      <c r="F804">
        <v>28.8</v>
      </c>
      <c r="G804" t="s">
        <v>106</v>
      </c>
      <c r="H804" t="s">
        <v>109</v>
      </c>
    </row>
    <row r="805" spans="1:8" x14ac:dyDescent="0.3">
      <c r="A805" t="s">
        <v>44</v>
      </c>
      <c r="B805" t="s">
        <v>47</v>
      </c>
      <c r="C805" t="s">
        <v>68</v>
      </c>
      <c r="D805">
        <v>13.3</v>
      </c>
      <c r="E805">
        <v>7.3476090225563899</v>
      </c>
      <c r="F805">
        <v>15.9</v>
      </c>
      <c r="G805" t="s">
        <v>104</v>
      </c>
      <c r="H805" t="s">
        <v>109</v>
      </c>
    </row>
    <row r="806" spans="1:8" x14ac:dyDescent="0.3">
      <c r="A806" t="s">
        <v>44</v>
      </c>
      <c r="B806" t="s">
        <v>47</v>
      </c>
      <c r="C806" t="s">
        <v>69</v>
      </c>
      <c r="D806">
        <v>13.1</v>
      </c>
      <c r="E806">
        <v>8.1051450381679402</v>
      </c>
      <c r="F806">
        <v>15.9</v>
      </c>
      <c r="G806" t="s">
        <v>104</v>
      </c>
      <c r="H806" t="s">
        <v>109</v>
      </c>
    </row>
    <row r="807" spans="1:8" x14ac:dyDescent="0.3">
      <c r="A807" t="s">
        <v>44</v>
      </c>
      <c r="B807" t="s">
        <v>57</v>
      </c>
      <c r="C807" t="s">
        <v>94</v>
      </c>
      <c r="D807">
        <v>19.399999999999999</v>
      </c>
      <c r="E807">
        <v>10.67776804123711</v>
      </c>
      <c r="F807">
        <v>24.6</v>
      </c>
      <c r="G807" t="s">
        <v>104</v>
      </c>
      <c r="H807" t="s">
        <v>109</v>
      </c>
    </row>
    <row r="808" spans="1:8" x14ac:dyDescent="0.3">
      <c r="A808" t="s">
        <v>44</v>
      </c>
      <c r="B808" t="s">
        <v>49</v>
      </c>
      <c r="C808" t="s">
        <v>71</v>
      </c>
      <c r="D808">
        <v>26.3172</v>
      </c>
      <c r="E808">
        <v>4.2357146398553036</v>
      </c>
      <c r="F808">
        <v>3.86607608129234</v>
      </c>
      <c r="G808" t="s">
        <v>104</v>
      </c>
      <c r="H808" t="s">
        <v>108</v>
      </c>
    </row>
    <row r="809" spans="1:8" x14ac:dyDescent="0.3">
      <c r="A809" t="s">
        <v>44</v>
      </c>
      <c r="B809" t="s">
        <v>49</v>
      </c>
      <c r="C809" t="s">
        <v>72</v>
      </c>
      <c r="D809">
        <v>1.7</v>
      </c>
      <c r="E809">
        <v>3.3746470588235291</v>
      </c>
      <c r="F809">
        <v>3.86607608129234</v>
      </c>
      <c r="G809" t="s">
        <v>104</v>
      </c>
      <c r="H809" t="s">
        <v>108</v>
      </c>
    </row>
    <row r="810" spans="1:8" x14ac:dyDescent="0.3">
      <c r="A810" t="s">
        <v>44</v>
      </c>
      <c r="B810" t="s">
        <v>58</v>
      </c>
      <c r="C810" t="s">
        <v>95</v>
      </c>
      <c r="D810">
        <v>8.3830200000000001</v>
      </c>
      <c r="E810">
        <v>0.71371089297174528</v>
      </c>
      <c r="F810">
        <v>2.9521711768407801</v>
      </c>
      <c r="G810" t="s">
        <v>104</v>
      </c>
      <c r="H810" t="s">
        <v>108</v>
      </c>
    </row>
    <row r="811" spans="1:8" x14ac:dyDescent="0.3">
      <c r="A811" t="s">
        <v>44</v>
      </c>
      <c r="B811" t="s">
        <v>50</v>
      </c>
      <c r="C811" t="s">
        <v>73</v>
      </c>
      <c r="D811">
        <v>3.1</v>
      </c>
      <c r="E811">
        <v>5.9739677419354837</v>
      </c>
      <c r="F811">
        <v>20.723404255319149</v>
      </c>
      <c r="G811" t="s">
        <v>105</v>
      </c>
      <c r="H811" t="s">
        <v>108</v>
      </c>
    </row>
    <row r="812" spans="1:8" x14ac:dyDescent="0.3">
      <c r="A812" t="s">
        <v>44</v>
      </c>
      <c r="B812" t="s">
        <v>50</v>
      </c>
      <c r="C812" t="s">
        <v>74</v>
      </c>
      <c r="D812">
        <v>63.7</v>
      </c>
      <c r="E812">
        <v>6.487585557299842</v>
      </c>
      <c r="F812">
        <v>2.0635593220338988</v>
      </c>
      <c r="G812" t="s">
        <v>105</v>
      </c>
      <c r="H812" t="s">
        <v>108</v>
      </c>
    </row>
    <row r="813" spans="1:8" x14ac:dyDescent="0.3">
      <c r="A813" t="s">
        <v>44</v>
      </c>
      <c r="B813" t="s">
        <v>51</v>
      </c>
      <c r="C813" t="s">
        <v>75</v>
      </c>
      <c r="D813">
        <v>11.56809</v>
      </c>
      <c r="E813">
        <v>4.7722495051386898E-2</v>
      </c>
      <c r="F813">
        <v>11.74</v>
      </c>
      <c r="G813" t="s">
        <v>104</v>
      </c>
      <c r="H813" t="s">
        <v>108</v>
      </c>
    </row>
    <row r="814" spans="1:8" x14ac:dyDescent="0.3">
      <c r="A814" t="s">
        <v>44</v>
      </c>
      <c r="B814" t="s">
        <v>60</v>
      </c>
      <c r="C814" t="s">
        <v>98</v>
      </c>
      <c r="D814">
        <v>2.3336600000000001</v>
      </c>
      <c r="E814">
        <v>19.60257787325456</v>
      </c>
      <c r="F814">
        <v>20.6</v>
      </c>
      <c r="G814" t="s">
        <v>107</v>
      </c>
      <c r="H814" t="s">
        <v>109</v>
      </c>
    </row>
    <row r="815" spans="1:8" x14ac:dyDescent="0.3">
      <c r="A815" t="s">
        <v>44</v>
      </c>
      <c r="B815" t="s">
        <v>52</v>
      </c>
      <c r="C815" t="s">
        <v>76</v>
      </c>
      <c r="D815">
        <v>7.6999999999999999E-2</v>
      </c>
      <c r="E815">
        <v>8.4824999999999999</v>
      </c>
      <c r="F815">
        <v>12.68872359754714</v>
      </c>
      <c r="G815" t="s">
        <v>105</v>
      </c>
      <c r="H815" t="s">
        <v>108</v>
      </c>
    </row>
    <row r="816" spans="1:8" x14ac:dyDescent="0.3">
      <c r="A816" t="s">
        <v>44</v>
      </c>
      <c r="B816" t="s">
        <v>53</v>
      </c>
      <c r="C816" t="s">
        <v>77</v>
      </c>
      <c r="D816">
        <v>3.1164900000000002</v>
      </c>
      <c r="E816">
        <v>3.2765997003038669</v>
      </c>
      <c r="F816">
        <v>3.86607608129234</v>
      </c>
      <c r="G816" t="s">
        <v>104</v>
      </c>
      <c r="H816" t="s">
        <v>108</v>
      </c>
    </row>
    <row r="817" spans="1:8" x14ac:dyDescent="0.3">
      <c r="A817" t="s">
        <v>44</v>
      </c>
      <c r="B817" t="s">
        <v>61</v>
      </c>
      <c r="C817" t="s">
        <v>99</v>
      </c>
      <c r="D817">
        <v>5.7</v>
      </c>
      <c r="E817">
        <v>2.0589473684210531</v>
      </c>
      <c r="F817">
        <v>2.9245635910224439</v>
      </c>
      <c r="G817" t="s">
        <v>104</v>
      </c>
      <c r="H817" t="s">
        <v>108</v>
      </c>
    </row>
    <row r="818" spans="1:8" x14ac:dyDescent="0.3">
      <c r="A818" t="s">
        <v>44</v>
      </c>
      <c r="B818" t="s">
        <v>62</v>
      </c>
      <c r="C818" t="s">
        <v>100</v>
      </c>
      <c r="D818">
        <v>1.7</v>
      </c>
      <c r="E818">
        <v>0.1235294117647059</v>
      </c>
      <c r="F818">
        <v>2.6764106050305911</v>
      </c>
      <c r="G818" t="s">
        <v>104</v>
      </c>
      <c r="H818" t="s">
        <v>108</v>
      </c>
    </row>
    <row r="819" spans="1:8" x14ac:dyDescent="0.3">
      <c r="A819" t="s">
        <v>44</v>
      </c>
      <c r="B819" t="s">
        <v>54</v>
      </c>
      <c r="C819" t="s">
        <v>78</v>
      </c>
      <c r="D819">
        <v>43.3</v>
      </c>
      <c r="E819">
        <v>6.8319861431870672</v>
      </c>
      <c r="F819">
        <v>3.86607608129234</v>
      </c>
      <c r="G819" t="s">
        <v>104</v>
      </c>
      <c r="H819" t="s">
        <v>108</v>
      </c>
    </row>
    <row r="820" spans="1:8" x14ac:dyDescent="0.3">
      <c r="A820" t="s">
        <v>45</v>
      </c>
      <c r="B820" t="s">
        <v>46</v>
      </c>
      <c r="C820" t="s">
        <v>64</v>
      </c>
      <c r="D820">
        <v>5.4999999999999997E-3</v>
      </c>
      <c r="E820">
        <v>5.633</v>
      </c>
      <c r="F820">
        <v>2.9521711768407801</v>
      </c>
      <c r="G820" t="s">
        <v>104</v>
      </c>
      <c r="H820" t="s">
        <v>108</v>
      </c>
    </row>
    <row r="821" spans="1:8" x14ac:dyDescent="0.3">
      <c r="A821" t="s">
        <v>45</v>
      </c>
      <c r="B821" t="s">
        <v>46</v>
      </c>
      <c r="C821" t="s">
        <v>79</v>
      </c>
      <c r="D821">
        <v>0.2</v>
      </c>
      <c r="E821">
        <v>4.37</v>
      </c>
      <c r="F821">
        <v>6.8428961748633883</v>
      </c>
      <c r="G821" t="s">
        <v>104</v>
      </c>
      <c r="H821" t="s">
        <v>108</v>
      </c>
    </row>
    <row r="822" spans="1:8" x14ac:dyDescent="0.3">
      <c r="A822" t="s">
        <v>45</v>
      </c>
      <c r="B822" t="s">
        <v>47</v>
      </c>
      <c r="C822" t="s">
        <v>68</v>
      </c>
      <c r="D822">
        <v>9.5</v>
      </c>
      <c r="E822">
        <v>3.4929999999999999</v>
      </c>
      <c r="G822" t="s">
        <v>104</v>
      </c>
      <c r="H822" t="s">
        <v>109</v>
      </c>
    </row>
    <row r="823" spans="1:8" x14ac:dyDescent="0.3">
      <c r="A823" t="s">
        <v>45</v>
      </c>
      <c r="B823" t="s">
        <v>47</v>
      </c>
      <c r="C823" t="s">
        <v>69</v>
      </c>
      <c r="D823">
        <v>6.6</v>
      </c>
      <c r="E823">
        <v>3.468</v>
      </c>
      <c r="G823" t="s">
        <v>104</v>
      </c>
      <c r="H823" t="s">
        <v>109</v>
      </c>
    </row>
    <row r="824" spans="1:8" x14ac:dyDescent="0.3">
      <c r="A824" t="s">
        <v>45</v>
      </c>
      <c r="B824" t="s">
        <v>48</v>
      </c>
      <c r="C824" t="s">
        <v>70</v>
      </c>
      <c r="D824">
        <v>3.5</v>
      </c>
      <c r="E824">
        <v>8.8480000000000008</v>
      </c>
      <c r="G824" t="s">
        <v>104</v>
      </c>
      <c r="H824" t="s">
        <v>109</v>
      </c>
    </row>
    <row r="825" spans="1:8" x14ac:dyDescent="0.3">
      <c r="A825" t="s">
        <v>45</v>
      </c>
      <c r="B825" t="s">
        <v>49</v>
      </c>
      <c r="C825" t="s">
        <v>71</v>
      </c>
      <c r="D825">
        <v>0.48687000000000002</v>
      </c>
      <c r="E825">
        <v>0</v>
      </c>
      <c r="F825">
        <v>3.86607608129234</v>
      </c>
      <c r="G825" t="s">
        <v>104</v>
      </c>
      <c r="H825" t="s">
        <v>108</v>
      </c>
    </row>
    <row r="826" spans="1:8" x14ac:dyDescent="0.3">
      <c r="A826" t="s">
        <v>45</v>
      </c>
      <c r="B826" t="s">
        <v>52</v>
      </c>
      <c r="C826" t="s">
        <v>76</v>
      </c>
      <c r="D826">
        <v>1.0999999999999999E-2</v>
      </c>
      <c r="E826">
        <v>0</v>
      </c>
      <c r="F826">
        <v>12.68872359754714</v>
      </c>
      <c r="G826" t="s">
        <v>105</v>
      </c>
      <c r="H826" t="s">
        <v>108</v>
      </c>
    </row>
    <row r="827" spans="1:8" x14ac:dyDescent="0.3">
      <c r="A827" t="s">
        <v>45</v>
      </c>
      <c r="B827" t="s">
        <v>54</v>
      </c>
      <c r="C827" t="s">
        <v>78</v>
      </c>
      <c r="D827">
        <v>2.2000000000000002</v>
      </c>
      <c r="E827">
        <v>0</v>
      </c>
      <c r="F827">
        <v>3.86607608129234</v>
      </c>
      <c r="G827" t="s">
        <v>104</v>
      </c>
      <c r="H827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64"/>
  <sheetViews>
    <sheetView workbookViewId="0">
      <selection activeCell="E1" sqref="E1"/>
    </sheetView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112</v>
      </c>
      <c r="F1" s="1" t="s">
        <v>4</v>
      </c>
      <c r="G1" s="1" t="s">
        <v>5</v>
      </c>
      <c r="H1" s="1" t="s">
        <v>6</v>
      </c>
    </row>
    <row r="2" spans="1:8" x14ac:dyDescent="0.3">
      <c r="A2" t="s">
        <v>7</v>
      </c>
      <c r="B2" t="s">
        <v>46</v>
      </c>
      <c r="C2" t="s">
        <v>63</v>
      </c>
      <c r="D2">
        <v>0.11210000000000001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x14ac:dyDescent="0.3">
      <c r="A3" t="s">
        <v>7</v>
      </c>
      <c r="B3" t="s">
        <v>46</v>
      </c>
      <c r="C3" t="s">
        <v>64</v>
      </c>
      <c r="D3">
        <v>0.20874000000000001</v>
      </c>
      <c r="E3">
        <v>6.9850000000000003</v>
      </c>
      <c r="F3">
        <v>2.9521711768407801</v>
      </c>
      <c r="G3" t="s">
        <v>104</v>
      </c>
      <c r="H3" t="s">
        <v>108</v>
      </c>
    </row>
    <row r="4" spans="1:8" x14ac:dyDescent="0.3">
      <c r="A4" t="s">
        <v>7</v>
      </c>
      <c r="B4" t="s">
        <v>46</v>
      </c>
      <c r="C4" t="s">
        <v>65</v>
      </c>
      <c r="D4">
        <v>0.5</v>
      </c>
      <c r="E4">
        <v>4.3769999999999998</v>
      </c>
      <c r="F4">
        <v>2.9521711768407801</v>
      </c>
      <c r="G4" t="s">
        <v>104</v>
      </c>
      <c r="H4" t="s">
        <v>108</v>
      </c>
    </row>
    <row r="5" spans="1:8" x14ac:dyDescent="0.3">
      <c r="A5" t="s">
        <v>7</v>
      </c>
      <c r="B5" t="s">
        <v>46</v>
      </c>
      <c r="C5" t="s">
        <v>66</v>
      </c>
      <c r="D5">
        <v>0.8</v>
      </c>
      <c r="E5">
        <v>1.7809999999999999</v>
      </c>
      <c r="F5">
        <v>6.8428961748633883</v>
      </c>
      <c r="G5" t="s">
        <v>104</v>
      </c>
      <c r="H5" t="s">
        <v>108</v>
      </c>
    </row>
    <row r="6" spans="1:8" x14ac:dyDescent="0.3">
      <c r="A6" t="s">
        <v>7</v>
      </c>
      <c r="B6" t="s">
        <v>46</v>
      </c>
      <c r="C6" t="s">
        <v>67</v>
      </c>
      <c r="D6">
        <v>0.3</v>
      </c>
      <c r="E6">
        <v>4.8579999999999997</v>
      </c>
      <c r="F6">
        <v>2.9521711768407801</v>
      </c>
      <c r="G6" t="s">
        <v>104</v>
      </c>
      <c r="H6" t="s">
        <v>108</v>
      </c>
    </row>
    <row r="7" spans="1:8" x14ac:dyDescent="0.3">
      <c r="A7" t="s">
        <v>7</v>
      </c>
      <c r="B7" t="s">
        <v>46</v>
      </c>
      <c r="C7" t="s">
        <v>85</v>
      </c>
      <c r="D7">
        <v>0.1</v>
      </c>
      <c r="E7">
        <v>4.1230000000000002</v>
      </c>
      <c r="F7">
        <v>2.9521711768407801</v>
      </c>
      <c r="G7" t="s">
        <v>104</v>
      </c>
      <c r="H7" t="s">
        <v>108</v>
      </c>
    </row>
    <row r="8" spans="1:8" x14ac:dyDescent="0.3">
      <c r="A8" t="s">
        <v>7</v>
      </c>
      <c r="B8" t="s">
        <v>47</v>
      </c>
      <c r="C8" t="s">
        <v>68</v>
      </c>
      <c r="D8">
        <v>18</v>
      </c>
      <c r="E8">
        <v>3.0590000000000002</v>
      </c>
      <c r="F8">
        <v>14.5</v>
      </c>
      <c r="G8" t="s">
        <v>104</v>
      </c>
      <c r="H8" t="s">
        <v>109</v>
      </c>
    </row>
    <row r="9" spans="1:8" x14ac:dyDescent="0.3">
      <c r="A9" t="s">
        <v>7</v>
      </c>
      <c r="B9" t="s">
        <v>47</v>
      </c>
      <c r="C9" t="s">
        <v>69</v>
      </c>
      <c r="D9">
        <v>12.6</v>
      </c>
      <c r="E9">
        <v>3.048</v>
      </c>
      <c r="F9">
        <v>14.5</v>
      </c>
      <c r="G9" t="s">
        <v>104</v>
      </c>
      <c r="H9" t="s">
        <v>109</v>
      </c>
    </row>
    <row r="10" spans="1:8" x14ac:dyDescent="0.3">
      <c r="A10" t="s">
        <v>7</v>
      </c>
      <c r="B10" t="s">
        <v>48</v>
      </c>
      <c r="C10" t="s">
        <v>70</v>
      </c>
      <c r="D10">
        <v>6.6</v>
      </c>
      <c r="E10">
        <v>7.95</v>
      </c>
      <c r="F10">
        <v>0</v>
      </c>
      <c r="G10" t="s">
        <v>104</v>
      </c>
      <c r="H10" t="s">
        <v>109</v>
      </c>
    </row>
    <row r="11" spans="1:8" x14ac:dyDescent="0.3">
      <c r="A11" t="s">
        <v>7</v>
      </c>
      <c r="B11" t="s">
        <v>49</v>
      </c>
      <c r="C11" t="s">
        <v>71</v>
      </c>
      <c r="D11">
        <v>11.651210000000001</v>
      </c>
      <c r="E11">
        <v>0</v>
      </c>
      <c r="F11">
        <v>3.86607608129234</v>
      </c>
      <c r="G11" t="s">
        <v>104</v>
      </c>
      <c r="H11" t="s">
        <v>108</v>
      </c>
    </row>
    <row r="12" spans="1:8" x14ac:dyDescent="0.3">
      <c r="A12" t="s">
        <v>7</v>
      </c>
      <c r="B12" t="s">
        <v>49</v>
      </c>
      <c r="C12" t="s">
        <v>72</v>
      </c>
      <c r="D12">
        <v>3.2</v>
      </c>
      <c r="E12">
        <v>0</v>
      </c>
      <c r="F12">
        <v>3.86607608129234</v>
      </c>
      <c r="G12" t="s">
        <v>104</v>
      </c>
      <c r="H12" t="s">
        <v>108</v>
      </c>
    </row>
    <row r="13" spans="1:8" x14ac:dyDescent="0.3">
      <c r="A13" t="s">
        <v>7</v>
      </c>
      <c r="B13" t="s">
        <v>50</v>
      </c>
      <c r="C13" t="s">
        <v>73</v>
      </c>
      <c r="D13">
        <v>0.5</v>
      </c>
      <c r="E13">
        <v>5.4240000000000004</v>
      </c>
      <c r="F13">
        <v>20.723404255319149</v>
      </c>
      <c r="G13" t="s">
        <v>105</v>
      </c>
      <c r="H13" t="s">
        <v>108</v>
      </c>
    </row>
    <row r="14" spans="1:8" x14ac:dyDescent="0.3">
      <c r="A14" t="s">
        <v>7</v>
      </c>
      <c r="B14" t="s">
        <v>50</v>
      </c>
      <c r="C14" t="s">
        <v>74</v>
      </c>
      <c r="D14">
        <v>2.2999999999999998</v>
      </c>
      <c r="E14">
        <v>3.484</v>
      </c>
      <c r="F14">
        <v>2.0635593220338988</v>
      </c>
      <c r="G14" t="s">
        <v>105</v>
      </c>
      <c r="H14" t="s">
        <v>108</v>
      </c>
    </row>
    <row r="15" spans="1:8" x14ac:dyDescent="0.3">
      <c r="A15" t="s">
        <v>7</v>
      </c>
      <c r="B15" t="s">
        <v>51</v>
      </c>
      <c r="C15" t="s">
        <v>75</v>
      </c>
      <c r="D15">
        <v>1.397437</v>
      </c>
      <c r="E15">
        <v>0.14069241575201899</v>
      </c>
      <c r="F15">
        <v>11.74</v>
      </c>
      <c r="G15" t="s">
        <v>104</v>
      </c>
      <c r="H15" t="s">
        <v>108</v>
      </c>
    </row>
    <row r="16" spans="1:8" x14ac:dyDescent="0.3">
      <c r="A16" t="s">
        <v>7</v>
      </c>
      <c r="B16" t="s">
        <v>52</v>
      </c>
      <c r="C16" t="s">
        <v>76</v>
      </c>
      <c r="D16">
        <v>2.5999999999999999E-2</v>
      </c>
      <c r="E16">
        <v>6.5250000000000004</v>
      </c>
      <c r="F16">
        <v>12.68872359754714</v>
      </c>
      <c r="G16" t="s">
        <v>105</v>
      </c>
      <c r="H16" t="s">
        <v>108</v>
      </c>
    </row>
    <row r="17" spans="1:8" x14ac:dyDescent="0.3">
      <c r="A17" t="s">
        <v>7</v>
      </c>
      <c r="B17" t="s">
        <v>53</v>
      </c>
      <c r="C17" t="s">
        <v>77</v>
      </c>
      <c r="D17">
        <v>1.3</v>
      </c>
      <c r="E17">
        <v>0</v>
      </c>
      <c r="F17">
        <v>3.86607608129234</v>
      </c>
      <c r="G17" t="s">
        <v>104</v>
      </c>
      <c r="H17" t="s">
        <v>108</v>
      </c>
    </row>
    <row r="18" spans="1:8" x14ac:dyDescent="0.3">
      <c r="A18" t="s">
        <v>7</v>
      </c>
      <c r="B18" t="s">
        <v>54</v>
      </c>
      <c r="C18" t="s">
        <v>78</v>
      </c>
      <c r="D18">
        <v>4.9000000000000004</v>
      </c>
      <c r="E18">
        <v>0</v>
      </c>
      <c r="F18">
        <v>3.86607608129234</v>
      </c>
      <c r="G18" t="s">
        <v>104</v>
      </c>
      <c r="H18" t="s">
        <v>108</v>
      </c>
    </row>
    <row r="19" spans="1:8" x14ac:dyDescent="0.3">
      <c r="A19" t="s">
        <v>8</v>
      </c>
      <c r="B19" t="s">
        <v>46</v>
      </c>
      <c r="C19" t="s">
        <v>64</v>
      </c>
      <c r="D19">
        <v>0.1</v>
      </c>
      <c r="E19">
        <v>2.0630000000000002</v>
      </c>
      <c r="F19">
        <v>2.9521711768407801</v>
      </c>
      <c r="G19" t="s">
        <v>104</v>
      </c>
      <c r="H19" t="s">
        <v>108</v>
      </c>
    </row>
    <row r="20" spans="1:8" x14ac:dyDescent="0.3">
      <c r="A20" t="s">
        <v>8</v>
      </c>
      <c r="B20" t="s">
        <v>46</v>
      </c>
      <c r="C20" t="s">
        <v>79</v>
      </c>
      <c r="D20">
        <v>10</v>
      </c>
      <c r="E20">
        <v>10.12252</v>
      </c>
      <c r="F20">
        <v>6.8428961748633883</v>
      </c>
      <c r="G20" t="s">
        <v>104</v>
      </c>
      <c r="H20" t="s">
        <v>108</v>
      </c>
    </row>
    <row r="21" spans="1:8" x14ac:dyDescent="0.3">
      <c r="A21" t="s">
        <v>8</v>
      </c>
      <c r="B21" t="s">
        <v>46</v>
      </c>
      <c r="C21" t="s">
        <v>80</v>
      </c>
      <c r="D21">
        <v>7.2874999999999996</v>
      </c>
      <c r="E21">
        <v>0.71274443695212408</v>
      </c>
      <c r="F21">
        <v>28.139870918023309</v>
      </c>
      <c r="G21" t="s">
        <v>105</v>
      </c>
      <c r="H21" t="s">
        <v>108</v>
      </c>
    </row>
    <row r="22" spans="1:8" x14ac:dyDescent="0.3">
      <c r="A22" t="s">
        <v>8</v>
      </c>
      <c r="B22" t="s">
        <v>46</v>
      </c>
      <c r="C22" t="s">
        <v>81</v>
      </c>
      <c r="D22">
        <v>2.6648999999999998</v>
      </c>
      <c r="E22">
        <v>1.242655699177438</v>
      </c>
      <c r="F22">
        <v>8.9647473560517046</v>
      </c>
      <c r="G22" t="s">
        <v>105</v>
      </c>
      <c r="H22" t="s">
        <v>108</v>
      </c>
    </row>
    <row r="23" spans="1:8" x14ac:dyDescent="0.3">
      <c r="A23" t="s">
        <v>8</v>
      </c>
      <c r="B23" t="s">
        <v>46</v>
      </c>
      <c r="C23" t="s">
        <v>66</v>
      </c>
      <c r="D23">
        <v>5.5</v>
      </c>
      <c r="E23">
        <v>10.47369090909091</v>
      </c>
      <c r="F23">
        <v>6.8428961748633883</v>
      </c>
      <c r="G23" t="s">
        <v>104</v>
      </c>
      <c r="H23" t="s">
        <v>108</v>
      </c>
    </row>
    <row r="24" spans="1:8" x14ac:dyDescent="0.3">
      <c r="A24" t="s">
        <v>8</v>
      </c>
      <c r="B24" t="s">
        <v>46</v>
      </c>
      <c r="C24" t="s">
        <v>82</v>
      </c>
      <c r="D24">
        <v>1</v>
      </c>
      <c r="E24">
        <v>6.1947999999999999</v>
      </c>
      <c r="F24">
        <v>6.8428961748633883</v>
      </c>
      <c r="G24" t="s">
        <v>104</v>
      </c>
      <c r="H24" t="s">
        <v>108</v>
      </c>
    </row>
    <row r="25" spans="1:8" x14ac:dyDescent="0.3">
      <c r="A25" t="s">
        <v>8</v>
      </c>
      <c r="B25" t="s">
        <v>46</v>
      </c>
      <c r="C25" t="s">
        <v>83</v>
      </c>
      <c r="D25">
        <v>0.3</v>
      </c>
      <c r="E25">
        <v>0</v>
      </c>
      <c r="F25">
        <v>6.8428961748633883</v>
      </c>
      <c r="G25" t="s">
        <v>104</v>
      </c>
      <c r="H25" t="s">
        <v>108</v>
      </c>
    </row>
    <row r="26" spans="1:8" x14ac:dyDescent="0.3">
      <c r="A26" t="s">
        <v>8</v>
      </c>
      <c r="B26" t="s">
        <v>46</v>
      </c>
      <c r="C26" t="s">
        <v>84</v>
      </c>
      <c r="D26">
        <v>0.3</v>
      </c>
      <c r="E26">
        <v>4.4939999999999998</v>
      </c>
      <c r="F26">
        <v>28.139870918023309</v>
      </c>
      <c r="G26" t="s">
        <v>105</v>
      </c>
      <c r="H26" t="s">
        <v>108</v>
      </c>
    </row>
    <row r="27" spans="1:8" x14ac:dyDescent="0.3">
      <c r="A27" t="s">
        <v>8</v>
      </c>
      <c r="B27" t="s">
        <v>46</v>
      </c>
      <c r="C27" t="s">
        <v>85</v>
      </c>
      <c r="D27">
        <v>0.4</v>
      </c>
      <c r="E27">
        <v>4.7530000000000001</v>
      </c>
      <c r="F27">
        <v>2.9521711768407801</v>
      </c>
      <c r="G27" t="s">
        <v>104</v>
      </c>
      <c r="H27" t="s">
        <v>108</v>
      </c>
    </row>
    <row r="28" spans="1:8" x14ac:dyDescent="0.3">
      <c r="A28" t="s">
        <v>8</v>
      </c>
      <c r="B28" t="s">
        <v>55</v>
      </c>
      <c r="C28" t="s">
        <v>86</v>
      </c>
      <c r="D28">
        <v>6.4399999999999999E-2</v>
      </c>
      <c r="E28">
        <v>10.414</v>
      </c>
      <c r="F28">
        <v>9.3000000000000007</v>
      </c>
      <c r="G28" t="s">
        <v>106</v>
      </c>
      <c r="H28" t="s">
        <v>109</v>
      </c>
    </row>
    <row r="29" spans="1:8" x14ac:dyDescent="0.3">
      <c r="A29" t="s">
        <v>8</v>
      </c>
      <c r="B29" t="s">
        <v>55</v>
      </c>
      <c r="C29" t="s">
        <v>87</v>
      </c>
      <c r="D29">
        <v>0.255</v>
      </c>
      <c r="E29">
        <v>11.951000000000001</v>
      </c>
      <c r="F29">
        <v>9.3000000000000007</v>
      </c>
      <c r="G29" t="s">
        <v>106</v>
      </c>
      <c r="H29" t="s">
        <v>109</v>
      </c>
    </row>
    <row r="30" spans="1:8" x14ac:dyDescent="0.3">
      <c r="A30" t="s">
        <v>8</v>
      </c>
      <c r="B30" t="s">
        <v>55</v>
      </c>
      <c r="C30" t="s">
        <v>88</v>
      </c>
      <c r="D30">
        <v>0.35749999999999998</v>
      </c>
      <c r="E30">
        <v>10.555</v>
      </c>
      <c r="F30">
        <v>9.3000000000000007</v>
      </c>
      <c r="G30" t="s">
        <v>106</v>
      </c>
      <c r="H30" t="s">
        <v>109</v>
      </c>
    </row>
    <row r="31" spans="1:8" x14ac:dyDescent="0.3">
      <c r="A31" t="s">
        <v>8</v>
      </c>
      <c r="B31" t="s">
        <v>55</v>
      </c>
      <c r="C31" t="s">
        <v>89</v>
      </c>
      <c r="D31">
        <v>7.8699999999999992E-2</v>
      </c>
      <c r="E31">
        <v>0</v>
      </c>
      <c r="F31">
        <v>9.3000000000000007</v>
      </c>
      <c r="G31" t="s">
        <v>106</v>
      </c>
      <c r="H31" t="s">
        <v>109</v>
      </c>
    </row>
    <row r="32" spans="1:8" x14ac:dyDescent="0.3">
      <c r="A32" t="s">
        <v>8</v>
      </c>
      <c r="B32" t="s">
        <v>55</v>
      </c>
      <c r="C32" t="s">
        <v>90</v>
      </c>
      <c r="D32">
        <v>1.9599999999999999E-2</v>
      </c>
      <c r="E32">
        <v>12.005000000000001</v>
      </c>
      <c r="F32">
        <v>9.3000000000000007</v>
      </c>
      <c r="G32" t="s">
        <v>106</v>
      </c>
      <c r="H32" t="s">
        <v>109</v>
      </c>
    </row>
    <row r="33" spans="1:8" x14ac:dyDescent="0.3">
      <c r="A33" t="s">
        <v>8</v>
      </c>
      <c r="B33" t="s">
        <v>55</v>
      </c>
      <c r="C33" t="s">
        <v>91</v>
      </c>
      <c r="D33">
        <v>6.7599999999999993E-2</v>
      </c>
      <c r="E33">
        <v>10.369</v>
      </c>
      <c r="F33">
        <v>9.3000000000000007</v>
      </c>
      <c r="G33" t="s">
        <v>106</v>
      </c>
      <c r="H33" t="s">
        <v>109</v>
      </c>
    </row>
    <row r="34" spans="1:8" x14ac:dyDescent="0.3">
      <c r="A34" t="s">
        <v>8</v>
      </c>
      <c r="B34" t="s">
        <v>55</v>
      </c>
      <c r="C34" t="s">
        <v>92</v>
      </c>
      <c r="D34">
        <v>0.33368999999999999</v>
      </c>
      <c r="E34">
        <v>11.951000000000001</v>
      </c>
      <c r="F34">
        <v>9.3000000000000007</v>
      </c>
      <c r="G34" t="s">
        <v>106</v>
      </c>
      <c r="H34" t="s">
        <v>109</v>
      </c>
    </row>
    <row r="35" spans="1:8" x14ac:dyDescent="0.3">
      <c r="A35" t="s">
        <v>8</v>
      </c>
      <c r="B35" t="s">
        <v>56</v>
      </c>
      <c r="C35" t="s">
        <v>93</v>
      </c>
      <c r="D35">
        <v>15.14</v>
      </c>
      <c r="E35">
        <v>2.939759036144578</v>
      </c>
      <c r="F35">
        <v>16.899999999999999</v>
      </c>
      <c r="G35" t="s">
        <v>106</v>
      </c>
      <c r="H35" t="s">
        <v>109</v>
      </c>
    </row>
    <row r="36" spans="1:8" x14ac:dyDescent="0.3">
      <c r="A36" t="s">
        <v>8</v>
      </c>
      <c r="B36" t="s">
        <v>47</v>
      </c>
      <c r="C36" t="s">
        <v>68</v>
      </c>
      <c r="D36">
        <v>9.1</v>
      </c>
      <c r="E36">
        <v>5.2977582417582418</v>
      </c>
      <c r="F36">
        <v>21.3</v>
      </c>
      <c r="G36" t="s">
        <v>104</v>
      </c>
      <c r="H36" t="s">
        <v>109</v>
      </c>
    </row>
    <row r="37" spans="1:8" x14ac:dyDescent="0.3">
      <c r="A37" t="s">
        <v>8</v>
      </c>
      <c r="B37" t="s">
        <v>47</v>
      </c>
      <c r="C37" t="s">
        <v>69</v>
      </c>
      <c r="D37">
        <v>21</v>
      </c>
      <c r="E37">
        <v>4.6394809523809526</v>
      </c>
      <c r="F37">
        <v>21.3</v>
      </c>
      <c r="G37" t="s">
        <v>104</v>
      </c>
      <c r="H37" t="s">
        <v>109</v>
      </c>
    </row>
    <row r="38" spans="1:8" x14ac:dyDescent="0.3">
      <c r="A38" t="s">
        <v>8</v>
      </c>
      <c r="B38" t="s">
        <v>57</v>
      </c>
      <c r="C38" t="s">
        <v>94</v>
      </c>
      <c r="D38">
        <v>6</v>
      </c>
      <c r="E38">
        <v>9.6004833333333348</v>
      </c>
      <c r="F38">
        <v>15</v>
      </c>
      <c r="G38" t="s">
        <v>104</v>
      </c>
      <c r="H38" t="s">
        <v>109</v>
      </c>
    </row>
    <row r="39" spans="1:8" x14ac:dyDescent="0.3">
      <c r="A39" t="s">
        <v>8</v>
      </c>
      <c r="B39" t="s">
        <v>49</v>
      </c>
      <c r="C39" t="s">
        <v>71</v>
      </c>
      <c r="D39">
        <v>202.85158000000001</v>
      </c>
      <c r="E39">
        <v>4.9610125947749566</v>
      </c>
      <c r="F39">
        <v>3.86607608129234</v>
      </c>
      <c r="G39" t="s">
        <v>104</v>
      </c>
      <c r="H39" t="s">
        <v>108</v>
      </c>
    </row>
    <row r="40" spans="1:8" x14ac:dyDescent="0.3">
      <c r="A40" t="s">
        <v>8</v>
      </c>
      <c r="B40" t="s">
        <v>49</v>
      </c>
      <c r="C40" t="s">
        <v>72</v>
      </c>
      <c r="D40">
        <v>24.1</v>
      </c>
      <c r="E40">
        <v>3.9701327800829871</v>
      </c>
      <c r="F40">
        <v>3.86607608129234</v>
      </c>
      <c r="G40" t="s">
        <v>104</v>
      </c>
      <c r="H40" t="s">
        <v>108</v>
      </c>
    </row>
    <row r="41" spans="1:8" x14ac:dyDescent="0.3">
      <c r="A41" t="s">
        <v>8</v>
      </c>
      <c r="B41" t="s">
        <v>58</v>
      </c>
      <c r="C41" t="s">
        <v>95</v>
      </c>
      <c r="D41">
        <v>8.8825099999999999</v>
      </c>
      <c r="E41">
        <v>2.8688883919072419</v>
      </c>
      <c r="F41">
        <v>2.9521711768407801</v>
      </c>
      <c r="G41" t="s">
        <v>104</v>
      </c>
      <c r="H41" t="s">
        <v>108</v>
      </c>
    </row>
    <row r="42" spans="1:8" x14ac:dyDescent="0.3">
      <c r="A42" t="s">
        <v>8</v>
      </c>
      <c r="B42" t="s">
        <v>50</v>
      </c>
      <c r="C42" t="s">
        <v>73</v>
      </c>
      <c r="D42">
        <v>2.1</v>
      </c>
      <c r="E42">
        <v>5.5201904761904759</v>
      </c>
      <c r="F42">
        <v>20.723404255319149</v>
      </c>
      <c r="G42" t="s">
        <v>105</v>
      </c>
      <c r="H42" t="s">
        <v>108</v>
      </c>
    </row>
    <row r="43" spans="1:8" x14ac:dyDescent="0.3">
      <c r="A43" t="s">
        <v>8</v>
      </c>
      <c r="B43" t="s">
        <v>50</v>
      </c>
      <c r="C43" t="s">
        <v>74</v>
      </c>
      <c r="D43">
        <v>7.1999999999999993</v>
      </c>
      <c r="E43">
        <v>6.2404722222222224</v>
      </c>
      <c r="F43">
        <v>2.0635593220338988</v>
      </c>
      <c r="G43" t="s">
        <v>105</v>
      </c>
      <c r="H43" t="s">
        <v>108</v>
      </c>
    </row>
    <row r="44" spans="1:8" x14ac:dyDescent="0.3">
      <c r="A44" t="s">
        <v>8</v>
      </c>
      <c r="B44" t="s">
        <v>59</v>
      </c>
      <c r="C44" t="s">
        <v>96</v>
      </c>
      <c r="D44">
        <v>0.1971</v>
      </c>
      <c r="E44">
        <v>17.393000000000001</v>
      </c>
      <c r="F44">
        <v>13.9</v>
      </c>
      <c r="G44" t="s">
        <v>107</v>
      </c>
      <c r="H44" t="s">
        <v>109</v>
      </c>
    </row>
    <row r="45" spans="1:8" x14ac:dyDescent="0.3">
      <c r="A45" t="s">
        <v>8</v>
      </c>
      <c r="B45" t="s">
        <v>59</v>
      </c>
      <c r="C45" t="s">
        <v>97</v>
      </c>
      <c r="D45">
        <v>0.62469999999999992</v>
      </c>
      <c r="E45">
        <v>16.657623440043409</v>
      </c>
      <c r="F45">
        <v>13.9</v>
      </c>
      <c r="G45" t="s">
        <v>107</v>
      </c>
      <c r="H45" t="s">
        <v>109</v>
      </c>
    </row>
    <row r="46" spans="1:8" x14ac:dyDescent="0.3">
      <c r="A46" t="s">
        <v>8</v>
      </c>
      <c r="B46" t="s">
        <v>51</v>
      </c>
      <c r="C46" t="s">
        <v>75</v>
      </c>
      <c r="D46">
        <v>7.2673740000000002</v>
      </c>
      <c r="E46">
        <v>0.16395953979390099</v>
      </c>
      <c r="F46">
        <v>11.74</v>
      </c>
      <c r="G46" t="s">
        <v>104</v>
      </c>
      <c r="H46" t="s">
        <v>108</v>
      </c>
    </row>
    <row r="47" spans="1:8" x14ac:dyDescent="0.3">
      <c r="A47" t="s">
        <v>8</v>
      </c>
      <c r="B47" t="s">
        <v>60</v>
      </c>
      <c r="C47" t="s">
        <v>98</v>
      </c>
      <c r="D47">
        <v>1.8639399999999999</v>
      </c>
      <c r="E47">
        <v>20.300751879699249</v>
      </c>
      <c r="F47">
        <v>21</v>
      </c>
      <c r="G47" t="s">
        <v>107</v>
      </c>
      <c r="H47" t="s">
        <v>109</v>
      </c>
    </row>
    <row r="48" spans="1:8" x14ac:dyDescent="0.3">
      <c r="A48" t="s">
        <v>8</v>
      </c>
      <c r="B48" t="s">
        <v>52</v>
      </c>
      <c r="C48" t="s">
        <v>76</v>
      </c>
      <c r="D48">
        <v>3.4129999999999998</v>
      </c>
      <c r="E48">
        <v>6.5250000000000004</v>
      </c>
      <c r="F48">
        <v>12.68872359754714</v>
      </c>
      <c r="G48" t="s">
        <v>105</v>
      </c>
      <c r="H48" t="s">
        <v>108</v>
      </c>
    </row>
    <row r="49" spans="1:8" x14ac:dyDescent="0.3">
      <c r="A49" t="s">
        <v>8</v>
      </c>
      <c r="B49" t="s">
        <v>53</v>
      </c>
      <c r="C49" t="s">
        <v>77</v>
      </c>
      <c r="D49">
        <v>12.2</v>
      </c>
      <c r="E49">
        <v>3.9697131147540992</v>
      </c>
      <c r="F49">
        <v>3.86607608129234</v>
      </c>
      <c r="G49" t="s">
        <v>104</v>
      </c>
      <c r="H49" t="s">
        <v>108</v>
      </c>
    </row>
    <row r="50" spans="1:8" x14ac:dyDescent="0.3">
      <c r="A50" t="s">
        <v>8</v>
      </c>
      <c r="B50" t="s">
        <v>61</v>
      </c>
      <c r="C50" t="s">
        <v>99</v>
      </c>
      <c r="D50">
        <v>46.6</v>
      </c>
      <c r="E50">
        <v>2.0611974248927041</v>
      </c>
      <c r="F50">
        <v>2.9245635910224439</v>
      </c>
      <c r="G50" t="s">
        <v>104</v>
      </c>
      <c r="H50" t="s">
        <v>108</v>
      </c>
    </row>
    <row r="51" spans="1:8" x14ac:dyDescent="0.3">
      <c r="A51" t="s">
        <v>8</v>
      </c>
      <c r="B51" t="s">
        <v>62</v>
      </c>
      <c r="C51" t="s">
        <v>100</v>
      </c>
      <c r="D51">
        <v>17</v>
      </c>
      <c r="E51">
        <v>0.37235294117647061</v>
      </c>
      <c r="F51">
        <v>2.6764106050305911</v>
      </c>
      <c r="G51" t="s">
        <v>104</v>
      </c>
      <c r="H51" t="s">
        <v>108</v>
      </c>
    </row>
    <row r="52" spans="1:8" x14ac:dyDescent="0.3">
      <c r="A52" t="s">
        <v>8</v>
      </c>
      <c r="B52" t="s">
        <v>54</v>
      </c>
      <c r="C52" t="s">
        <v>78</v>
      </c>
      <c r="D52">
        <v>103.9</v>
      </c>
      <c r="E52">
        <v>8.2418084696823879</v>
      </c>
      <c r="F52">
        <v>3.86607608129234</v>
      </c>
      <c r="G52" t="s">
        <v>104</v>
      </c>
      <c r="H52" t="s">
        <v>108</v>
      </c>
    </row>
    <row r="53" spans="1:8" x14ac:dyDescent="0.3">
      <c r="A53" t="s">
        <v>9</v>
      </c>
      <c r="B53" t="s">
        <v>46</v>
      </c>
      <c r="C53" t="s">
        <v>64</v>
      </c>
      <c r="D53">
        <v>0.53795999999999999</v>
      </c>
      <c r="E53">
        <v>6.633</v>
      </c>
      <c r="F53">
        <v>2.9521711768407801</v>
      </c>
      <c r="G53" t="s">
        <v>104</v>
      </c>
      <c r="H53" t="s">
        <v>108</v>
      </c>
    </row>
    <row r="54" spans="1:8" x14ac:dyDescent="0.3">
      <c r="A54" t="s">
        <v>9</v>
      </c>
      <c r="B54" t="s">
        <v>46</v>
      </c>
      <c r="C54" t="s">
        <v>65</v>
      </c>
      <c r="D54">
        <v>0.8</v>
      </c>
      <c r="E54">
        <v>4.4370000000000003</v>
      </c>
      <c r="F54">
        <v>2.9521711768407801</v>
      </c>
      <c r="G54" t="s">
        <v>104</v>
      </c>
      <c r="H54" t="s">
        <v>108</v>
      </c>
    </row>
    <row r="55" spans="1:8" x14ac:dyDescent="0.3">
      <c r="A55" t="s">
        <v>9</v>
      </c>
      <c r="B55" t="s">
        <v>46</v>
      </c>
      <c r="C55" t="s">
        <v>66</v>
      </c>
      <c r="D55">
        <v>2.7</v>
      </c>
      <c r="E55">
        <v>2.556</v>
      </c>
      <c r="F55">
        <v>6.8428961748633883</v>
      </c>
      <c r="G55" t="s">
        <v>104</v>
      </c>
      <c r="H55" t="s">
        <v>108</v>
      </c>
    </row>
    <row r="56" spans="1:8" x14ac:dyDescent="0.3">
      <c r="A56" t="s">
        <v>9</v>
      </c>
      <c r="B56" t="s">
        <v>46</v>
      </c>
      <c r="C56" t="s">
        <v>85</v>
      </c>
      <c r="D56">
        <v>0.1</v>
      </c>
      <c r="E56">
        <v>4.1420000000000003</v>
      </c>
      <c r="F56">
        <v>2.9521711768407801</v>
      </c>
      <c r="G56" t="s">
        <v>104</v>
      </c>
      <c r="H56" t="s">
        <v>108</v>
      </c>
    </row>
    <row r="57" spans="1:8" x14ac:dyDescent="0.3">
      <c r="A57" t="s">
        <v>9</v>
      </c>
      <c r="B57" t="s">
        <v>47</v>
      </c>
      <c r="C57" t="s">
        <v>68</v>
      </c>
      <c r="D57">
        <v>44</v>
      </c>
      <c r="E57">
        <v>3.609</v>
      </c>
      <c r="G57" t="s">
        <v>104</v>
      </c>
      <c r="H57" t="s">
        <v>109</v>
      </c>
    </row>
    <row r="58" spans="1:8" x14ac:dyDescent="0.3">
      <c r="A58" t="s">
        <v>9</v>
      </c>
      <c r="B58" t="s">
        <v>47</v>
      </c>
      <c r="C58" t="s">
        <v>69</v>
      </c>
      <c r="D58">
        <v>30.8</v>
      </c>
      <c r="E58">
        <v>3.59</v>
      </c>
      <c r="G58" t="s">
        <v>104</v>
      </c>
      <c r="H58" t="s">
        <v>109</v>
      </c>
    </row>
    <row r="59" spans="1:8" x14ac:dyDescent="0.3">
      <c r="A59" t="s">
        <v>9</v>
      </c>
      <c r="B59" t="s">
        <v>48</v>
      </c>
      <c r="C59" t="s">
        <v>70</v>
      </c>
      <c r="D59">
        <v>16.3</v>
      </c>
      <c r="E59">
        <v>9.141</v>
      </c>
      <c r="G59" t="s">
        <v>104</v>
      </c>
      <c r="H59" t="s">
        <v>109</v>
      </c>
    </row>
    <row r="60" spans="1:8" x14ac:dyDescent="0.3">
      <c r="A60" t="s">
        <v>9</v>
      </c>
      <c r="B60" t="s">
        <v>49</v>
      </c>
      <c r="C60" t="s">
        <v>71</v>
      </c>
      <c r="D60">
        <v>26.1797</v>
      </c>
      <c r="E60">
        <v>0</v>
      </c>
      <c r="F60">
        <v>3.86607608129234</v>
      </c>
      <c r="G60" t="s">
        <v>104</v>
      </c>
      <c r="H60" t="s">
        <v>108</v>
      </c>
    </row>
    <row r="61" spans="1:8" x14ac:dyDescent="0.3">
      <c r="A61" t="s">
        <v>9</v>
      </c>
      <c r="B61" t="s">
        <v>49</v>
      </c>
      <c r="C61" t="s">
        <v>72</v>
      </c>
      <c r="D61">
        <v>10.7</v>
      </c>
      <c r="E61">
        <v>0</v>
      </c>
      <c r="F61">
        <v>3.86607608129234</v>
      </c>
      <c r="G61" t="s">
        <v>104</v>
      </c>
      <c r="H61" t="s">
        <v>108</v>
      </c>
    </row>
    <row r="62" spans="1:8" x14ac:dyDescent="0.3">
      <c r="A62" t="s">
        <v>9</v>
      </c>
      <c r="B62" t="s">
        <v>50</v>
      </c>
      <c r="C62" t="s">
        <v>73</v>
      </c>
      <c r="D62">
        <v>0.6</v>
      </c>
      <c r="E62">
        <v>5.4240000000000004</v>
      </c>
      <c r="F62">
        <v>20.723404255319149</v>
      </c>
      <c r="G62" t="s">
        <v>105</v>
      </c>
      <c r="H62" t="s">
        <v>108</v>
      </c>
    </row>
    <row r="63" spans="1:8" x14ac:dyDescent="0.3">
      <c r="A63" t="s">
        <v>9</v>
      </c>
      <c r="B63" t="s">
        <v>50</v>
      </c>
      <c r="C63" t="s">
        <v>74</v>
      </c>
      <c r="D63">
        <v>1.8</v>
      </c>
      <c r="E63">
        <v>3.484</v>
      </c>
      <c r="F63">
        <v>2.0635593220338988</v>
      </c>
      <c r="G63" t="s">
        <v>105</v>
      </c>
      <c r="H63" t="s">
        <v>108</v>
      </c>
    </row>
    <row r="64" spans="1:8" x14ac:dyDescent="0.3">
      <c r="A64" t="s">
        <v>9</v>
      </c>
      <c r="B64" t="s">
        <v>51</v>
      </c>
      <c r="C64" t="s">
        <v>75</v>
      </c>
      <c r="D64">
        <v>0</v>
      </c>
      <c r="E64">
        <v>0</v>
      </c>
      <c r="F64">
        <v>11.74</v>
      </c>
      <c r="G64" t="s">
        <v>104</v>
      </c>
      <c r="H64" t="s">
        <v>108</v>
      </c>
    </row>
    <row r="65" spans="1:8" x14ac:dyDescent="0.3">
      <c r="A65" t="s">
        <v>9</v>
      </c>
      <c r="B65" t="s">
        <v>52</v>
      </c>
      <c r="C65" t="s">
        <v>76</v>
      </c>
      <c r="D65">
        <v>0.05</v>
      </c>
      <c r="E65">
        <v>0</v>
      </c>
      <c r="F65">
        <v>12.68872359754714</v>
      </c>
      <c r="G65" t="s">
        <v>105</v>
      </c>
      <c r="H65" t="s">
        <v>108</v>
      </c>
    </row>
    <row r="66" spans="1:8" x14ac:dyDescent="0.3">
      <c r="A66" t="s">
        <v>9</v>
      </c>
      <c r="B66" t="s">
        <v>53</v>
      </c>
      <c r="C66" t="s">
        <v>77</v>
      </c>
      <c r="D66">
        <v>5.6</v>
      </c>
      <c r="E66">
        <v>0</v>
      </c>
      <c r="F66">
        <v>3.86607608129234</v>
      </c>
      <c r="G66" t="s">
        <v>104</v>
      </c>
      <c r="H66" t="s">
        <v>108</v>
      </c>
    </row>
    <row r="67" spans="1:8" x14ac:dyDescent="0.3">
      <c r="A67" t="s">
        <v>9</v>
      </c>
      <c r="B67" t="s">
        <v>54</v>
      </c>
      <c r="C67" t="s">
        <v>78</v>
      </c>
      <c r="D67">
        <v>13.7</v>
      </c>
      <c r="E67">
        <v>0</v>
      </c>
      <c r="F67">
        <v>3.86607608129234</v>
      </c>
      <c r="G67" t="s">
        <v>104</v>
      </c>
      <c r="H67" t="s">
        <v>108</v>
      </c>
    </row>
    <row r="68" spans="1:8" x14ac:dyDescent="0.3">
      <c r="A68" t="s">
        <v>10</v>
      </c>
      <c r="B68" t="s">
        <v>46</v>
      </c>
      <c r="C68" t="s">
        <v>64</v>
      </c>
      <c r="D68">
        <v>0.2</v>
      </c>
      <c r="E68">
        <v>6.4105000000000008</v>
      </c>
      <c r="F68">
        <v>2.9521711768407801</v>
      </c>
      <c r="G68" t="s">
        <v>104</v>
      </c>
      <c r="H68" t="s">
        <v>108</v>
      </c>
    </row>
    <row r="69" spans="1:8" x14ac:dyDescent="0.3">
      <c r="A69" t="s">
        <v>10</v>
      </c>
      <c r="B69" t="s">
        <v>46</v>
      </c>
      <c r="C69" t="s">
        <v>79</v>
      </c>
      <c r="D69">
        <v>4.3</v>
      </c>
      <c r="E69">
        <v>4.8063720930232563</v>
      </c>
      <c r="F69">
        <v>6.8428961748633883</v>
      </c>
      <c r="G69" t="s">
        <v>104</v>
      </c>
      <c r="H69" t="s">
        <v>108</v>
      </c>
    </row>
    <row r="70" spans="1:8" x14ac:dyDescent="0.3">
      <c r="A70" t="s">
        <v>10</v>
      </c>
      <c r="B70" t="s">
        <v>46</v>
      </c>
      <c r="C70" t="s">
        <v>80</v>
      </c>
      <c r="D70">
        <v>0.51829999999999998</v>
      </c>
      <c r="E70">
        <v>1.026972353337829</v>
      </c>
      <c r="F70">
        <v>28.139870918023309</v>
      </c>
      <c r="G70" t="s">
        <v>105</v>
      </c>
      <c r="H70" t="s">
        <v>108</v>
      </c>
    </row>
    <row r="71" spans="1:8" x14ac:dyDescent="0.3">
      <c r="A71" t="s">
        <v>10</v>
      </c>
      <c r="B71" t="s">
        <v>46</v>
      </c>
      <c r="C71" t="s">
        <v>81</v>
      </c>
      <c r="D71">
        <v>1.3620000000000001</v>
      </c>
      <c r="E71">
        <v>1.078730904817861</v>
      </c>
      <c r="F71">
        <v>8.9647473560517046</v>
      </c>
      <c r="G71" t="s">
        <v>105</v>
      </c>
      <c r="H71" t="s">
        <v>108</v>
      </c>
    </row>
    <row r="72" spans="1:8" x14ac:dyDescent="0.3">
      <c r="A72" t="s">
        <v>10</v>
      </c>
      <c r="B72" t="s">
        <v>46</v>
      </c>
      <c r="C72" t="s">
        <v>66</v>
      </c>
      <c r="D72">
        <v>2.2999999999999998</v>
      </c>
      <c r="E72">
        <v>4.970478260869565</v>
      </c>
      <c r="F72">
        <v>6.8428961748633883</v>
      </c>
      <c r="G72" t="s">
        <v>104</v>
      </c>
      <c r="H72" t="s">
        <v>108</v>
      </c>
    </row>
    <row r="73" spans="1:8" x14ac:dyDescent="0.3">
      <c r="A73" t="s">
        <v>10</v>
      </c>
      <c r="B73" t="s">
        <v>46</v>
      </c>
      <c r="C73" t="s">
        <v>82</v>
      </c>
      <c r="D73">
        <v>0.4</v>
      </c>
      <c r="E73">
        <v>3.036</v>
      </c>
      <c r="F73">
        <v>6.8428961748633883</v>
      </c>
      <c r="G73" t="s">
        <v>104</v>
      </c>
      <c r="H73" t="s">
        <v>108</v>
      </c>
    </row>
    <row r="74" spans="1:8" x14ac:dyDescent="0.3">
      <c r="A74" t="s">
        <v>10</v>
      </c>
      <c r="B74" t="s">
        <v>46</v>
      </c>
      <c r="C74" t="s">
        <v>83</v>
      </c>
      <c r="D74">
        <v>0.60000000000000009</v>
      </c>
      <c r="E74">
        <v>0</v>
      </c>
      <c r="F74">
        <v>6.8428961748633883</v>
      </c>
      <c r="G74" t="s">
        <v>104</v>
      </c>
      <c r="H74" t="s">
        <v>108</v>
      </c>
    </row>
    <row r="75" spans="1:8" x14ac:dyDescent="0.3">
      <c r="A75" t="s">
        <v>10</v>
      </c>
      <c r="B75" t="s">
        <v>46</v>
      </c>
      <c r="C75" t="s">
        <v>84</v>
      </c>
      <c r="D75">
        <v>0.60000000000000009</v>
      </c>
      <c r="E75">
        <v>2.7909999999999999</v>
      </c>
      <c r="F75">
        <v>28.139870918023309</v>
      </c>
      <c r="G75" t="s">
        <v>105</v>
      </c>
      <c r="H75" t="s">
        <v>108</v>
      </c>
    </row>
    <row r="76" spans="1:8" x14ac:dyDescent="0.3">
      <c r="A76" t="s">
        <v>10</v>
      </c>
      <c r="B76" t="s">
        <v>55</v>
      </c>
      <c r="C76" t="s">
        <v>86</v>
      </c>
      <c r="D76">
        <v>1.1577999999999999</v>
      </c>
      <c r="E76">
        <v>10.996</v>
      </c>
      <c r="F76">
        <v>26.8</v>
      </c>
      <c r="G76" t="s">
        <v>106</v>
      </c>
      <c r="H76" t="s">
        <v>109</v>
      </c>
    </row>
    <row r="77" spans="1:8" x14ac:dyDescent="0.3">
      <c r="A77" t="s">
        <v>10</v>
      </c>
      <c r="B77" t="s">
        <v>55</v>
      </c>
      <c r="C77" t="s">
        <v>88</v>
      </c>
      <c r="D77">
        <v>1.4925999999999999</v>
      </c>
      <c r="E77">
        <v>6.9740000000000029</v>
      </c>
      <c r="F77">
        <v>26.8</v>
      </c>
      <c r="G77" t="s">
        <v>106</v>
      </c>
      <c r="H77" t="s">
        <v>109</v>
      </c>
    </row>
    <row r="78" spans="1:8" x14ac:dyDescent="0.3">
      <c r="A78" t="s">
        <v>10</v>
      </c>
      <c r="B78" t="s">
        <v>55</v>
      </c>
      <c r="C78" t="s">
        <v>92</v>
      </c>
      <c r="D78">
        <v>2.5585399999999998</v>
      </c>
      <c r="E78">
        <v>12.066000000000001</v>
      </c>
      <c r="F78">
        <v>26.8</v>
      </c>
      <c r="G78" t="s">
        <v>106</v>
      </c>
      <c r="H78" t="s">
        <v>109</v>
      </c>
    </row>
    <row r="79" spans="1:8" x14ac:dyDescent="0.3">
      <c r="A79" t="s">
        <v>10</v>
      </c>
      <c r="B79" t="s">
        <v>56</v>
      </c>
      <c r="C79" t="s">
        <v>93</v>
      </c>
      <c r="D79">
        <v>19.106100000000001</v>
      </c>
      <c r="E79">
        <v>2.939759036144578</v>
      </c>
      <c r="F79">
        <v>31.2</v>
      </c>
      <c r="G79" t="s">
        <v>106</v>
      </c>
      <c r="H79" t="s">
        <v>109</v>
      </c>
    </row>
    <row r="80" spans="1:8" x14ac:dyDescent="0.3">
      <c r="A80" t="s">
        <v>10</v>
      </c>
      <c r="B80" t="s">
        <v>47</v>
      </c>
      <c r="C80" t="s">
        <v>68</v>
      </c>
      <c r="D80">
        <v>4.9000000000000004</v>
      </c>
      <c r="E80">
        <v>6.2077142857142853</v>
      </c>
      <c r="F80">
        <v>20.5</v>
      </c>
      <c r="G80" t="s">
        <v>104</v>
      </c>
      <c r="H80" t="s">
        <v>109</v>
      </c>
    </row>
    <row r="81" spans="1:8" x14ac:dyDescent="0.3">
      <c r="A81" t="s">
        <v>10</v>
      </c>
      <c r="B81" t="s">
        <v>47</v>
      </c>
      <c r="C81" t="s">
        <v>69</v>
      </c>
      <c r="D81">
        <v>12.7</v>
      </c>
      <c r="E81">
        <v>5.2684803149606303</v>
      </c>
      <c r="F81">
        <v>20.5</v>
      </c>
      <c r="G81" t="s">
        <v>104</v>
      </c>
      <c r="H81" t="s">
        <v>109</v>
      </c>
    </row>
    <row r="82" spans="1:8" x14ac:dyDescent="0.3">
      <c r="A82" t="s">
        <v>10</v>
      </c>
      <c r="B82" t="s">
        <v>57</v>
      </c>
      <c r="C82" t="s">
        <v>94</v>
      </c>
      <c r="D82">
        <v>4.4000000000000004</v>
      </c>
      <c r="E82">
        <v>9.6062045454545437</v>
      </c>
      <c r="F82">
        <v>16.399999999999999</v>
      </c>
      <c r="G82" t="s">
        <v>104</v>
      </c>
      <c r="H82" t="s">
        <v>109</v>
      </c>
    </row>
    <row r="83" spans="1:8" x14ac:dyDescent="0.3">
      <c r="A83" t="s">
        <v>10</v>
      </c>
      <c r="B83" t="s">
        <v>49</v>
      </c>
      <c r="C83" t="s">
        <v>71</v>
      </c>
      <c r="D83">
        <v>38.396450000000002</v>
      </c>
      <c r="E83">
        <v>5.0554311500151714</v>
      </c>
      <c r="F83">
        <v>3.86607608129234</v>
      </c>
      <c r="G83" t="s">
        <v>104</v>
      </c>
      <c r="H83" t="s">
        <v>108</v>
      </c>
    </row>
    <row r="84" spans="1:8" x14ac:dyDescent="0.3">
      <c r="A84" t="s">
        <v>10</v>
      </c>
      <c r="B84" t="s">
        <v>49</v>
      </c>
      <c r="C84" t="s">
        <v>72</v>
      </c>
      <c r="D84">
        <v>4</v>
      </c>
      <c r="E84">
        <v>4.0507749999999998</v>
      </c>
      <c r="F84">
        <v>3.86607608129234</v>
      </c>
      <c r="G84" t="s">
        <v>104</v>
      </c>
      <c r="H84" t="s">
        <v>108</v>
      </c>
    </row>
    <row r="85" spans="1:8" x14ac:dyDescent="0.3">
      <c r="A85" t="s">
        <v>10</v>
      </c>
      <c r="B85" t="s">
        <v>58</v>
      </c>
      <c r="C85" t="s">
        <v>95</v>
      </c>
      <c r="D85">
        <v>14.33615</v>
      </c>
      <c r="E85">
        <v>2.933203373988134</v>
      </c>
      <c r="F85">
        <v>2.9521711768407801</v>
      </c>
      <c r="G85" t="s">
        <v>104</v>
      </c>
      <c r="H85" t="s">
        <v>108</v>
      </c>
    </row>
    <row r="86" spans="1:8" x14ac:dyDescent="0.3">
      <c r="A86" t="s">
        <v>10</v>
      </c>
      <c r="B86" t="s">
        <v>50</v>
      </c>
      <c r="C86" t="s">
        <v>73</v>
      </c>
      <c r="D86">
        <v>12.4</v>
      </c>
      <c r="E86">
        <v>5.6702500000000002</v>
      </c>
      <c r="F86">
        <v>20.723404255319149</v>
      </c>
      <c r="G86" t="s">
        <v>105</v>
      </c>
      <c r="H86" t="s">
        <v>108</v>
      </c>
    </row>
    <row r="87" spans="1:8" x14ac:dyDescent="0.3">
      <c r="A87" t="s">
        <v>10</v>
      </c>
      <c r="B87" t="s">
        <v>50</v>
      </c>
      <c r="C87" t="s">
        <v>74</v>
      </c>
      <c r="D87">
        <v>53.7</v>
      </c>
      <c r="E87">
        <v>6.3161005586592172</v>
      </c>
      <c r="F87">
        <v>2.0635593220338988</v>
      </c>
      <c r="G87" t="s">
        <v>105</v>
      </c>
      <c r="H87" t="s">
        <v>108</v>
      </c>
    </row>
    <row r="88" spans="1:8" x14ac:dyDescent="0.3">
      <c r="A88" t="s">
        <v>10</v>
      </c>
      <c r="B88" t="s">
        <v>51</v>
      </c>
      <c r="C88" t="s">
        <v>75</v>
      </c>
      <c r="D88">
        <v>32.143799999999999</v>
      </c>
      <c r="E88">
        <v>5.4483201110201898E-2</v>
      </c>
      <c r="F88">
        <v>11.74</v>
      </c>
      <c r="G88" t="s">
        <v>104</v>
      </c>
      <c r="H88" t="s">
        <v>108</v>
      </c>
    </row>
    <row r="89" spans="1:8" x14ac:dyDescent="0.3">
      <c r="A89" t="s">
        <v>10</v>
      </c>
      <c r="B89" t="s">
        <v>60</v>
      </c>
      <c r="C89" t="s">
        <v>98</v>
      </c>
      <c r="D89">
        <v>2.4854400000000001</v>
      </c>
      <c r="E89">
        <v>24.86573576799141</v>
      </c>
      <c r="F89">
        <v>37.799999999999997</v>
      </c>
      <c r="G89" t="s">
        <v>107</v>
      </c>
      <c r="H89" t="s">
        <v>109</v>
      </c>
    </row>
    <row r="90" spans="1:8" x14ac:dyDescent="0.3">
      <c r="A90" t="s">
        <v>10</v>
      </c>
      <c r="B90" t="s">
        <v>52</v>
      </c>
      <c r="C90" t="s">
        <v>76</v>
      </c>
      <c r="D90">
        <v>11.147</v>
      </c>
      <c r="E90">
        <v>6.5250000000000004</v>
      </c>
      <c r="F90">
        <v>12.68872359754714</v>
      </c>
      <c r="G90" t="s">
        <v>105</v>
      </c>
      <c r="H90" t="s">
        <v>108</v>
      </c>
    </row>
    <row r="91" spans="1:8" x14ac:dyDescent="0.3">
      <c r="A91" t="s">
        <v>10</v>
      </c>
      <c r="B91" t="s">
        <v>53</v>
      </c>
      <c r="C91" t="s">
        <v>77</v>
      </c>
      <c r="D91">
        <v>1.5</v>
      </c>
      <c r="E91">
        <v>4.0506666666666673</v>
      </c>
      <c r="F91">
        <v>3.86607608129234</v>
      </c>
      <c r="G91" t="s">
        <v>104</v>
      </c>
      <c r="H91" t="s">
        <v>108</v>
      </c>
    </row>
    <row r="92" spans="1:8" x14ac:dyDescent="0.3">
      <c r="A92" t="s">
        <v>10</v>
      </c>
      <c r="B92" t="s">
        <v>61</v>
      </c>
      <c r="C92" t="s">
        <v>99</v>
      </c>
      <c r="D92">
        <v>26.7</v>
      </c>
      <c r="E92">
        <v>2.0859400749063668</v>
      </c>
      <c r="F92">
        <v>2.9245635910224439</v>
      </c>
      <c r="G92" t="s">
        <v>104</v>
      </c>
      <c r="H92" t="s">
        <v>108</v>
      </c>
    </row>
    <row r="93" spans="1:8" x14ac:dyDescent="0.3">
      <c r="A93" t="s">
        <v>10</v>
      </c>
      <c r="B93" t="s">
        <v>62</v>
      </c>
      <c r="C93" t="s">
        <v>100</v>
      </c>
      <c r="D93">
        <v>13.1</v>
      </c>
      <c r="E93">
        <v>0.4870229007633588</v>
      </c>
      <c r="F93">
        <v>2.6764106050305911</v>
      </c>
      <c r="G93" t="s">
        <v>104</v>
      </c>
      <c r="H93" t="s">
        <v>108</v>
      </c>
    </row>
    <row r="94" spans="1:8" x14ac:dyDescent="0.3">
      <c r="A94" t="s">
        <v>10</v>
      </c>
      <c r="B94" t="s">
        <v>54</v>
      </c>
      <c r="C94" t="s">
        <v>78</v>
      </c>
      <c r="D94">
        <v>16.100000000000001</v>
      </c>
      <c r="E94">
        <v>8.4074844720496884</v>
      </c>
      <c r="F94">
        <v>3.86607608129234</v>
      </c>
      <c r="G94" t="s">
        <v>104</v>
      </c>
      <c r="H94" t="s">
        <v>108</v>
      </c>
    </row>
    <row r="95" spans="1:8" x14ac:dyDescent="0.3">
      <c r="A95" t="s">
        <v>11</v>
      </c>
      <c r="B95" t="s">
        <v>46</v>
      </c>
      <c r="C95" t="s">
        <v>64</v>
      </c>
      <c r="D95">
        <v>6.5329999999999999E-2</v>
      </c>
      <c r="E95">
        <v>7.053653145568652</v>
      </c>
      <c r="F95">
        <v>2.9521711768407801</v>
      </c>
      <c r="G95" t="s">
        <v>104</v>
      </c>
      <c r="H95" t="s">
        <v>108</v>
      </c>
    </row>
    <row r="96" spans="1:8" x14ac:dyDescent="0.3">
      <c r="A96" t="s">
        <v>11</v>
      </c>
      <c r="B96" t="s">
        <v>46</v>
      </c>
      <c r="C96" t="s">
        <v>79</v>
      </c>
      <c r="D96">
        <v>25.1</v>
      </c>
      <c r="E96">
        <v>2.7321872509960161</v>
      </c>
      <c r="F96">
        <v>6.8428961748633883</v>
      </c>
      <c r="G96" t="s">
        <v>104</v>
      </c>
      <c r="H96" t="s">
        <v>108</v>
      </c>
    </row>
    <row r="97" spans="1:8" x14ac:dyDescent="0.3">
      <c r="A97" t="s">
        <v>11</v>
      </c>
      <c r="B97" t="s">
        <v>46</v>
      </c>
      <c r="C97" t="s">
        <v>65</v>
      </c>
      <c r="D97">
        <v>0.5</v>
      </c>
      <c r="E97">
        <v>4.3575999999999997</v>
      </c>
      <c r="F97">
        <v>2.9521711768407801</v>
      </c>
      <c r="G97" t="s">
        <v>104</v>
      </c>
      <c r="H97" t="s">
        <v>108</v>
      </c>
    </row>
    <row r="98" spans="1:8" x14ac:dyDescent="0.3">
      <c r="A98" t="s">
        <v>11</v>
      </c>
      <c r="B98" t="s">
        <v>46</v>
      </c>
      <c r="C98" t="s">
        <v>80</v>
      </c>
      <c r="D98">
        <v>0.35670000000000002</v>
      </c>
      <c r="E98">
        <v>0.44234659474039112</v>
      </c>
      <c r="F98">
        <v>28.139870918023309</v>
      </c>
      <c r="G98" t="s">
        <v>105</v>
      </c>
      <c r="H98" t="s">
        <v>108</v>
      </c>
    </row>
    <row r="99" spans="1:8" x14ac:dyDescent="0.3">
      <c r="A99" t="s">
        <v>11</v>
      </c>
      <c r="B99" t="s">
        <v>46</v>
      </c>
      <c r="C99" t="s">
        <v>81</v>
      </c>
      <c r="D99">
        <v>7.1999999999999998E-3</v>
      </c>
      <c r="E99">
        <v>2.839600470035252</v>
      </c>
      <c r="F99">
        <v>8.9647473560517046</v>
      </c>
      <c r="G99" t="s">
        <v>105</v>
      </c>
      <c r="H99" t="s">
        <v>108</v>
      </c>
    </row>
    <row r="100" spans="1:8" x14ac:dyDescent="0.3">
      <c r="A100" t="s">
        <v>11</v>
      </c>
      <c r="B100" t="s">
        <v>46</v>
      </c>
      <c r="C100" t="s">
        <v>66</v>
      </c>
      <c r="D100">
        <v>5.5</v>
      </c>
      <c r="E100">
        <v>2.817581818181818</v>
      </c>
      <c r="F100">
        <v>6.8428961748633883</v>
      </c>
      <c r="G100" t="s">
        <v>104</v>
      </c>
      <c r="H100" t="s">
        <v>108</v>
      </c>
    </row>
    <row r="101" spans="1:8" x14ac:dyDescent="0.3">
      <c r="A101" t="s">
        <v>11</v>
      </c>
      <c r="B101" t="s">
        <v>46</v>
      </c>
      <c r="C101" t="s">
        <v>82</v>
      </c>
      <c r="D101">
        <v>10</v>
      </c>
      <c r="E101">
        <v>1.74749</v>
      </c>
      <c r="F101">
        <v>6.8428961748633883</v>
      </c>
      <c r="G101" t="s">
        <v>104</v>
      </c>
      <c r="H101" t="s">
        <v>108</v>
      </c>
    </row>
    <row r="102" spans="1:8" x14ac:dyDescent="0.3">
      <c r="A102" t="s">
        <v>11</v>
      </c>
      <c r="B102" t="s">
        <v>46</v>
      </c>
      <c r="C102" t="s">
        <v>83</v>
      </c>
      <c r="D102">
        <v>0.35548000000000002</v>
      </c>
      <c r="E102">
        <v>2.62</v>
      </c>
      <c r="F102">
        <v>6.8428961748633883</v>
      </c>
      <c r="G102" t="s">
        <v>104</v>
      </c>
      <c r="H102" t="s">
        <v>108</v>
      </c>
    </row>
    <row r="103" spans="1:8" x14ac:dyDescent="0.3">
      <c r="A103" t="s">
        <v>11</v>
      </c>
      <c r="B103" t="s">
        <v>46</v>
      </c>
      <c r="C103" t="s">
        <v>85</v>
      </c>
      <c r="D103">
        <v>0.70000000000000007</v>
      </c>
      <c r="E103">
        <v>3.7318571428571432</v>
      </c>
      <c r="F103">
        <v>2.9521711768407801</v>
      </c>
      <c r="G103" t="s">
        <v>104</v>
      </c>
      <c r="H103" t="s">
        <v>108</v>
      </c>
    </row>
    <row r="104" spans="1:8" x14ac:dyDescent="0.3">
      <c r="A104" t="s">
        <v>11</v>
      </c>
      <c r="B104" t="s">
        <v>55</v>
      </c>
      <c r="C104" t="s">
        <v>86</v>
      </c>
      <c r="D104">
        <v>2.4165000000000001</v>
      </c>
      <c r="E104">
        <v>10.028</v>
      </c>
      <c r="F104">
        <v>9.1</v>
      </c>
      <c r="G104" t="s">
        <v>106</v>
      </c>
      <c r="H104" t="s">
        <v>109</v>
      </c>
    </row>
    <row r="105" spans="1:8" x14ac:dyDescent="0.3">
      <c r="A105" t="s">
        <v>11</v>
      </c>
      <c r="B105" t="s">
        <v>55</v>
      </c>
      <c r="C105" t="s">
        <v>87</v>
      </c>
      <c r="D105">
        <v>2.1322999999999999</v>
      </c>
      <c r="E105">
        <v>10.538</v>
      </c>
      <c r="F105">
        <v>9.1</v>
      </c>
      <c r="G105" t="s">
        <v>106</v>
      </c>
      <c r="H105" t="s">
        <v>109</v>
      </c>
    </row>
    <row r="106" spans="1:8" x14ac:dyDescent="0.3">
      <c r="A106" t="s">
        <v>11</v>
      </c>
      <c r="B106" t="s">
        <v>55</v>
      </c>
      <c r="C106" t="s">
        <v>88</v>
      </c>
      <c r="D106">
        <v>2.5491999999999999</v>
      </c>
      <c r="E106">
        <v>11.048999999999999</v>
      </c>
      <c r="F106">
        <v>9.1</v>
      </c>
      <c r="G106" t="s">
        <v>106</v>
      </c>
      <c r="H106" t="s">
        <v>109</v>
      </c>
    </row>
    <row r="107" spans="1:8" x14ac:dyDescent="0.3">
      <c r="A107" t="s">
        <v>11</v>
      </c>
      <c r="B107" t="s">
        <v>55</v>
      </c>
      <c r="C107" t="s">
        <v>92</v>
      </c>
      <c r="D107">
        <v>2.3208199999999999</v>
      </c>
      <c r="E107">
        <v>10.538</v>
      </c>
      <c r="F107">
        <v>9.1</v>
      </c>
      <c r="G107" t="s">
        <v>106</v>
      </c>
      <c r="H107" t="s">
        <v>109</v>
      </c>
    </row>
    <row r="108" spans="1:8" x14ac:dyDescent="0.3">
      <c r="A108" t="s">
        <v>11</v>
      </c>
      <c r="B108" t="s">
        <v>56</v>
      </c>
      <c r="C108" t="s">
        <v>93</v>
      </c>
      <c r="D108">
        <v>9.4359000000000002</v>
      </c>
      <c r="E108">
        <v>6.7759036144578308</v>
      </c>
      <c r="F108">
        <v>22.9</v>
      </c>
      <c r="G108" t="s">
        <v>106</v>
      </c>
      <c r="H108" t="s">
        <v>109</v>
      </c>
    </row>
    <row r="109" spans="1:8" x14ac:dyDescent="0.3">
      <c r="A109" t="s">
        <v>11</v>
      </c>
      <c r="B109" t="s">
        <v>47</v>
      </c>
      <c r="C109" t="s">
        <v>68</v>
      </c>
      <c r="D109">
        <v>54.2</v>
      </c>
      <c r="E109">
        <v>2.9729741697416969</v>
      </c>
      <c r="F109">
        <v>15</v>
      </c>
      <c r="G109" t="s">
        <v>104</v>
      </c>
      <c r="H109" t="s">
        <v>109</v>
      </c>
    </row>
    <row r="110" spans="1:8" x14ac:dyDescent="0.3">
      <c r="A110" t="s">
        <v>11</v>
      </c>
      <c r="B110" t="s">
        <v>47</v>
      </c>
      <c r="C110" t="s">
        <v>69</v>
      </c>
      <c r="D110">
        <v>38.6</v>
      </c>
      <c r="E110">
        <v>2.883554404145078</v>
      </c>
      <c r="F110">
        <v>15</v>
      </c>
      <c r="G110" t="s">
        <v>104</v>
      </c>
      <c r="H110" t="s">
        <v>109</v>
      </c>
    </row>
    <row r="111" spans="1:8" x14ac:dyDescent="0.3">
      <c r="A111" t="s">
        <v>11</v>
      </c>
      <c r="B111" t="s">
        <v>57</v>
      </c>
      <c r="C111" t="s">
        <v>94</v>
      </c>
      <c r="D111">
        <v>14.6</v>
      </c>
      <c r="E111">
        <v>7.5746712328767121</v>
      </c>
      <c r="F111">
        <v>15.5</v>
      </c>
      <c r="G111" t="s">
        <v>104</v>
      </c>
      <c r="H111" t="s">
        <v>109</v>
      </c>
    </row>
    <row r="112" spans="1:8" x14ac:dyDescent="0.3">
      <c r="A112" t="s">
        <v>11</v>
      </c>
      <c r="B112" t="s">
        <v>49</v>
      </c>
      <c r="C112" t="s">
        <v>71</v>
      </c>
      <c r="D112">
        <v>166.90867</v>
      </c>
      <c r="E112">
        <v>2.4568223780705938</v>
      </c>
      <c r="F112">
        <v>3.86607608129234</v>
      </c>
      <c r="G112" t="s">
        <v>104</v>
      </c>
      <c r="H112" t="s">
        <v>108</v>
      </c>
    </row>
    <row r="113" spans="1:8" x14ac:dyDescent="0.3">
      <c r="A113" t="s">
        <v>11</v>
      </c>
      <c r="B113" t="s">
        <v>49</v>
      </c>
      <c r="C113" t="s">
        <v>72</v>
      </c>
      <c r="D113">
        <v>23.4</v>
      </c>
      <c r="E113">
        <v>3.3377564102564099</v>
      </c>
      <c r="F113">
        <v>3.86607608129234</v>
      </c>
      <c r="G113" t="s">
        <v>104</v>
      </c>
      <c r="H113" t="s">
        <v>108</v>
      </c>
    </row>
    <row r="114" spans="1:8" x14ac:dyDescent="0.3">
      <c r="A114" t="s">
        <v>11</v>
      </c>
      <c r="B114" t="s">
        <v>58</v>
      </c>
      <c r="C114" t="s">
        <v>95</v>
      </c>
      <c r="D114">
        <v>9.5657700000000006</v>
      </c>
      <c r="E114">
        <v>2.9329999999999998</v>
      </c>
      <c r="F114">
        <v>2.9521711768407801</v>
      </c>
      <c r="G114" t="s">
        <v>104</v>
      </c>
      <c r="H114" t="s">
        <v>108</v>
      </c>
    </row>
    <row r="115" spans="1:8" x14ac:dyDescent="0.3">
      <c r="A115" t="s">
        <v>11</v>
      </c>
      <c r="B115" t="s">
        <v>50</v>
      </c>
      <c r="C115" t="s">
        <v>73</v>
      </c>
      <c r="D115">
        <v>0.3</v>
      </c>
      <c r="E115">
        <v>5.0996666666666659</v>
      </c>
      <c r="F115">
        <v>20.723404255319149</v>
      </c>
      <c r="G115" t="s">
        <v>105</v>
      </c>
      <c r="H115" t="s">
        <v>108</v>
      </c>
    </row>
    <row r="116" spans="1:8" x14ac:dyDescent="0.3">
      <c r="A116" t="s">
        <v>11</v>
      </c>
      <c r="B116" t="s">
        <v>50</v>
      </c>
      <c r="C116" t="s">
        <v>74</v>
      </c>
      <c r="D116">
        <v>7.8999999999999986</v>
      </c>
      <c r="E116">
        <v>3.3223037974683538</v>
      </c>
      <c r="F116">
        <v>2.0635593220338988</v>
      </c>
      <c r="G116" t="s">
        <v>105</v>
      </c>
      <c r="H116" t="s">
        <v>108</v>
      </c>
    </row>
    <row r="117" spans="1:8" x14ac:dyDescent="0.3">
      <c r="A117" t="s">
        <v>11</v>
      </c>
      <c r="B117" t="s">
        <v>59</v>
      </c>
      <c r="C117" t="s">
        <v>96</v>
      </c>
      <c r="D117">
        <v>0.23119999999999999</v>
      </c>
      <c r="E117">
        <v>19.167000000000002</v>
      </c>
      <c r="F117">
        <v>15.2</v>
      </c>
      <c r="G117" t="s">
        <v>107</v>
      </c>
      <c r="H117" t="s">
        <v>109</v>
      </c>
    </row>
    <row r="118" spans="1:8" x14ac:dyDescent="0.3">
      <c r="A118" t="s">
        <v>11</v>
      </c>
      <c r="B118" t="s">
        <v>59</v>
      </c>
      <c r="C118" t="s">
        <v>97</v>
      </c>
      <c r="D118">
        <v>5.5411000000000001</v>
      </c>
      <c r="E118">
        <v>13.4020618556701</v>
      </c>
      <c r="F118">
        <v>15.2</v>
      </c>
      <c r="G118" t="s">
        <v>107</v>
      </c>
      <c r="H118" t="s">
        <v>109</v>
      </c>
    </row>
    <row r="119" spans="1:8" x14ac:dyDescent="0.3">
      <c r="A119" t="s">
        <v>11</v>
      </c>
      <c r="B119" t="s">
        <v>51</v>
      </c>
      <c r="C119" t="s">
        <v>75</v>
      </c>
      <c r="D119">
        <v>2.7935699999999999</v>
      </c>
      <c r="E119">
        <v>5.3266986230431998E-5</v>
      </c>
      <c r="F119">
        <v>11.74</v>
      </c>
      <c r="G119" t="s">
        <v>104</v>
      </c>
      <c r="H119" t="s">
        <v>108</v>
      </c>
    </row>
    <row r="120" spans="1:8" x14ac:dyDescent="0.3">
      <c r="A120" t="s">
        <v>11</v>
      </c>
      <c r="B120" t="s">
        <v>60</v>
      </c>
      <c r="C120" t="s">
        <v>98</v>
      </c>
      <c r="D120">
        <v>4.1035599999999999</v>
      </c>
      <c r="E120">
        <v>15.789473684210529</v>
      </c>
      <c r="F120">
        <v>1.5</v>
      </c>
      <c r="G120" t="s">
        <v>107</v>
      </c>
      <c r="H120" t="s">
        <v>109</v>
      </c>
    </row>
    <row r="121" spans="1:8" x14ac:dyDescent="0.3">
      <c r="A121" t="s">
        <v>11</v>
      </c>
      <c r="B121" t="s">
        <v>53</v>
      </c>
      <c r="C121" t="s">
        <v>77</v>
      </c>
      <c r="D121">
        <v>3.7</v>
      </c>
      <c r="E121">
        <v>3.337783783783784</v>
      </c>
      <c r="F121">
        <v>3.86607608129234</v>
      </c>
      <c r="G121" t="s">
        <v>104</v>
      </c>
      <c r="H121" t="s">
        <v>108</v>
      </c>
    </row>
    <row r="122" spans="1:8" x14ac:dyDescent="0.3">
      <c r="A122" t="s">
        <v>11</v>
      </c>
      <c r="B122" t="s">
        <v>61</v>
      </c>
      <c r="C122" t="s">
        <v>99</v>
      </c>
      <c r="D122">
        <v>5.0999999999999996</v>
      </c>
      <c r="E122">
        <v>1.493568627450981</v>
      </c>
      <c r="F122">
        <v>2.9245635910224439</v>
      </c>
      <c r="G122" t="s">
        <v>104</v>
      </c>
      <c r="H122" t="s">
        <v>108</v>
      </c>
    </row>
    <row r="123" spans="1:8" x14ac:dyDescent="0.3">
      <c r="A123" t="s">
        <v>11</v>
      </c>
      <c r="B123" t="s">
        <v>62</v>
      </c>
      <c r="C123" t="s">
        <v>100</v>
      </c>
      <c r="D123">
        <v>1.4</v>
      </c>
      <c r="E123">
        <v>0.31428571428571428</v>
      </c>
      <c r="F123">
        <v>2.6764106050305911</v>
      </c>
      <c r="G123" t="s">
        <v>104</v>
      </c>
      <c r="H123" t="s">
        <v>108</v>
      </c>
    </row>
    <row r="124" spans="1:8" x14ac:dyDescent="0.3">
      <c r="A124" t="s">
        <v>11</v>
      </c>
      <c r="B124" t="s">
        <v>54</v>
      </c>
      <c r="C124" t="s">
        <v>78</v>
      </c>
      <c r="D124">
        <v>25.7</v>
      </c>
      <c r="E124">
        <v>3.2846420233463038</v>
      </c>
      <c r="F124">
        <v>3.86607608129234</v>
      </c>
      <c r="G124" t="s">
        <v>104</v>
      </c>
      <c r="H124" t="s">
        <v>108</v>
      </c>
    </row>
    <row r="125" spans="1:8" x14ac:dyDescent="0.3">
      <c r="A125" t="s">
        <v>12</v>
      </c>
      <c r="B125" t="s">
        <v>49</v>
      </c>
      <c r="C125" t="s">
        <v>71</v>
      </c>
      <c r="D125">
        <v>112.84922</v>
      </c>
      <c r="E125">
        <v>0</v>
      </c>
      <c r="F125">
        <v>3.86607608129234</v>
      </c>
      <c r="G125" t="s">
        <v>104</v>
      </c>
      <c r="H125" t="s">
        <v>108</v>
      </c>
    </row>
    <row r="126" spans="1:8" x14ac:dyDescent="0.3">
      <c r="A126" t="s">
        <v>12</v>
      </c>
      <c r="B126" t="s">
        <v>49</v>
      </c>
      <c r="C126" t="s">
        <v>72</v>
      </c>
      <c r="D126">
        <v>9.1999999999999993</v>
      </c>
      <c r="E126">
        <v>0</v>
      </c>
      <c r="F126">
        <v>3.86607608129234</v>
      </c>
      <c r="G126" t="s">
        <v>104</v>
      </c>
      <c r="H126" t="s">
        <v>108</v>
      </c>
    </row>
    <row r="127" spans="1:8" x14ac:dyDescent="0.3">
      <c r="A127" t="s">
        <v>12</v>
      </c>
      <c r="B127" t="s">
        <v>51</v>
      </c>
      <c r="C127" t="s">
        <v>75</v>
      </c>
      <c r="D127">
        <v>23.511839999999999</v>
      </c>
      <c r="E127">
        <v>0.16395953979390099</v>
      </c>
      <c r="F127">
        <v>11.74</v>
      </c>
      <c r="G127" t="s">
        <v>104</v>
      </c>
      <c r="H127" t="s">
        <v>108</v>
      </c>
    </row>
    <row r="128" spans="1:8" x14ac:dyDescent="0.3">
      <c r="A128" t="s">
        <v>12</v>
      </c>
      <c r="B128" t="s">
        <v>53</v>
      </c>
      <c r="C128" t="s">
        <v>77</v>
      </c>
      <c r="D128">
        <v>3</v>
      </c>
      <c r="E128">
        <v>0</v>
      </c>
      <c r="F128">
        <v>3.86607608129234</v>
      </c>
      <c r="G128" t="s">
        <v>104</v>
      </c>
      <c r="H128" t="s">
        <v>108</v>
      </c>
    </row>
    <row r="129" spans="1:8" x14ac:dyDescent="0.3">
      <c r="A129" t="s">
        <v>12</v>
      </c>
      <c r="B129" t="s">
        <v>54</v>
      </c>
      <c r="C129" t="s">
        <v>78</v>
      </c>
      <c r="D129">
        <v>34.4</v>
      </c>
      <c r="E129">
        <v>0</v>
      </c>
      <c r="F129">
        <v>3.86607608129234</v>
      </c>
      <c r="G129" t="s">
        <v>104</v>
      </c>
      <c r="H129" t="s">
        <v>108</v>
      </c>
    </row>
    <row r="130" spans="1:8" x14ac:dyDescent="0.3">
      <c r="A130" t="s">
        <v>13</v>
      </c>
      <c r="B130" t="s">
        <v>46</v>
      </c>
      <c r="C130" t="s">
        <v>63</v>
      </c>
      <c r="D130">
        <v>3.5000000000000003E-2</v>
      </c>
      <c r="E130">
        <v>2.9286474973375931</v>
      </c>
      <c r="F130">
        <v>3.950479233226837</v>
      </c>
      <c r="G130" t="s">
        <v>104</v>
      </c>
      <c r="H130" t="s">
        <v>108</v>
      </c>
    </row>
    <row r="131" spans="1:8" x14ac:dyDescent="0.3">
      <c r="A131" t="s">
        <v>13</v>
      </c>
      <c r="B131" t="s">
        <v>46</v>
      </c>
      <c r="C131" t="s">
        <v>64</v>
      </c>
      <c r="D131">
        <v>1.763E-2</v>
      </c>
      <c r="E131">
        <v>7.0579999999999998</v>
      </c>
      <c r="F131">
        <v>2.9521711768407801</v>
      </c>
      <c r="G131" t="s">
        <v>104</v>
      </c>
      <c r="H131" t="s">
        <v>108</v>
      </c>
    </row>
    <row r="132" spans="1:8" x14ac:dyDescent="0.3">
      <c r="A132" t="s">
        <v>13</v>
      </c>
      <c r="B132" t="s">
        <v>46</v>
      </c>
      <c r="C132" t="s">
        <v>65</v>
      </c>
      <c r="D132">
        <v>0.1</v>
      </c>
      <c r="E132">
        <v>5.5010000000000003</v>
      </c>
      <c r="F132">
        <v>2.9521711768407801</v>
      </c>
      <c r="G132" t="s">
        <v>104</v>
      </c>
      <c r="H132" t="s">
        <v>108</v>
      </c>
    </row>
    <row r="133" spans="1:8" x14ac:dyDescent="0.3">
      <c r="A133" t="s">
        <v>13</v>
      </c>
      <c r="B133" t="s">
        <v>46</v>
      </c>
      <c r="C133" t="s">
        <v>102</v>
      </c>
      <c r="D133">
        <v>0.1</v>
      </c>
      <c r="E133">
        <v>4.8659999999999997</v>
      </c>
      <c r="F133">
        <v>2.9521711768407801</v>
      </c>
      <c r="G133" t="s">
        <v>104</v>
      </c>
      <c r="H133" t="s">
        <v>108</v>
      </c>
    </row>
    <row r="134" spans="1:8" x14ac:dyDescent="0.3">
      <c r="A134" t="s">
        <v>13</v>
      </c>
      <c r="B134" t="s">
        <v>46</v>
      </c>
      <c r="C134" t="s">
        <v>80</v>
      </c>
      <c r="D134">
        <v>0.11409999999999999</v>
      </c>
      <c r="E134">
        <v>1.2157788267026299</v>
      </c>
      <c r="F134">
        <v>28.139870918023309</v>
      </c>
      <c r="G134" t="s">
        <v>105</v>
      </c>
      <c r="H134" t="s">
        <v>108</v>
      </c>
    </row>
    <row r="135" spans="1:8" x14ac:dyDescent="0.3">
      <c r="A135" t="s">
        <v>13</v>
      </c>
      <c r="B135" t="s">
        <v>46</v>
      </c>
      <c r="C135" t="s">
        <v>81</v>
      </c>
      <c r="D135">
        <v>1.4E-3</v>
      </c>
      <c r="E135">
        <v>3.252643948296122</v>
      </c>
      <c r="F135">
        <v>8.9647473560517046</v>
      </c>
      <c r="G135" t="s">
        <v>105</v>
      </c>
      <c r="H135" t="s">
        <v>108</v>
      </c>
    </row>
    <row r="136" spans="1:8" x14ac:dyDescent="0.3">
      <c r="A136" t="s">
        <v>13</v>
      </c>
      <c r="B136" t="s">
        <v>46</v>
      </c>
      <c r="C136" t="s">
        <v>67</v>
      </c>
      <c r="D136">
        <v>0.1</v>
      </c>
      <c r="E136">
        <v>7.5810000000000004</v>
      </c>
      <c r="F136">
        <v>2.9521711768407801</v>
      </c>
      <c r="G136" t="s">
        <v>104</v>
      </c>
      <c r="H136" t="s">
        <v>108</v>
      </c>
    </row>
    <row r="137" spans="1:8" x14ac:dyDescent="0.3">
      <c r="A137" t="s">
        <v>13</v>
      </c>
      <c r="B137" t="s">
        <v>46</v>
      </c>
      <c r="C137" t="s">
        <v>85</v>
      </c>
      <c r="D137">
        <v>0.1</v>
      </c>
      <c r="E137">
        <v>3.967000000000001</v>
      </c>
      <c r="F137">
        <v>2.9521711768407801</v>
      </c>
      <c r="G137" t="s">
        <v>104</v>
      </c>
      <c r="H137" t="s">
        <v>108</v>
      </c>
    </row>
    <row r="138" spans="1:8" x14ac:dyDescent="0.3">
      <c r="A138" t="s">
        <v>13</v>
      </c>
      <c r="B138" t="s">
        <v>47</v>
      </c>
      <c r="C138" t="s">
        <v>68</v>
      </c>
      <c r="D138">
        <v>2.2000000000000002</v>
      </c>
      <c r="E138">
        <v>4.774</v>
      </c>
      <c r="F138">
        <v>13.8</v>
      </c>
      <c r="G138" t="s">
        <v>104</v>
      </c>
      <c r="H138" t="s">
        <v>109</v>
      </c>
    </row>
    <row r="139" spans="1:8" x14ac:dyDescent="0.3">
      <c r="A139" t="s">
        <v>13</v>
      </c>
      <c r="B139" t="s">
        <v>48</v>
      </c>
      <c r="C139" t="s">
        <v>70</v>
      </c>
      <c r="D139">
        <v>0.8</v>
      </c>
      <c r="E139">
        <v>11.564</v>
      </c>
      <c r="F139">
        <v>0</v>
      </c>
      <c r="G139" t="s">
        <v>104</v>
      </c>
      <c r="H139" t="s">
        <v>109</v>
      </c>
    </row>
    <row r="140" spans="1:8" x14ac:dyDescent="0.3">
      <c r="A140" t="s">
        <v>13</v>
      </c>
      <c r="B140" t="s">
        <v>50</v>
      </c>
      <c r="C140" t="s">
        <v>73</v>
      </c>
      <c r="D140">
        <v>0.7</v>
      </c>
      <c r="E140">
        <v>5.37</v>
      </c>
      <c r="F140">
        <v>20.723404255319149</v>
      </c>
      <c r="G140" t="s">
        <v>105</v>
      </c>
      <c r="H140" t="s">
        <v>108</v>
      </c>
    </row>
    <row r="141" spans="1:8" x14ac:dyDescent="0.3">
      <c r="A141" t="s">
        <v>13</v>
      </c>
      <c r="B141" t="s">
        <v>50</v>
      </c>
      <c r="C141" t="s">
        <v>74</v>
      </c>
      <c r="D141">
        <v>4.4000000000000004</v>
      </c>
      <c r="E141">
        <v>4.0579999999999998</v>
      </c>
      <c r="F141">
        <v>2.0635593220338988</v>
      </c>
      <c r="G141" t="s">
        <v>105</v>
      </c>
      <c r="H141" t="s">
        <v>108</v>
      </c>
    </row>
    <row r="142" spans="1:8" x14ac:dyDescent="0.3">
      <c r="A142" t="s">
        <v>13</v>
      </c>
      <c r="B142" t="s">
        <v>51</v>
      </c>
      <c r="C142" t="s">
        <v>75</v>
      </c>
      <c r="D142">
        <v>1.628377</v>
      </c>
      <c r="E142">
        <v>5.8885210432804303E-3</v>
      </c>
      <c r="F142">
        <v>11.74</v>
      </c>
      <c r="G142" t="s">
        <v>104</v>
      </c>
      <c r="H142" t="s">
        <v>108</v>
      </c>
    </row>
    <row r="143" spans="1:8" x14ac:dyDescent="0.3">
      <c r="A143" t="s">
        <v>13</v>
      </c>
      <c r="B143" t="s">
        <v>52</v>
      </c>
      <c r="C143" t="s">
        <v>76</v>
      </c>
      <c r="D143">
        <v>1E-3</v>
      </c>
      <c r="E143">
        <v>6.5250000000000004</v>
      </c>
      <c r="F143">
        <v>12.68872359754714</v>
      </c>
      <c r="G143" t="s">
        <v>105</v>
      </c>
      <c r="H143" t="s">
        <v>108</v>
      </c>
    </row>
    <row r="144" spans="1:8" x14ac:dyDescent="0.3">
      <c r="A144" t="s">
        <v>14</v>
      </c>
      <c r="B144" t="s">
        <v>46</v>
      </c>
      <c r="C144" t="s">
        <v>64</v>
      </c>
      <c r="D144">
        <v>0.17102999999999999</v>
      </c>
      <c r="E144">
        <v>6.3408450564228502</v>
      </c>
      <c r="F144">
        <v>2.9521711768407801</v>
      </c>
      <c r="G144" t="s">
        <v>104</v>
      </c>
      <c r="H144" t="s">
        <v>108</v>
      </c>
    </row>
    <row r="145" spans="1:8" x14ac:dyDescent="0.3">
      <c r="A145" t="s">
        <v>14</v>
      </c>
      <c r="B145" t="s">
        <v>46</v>
      </c>
      <c r="C145" t="s">
        <v>79</v>
      </c>
      <c r="D145">
        <v>38.299999999999997</v>
      </c>
      <c r="E145">
        <v>4.1938668407310713</v>
      </c>
      <c r="F145">
        <v>6.8428961748633883</v>
      </c>
      <c r="G145" t="s">
        <v>104</v>
      </c>
      <c r="H145" t="s">
        <v>108</v>
      </c>
    </row>
    <row r="146" spans="1:8" x14ac:dyDescent="0.3">
      <c r="A146" t="s">
        <v>14</v>
      </c>
      <c r="B146" t="s">
        <v>46</v>
      </c>
      <c r="C146" t="s">
        <v>80</v>
      </c>
      <c r="D146">
        <v>0.40600000000000003</v>
      </c>
      <c r="E146">
        <v>0.48482805124747141</v>
      </c>
      <c r="F146">
        <v>28.139870918023309</v>
      </c>
      <c r="G146" t="s">
        <v>105</v>
      </c>
      <c r="H146" t="s">
        <v>108</v>
      </c>
    </row>
    <row r="147" spans="1:8" x14ac:dyDescent="0.3">
      <c r="A147" t="s">
        <v>14</v>
      </c>
      <c r="B147" t="s">
        <v>46</v>
      </c>
      <c r="C147" t="s">
        <v>81</v>
      </c>
      <c r="D147">
        <v>0.96960000000000002</v>
      </c>
      <c r="E147">
        <v>1.2338425381903639</v>
      </c>
      <c r="F147">
        <v>8.9647473560517046</v>
      </c>
      <c r="G147" t="s">
        <v>105</v>
      </c>
      <c r="H147" t="s">
        <v>108</v>
      </c>
    </row>
    <row r="148" spans="1:8" x14ac:dyDescent="0.3">
      <c r="A148" t="s">
        <v>14</v>
      </c>
      <c r="B148" t="s">
        <v>46</v>
      </c>
      <c r="C148" t="s">
        <v>66</v>
      </c>
      <c r="D148">
        <v>4.2</v>
      </c>
      <c r="E148">
        <v>4.331428571428571</v>
      </c>
      <c r="F148">
        <v>6.8428961748633883</v>
      </c>
      <c r="G148" t="s">
        <v>104</v>
      </c>
      <c r="H148" t="s">
        <v>108</v>
      </c>
    </row>
    <row r="149" spans="1:8" x14ac:dyDescent="0.3">
      <c r="A149" t="s">
        <v>14</v>
      </c>
      <c r="B149" t="s">
        <v>46</v>
      </c>
      <c r="C149" t="s">
        <v>82</v>
      </c>
      <c r="D149">
        <v>4.5999999999999996</v>
      </c>
      <c r="E149">
        <v>2.6274130434782612</v>
      </c>
      <c r="F149">
        <v>6.8428961748633883</v>
      </c>
      <c r="G149" t="s">
        <v>104</v>
      </c>
      <c r="H149" t="s">
        <v>108</v>
      </c>
    </row>
    <row r="150" spans="1:8" x14ac:dyDescent="0.3">
      <c r="A150" t="s">
        <v>14</v>
      </c>
      <c r="B150" t="s">
        <v>46</v>
      </c>
      <c r="C150" t="s">
        <v>84</v>
      </c>
      <c r="D150">
        <v>0.60000000000000009</v>
      </c>
      <c r="E150">
        <v>2.2734999999999999</v>
      </c>
      <c r="F150">
        <v>28.139870918023309</v>
      </c>
      <c r="G150" t="s">
        <v>105</v>
      </c>
      <c r="H150" t="s">
        <v>108</v>
      </c>
    </row>
    <row r="151" spans="1:8" x14ac:dyDescent="0.3">
      <c r="A151" t="s">
        <v>14</v>
      </c>
      <c r="B151" t="s">
        <v>46</v>
      </c>
      <c r="C151" t="s">
        <v>85</v>
      </c>
      <c r="D151">
        <v>0.2</v>
      </c>
      <c r="E151">
        <v>3.7879999999999998</v>
      </c>
      <c r="F151">
        <v>2.9521711768407801</v>
      </c>
      <c r="G151" t="s">
        <v>104</v>
      </c>
      <c r="H151" t="s">
        <v>108</v>
      </c>
    </row>
    <row r="152" spans="1:8" x14ac:dyDescent="0.3">
      <c r="A152" t="s">
        <v>14</v>
      </c>
      <c r="B152" t="s">
        <v>55</v>
      </c>
      <c r="C152" t="s">
        <v>86</v>
      </c>
      <c r="D152">
        <v>0.46060000000000001</v>
      </c>
      <c r="E152">
        <v>10.548</v>
      </c>
      <c r="F152">
        <v>11.9</v>
      </c>
      <c r="G152" t="s">
        <v>106</v>
      </c>
      <c r="H152" t="s">
        <v>109</v>
      </c>
    </row>
    <row r="153" spans="1:8" x14ac:dyDescent="0.3">
      <c r="A153" t="s">
        <v>14</v>
      </c>
      <c r="B153" t="s">
        <v>55</v>
      </c>
      <c r="C153" t="s">
        <v>88</v>
      </c>
      <c r="D153">
        <v>1.8991</v>
      </c>
      <c r="E153">
        <v>10.798999999999999</v>
      </c>
      <c r="F153">
        <v>11.9</v>
      </c>
      <c r="G153" t="s">
        <v>106</v>
      </c>
      <c r="H153" t="s">
        <v>109</v>
      </c>
    </row>
    <row r="154" spans="1:8" x14ac:dyDescent="0.3">
      <c r="A154" t="s">
        <v>14</v>
      </c>
      <c r="B154" t="s">
        <v>55</v>
      </c>
      <c r="C154" t="s">
        <v>89</v>
      </c>
      <c r="D154">
        <v>0.1305</v>
      </c>
      <c r="E154">
        <v>0</v>
      </c>
      <c r="F154">
        <v>11.9</v>
      </c>
      <c r="G154" t="s">
        <v>106</v>
      </c>
      <c r="H154" t="s">
        <v>109</v>
      </c>
    </row>
    <row r="155" spans="1:8" x14ac:dyDescent="0.3">
      <c r="A155" t="s">
        <v>14</v>
      </c>
      <c r="B155" t="s">
        <v>55</v>
      </c>
      <c r="C155" t="s">
        <v>90</v>
      </c>
      <c r="D155">
        <v>6.4999999999999997E-3</v>
      </c>
      <c r="E155">
        <v>9.3460000000000019</v>
      </c>
      <c r="F155">
        <v>11.9</v>
      </c>
      <c r="G155" t="s">
        <v>106</v>
      </c>
      <c r="H155" t="s">
        <v>109</v>
      </c>
    </row>
    <row r="156" spans="1:8" x14ac:dyDescent="0.3">
      <c r="A156" t="s">
        <v>14</v>
      </c>
      <c r="B156" t="s">
        <v>55</v>
      </c>
      <c r="C156" t="s">
        <v>91</v>
      </c>
      <c r="D156">
        <v>0.1431</v>
      </c>
      <c r="E156">
        <v>10.103999999999999</v>
      </c>
      <c r="F156">
        <v>11.9</v>
      </c>
      <c r="G156" t="s">
        <v>106</v>
      </c>
      <c r="H156" t="s">
        <v>109</v>
      </c>
    </row>
    <row r="157" spans="1:8" x14ac:dyDescent="0.3">
      <c r="A157" t="s">
        <v>14</v>
      </c>
      <c r="B157" t="s">
        <v>55</v>
      </c>
      <c r="C157" t="s">
        <v>92</v>
      </c>
      <c r="D157">
        <v>1.00647</v>
      </c>
      <c r="E157">
        <v>9.7859999999999996</v>
      </c>
      <c r="F157">
        <v>11.9</v>
      </c>
      <c r="G157" t="s">
        <v>106</v>
      </c>
      <c r="H157" t="s">
        <v>109</v>
      </c>
    </row>
    <row r="158" spans="1:8" x14ac:dyDescent="0.3">
      <c r="A158" t="s">
        <v>14</v>
      </c>
      <c r="B158" t="s">
        <v>56</v>
      </c>
      <c r="C158" t="s">
        <v>93</v>
      </c>
      <c r="D158">
        <v>16.105799999999999</v>
      </c>
      <c r="E158">
        <v>2.9493975903614462</v>
      </c>
      <c r="F158">
        <v>20.3</v>
      </c>
      <c r="G158" t="s">
        <v>106</v>
      </c>
      <c r="H158" t="s">
        <v>109</v>
      </c>
    </row>
    <row r="159" spans="1:8" x14ac:dyDescent="0.3">
      <c r="A159" t="s">
        <v>14</v>
      </c>
      <c r="B159" t="s">
        <v>47</v>
      </c>
      <c r="C159" t="s">
        <v>68</v>
      </c>
      <c r="D159">
        <v>15.2</v>
      </c>
      <c r="E159">
        <v>3.3951578947368422</v>
      </c>
      <c r="F159">
        <v>18.5</v>
      </c>
      <c r="G159" t="s">
        <v>104</v>
      </c>
      <c r="H159" t="s">
        <v>109</v>
      </c>
    </row>
    <row r="160" spans="1:8" x14ac:dyDescent="0.3">
      <c r="A160" t="s">
        <v>14</v>
      </c>
      <c r="B160" t="s">
        <v>47</v>
      </c>
      <c r="C160" t="s">
        <v>69</v>
      </c>
      <c r="D160">
        <v>19.5</v>
      </c>
      <c r="E160">
        <v>2.989441025641026</v>
      </c>
      <c r="F160">
        <v>18.5</v>
      </c>
      <c r="G160" t="s">
        <v>104</v>
      </c>
      <c r="H160" t="s">
        <v>109</v>
      </c>
    </row>
    <row r="161" spans="1:8" x14ac:dyDescent="0.3">
      <c r="A161" t="s">
        <v>14</v>
      </c>
      <c r="B161" t="s">
        <v>57</v>
      </c>
      <c r="C161" t="s">
        <v>94</v>
      </c>
      <c r="D161">
        <v>7.1000000000000014</v>
      </c>
      <c r="E161">
        <v>7.5777605633802807</v>
      </c>
      <c r="F161">
        <v>14.4</v>
      </c>
      <c r="G161" t="s">
        <v>104</v>
      </c>
      <c r="H161" t="s">
        <v>109</v>
      </c>
    </row>
    <row r="162" spans="1:8" x14ac:dyDescent="0.3">
      <c r="A162" t="s">
        <v>14</v>
      </c>
      <c r="B162" t="s">
        <v>49</v>
      </c>
      <c r="C162" t="s">
        <v>71</v>
      </c>
      <c r="D162">
        <v>155.76437999999999</v>
      </c>
      <c r="E162">
        <v>4.7134408324932826</v>
      </c>
      <c r="F162">
        <v>3.86607608129234</v>
      </c>
      <c r="G162" t="s">
        <v>104</v>
      </c>
      <c r="H162" t="s">
        <v>108</v>
      </c>
    </row>
    <row r="163" spans="1:8" x14ac:dyDescent="0.3">
      <c r="A163" t="s">
        <v>14</v>
      </c>
      <c r="B163" t="s">
        <v>49</v>
      </c>
      <c r="C163" t="s">
        <v>72</v>
      </c>
      <c r="D163">
        <v>10.7</v>
      </c>
      <c r="E163">
        <v>3.7817570093457942</v>
      </c>
      <c r="F163">
        <v>3.86607608129234</v>
      </c>
      <c r="G163" t="s">
        <v>104</v>
      </c>
      <c r="H163" t="s">
        <v>108</v>
      </c>
    </row>
    <row r="164" spans="1:8" x14ac:dyDescent="0.3">
      <c r="A164" t="s">
        <v>14</v>
      </c>
      <c r="B164" t="s">
        <v>58</v>
      </c>
      <c r="C164" t="s">
        <v>95</v>
      </c>
      <c r="D164">
        <v>20.472539999999999</v>
      </c>
      <c r="E164">
        <v>2.9329999999999989</v>
      </c>
      <c r="F164">
        <v>2.9521711768407801</v>
      </c>
      <c r="G164" t="s">
        <v>104</v>
      </c>
      <c r="H164" t="s">
        <v>108</v>
      </c>
    </row>
    <row r="165" spans="1:8" x14ac:dyDescent="0.3">
      <c r="A165" t="s">
        <v>14</v>
      </c>
      <c r="B165" t="s">
        <v>50</v>
      </c>
      <c r="C165" t="s">
        <v>73</v>
      </c>
      <c r="D165">
        <v>4.3</v>
      </c>
      <c r="E165">
        <v>5.0936744186046514</v>
      </c>
      <c r="F165">
        <v>20.723404255319149</v>
      </c>
      <c r="G165" t="s">
        <v>105</v>
      </c>
      <c r="H165" t="s">
        <v>108</v>
      </c>
    </row>
    <row r="166" spans="1:8" x14ac:dyDescent="0.3">
      <c r="A166" t="s">
        <v>14</v>
      </c>
      <c r="B166" t="s">
        <v>50</v>
      </c>
      <c r="C166" t="s">
        <v>74</v>
      </c>
      <c r="D166">
        <v>52.4</v>
      </c>
      <c r="E166">
        <v>3.6200896946564889</v>
      </c>
      <c r="F166">
        <v>2.0635593220338988</v>
      </c>
      <c r="G166" t="s">
        <v>105</v>
      </c>
      <c r="H166" t="s">
        <v>108</v>
      </c>
    </row>
    <row r="167" spans="1:8" x14ac:dyDescent="0.3">
      <c r="A167" t="s">
        <v>14</v>
      </c>
      <c r="B167" t="s">
        <v>59</v>
      </c>
      <c r="C167" t="s">
        <v>96</v>
      </c>
      <c r="D167">
        <v>0.48209999999999997</v>
      </c>
      <c r="E167">
        <v>18.337</v>
      </c>
      <c r="F167">
        <v>5.5</v>
      </c>
      <c r="G167" t="s">
        <v>107</v>
      </c>
      <c r="H167" t="s">
        <v>109</v>
      </c>
    </row>
    <row r="168" spans="1:8" x14ac:dyDescent="0.3">
      <c r="A168" t="s">
        <v>14</v>
      </c>
      <c r="B168" t="s">
        <v>59</v>
      </c>
      <c r="C168" t="s">
        <v>97</v>
      </c>
      <c r="D168">
        <v>0.2029</v>
      </c>
      <c r="E168">
        <v>14.81280520889853</v>
      </c>
      <c r="F168">
        <v>5.5</v>
      </c>
      <c r="G168" t="s">
        <v>107</v>
      </c>
      <c r="H168" t="s">
        <v>109</v>
      </c>
    </row>
    <row r="169" spans="1:8" x14ac:dyDescent="0.3">
      <c r="A169" t="s">
        <v>14</v>
      </c>
      <c r="B169" t="s">
        <v>51</v>
      </c>
      <c r="C169" t="s">
        <v>75</v>
      </c>
      <c r="D169">
        <v>2.889815</v>
      </c>
      <c r="E169">
        <v>2.93194199055318E-4</v>
      </c>
      <c r="F169">
        <v>11.74</v>
      </c>
      <c r="G169" t="s">
        <v>104</v>
      </c>
      <c r="H169" t="s">
        <v>108</v>
      </c>
    </row>
    <row r="170" spans="1:8" x14ac:dyDescent="0.3">
      <c r="A170" t="s">
        <v>14</v>
      </c>
      <c r="B170" t="s">
        <v>60</v>
      </c>
      <c r="C170" t="s">
        <v>98</v>
      </c>
      <c r="D170">
        <v>6.7225299999999999</v>
      </c>
      <c r="E170">
        <v>16.380236305048339</v>
      </c>
      <c r="F170">
        <v>27.8</v>
      </c>
      <c r="G170" t="s">
        <v>107</v>
      </c>
      <c r="H170" t="s">
        <v>109</v>
      </c>
    </row>
    <row r="171" spans="1:8" x14ac:dyDescent="0.3">
      <c r="A171" t="s">
        <v>14</v>
      </c>
      <c r="B171" t="s">
        <v>52</v>
      </c>
      <c r="C171" t="s">
        <v>76</v>
      </c>
      <c r="D171">
        <v>0.374</v>
      </c>
      <c r="E171">
        <v>6.5250000000000004</v>
      </c>
      <c r="F171">
        <v>12.68872359754714</v>
      </c>
      <c r="G171" t="s">
        <v>105</v>
      </c>
      <c r="H171" t="s">
        <v>108</v>
      </c>
    </row>
    <row r="172" spans="1:8" x14ac:dyDescent="0.3">
      <c r="A172" t="s">
        <v>14</v>
      </c>
      <c r="B172" t="s">
        <v>53</v>
      </c>
      <c r="C172" t="s">
        <v>77</v>
      </c>
      <c r="D172">
        <v>4.8999999999999986</v>
      </c>
      <c r="E172">
        <v>3.7817551020408171</v>
      </c>
      <c r="F172">
        <v>3.86607608129234</v>
      </c>
      <c r="G172" t="s">
        <v>104</v>
      </c>
      <c r="H172" t="s">
        <v>108</v>
      </c>
    </row>
    <row r="173" spans="1:8" x14ac:dyDescent="0.3">
      <c r="A173" t="s">
        <v>14</v>
      </c>
      <c r="B173" t="s">
        <v>61</v>
      </c>
      <c r="C173" t="s">
        <v>99</v>
      </c>
      <c r="D173">
        <v>40.200000000000003</v>
      </c>
      <c r="E173">
        <v>1.621651741293533</v>
      </c>
      <c r="F173">
        <v>2.9245635910224439</v>
      </c>
      <c r="G173" t="s">
        <v>104</v>
      </c>
      <c r="H173" t="s">
        <v>108</v>
      </c>
    </row>
    <row r="174" spans="1:8" x14ac:dyDescent="0.3">
      <c r="A174" t="s">
        <v>14</v>
      </c>
      <c r="B174" t="s">
        <v>62</v>
      </c>
      <c r="C174" t="s">
        <v>100</v>
      </c>
      <c r="D174">
        <v>14.4</v>
      </c>
      <c r="E174">
        <v>0.46458333333333329</v>
      </c>
      <c r="F174">
        <v>2.6764106050305911</v>
      </c>
      <c r="G174" t="s">
        <v>104</v>
      </c>
      <c r="H174" t="s">
        <v>108</v>
      </c>
    </row>
    <row r="175" spans="1:8" x14ac:dyDescent="0.3">
      <c r="A175" t="s">
        <v>14</v>
      </c>
      <c r="B175" t="s">
        <v>54</v>
      </c>
      <c r="C175" t="s">
        <v>78</v>
      </c>
      <c r="D175">
        <v>71.2</v>
      </c>
      <c r="E175">
        <v>7.9236081460674148</v>
      </c>
      <c r="F175">
        <v>3.86607608129234</v>
      </c>
      <c r="G175" t="s">
        <v>104</v>
      </c>
      <c r="H175" t="s">
        <v>108</v>
      </c>
    </row>
    <row r="176" spans="1:8" x14ac:dyDescent="0.3">
      <c r="A176" t="s">
        <v>15</v>
      </c>
      <c r="B176" t="s">
        <v>46</v>
      </c>
      <c r="C176" t="s">
        <v>64</v>
      </c>
      <c r="D176">
        <v>0.38158999999999998</v>
      </c>
      <c r="E176">
        <v>6.9993788359233742</v>
      </c>
      <c r="F176">
        <v>2.9521711768407801</v>
      </c>
      <c r="G176" t="s">
        <v>104</v>
      </c>
      <c r="H176" t="s">
        <v>108</v>
      </c>
    </row>
    <row r="177" spans="1:8" x14ac:dyDescent="0.3">
      <c r="A177" t="s">
        <v>15</v>
      </c>
      <c r="B177" t="s">
        <v>46</v>
      </c>
      <c r="C177" t="s">
        <v>79</v>
      </c>
      <c r="D177">
        <v>145.30000000000001</v>
      </c>
      <c r="E177">
        <v>5.4557845836200958</v>
      </c>
      <c r="F177">
        <v>6.8428961748633883</v>
      </c>
      <c r="G177" t="s">
        <v>104</v>
      </c>
      <c r="H177" t="s">
        <v>108</v>
      </c>
    </row>
    <row r="178" spans="1:8" x14ac:dyDescent="0.3">
      <c r="A178" t="s">
        <v>15</v>
      </c>
      <c r="B178" t="s">
        <v>46</v>
      </c>
      <c r="C178" t="s">
        <v>65</v>
      </c>
      <c r="D178">
        <v>0.3</v>
      </c>
      <c r="E178">
        <v>6.6466666666666656</v>
      </c>
      <c r="F178">
        <v>2.9521711768407801</v>
      </c>
      <c r="G178" t="s">
        <v>104</v>
      </c>
      <c r="H178" t="s">
        <v>108</v>
      </c>
    </row>
    <row r="179" spans="1:8" x14ac:dyDescent="0.3">
      <c r="A179" t="s">
        <v>15</v>
      </c>
      <c r="B179" t="s">
        <v>46</v>
      </c>
      <c r="C179" t="s">
        <v>80</v>
      </c>
      <c r="D179">
        <v>29.923999999999999</v>
      </c>
      <c r="E179">
        <v>1.21105866486851</v>
      </c>
      <c r="F179">
        <v>28.139870918023309</v>
      </c>
      <c r="G179" t="s">
        <v>105</v>
      </c>
      <c r="H179" t="s">
        <v>108</v>
      </c>
    </row>
    <row r="180" spans="1:8" x14ac:dyDescent="0.3">
      <c r="A180" t="s">
        <v>15</v>
      </c>
      <c r="B180" t="s">
        <v>46</v>
      </c>
      <c r="C180" t="s">
        <v>81</v>
      </c>
      <c r="D180">
        <v>63.287599999999998</v>
      </c>
      <c r="E180">
        <v>1.7549941245593419</v>
      </c>
      <c r="F180">
        <v>8.9647473560517046</v>
      </c>
      <c r="G180" t="s">
        <v>105</v>
      </c>
      <c r="H180" t="s">
        <v>108</v>
      </c>
    </row>
    <row r="181" spans="1:8" x14ac:dyDescent="0.3">
      <c r="A181" t="s">
        <v>15</v>
      </c>
      <c r="B181" t="s">
        <v>46</v>
      </c>
      <c r="C181" t="s">
        <v>66</v>
      </c>
      <c r="D181">
        <v>14</v>
      </c>
      <c r="E181">
        <v>5.634321428571428</v>
      </c>
      <c r="F181">
        <v>6.8428961748633883</v>
      </c>
      <c r="G181" t="s">
        <v>104</v>
      </c>
      <c r="H181" t="s">
        <v>108</v>
      </c>
    </row>
    <row r="182" spans="1:8" x14ac:dyDescent="0.3">
      <c r="A182" t="s">
        <v>15</v>
      </c>
      <c r="B182" t="s">
        <v>46</v>
      </c>
      <c r="C182" t="s">
        <v>82</v>
      </c>
      <c r="D182">
        <v>16.5</v>
      </c>
      <c r="E182">
        <v>3.415345454545454</v>
      </c>
      <c r="F182">
        <v>6.8428961748633883</v>
      </c>
      <c r="G182" t="s">
        <v>104</v>
      </c>
      <c r="H182" t="s">
        <v>108</v>
      </c>
    </row>
    <row r="183" spans="1:8" x14ac:dyDescent="0.3">
      <c r="A183" t="s">
        <v>15</v>
      </c>
      <c r="B183" t="s">
        <v>46</v>
      </c>
      <c r="C183" t="s">
        <v>84</v>
      </c>
      <c r="D183">
        <v>2.2999999999999998</v>
      </c>
      <c r="E183">
        <v>2.9696086956521741</v>
      </c>
      <c r="F183">
        <v>28.139870918023309</v>
      </c>
      <c r="G183" t="s">
        <v>105</v>
      </c>
      <c r="H183" t="s">
        <v>108</v>
      </c>
    </row>
    <row r="184" spans="1:8" x14ac:dyDescent="0.3">
      <c r="A184" t="s">
        <v>15</v>
      </c>
      <c r="B184" t="s">
        <v>46</v>
      </c>
      <c r="C184" t="s">
        <v>85</v>
      </c>
      <c r="D184">
        <v>1.1000000000000001</v>
      </c>
      <c r="E184">
        <v>4.814909090909091</v>
      </c>
      <c r="F184">
        <v>2.9521711768407801</v>
      </c>
      <c r="G184" t="s">
        <v>104</v>
      </c>
      <c r="H184" t="s">
        <v>108</v>
      </c>
    </row>
    <row r="185" spans="1:8" x14ac:dyDescent="0.3">
      <c r="A185" t="s">
        <v>15</v>
      </c>
      <c r="B185" t="s">
        <v>55</v>
      </c>
      <c r="C185" t="s">
        <v>86</v>
      </c>
      <c r="D185">
        <v>0.15</v>
      </c>
      <c r="E185">
        <v>11.824000000000011</v>
      </c>
      <c r="F185">
        <v>7.7</v>
      </c>
      <c r="G185" t="s">
        <v>106</v>
      </c>
      <c r="H185" t="s">
        <v>109</v>
      </c>
    </row>
    <row r="186" spans="1:8" x14ac:dyDescent="0.3">
      <c r="A186" t="s">
        <v>15</v>
      </c>
      <c r="B186" t="s">
        <v>55</v>
      </c>
      <c r="C186" t="s">
        <v>89</v>
      </c>
      <c r="D186">
        <v>3.27E-2</v>
      </c>
      <c r="E186">
        <v>0</v>
      </c>
      <c r="F186">
        <v>7.7</v>
      </c>
      <c r="G186" t="s">
        <v>106</v>
      </c>
      <c r="H186" t="s">
        <v>109</v>
      </c>
    </row>
    <row r="187" spans="1:8" x14ac:dyDescent="0.3">
      <c r="A187" t="s">
        <v>15</v>
      </c>
      <c r="B187" t="s">
        <v>55</v>
      </c>
      <c r="C187" t="s">
        <v>91</v>
      </c>
      <c r="D187">
        <v>0.46929999999999999</v>
      </c>
      <c r="E187">
        <v>11.48199999999999</v>
      </c>
      <c r="F187">
        <v>7.7</v>
      </c>
      <c r="G187" t="s">
        <v>106</v>
      </c>
      <c r="H187" t="s">
        <v>109</v>
      </c>
    </row>
    <row r="188" spans="1:8" x14ac:dyDescent="0.3">
      <c r="A188" t="s">
        <v>15</v>
      </c>
      <c r="B188" t="s">
        <v>55</v>
      </c>
      <c r="C188" t="s">
        <v>92</v>
      </c>
      <c r="D188">
        <v>2.1174900000000001</v>
      </c>
      <c r="E188">
        <v>12.74599999999999</v>
      </c>
      <c r="F188">
        <v>7.7</v>
      </c>
      <c r="G188" t="s">
        <v>106</v>
      </c>
      <c r="H188" t="s">
        <v>109</v>
      </c>
    </row>
    <row r="189" spans="1:8" x14ac:dyDescent="0.3">
      <c r="A189" t="s">
        <v>15</v>
      </c>
      <c r="B189" t="s">
        <v>56</v>
      </c>
      <c r="C189" t="s">
        <v>93</v>
      </c>
      <c r="D189">
        <v>53.833500000000001</v>
      </c>
      <c r="E189">
        <v>2.939759036144578</v>
      </c>
      <c r="F189">
        <v>22.3</v>
      </c>
      <c r="G189" t="s">
        <v>106</v>
      </c>
      <c r="H189" t="s">
        <v>109</v>
      </c>
    </row>
    <row r="190" spans="1:8" x14ac:dyDescent="0.3">
      <c r="A190" t="s">
        <v>15</v>
      </c>
      <c r="B190" t="s">
        <v>47</v>
      </c>
      <c r="C190" t="s">
        <v>68</v>
      </c>
      <c r="D190">
        <v>35.1</v>
      </c>
      <c r="E190">
        <v>6.3307264957264957</v>
      </c>
      <c r="F190">
        <v>25.4</v>
      </c>
      <c r="G190" t="s">
        <v>104</v>
      </c>
      <c r="H190" t="s">
        <v>109</v>
      </c>
    </row>
    <row r="191" spans="1:8" x14ac:dyDescent="0.3">
      <c r="A191" t="s">
        <v>15</v>
      </c>
      <c r="B191" t="s">
        <v>47</v>
      </c>
      <c r="C191" t="s">
        <v>69</v>
      </c>
      <c r="D191">
        <v>63.2</v>
      </c>
      <c r="E191">
        <v>5.5180585443037966</v>
      </c>
      <c r="F191">
        <v>25.4</v>
      </c>
      <c r="G191" t="s">
        <v>104</v>
      </c>
      <c r="H191" t="s">
        <v>109</v>
      </c>
    </row>
    <row r="192" spans="1:8" x14ac:dyDescent="0.3">
      <c r="A192" t="s">
        <v>15</v>
      </c>
      <c r="B192" t="s">
        <v>57</v>
      </c>
      <c r="C192" t="s">
        <v>94</v>
      </c>
      <c r="D192">
        <v>12.8</v>
      </c>
      <c r="E192">
        <v>11.5404296875</v>
      </c>
      <c r="F192">
        <v>23.7</v>
      </c>
      <c r="G192" t="s">
        <v>104</v>
      </c>
      <c r="H192" t="s">
        <v>109</v>
      </c>
    </row>
    <row r="193" spans="1:8" x14ac:dyDescent="0.3">
      <c r="A193" t="s">
        <v>15</v>
      </c>
      <c r="B193" t="s">
        <v>49</v>
      </c>
      <c r="C193" t="s">
        <v>71</v>
      </c>
      <c r="D193">
        <v>851.33938999999998</v>
      </c>
      <c r="E193">
        <v>5.0213197141271717</v>
      </c>
      <c r="F193">
        <v>3.86607608129234</v>
      </c>
      <c r="G193" t="s">
        <v>104</v>
      </c>
      <c r="H193" t="s">
        <v>108</v>
      </c>
    </row>
    <row r="194" spans="1:8" x14ac:dyDescent="0.3">
      <c r="A194" t="s">
        <v>15</v>
      </c>
      <c r="B194" t="s">
        <v>49</v>
      </c>
      <c r="C194" t="s">
        <v>72</v>
      </c>
      <c r="D194">
        <v>53.8</v>
      </c>
      <c r="E194">
        <v>4.025297397769517</v>
      </c>
      <c r="F194">
        <v>3.86607608129234</v>
      </c>
      <c r="G194" t="s">
        <v>104</v>
      </c>
      <c r="H194" t="s">
        <v>108</v>
      </c>
    </row>
    <row r="195" spans="1:8" x14ac:dyDescent="0.3">
      <c r="A195" t="s">
        <v>15</v>
      </c>
      <c r="B195" t="s">
        <v>58</v>
      </c>
      <c r="C195" t="s">
        <v>95</v>
      </c>
      <c r="D195">
        <v>37.579839999999997</v>
      </c>
      <c r="E195">
        <v>2.8002797912391322</v>
      </c>
      <c r="F195">
        <v>2.9521711768407801</v>
      </c>
      <c r="G195" t="s">
        <v>104</v>
      </c>
      <c r="H195" t="s">
        <v>108</v>
      </c>
    </row>
    <row r="196" spans="1:8" x14ac:dyDescent="0.3">
      <c r="A196" t="s">
        <v>15</v>
      </c>
      <c r="B196" t="s">
        <v>50</v>
      </c>
      <c r="C196" t="s">
        <v>73</v>
      </c>
      <c r="D196">
        <v>84.2</v>
      </c>
      <c r="E196">
        <v>5.6666270783847983</v>
      </c>
      <c r="F196">
        <v>20.723404255319149</v>
      </c>
      <c r="G196" t="s">
        <v>105</v>
      </c>
      <c r="H196" t="s">
        <v>108</v>
      </c>
    </row>
    <row r="197" spans="1:8" x14ac:dyDescent="0.3">
      <c r="A197" t="s">
        <v>15</v>
      </c>
      <c r="B197" t="s">
        <v>50</v>
      </c>
      <c r="C197" t="s">
        <v>74</v>
      </c>
      <c r="D197">
        <v>77.7</v>
      </c>
      <c r="E197">
        <v>6.1176023166023166</v>
      </c>
      <c r="F197">
        <v>2.0635593220338988</v>
      </c>
      <c r="G197" t="s">
        <v>105</v>
      </c>
      <c r="H197" t="s">
        <v>108</v>
      </c>
    </row>
    <row r="198" spans="1:8" x14ac:dyDescent="0.3">
      <c r="A198" t="s">
        <v>15</v>
      </c>
      <c r="B198" t="s">
        <v>51</v>
      </c>
      <c r="C198" t="s">
        <v>75</v>
      </c>
      <c r="D198">
        <v>125.1407</v>
      </c>
      <c r="E198">
        <v>6.5866974649275101E-2</v>
      </c>
      <c r="F198">
        <v>11.74</v>
      </c>
      <c r="G198" t="s">
        <v>104</v>
      </c>
      <c r="H198" t="s">
        <v>108</v>
      </c>
    </row>
    <row r="199" spans="1:8" x14ac:dyDescent="0.3">
      <c r="A199" t="s">
        <v>15</v>
      </c>
      <c r="B199" t="s">
        <v>60</v>
      </c>
      <c r="C199" t="s">
        <v>98</v>
      </c>
      <c r="D199">
        <v>80.972309999999993</v>
      </c>
      <c r="E199">
        <v>18.259935553168631</v>
      </c>
      <c r="F199">
        <v>19.399999999999999</v>
      </c>
      <c r="G199" t="s">
        <v>107</v>
      </c>
      <c r="H199" t="s">
        <v>109</v>
      </c>
    </row>
    <row r="200" spans="1:8" x14ac:dyDescent="0.3">
      <c r="A200" t="s">
        <v>15</v>
      </c>
      <c r="B200" t="s">
        <v>52</v>
      </c>
      <c r="C200" t="s">
        <v>76</v>
      </c>
      <c r="D200">
        <v>8.4819999999999993</v>
      </c>
      <c r="E200">
        <v>6.5250000000000004</v>
      </c>
      <c r="F200">
        <v>12.68872359754714</v>
      </c>
      <c r="G200" t="s">
        <v>105</v>
      </c>
      <c r="H200" t="s">
        <v>108</v>
      </c>
    </row>
    <row r="201" spans="1:8" x14ac:dyDescent="0.3">
      <c r="A201" t="s">
        <v>15</v>
      </c>
      <c r="B201" t="s">
        <v>53</v>
      </c>
      <c r="C201" t="s">
        <v>77</v>
      </c>
      <c r="D201">
        <v>19.2</v>
      </c>
      <c r="E201">
        <v>4.0253385416666667</v>
      </c>
      <c r="F201">
        <v>3.86607608129234</v>
      </c>
      <c r="G201" t="s">
        <v>104</v>
      </c>
      <c r="H201" t="s">
        <v>108</v>
      </c>
    </row>
    <row r="202" spans="1:8" x14ac:dyDescent="0.3">
      <c r="A202" t="s">
        <v>15</v>
      </c>
      <c r="B202" t="s">
        <v>61</v>
      </c>
      <c r="C202" t="s">
        <v>99</v>
      </c>
      <c r="D202">
        <v>117</v>
      </c>
      <c r="E202">
        <v>2.0684170940170938</v>
      </c>
      <c r="F202">
        <v>2.9245635910224439</v>
      </c>
      <c r="G202" t="s">
        <v>104</v>
      </c>
      <c r="H202" t="s">
        <v>108</v>
      </c>
    </row>
    <row r="203" spans="1:8" x14ac:dyDescent="0.3">
      <c r="A203" t="s">
        <v>15</v>
      </c>
      <c r="B203" t="s">
        <v>62</v>
      </c>
      <c r="C203" t="s">
        <v>100</v>
      </c>
      <c r="D203">
        <v>32.200000000000003</v>
      </c>
      <c r="E203">
        <v>8.8819875776397522E-2</v>
      </c>
      <c r="F203">
        <v>2.6764106050305911</v>
      </c>
      <c r="G203" t="s">
        <v>104</v>
      </c>
      <c r="H203" t="s">
        <v>108</v>
      </c>
    </row>
    <row r="204" spans="1:8" x14ac:dyDescent="0.3">
      <c r="A204" t="s">
        <v>15</v>
      </c>
      <c r="B204" t="s">
        <v>54</v>
      </c>
      <c r="C204" t="s">
        <v>78</v>
      </c>
      <c r="D204">
        <v>308.8</v>
      </c>
      <c r="E204">
        <v>7.887008095854922</v>
      </c>
      <c r="F204">
        <v>3.86607608129234</v>
      </c>
      <c r="G204" t="s">
        <v>104</v>
      </c>
      <c r="H204" t="s">
        <v>108</v>
      </c>
    </row>
    <row r="205" spans="1:8" x14ac:dyDescent="0.3">
      <c r="A205" t="s">
        <v>16</v>
      </c>
      <c r="B205" t="s">
        <v>46</v>
      </c>
      <c r="C205" t="s">
        <v>64</v>
      </c>
      <c r="D205">
        <v>1.7829999999999999E-2</v>
      </c>
      <c r="E205">
        <v>6.9752422882781833</v>
      </c>
      <c r="F205">
        <v>2.9521711768407801</v>
      </c>
      <c r="G205" t="s">
        <v>104</v>
      </c>
      <c r="H205" t="s">
        <v>108</v>
      </c>
    </row>
    <row r="206" spans="1:8" x14ac:dyDescent="0.3">
      <c r="A206" t="s">
        <v>16</v>
      </c>
      <c r="B206" t="s">
        <v>46</v>
      </c>
      <c r="C206" t="s">
        <v>79</v>
      </c>
      <c r="D206">
        <v>35.1</v>
      </c>
      <c r="E206">
        <v>4.5332849002849001</v>
      </c>
      <c r="F206">
        <v>6.8428961748633883</v>
      </c>
      <c r="G206" t="s">
        <v>104</v>
      </c>
      <c r="H206" t="s">
        <v>108</v>
      </c>
    </row>
    <row r="207" spans="1:8" x14ac:dyDescent="0.3">
      <c r="A207" t="s">
        <v>16</v>
      </c>
      <c r="B207" t="s">
        <v>46</v>
      </c>
      <c r="C207" t="s">
        <v>80</v>
      </c>
      <c r="D207">
        <v>0.1968</v>
      </c>
      <c r="E207">
        <v>0.58125421443020897</v>
      </c>
      <c r="F207">
        <v>28.139870918023309</v>
      </c>
      <c r="G207" t="s">
        <v>105</v>
      </c>
      <c r="H207" t="s">
        <v>108</v>
      </c>
    </row>
    <row r="208" spans="1:8" x14ac:dyDescent="0.3">
      <c r="A208" t="s">
        <v>16</v>
      </c>
      <c r="B208" t="s">
        <v>46</v>
      </c>
      <c r="C208" t="s">
        <v>81</v>
      </c>
      <c r="D208">
        <v>1.2447999999999999</v>
      </c>
      <c r="E208">
        <v>1.7121034077555819</v>
      </c>
      <c r="F208">
        <v>8.9647473560517046</v>
      </c>
      <c r="G208" t="s">
        <v>105</v>
      </c>
      <c r="H208" t="s">
        <v>108</v>
      </c>
    </row>
    <row r="209" spans="1:8" x14ac:dyDescent="0.3">
      <c r="A209" t="s">
        <v>16</v>
      </c>
      <c r="B209" t="s">
        <v>46</v>
      </c>
      <c r="C209" t="s">
        <v>82</v>
      </c>
      <c r="D209">
        <v>1.7</v>
      </c>
      <c r="E209">
        <v>2.923647058823529</v>
      </c>
      <c r="F209">
        <v>6.8428961748633883</v>
      </c>
      <c r="G209" t="s">
        <v>104</v>
      </c>
      <c r="H209" t="s">
        <v>108</v>
      </c>
    </row>
    <row r="210" spans="1:8" x14ac:dyDescent="0.3">
      <c r="A210" t="s">
        <v>16</v>
      </c>
      <c r="B210" t="s">
        <v>46</v>
      </c>
      <c r="C210" t="s">
        <v>84</v>
      </c>
      <c r="D210">
        <v>0.4</v>
      </c>
      <c r="E210">
        <v>3.081</v>
      </c>
      <c r="F210">
        <v>28.139870918023309</v>
      </c>
      <c r="G210" t="s">
        <v>105</v>
      </c>
      <c r="H210" t="s">
        <v>108</v>
      </c>
    </row>
    <row r="211" spans="1:8" x14ac:dyDescent="0.3">
      <c r="A211" t="s">
        <v>16</v>
      </c>
      <c r="B211" t="s">
        <v>55</v>
      </c>
      <c r="C211" t="s">
        <v>86</v>
      </c>
      <c r="D211">
        <v>0.55779999999999996</v>
      </c>
      <c r="E211">
        <v>12.321999999999999</v>
      </c>
      <c r="F211">
        <v>20.7</v>
      </c>
      <c r="G211" t="s">
        <v>106</v>
      </c>
      <c r="H211" t="s">
        <v>109</v>
      </c>
    </row>
    <row r="212" spans="1:8" x14ac:dyDescent="0.3">
      <c r="A212" t="s">
        <v>16</v>
      </c>
      <c r="B212" t="s">
        <v>55</v>
      </c>
      <c r="C212" t="s">
        <v>91</v>
      </c>
      <c r="D212">
        <v>0.47920000000000001</v>
      </c>
      <c r="E212">
        <v>11.154999999999999</v>
      </c>
      <c r="F212">
        <v>20.7</v>
      </c>
      <c r="G212" t="s">
        <v>106</v>
      </c>
      <c r="H212" t="s">
        <v>109</v>
      </c>
    </row>
    <row r="213" spans="1:8" x14ac:dyDescent="0.3">
      <c r="A213" t="s">
        <v>16</v>
      </c>
      <c r="B213" t="s">
        <v>55</v>
      </c>
      <c r="C213" t="s">
        <v>92</v>
      </c>
      <c r="D213">
        <v>0.73206000000000004</v>
      </c>
      <c r="E213">
        <v>12.113</v>
      </c>
      <c r="F213">
        <v>20.7</v>
      </c>
      <c r="G213" t="s">
        <v>106</v>
      </c>
      <c r="H213" t="s">
        <v>109</v>
      </c>
    </row>
    <row r="214" spans="1:8" x14ac:dyDescent="0.3">
      <c r="A214" t="s">
        <v>16</v>
      </c>
      <c r="B214" t="s">
        <v>56</v>
      </c>
      <c r="C214" t="s">
        <v>93</v>
      </c>
      <c r="D214">
        <v>0.73859999999999992</v>
      </c>
      <c r="E214">
        <v>4.3084337349397588</v>
      </c>
      <c r="F214">
        <v>29.8</v>
      </c>
      <c r="G214" t="s">
        <v>106</v>
      </c>
      <c r="H214" t="s">
        <v>109</v>
      </c>
    </row>
    <row r="215" spans="1:8" x14ac:dyDescent="0.3">
      <c r="A215" t="s">
        <v>16</v>
      </c>
      <c r="B215" t="s">
        <v>47</v>
      </c>
      <c r="C215" t="s">
        <v>101</v>
      </c>
      <c r="D215">
        <v>9</v>
      </c>
      <c r="E215">
        <v>7.8687666666666667</v>
      </c>
      <c r="F215">
        <v>37.5</v>
      </c>
      <c r="G215" t="s">
        <v>104</v>
      </c>
      <c r="H215" t="s">
        <v>109</v>
      </c>
    </row>
    <row r="216" spans="1:8" x14ac:dyDescent="0.3">
      <c r="A216" t="s">
        <v>16</v>
      </c>
      <c r="B216" t="s">
        <v>57</v>
      </c>
      <c r="C216" t="s">
        <v>94</v>
      </c>
      <c r="D216">
        <v>3.7</v>
      </c>
      <c r="E216">
        <v>14.99427027027027</v>
      </c>
      <c r="F216">
        <v>15.5</v>
      </c>
      <c r="G216" t="s">
        <v>104</v>
      </c>
      <c r="H216" t="s">
        <v>109</v>
      </c>
    </row>
    <row r="217" spans="1:8" x14ac:dyDescent="0.3">
      <c r="A217" t="s">
        <v>16</v>
      </c>
      <c r="B217" t="s">
        <v>49</v>
      </c>
      <c r="C217" t="s">
        <v>71</v>
      </c>
      <c r="D217">
        <v>33.248779999999996</v>
      </c>
      <c r="E217">
        <v>4.3283409523597562</v>
      </c>
      <c r="F217">
        <v>3.86607608129234</v>
      </c>
      <c r="G217" t="s">
        <v>104</v>
      </c>
      <c r="H217" t="s">
        <v>108</v>
      </c>
    </row>
    <row r="218" spans="1:8" x14ac:dyDescent="0.3">
      <c r="A218" t="s">
        <v>16</v>
      </c>
      <c r="B218" t="s">
        <v>49</v>
      </c>
      <c r="C218" t="s">
        <v>72</v>
      </c>
      <c r="D218">
        <v>8.6</v>
      </c>
      <c r="E218">
        <v>3.4818139534883721</v>
      </c>
      <c r="F218">
        <v>3.86607608129234</v>
      </c>
      <c r="G218" t="s">
        <v>104</v>
      </c>
      <c r="H218" t="s">
        <v>108</v>
      </c>
    </row>
    <row r="219" spans="1:8" x14ac:dyDescent="0.3">
      <c r="A219" t="s">
        <v>16</v>
      </c>
      <c r="B219" t="s">
        <v>58</v>
      </c>
      <c r="C219" t="s">
        <v>95</v>
      </c>
      <c r="D219">
        <v>5.46617</v>
      </c>
      <c r="E219">
        <v>3.036999999999999</v>
      </c>
      <c r="F219">
        <v>2.9521711768407801</v>
      </c>
      <c r="G219" t="s">
        <v>104</v>
      </c>
      <c r="H219" t="s">
        <v>108</v>
      </c>
    </row>
    <row r="220" spans="1:8" x14ac:dyDescent="0.3">
      <c r="A220" t="s">
        <v>16</v>
      </c>
      <c r="B220" t="s">
        <v>50</v>
      </c>
      <c r="C220" t="s">
        <v>73</v>
      </c>
      <c r="D220">
        <v>22.4</v>
      </c>
      <c r="E220">
        <v>6.6314419642857141</v>
      </c>
      <c r="F220">
        <v>20.723404255319149</v>
      </c>
      <c r="G220" t="s">
        <v>105</v>
      </c>
      <c r="H220" t="s">
        <v>108</v>
      </c>
    </row>
    <row r="221" spans="1:8" x14ac:dyDescent="0.3">
      <c r="A221" t="s">
        <v>16</v>
      </c>
      <c r="B221" t="s">
        <v>50</v>
      </c>
      <c r="C221" t="s">
        <v>74</v>
      </c>
      <c r="D221">
        <v>32.799999999999997</v>
      </c>
      <c r="E221">
        <v>7.2490518292682919</v>
      </c>
      <c r="F221">
        <v>2.0635593220338988</v>
      </c>
      <c r="G221" t="s">
        <v>105</v>
      </c>
      <c r="H221" t="s">
        <v>108</v>
      </c>
    </row>
    <row r="222" spans="1:8" x14ac:dyDescent="0.3">
      <c r="A222" t="s">
        <v>16</v>
      </c>
      <c r="B222" t="s">
        <v>51</v>
      </c>
      <c r="C222" t="s">
        <v>75</v>
      </c>
      <c r="D222">
        <v>22.747730000000001</v>
      </c>
      <c r="E222">
        <v>3.6269685664201902E-3</v>
      </c>
      <c r="F222">
        <v>11.74</v>
      </c>
      <c r="G222" t="s">
        <v>104</v>
      </c>
      <c r="H222" t="s">
        <v>108</v>
      </c>
    </row>
    <row r="223" spans="1:8" x14ac:dyDescent="0.3">
      <c r="A223" t="s">
        <v>16</v>
      </c>
      <c r="B223" t="s">
        <v>60</v>
      </c>
      <c r="C223" t="s">
        <v>98</v>
      </c>
      <c r="D223">
        <v>3.19591</v>
      </c>
      <c r="E223">
        <v>18.421052631578949</v>
      </c>
      <c r="F223">
        <v>32.6</v>
      </c>
      <c r="G223" t="s">
        <v>107</v>
      </c>
      <c r="H223" t="s">
        <v>109</v>
      </c>
    </row>
    <row r="224" spans="1:8" x14ac:dyDescent="0.3">
      <c r="A224" t="s">
        <v>16</v>
      </c>
      <c r="B224" t="s">
        <v>52</v>
      </c>
      <c r="C224" t="s">
        <v>76</v>
      </c>
      <c r="D224">
        <v>0.217</v>
      </c>
      <c r="E224">
        <v>6.5250000000000004</v>
      </c>
      <c r="F224">
        <v>12.68872359754714</v>
      </c>
      <c r="G224" t="s">
        <v>105</v>
      </c>
      <c r="H224" t="s">
        <v>108</v>
      </c>
    </row>
    <row r="225" spans="1:8" x14ac:dyDescent="0.3">
      <c r="A225" t="s">
        <v>16</v>
      </c>
      <c r="B225" t="s">
        <v>53</v>
      </c>
      <c r="C225" t="s">
        <v>77</v>
      </c>
      <c r="D225">
        <v>2.2999999999999998</v>
      </c>
      <c r="E225">
        <v>3.481478260869566</v>
      </c>
      <c r="F225">
        <v>3.86607608129234</v>
      </c>
      <c r="G225" t="s">
        <v>104</v>
      </c>
      <c r="H225" t="s">
        <v>108</v>
      </c>
    </row>
    <row r="226" spans="1:8" x14ac:dyDescent="0.3">
      <c r="A226" t="s">
        <v>16</v>
      </c>
      <c r="B226" t="s">
        <v>61</v>
      </c>
      <c r="C226" t="s">
        <v>99</v>
      </c>
      <c r="D226">
        <v>1.4</v>
      </c>
      <c r="E226">
        <v>2.0878571428571431</v>
      </c>
      <c r="F226">
        <v>2.9245635910224439</v>
      </c>
      <c r="G226" t="s">
        <v>104</v>
      </c>
      <c r="H226" t="s">
        <v>108</v>
      </c>
    </row>
    <row r="227" spans="1:8" x14ac:dyDescent="0.3">
      <c r="A227" t="s">
        <v>16</v>
      </c>
      <c r="B227" t="s">
        <v>62</v>
      </c>
      <c r="C227" t="s">
        <v>100</v>
      </c>
      <c r="D227">
        <v>0.5</v>
      </c>
      <c r="E227">
        <v>0.52</v>
      </c>
      <c r="F227">
        <v>2.6764106050305911</v>
      </c>
      <c r="G227" t="s">
        <v>104</v>
      </c>
      <c r="H227" t="s">
        <v>108</v>
      </c>
    </row>
    <row r="228" spans="1:8" x14ac:dyDescent="0.3">
      <c r="A228" t="s">
        <v>16</v>
      </c>
      <c r="B228" t="s">
        <v>54</v>
      </c>
      <c r="C228" t="s">
        <v>78</v>
      </c>
      <c r="D228">
        <v>8.6</v>
      </c>
      <c r="E228">
        <v>6.6484302325581393</v>
      </c>
      <c r="F228">
        <v>3.86607608129234</v>
      </c>
      <c r="G228" t="s">
        <v>104</v>
      </c>
      <c r="H228" t="s">
        <v>108</v>
      </c>
    </row>
    <row r="229" spans="1:8" x14ac:dyDescent="0.3">
      <c r="A229" t="s">
        <v>17</v>
      </c>
      <c r="B229" t="s">
        <v>46</v>
      </c>
      <c r="C229" t="s">
        <v>64</v>
      </c>
      <c r="D229">
        <v>1.7409999999999998E-2</v>
      </c>
      <c r="E229">
        <v>6.33</v>
      </c>
      <c r="F229">
        <v>2.9521711768407801</v>
      </c>
      <c r="G229" t="s">
        <v>104</v>
      </c>
      <c r="H229" t="s">
        <v>108</v>
      </c>
    </row>
    <row r="230" spans="1:8" x14ac:dyDescent="0.3">
      <c r="A230" t="s">
        <v>17</v>
      </c>
      <c r="B230" t="s">
        <v>46</v>
      </c>
      <c r="C230" t="s">
        <v>79</v>
      </c>
      <c r="D230">
        <v>3.8</v>
      </c>
      <c r="E230">
        <v>2.669</v>
      </c>
      <c r="F230">
        <v>6.8428961748633883</v>
      </c>
      <c r="G230" t="s">
        <v>104</v>
      </c>
      <c r="H230" t="s">
        <v>108</v>
      </c>
    </row>
    <row r="231" spans="1:8" x14ac:dyDescent="0.3">
      <c r="A231" t="s">
        <v>17</v>
      </c>
      <c r="B231" t="s">
        <v>46</v>
      </c>
      <c r="C231" t="s">
        <v>80</v>
      </c>
      <c r="D231">
        <v>3.3599999999999998E-2</v>
      </c>
      <c r="E231">
        <v>0.28186109238031021</v>
      </c>
      <c r="F231">
        <v>28.139870918023309</v>
      </c>
      <c r="G231" t="s">
        <v>105</v>
      </c>
      <c r="H231" t="s">
        <v>108</v>
      </c>
    </row>
    <row r="232" spans="1:8" x14ac:dyDescent="0.3">
      <c r="A232" t="s">
        <v>17</v>
      </c>
      <c r="B232" t="s">
        <v>46</v>
      </c>
      <c r="C232" t="s">
        <v>81</v>
      </c>
      <c r="D232">
        <v>0.27560000000000001</v>
      </c>
      <c r="E232">
        <v>2.0681551116333732</v>
      </c>
      <c r="F232">
        <v>8.9647473560517046</v>
      </c>
      <c r="G232" t="s">
        <v>105</v>
      </c>
      <c r="H232" t="s">
        <v>108</v>
      </c>
    </row>
    <row r="233" spans="1:8" x14ac:dyDescent="0.3">
      <c r="A233" t="s">
        <v>17</v>
      </c>
      <c r="B233" t="s">
        <v>46</v>
      </c>
      <c r="C233" t="s">
        <v>82</v>
      </c>
      <c r="D233">
        <v>0.7</v>
      </c>
      <c r="E233">
        <v>1.718</v>
      </c>
      <c r="F233">
        <v>6.8428961748633883</v>
      </c>
      <c r="G233" t="s">
        <v>104</v>
      </c>
      <c r="H233" t="s">
        <v>108</v>
      </c>
    </row>
    <row r="234" spans="1:8" x14ac:dyDescent="0.3">
      <c r="A234" t="s">
        <v>17</v>
      </c>
      <c r="B234" t="s">
        <v>55</v>
      </c>
      <c r="C234" t="s">
        <v>86</v>
      </c>
      <c r="D234">
        <v>0.14530000000000001</v>
      </c>
      <c r="E234">
        <v>8.9179999999999993</v>
      </c>
      <c r="F234">
        <v>27.4</v>
      </c>
      <c r="G234" t="s">
        <v>106</v>
      </c>
      <c r="H234" t="s">
        <v>109</v>
      </c>
    </row>
    <row r="235" spans="1:8" x14ac:dyDescent="0.3">
      <c r="A235" t="s">
        <v>17</v>
      </c>
      <c r="B235" t="s">
        <v>55</v>
      </c>
      <c r="C235" t="s">
        <v>89</v>
      </c>
      <c r="D235">
        <v>4.3E-3</v>
      </c>
      <c r="E235">
        <v>0</v>
      </c>
      <c r="F235">
        <v>27.4</v>
      </c>
      <c r="G235" t="s">
        <v>106</v>
      </c>
      <c r="H235" t="s">
        <v>109</v>
      </c>
    </row>
    <row r="236" spans="1:8" x14ac:dyDescent="0.3">
      <c r="A236" t="s">
        <v>17</v>
      </c>
      <c r="B236" t="s">
        <v>55</v>
      </c>
      <c r="C236" t="s">
        <v>91</v>
      </c>
      <c r="D236">
        <v>0.10150000000000001</v>
      </c>
      <c r="E236">
        <v>10.147</v>
      </c>
      <c r="F236">
        <v>27.4</v>
      </c>
      <c r="G236" t="s">
        <v>106</v>
      </c>
      <c r="H236" t="s">
        <v>109</v>
      </c>
    </row>
    <row r="237" spans="1:8" x14ac:dyDescent="0.3">
      <c r="A237" t="s">
        <v>17</v>
      </c>
      <c r="B237" t="s">
        <v>55</v>
      </c>
      <c r="C237" t="s">
        <v>92</v>
      </c>
      <c r="D237">
        <v>0.14369999999999999</v>
      </c>
      <c r="E237">
        <v>10.837999999999999</v>
      </c>
      <c r="F237">
        <v>27.4</v>
      </c>
      <c r="G237" t="s">
        <v>106</v>
      </c>
      <c r="H237" t="s">
        <v>109</v>
      </c>
    </row>
    <row r="238" spans="1:8" x14ac:dyDescent="0.3">
      <c r="A238" t="s">
        <v>17</v>
      </c>
      <c r="B238" t="s">
        <v>47</v>
      </c>
      <c r="C238" t="s">
        <v>101</v>
      </c>
      <c r="D238">
        <v>7.5</v>
      </c>
      <c r="E238">
        <v>2.9319999999999999</v>
      </c>
      <c r="F238">
        <v>43.8</v>
      </c>
      <c r="G238" t="s">
        <v>104</v>
      </c>
      <c r="H238" t="s">
        <v>109</v>
      </c>
    </row>
    <row r="239" spans="1:8" x14ac:dyDescent="0.3">
      <c r="A239" t="s">
        <v>17</v>
      </c>
      <c r="B239" t="s">
        <v>57</v>
      </c>
      <c r="C239" t="s">
        <v>94</v>
      </c>
      <c r="D239">
        <v>3.9</v>
      </c>
      <c r="E239">
        <v>7.8129999999999997</v>
      </c>
      <c r="F239">
        <v>19.8</v>
      </c>
      <c r="G239" t="s">
        <v>104</v>
      </c>
      <c r="H239" t="s">
        <v>109</v>
      </c>
    </row>
    <row r="240" spans="1:8" x14ac:dyDescent="0.3">
      <c r="A240" t="s">
        <v>17</v>
      </c>
      <c r="B240" t="s">
        <v>49</v>
      </c>
      <c r="C240" t="s">
        <v>71</v>
      </c>
      <c r="D240">
        <v>92.166960000000003</v>
      </c>
      <c r="E240">
        <v>2.5640000000000001</v>
      </c>
      <c r="F240">
        <v>3.86607608129234</v>
      </c>
      <c r="G240" t="s">
        <v>104</v>
      </c>
      <c r="H240" t="s">
        <v>108</v>
      </c>
    </row>
    <row r="241" spans="1:8" x14ac:dyDescent="0.3">
      <c r="A241" t="s">
        <v>17</v>
      </c>
      <c r="B241" t="s">
        <v>49</v>
      </c>
      <c r="C241" t="s">
        <v>72</v>
      </c>
      <c r="D241">
        <v>11</v>
      </c>
      <c r="E241">
        <v>3.4470000000000001</v>
      </c>
      <c r="F241">
        <v>3.86607608129234</v>
      </c>
      <c r="G241" t="s">
        <v>104</v>
      </c>
      <c r="H241" t="s">
        <v>108</v>
      </c>
    </row>
    <row r="242" spans="1:8" x14ac:dyDescent="0.3">
      <c r="A242" t="s">
        <v>17</v>
      </c>
      <c r="B242" t="s">
        <v>58</v>
      </c>
      <c r="C242" t="s">
        <v>95</v>
      </c>
      <c r="D242">
        <v>9.7398799999999994</v>
      </c>
      <c r="E242">
        <v>3.274</v>
      </c>
      <c r="F242">
        <v>2.9521711768407801</v>
      </c>
      <c r="G242" t="s">
        <v>104</v>
      </c>
      <c r="H242" t="s">
        <v>108</v>
      </c>
    </row>
    <row r="243" spans="1:8" x14ac:dyDescent="0.3">
      <c r="A243" t="s">
        <v>17</v>
      </c>
      <c r="B243" t="s">
        <v>50</v>
      </c>
      <c r="C243" t="s">
        <v>73</v>
      </c>
      <c r="D243">
        <v>1</v>
      </c>
      <c r="E243">
        <v>5.0869999999999997</v>
      </c>
      <c r="F243">
        <v>20.723404255319149</v>
      </c>
      <c r="G243" t="s">
        <v>105</v>
      </c>
      <c r="H243" t="s">
        <v>108</v>
      </c>
    </row>
    <row r="244" spans="1:8" x14ac:dyDescent="0.3">
      <c r="A244" t="s">
        <v>17</v>
      </c>
      <c r="B244" t="s">
        <v>50</v>
      </c>
      <c r="C244" t="s">
        <v>74</v>
      </c>
      <c r="D244">
        <v>8.9</v>
      </c>
      <c r="E244">
        <v>3.625</v>
      </c>
      <c r="F244">
        <v>2.0635593220338988</v>
      </c>
      <c r="G244" t="s">
        <v>105</v>
      </c>
      <c r="H244" t="s">
        <v>108</v>
      </c>
    </row>
    <row r="245" spans="1:8" x14ac:dyDescent="0.3">
      <c r="A245" t="s">
        <v>17</v>
      </c>
      <c r="B245" t="s">
        <v>51</v>
      </c>
      <c r="C245" t="s">
        <v>75</v>
      </c>
      <c r="D245">
        <v>2.5745309999999999</v>
      </c>
      <c r="E245">
        <v>4.9431280597714098E-3</v>
      </c>
      <c r="F245">
        <v>11.74</v>
      </c>
      <c r="G245" t="s">
        <v>104</v>
      </c>
      <c r="H245" t="s">
        <v>108</v>
      </c>
    </row>
    <row r="246" spans="1:8" x14ac:dyDescent="0.3">
      <c r="A246" t="s">
        <v>17</v>
      </c>
      <c r="B246" t="s">
        <v>60</v>
      </c>
      <c r="C246" t="s">
        <v>98</v>
      </c>
      <c r="D246">
        <v>1.69373</v>
      </c>
      <c r="E246">
        <v>18.045112781954892</v>
      </c>
      <c r="F246">
        <v>41.8</v>
      </c>
      <c r="G246" t="s">
        <v>107</v>
      </c>
      <c r="H246" t="s">
        <v>109</v>
      </c>
    </row>
    <row r="247" spans="1:8" x14ac:dyDescent="0.3">
      <c r="A247" t="s">
        <v>17</v>
      </c>
      <c r="B247" t="s">
        <v>53</v>
      </c>
      <c r="C247" t="s">
        <v>77</v>
      </c>
      <c r="D247">
        <v>4.5999999999999996</v>
      </c>
      <c r="E247">
        <v>3.4470000000000001</v>
      </c>
      <c r="F247">
        <v>3.86607608129234</v>
      </c>
      <c r="G247" t="s">
        <v>104</v>
      </c>
      <c r="H247" t="s">
        <v>108</v>
      </c>
    </row>
    <row r="248" spans="1:8" x14ac:dyDescent="0.3">
      <c r="A248" t="s">
        <v>17</v>
      </c>
      <c r="B248" t="s">
        <v>61</v>
      </c>
      <c r="C248" t="s">
        <v>99</v>
      </c>
      <c r="D248">
        <v>6</v>
      </c>
      <c r="E248">
        <v>1.5920000000000001</v>
      </c>
      <c r="F248">
        <v>2.9245635910224439</v>
      </c>
      <c r="G248" t="s">
        <v>104</v>
      </c>
      <c r="H248" t="s">
        <v>108</v>
      </c>
    </row>
    <row r="249" spans="1:8" x14ac:dyDescent="0.3">
      <c r="A249" t="s">
        <v>17</v>
      </c>
      <c r="B249" t="s">
        <v>62</v>
      </c>
      <c r="C249" t="s">
        <v>100</v>
      </c>
      <c r="D249">
        <v>2.5</v>
      </c>
      <c r="E249">
        <v>1.6</v>
      </c>
      <c r="F249">
        <v>2.6764106050305911</v>
      </c>
      <c r="G249" t="s">
        <v>104</v>
      </c>
      <c r="H249" t="s">
        <v>108</v>
      </c>
    </row>
    <row r="250" spans="1:8" x14ac:dyDescent="0.3">
      <c r="A250" t="s">
        <v>17</v>
      </c>
      <c r="B250" t="s">
        <v>54</v>
      </c>
      <c r="C250" t="s">
        <v>78</v>
      </c>
      <c r="D250">
        <v>38.700000000000003</v>
      </c>
      <c r="E250">
        <v>3.4159999999999999</v>
      </c>
      <c r="F250">
        <v>3.86607608129234</v>
      </c>
      <c r="G250" t="s">
        <v>104</v>
      </c>
      <c r="H250" t="s">
        <v>108</v>
      </c>
    </row>
    <row r="251" spans="1:8" x14ac:dyDescent="0.3">
      <c r="A251" t="s">
        <v>18</v>
      </c>
      <c r="B251" t="s">
        <v>46</v>
      </c>
      <c r="C251" t="s">
        <v>63</v>
      </c>
      <c r="D251">
        <v>2.7122999999999999</v>
      </c>
      <c r="E251">
        <v>2.9286474973375931</v>
      </c>
      <c r="F251">
        <v>3.950479233226837</v>
      </c>
      <c r="G251" t="s">
        <v>104</v>
      </c>
      <c r="H251" t="s">
        <v>108</v>
      </c>
    </row>
    <row r="252" spans="1:8" x14ac:dyDescent="0.3">
      <c r="A252" t="s">
        <v>18</v>
      </c>
      <c r="B252" t="s">
        <v>46</v>
      </c>
      <c r="C252" t="s">
        <v>64</v>
      </c>
      <c r="D252">
        <v>0.69493000000000005</v>
      </c>
      <c r="E252">
        <v>6.3619044076381792</v>
      </c>
      <c r="F252">
        <v>2.9521711768407801</v>
      </c>
      <c r="G252" t="s">
        <v>104</v>
      </c>
      <c r="H252" t="s">
        <v>108</v>
      </c>
    </row>
    <row r="253" spans="1:8" x14ac:dyDescent="0.3">
      <c r="A253" t="s">
        <v>18</v>
      </c>
      <c r="B253" t="s">
        <v>46</v>
      </c>
      <c r="C253" t="s">
        <v>79</v>
      </c>
      <c r="D253">
        <v>6.8</v>
      </c>
      <c r="E253">
        <v>3.5762794117647059</v>
      </c>
      <c r="F253">
        <v>6.8428961748633883</v>
      </c>
      <c r="G253" t="s">
        <v>104</v>
      </c>
      <c r="H253" t="s">
        <v>108</v>
      </c>
    </row>
    <row r="254" spans="1:8" x14ac:dyDescent="0.3">
      <c r="A254" t="s">
        <v>18</v>
      </c>
      <c r="B254" t="s">
        <v>46</v>
      </c>
      <c r="C254" t="s">
        <v>65</v>
      </c>
      <c r="D254">
        <v>0.60000000000000009</v>
      </c>
      <c r="E254">
        <v>5.5214999999999987</v>
      </c>
      <c r="F254">
        <v>2.9521711768407801</v>
      </c>
      <c r="G254" t="s">
        <v>104</v>
      </c>
      <c r="H254" t="s">
        <v>108</v>
      </c>
    </row>
    <row r="255" spans="1:8" x14ac:dyDescent="0.3">
      <c r="A255" t="s">
        <v>18</v>
      </c>
      <c r="B255" t="s">
        <v>46</v>
      </c>
      <c r="C255" t="s">
        <v>102</v>
      </c>
      <c r="D255">
        <v>0.5</v>
      </c>
      <c r="E255">
        <v>4.8883999999999999</v>
      </c>
      <c r="F255">
        <v>2.9521711768407801</v>
      </c>
      <c r="G255" t="s">
        <v>104</v>
      </c>
      <c r="H255" t="s">
        <v>108</v>
      </c>
    </row>
    <row r="256" spans="1:8" x14ac:dyDescent="0.3">
      <c r="A256" t="s">
        <v>18</v>
      </c>
      <c r="B256" t="s">
        <v>46</v>
      </c>
      <c r="C256" t="s">
        <v>80</v>
      </c>
      <c r="D256">
        <v>0.35349999999999998</v>
      </c>
      <c r="E256">
        <v>1.2016183412002699</v>
      </c>
      <c r="F256">
        <v>28.139870918023309</v>
      </c>
      <c r="G256" t="s">
        <v>105</v>
      </c>
      <c r="H256" t="s">
        <v>108</v>
      </c>
    </row>
    <row r="257" spans="1:8" x14ac:dyDescent="0.3">
      <c r="A257" t="s">
        <v>18</v>
      </c>
      <c r="B257" t="s">
        <v>46</v>
      </c>
      <c r="C257" t="s">
        <v>81</v>
      </c>
      <c r="D257">
        <v>0.1118</v>
      </c>
      <c r="E257">
        <v>2.6686251468860172</v>
      </c>
      <c r="F257">
        <v>8.9647473560517046</v>
      </c>
      <c r="G257" t="s">
        <v>105</v>
      </c>
      <c r="H257" t="s">
        <v>108</v>
      </c>
    </row>
    <row r="258" spans="1:8" x14ac:dyDescent="0.3">
      <c r="A258" t="s">
        <v>18</v>
      </c>
      <c r="B258" t="s">
        <v>46</v>
      </c>
      <c r="C258" t="s">
        <v>66</v>
      </c>
      <c r="D258">
        <v>5.3</v>
      </c>
      <c r="E258">
        <v>3.6909622641509441</v>
      </c>
      <c r="F258">
        <v>6.8428961748633883</v>
      </c>
      <c r="G258" t="s">
        <v>104</v>
      </c>
      <c r="H258" t="s">
        <v>108</v>
      </c>
    </row>
    <row r="259" spans="1:8" x14ac:dyDescent="0.3">
      <c r="A259" t="s">
        <v>18</v>
      </c>
      <c r="B259" t="s">
        <v>46</v>
      </c>
      <c r="C259" t="s">
        <v>67</v>
      </c>
      <c r="D259">
        <v>7.7</v>
      </c>
      <c r="E259">
        <v>7.5189870129870142</v>
      </c>
      <c r="F259">
        <v>2.9521711768407801</v>
      </c>
      <c r="G259" t="s">
        <v>104</v>
      </c>
      <c r="H259" t="s">
        <v>108</v>
      </c>
    </row>
    <row r="260" spans="1:8" x14ac:dyDescent="0.3">
      <c r="A260" t="s">
        <v>18</v>
      </c>
      <c r="B260" t="s">
        <v>46</v>
      </c>
      <c r="C260" t="s">
        <v>82</v>
      </c>
      <c r="D260">
        <v>0.7</v>
      </c>
      <c r="E260">
        <v>2.2794285714285709</v>
      </c>
      <c r="F260">
        <v>6.8428961748633883</v>
      </c>
      <c r="G260" t="s">
        <v>104</v>
      </c>
      <c r="H260" t="s">
        <v>108</v>
      </c>
    </row>
    <row r="261" spans="1:8" x14ac:dyDescent="0.3">
      <c r="A261" t="s">
        <v>18</v>
      </c>
      <c r="B261" t="s">
        <v>46</v>
      </c>
      <c r="C261" t="s">
        <v>83</v>
      </c>
      <c r="D261">
        <v>1.1395599999999999</v>
      </c>
      <c r="E261">
        <v>3.4250257731054088</v>
      </c>
      <c r="F261">
        <v>6.8428961748633883</v>
      </c>
      <c r="G261" t="s">
        <v>104</v>
      </c>
      <c r="H261" t="s">
        <v>108</v>
      </c>
    </row>
    <row r="262" spans="1:8" x14ac:dyDescent="0.3">
      <c r="A262" t="s">
        <v>18</v>
      </c>
      <c r="B262" t="s">
        <v>46</v>
      </c>
      <c r="C262" t="s">
        <v>84</v>
      </c>
      <c r="D262">
        <v>0.3</v>
      </c>
      <c r="E262">
        <v>2.253333333333333</v>
      </c>
      <c r="F262">
        <v>28.139870918023309</v>
      </c>
      <c r="G262" t="s">
        <v>105</v>
      </c>
      <c r="H262" t="s">
        <v>108</v>
      </c>
    </row>
    <row r="263" spans="1:8" x14ac:dyDescent="0.3">
      <c r="A263" t="s">
        <v>18</v>
      </c>
      <c r="B263" t="s">
        <v>46</v>
      </c>
      <c r="C263" t="s">
        <v>85</v>
      </c>
      <c r="D263">
        <v>1</v>
      </c>
      <c r="E263">
        <v>3.8794</v>
      </c>
      <c r="F263">
        <v>2.9521711768407801</v>
      </c>
      <c r="G263" t="s">
        <v>104</v>
      </c>
      <c r="H263" t="s">
        <v>108</v>
      </c>
    </row>
    <row r="264" spans="1:8" x14ac:dyDescent="0.3">
      <c r="A264" t="s">
        <v>18</v>
      </c>
      <c r="B264" t="s">
        <v>55</v>
      </c>
      <c r="C264" t="s">
        <v>86</v>
      </c>
      <c r="D264">
        <v>1.0128999999999999</v>
      </c>
      <c r="E264">
        <v>14.109</v>
      </c>
      <c r="G264" t="s">
        <v>106</v>
      </c>
      <c r="H264" t="s">
        <v>109</v>
      </c>
    </row>
    <row r="265" spans="1:8" x14ac:dyDescent="0.3">
      <c r="A265" t="s">
        <v>18</v>
      </c>
      <c r="B265" t="s">
        <v>55</v>
      </c>
      <c r="C265" t="s">
        <v>87</v>
      </c>
      <c r="D265">
        <v>3.7757000000000001</v>
      </c>
      <c r="E265">
        <v>19.335000000000001</v>
      </c>
      <c r="G265" t="s">
        <v>106</v>
      </c>
      <c r="H265" t="s">
        <v>109</v>
      </c>
    </row>
    <row r="266" spans="1:8" x14ac:dyDescent="0.3">
      <c r="A266" t="s">
        <v>18</v>
      </c>
      <c r="B266" t="s">
        <v>55</v>
      </c>
      <c r="C266" t="s">
        <v>88</v>
      </c>
      <c r="D266">
        <v>1.5251999999999999</v>
      </c>
      <c r="E266">
        <v>16.361999999999998</v>
      </c>
      <c r="G266" t="s">
        <v>106</v>
      </c>
      <c r="H266" t="s">
        <v>109</v>
      </c>
    </row>
    <row r="267" spans="1:8" x14ac:dyDescent="0.3">
      <c r="A267" t="s">
        <v>18</v>
      </c>
      <c r="B267" t="s">
        <v>55</v>
      </c>
      <c r="C267" t="s">
        <v>91</v>
      </c>
      <c r="D267">
        <v>2E-3</v>
      </c>
      <c r="E267">
        <v>13.2</v>
      </c>
      <c r="G267" t="s">
        <v>106</v>
      </c>
      <c r="H267" t="s">
        <v>109</v>
      </c>
    </row>
    <row r="268" spans="1:8" x14ac:dyDescent="0.3">
      <c r="A268" t="s">
        <v>18</v>
      </c>
      <c r="B268" t="s">
        <v>56</v>
      </c>
      <c r="C268" t="s">
        <v>93</v>
      </c>
      <c r="D268">
        <v>16.1951</v>
      </c>
      <c r="E268">
        <v>2.939759036144578</v>
      </c>
      <c r="G268" t="s">
        <v>106</v>
      </c>
      <c r="H268" t="s">
        <v>109</v>
      </c>
    </row>
    <row r="269" spans="1:8" x14ac:dyDescent="0.3">
      <c r="A269" t="s">
        <v>18</v>
      </c>
      <c r="B269" t="s">
        <v>47</v>
      </c>
      <c r="C269" t="s">
        <v>68</v>
      </c>
      <c r="D269">
        <v>27.5</v>
      </c>
      <c r="E269">
        <v>5.9113745454545459</v>
      </c>
      <c r="G269" t="s">
        <v>104</v>
      </c>
      <c r="H269" t="s">
        <v>109</v>
      </c>
    </row>
    <row r="270" spans="1:8" x14ac:dyDescent="0.3">
      <c r="A270" t="s">
        <v>18</v>
      </c>
      <c r="B270" t="s">
        <v>47</v>
      </c>
      <c r="C270" t="s">
        <v>69</v>
      </c>
      <c r="D270">
        <v>11.2</v>
      </c>
      <c r="E270">
        <v>9.0520624999999999</v>
      </c>
      <c r="G270" t="s">
        <v>104</v>
      </c>
      <c r="H270" t="s">
        <v>109</v>
      </c>
    </row>
    <row r="271" spans="1:8" x14ac:dyDescent="0.3">
      <c r="A271" t="s">
        <v>18</v>
      </c>
      <c r="B271" t="s">
        <v>48</v>
      </c>
      <c r="C271" t="s">
        <v>70</v>
      </c>
      <c r="D271">
        <v>7.1999999999999993</v>
      </c>
      <c r="E271">
        <v>15.876694444444439</v>
      </c>
      <c r="G271" t="s">
        <v>104</v>
      </c>
      <c r="H271" t="s">
        <v>109</v>
      </c>
    </row>
    <row r="272" spans="1:8" x14ac:dyDescent="0.3">
      <c r="A272" t="s">
        <v>18</v>
      </c>
      <c r="B272" t="s">
        <v>49</v>
      </c>
      <c r="C272" t="s">
        <v>71</v>
      </c>
      <c r="D272">
        <v>30.184280000000001</v>
      </c>
      <c r="E272">
        <v>4.5903582483994976</v>
      </c>
      <c r="F272">
        <v>3.86607608129234</v>
      </c>
      <c r="G272" t="s">
        <v>104</v>
      </c>
      <c r="H272" t="s">
        <v>108</v>
      </c>
    </row>
    <row r="273" spans="1:8" x14ac:dyDescent="0.3">
      <c r="A273" t="s">
        <v>18</v>
      </c>
      <c r="B273" t="s">
        <v>49</v>
      </c>
      <c r="C273" t="s">
        <v>72</v>
      </c>
      <c r="D273">
        <v>7</v>
      </c>
      <c r="E273">
        <v>3.6801857142857139</v>
      </c>
      <c r="F273">
        <v>3.86607608129234</v>
      </c>
      <c r="G273" t="s">
        <v>104</v>
      </c>
      <c r="H273" t="s">
        <v>108</v>
      </c>
    </row>
    <row r="274" spans="1:8" x14ac:dyDescent="0.3">
      <c r="A274" t="s">
        <v>18</v>
      </c>
      <c r="B274" t="s">
        <v>58</v>
      </c>
      <c r="C274" t="s">
        <v>95</v>
      </c>
      <c r="D274">
        <v>11.615589999999999</v>
      </c>
      <c r="E274">
        <v>3.01160676125793</v>
      </c>
      <c r="F274">
        <v>2.9521711768407801</v>
      </c>
      <c r="G274" t="s">
        <v>104</v>
      </c>
      <c r="H274" t="s">
        <v>108</v>
      </c>
    </row>
    <row r="275" spans="1:8" x14ac:dyDescent="0.3">
      <c r="A275" t="s">
        <v>18</v>
      </c>
      <c r="B275" t="s">
        <v>50</v>
      </c>
      <c r="C275" t="s">
        <v>73</v>
      </c>
      <c r="D275">
        <v>1.1000000000000001</v>
      </c>
      <c r="E275">
        <v>5.3453636363636363</v>
      </c>
      <c r="F275">
        <v>20.723404255319149</v>
      </c>
      <c r="G275" t="s">
        <v>105</v>
      </c>
      <c r="H275" t="s">
        <v>108</v>
      </c>
    </row>
    <row r="276" spans="1:8" x14ac:dyDescent="0.3">
      <c r="A276" t="s">
        <v>18</v>
      </c>
      <c r="B276" t="s">
        <v>50</v>
      </c>
      <c r="C276" t="s">
        <v>74</v>
      </c>
      <c r="D276">
        <v>10.3</v>
      </c>
      <c r="E276">
        <v>4.1200873786407763</v>
      </c>
      <c r="F276">
        <v>2.0635593220338988</v>
      </c>
      <c r="G276" t="s">
        <v>105</v>
      </c>
      <c r="H276" t="s">
        <v>108</v>
      </c>
    </row>
    <row r="277" spans="1:8" x14ac:dyDescent="0.3">
      <c r="A277" t="s">
        <v>18</v>
      </c>
      <c r="B277" t="s">
        <v>59</v>
      </c>
      <c r="C277" t="s">
        <v>96</v>
      </c>
      <c r="D277">
        <v>0.25950000000000001</v>
      </c>
      <c r="E277">
        <v>17.279</v>
      </c>
      <c r="G277" t="s">
        <v>107</v>
      </c>
      <c r="H277" t="s">
        <v>109</v>
      </c>
    </row>
    <row r="278" spans="1:8" x14ac:dyDescent="0.3">
      <c r="A278" t="s">
        <v>18</v>
      </c>
      <c r="B278" t="s">
        <v>59</v>
      </c>
      <c r="C278" t="s">
        <v>97</v>
      </c>
      <c r="D278">
        <v>0.34429999999999999</v>
      </c>
      <c r="E278">
        <v>19.96744438415627</v>
      </c>
      <c r="G278" t="s">
        <v>107</v>
      </c>
      <c r="H278" t="s">
        <v>109</v>
      </c>
    </row>
    <row r="279" spans="1:8" x14ac:dyDescent="0.3">
      <c r="A279" t="s">
        <v>18</v>
      </c>
      <c r="B279" t="s">
        <v>51</v>
      </c>
      <c r="C279" t="s">
        <v>75</v>
      </c>
      <c r="D279">
        <v>2.5814300000000001</v>
      </c>
      <c r="E279">
        <v>8.5002049740402305E-2</v>
      </c>
      <c r="F279">
        <v>11.74</v>
      </c>
      <c r="G279" t="s">
        <v>104</v>
      </c>
      <c r="H279" t="s">
        <v>108</v>
      </c>
    </row>
    <row r="280" spans="1:8" x14ac:dyDescent="0.3">
      <c r="A280" t="s">
        <v>18</v>
      </c>
      <c r="B280" t="s">
        <v>52</v>
      </c>
      <c r="C280" t="s">
        <v>76</v>
      </c>
      <c r="D280">
        <v>0.47599999999999998</v>
      </c>
      <c r="E280">
        <v>0</v>
      </c>
      <c r="F280">
        <v>12.68872359754714</v>
      </c>
      <c r="G280" t="s">
        <v>105</v>
      </c>
      <c r="H280" t="s">
        <v>108</v>
      </c>
    </row>
    <row r="281" spans="1:8" x14ac:dyDescent="0.3">
      <c r="A281" t="s">
        <v>18</v>
      </c>
      <c r="B281" t="s">
        <v>53</v>
      </c>
      <c r="C281" t="s">
        <v>77</v>
      </c>
      <c r="D281">
        <v>2.8</v>
      </c>
      <c r="E281">
        <v>3.6806785714285719</v>
      </c>
      <c r="F281">
        <v>3.86607608129234</v>
      </c>
      <c r="G281" t="s">
        <v>104</v>
      </c>
      <c r="H281" t="s">
        <v>108</v>
      </c>
    </row>
    <row r="282" spans="1:8" x14ac:dyDescent="0.3">
      <c r="A282" t="s">
        <v>18</v>
      </c>
      <c r="B282" t="s">
        <v>61</v>
      </c>
      <c r="C282" t="s">
        <v>99</v>
      </c>
      <c r="D282">
        <v>2.9</v>
      </c>
      <c r="E282">
        <v>1.7817931034482759</v>
      </c>
      <c r="F282">
        <v>2.9245635910224439</v>
      </c>
      <c r="G282" t="s">
        <v>104</v>
      </c>
      <c r="H282" t="s">
        <v>108</v>
      </c>
    </row>
    <row r="283" spans="1:8" x14ac:dyDescent="0.3">
      <c r="A283" t="s">
        <v>18</v>
      </c>
      <c r="B283" t="s">
        <v>62</v>
      </c>
      <c r="C283" t="s">
        <v>100</v>
      </c>
      <c r="D283">
        <v>0.4</v>
      </c>
      <c r="E283">
        <v>0.22500000000000001</v>
      </c>
      <c r="F283">
        <v>2.6764106050305911</v>
      </c>
      <c r="G283" t="s">
        <v>104</v>
      </c>
      <c r="H283" t="s">
        <v>108</v>
      </c>
    </row>
    <row r="284" spans="1:8" x14ac:dyDescent="0.3">
      <c r="A284" t="s">
        <v>18</v>
      </c>
      <c r="B284" t="s">
        <v>54</v>
      </c>
      <c r="C284" t="s">
        <v>78</v>
      </c>
      <c r="D284">
        <v>11.5</v>
      </c>
      <c r="E284">
        <v>7.6559913043478272</v>
      </c>
      <c r="F284">
        <v>3.86607608129234</v>
      </c>
      <c r="G284" t="s">
        <v>104</v>
      </c>
      <c r="H284" t="s">
        <v>108</v>
      </c>
    </row>
    <row r="285" spans="1:8" x14ac:dyDescent="0.3">
      <c r="A285" t="s">
        <v>19</v>
      </c>
      <c r="B285" t="s">
        <v>46</v>
      </c>
      <c r="C285" t="s">
        <v>63</v>
      </c>
      <c r="D285">
        <v>7.2561999999999998</v>
      </c>
      <c r="E285">
        <v>2.9286474973375931</v>
      </c>
      <c r="F285">
        <v>3.950479233226837</v>
      </c>
      <c r="G285" t="s">
        <v>104</v>
      </c>
      <c r="H285" t="s">
        <v>108</v>
      </c>
    </row>
    <row r="286" spans="1:8" x14ac:dyDescent="0.3">
      <c r="A286" t="s">
        <v>19</v>
      </c>
      <c r="B286" t="s">
        <v>46</v>
      </c>
      <c r="C286" t="s">
        <v>64</v>
      </c>
      <c r="D286">
        <v>1.1722399999999999</v>
      </c>
      <c r="E286">
        <v>7.0138424554698702</v>
      </c>
      <c r="F286">
        <v>2.9521711768407801</v>
      </c>
      <c r="G286" t="s">
        <v>104</v>
      </c>
      <c r="H286" t="s">
        <v>108</v>
      </c>
    </row>
    <row r="287" spans="1:8" x14ac:dyDescent="0.3">
      <c r="A287" t="s">
        <v>19</v>
      </c>
      <c r="B287" t="s">
        <v>46</v>
      </c>
      <c r="C287" t="s">
        <v>79</v>
      </c>
      <c r="D287">
        <v>58.8</v>
      </c>
      <c r="E287">
        <v>2.421738095238096</v>
      </c>
      <c r="F287">
        <v>6.8428961748633883</v>
      </c>
      <c r="G287" t="s">
        <v>104</v>
      </c>
      <c r="H287" t="s">
        <v>108</v>
      </c>
    </row>
    <row r="288" spans="1:8" x14ac:dyDescent="0.3">
      <c r="A288" t="s">
        <v>19</v>
      </c>
      <c r="B288" t="s">
        <v>46</v>
      </c>
      <c r="C288" t="s">
        <v>65</v>
      </c>
      <c r="D288">
        <v>8.9</v>
      </c>
      <c r="E288">
        <v>6.0556516853932578</v>
      </c>
      <c r="F288">
        <v>2.9521711768407801</v>
      </c>
      <c r="G288" t="s">
        <v>104</v>
      </c>
      <c r="H288" t="s">
        <v>108</v>
      </c>
    </row>
    <row r="289" spans="1:8" x14ac:dyDescent="0.3">
      <c r="A289" t="s">
        <v>19</v>
      </c>
      <c r="B289" t="s">
        <v>46</v>
      </c>
      <c r="C289" t="s">
        <v>102</v>
      </c>
      <c r="D289">
        <v>4.2</v>
      </c>
      <c r="E289">
        <v>5.2477619047619051</v>
      </c>
      <c r="F289">
        <v>2.9521711768407801</v>
      </c>
      <c r="G289" t="s">
        <v>104</v>
      </c>
      <c r="H289" t="s">
        <v>108</v>
      </c>
    </row>
    <row r="290" spans="1:8" x14ac:dyDescent="0.3">
      <c r="A290" t="s">
        <v>19</v>
      </c>
      <c r="B290" t="s">
        <v>46</v>
      </c>
      <c r="C290" t="s">
        <v>80</v>
      </c>
      <c r="D290">
        <v>2.7612999999999999</v>
      </c>
      <c r="E290">
        <v>0.53674983142279165</v>
      </c>
      <c r="F290">
        <v>28.139870918023309</v>
      </c>
      <c r="G290" t="s">
        <v>105</v>
      </c>
      <c r="H290" t="s">
        <v>108</v>
      </c>
    </row>
    <row r="291" spans="1:8" x14ac:dyDescent="0.3">
      <c r="A291" t="s">
        <v>19</v>
      </c>
      <c r="B291" t="s">
        <v>46</v>
      </c>
      <c r="C291" t="s">
        <v>81</v>
      </c>
      <c r="D291">
        <v>0.63059999999999994</v>
      </c>
      <c r="E291">
        <v>1.0987074030552291</v>
      </c>
      <c r="F291">
        <v>8.9647473560517046</v>
      </c>
      <c r="G291" t="s">
        <v>105</v>
      </c>
      <c r="H291" t="s">
        <v>108</v>
      </c>
    </row>
    <row r="292" spans="1:8" x14ac:dyDescent="0.3">
      <c r="A292" t="s">
        <v>19</v>
      </c>
      <c r="B292" t="s">
        <v>46</v>
      </c>
      <c r="C292" t="s">
        <v>66</v>
      </c>
      <c r="D292">
        <v>7</v>
      </c>
      <c r="E292">
        <v>2.4947428571428572</v>
      </c>
      <c r="F292">
        <v>6.8428961748633883</v>
      </c>
      <c r="G292" t="s">
        <v>104</v>
      </c>
      <c r="H292" t="s">
        <v>108</v>
      </c>
    </row>
    <row r="293" spans="1:8" x14ac:dyDescent="0.3">
      <c r="A293" t="s">
        <v>19</v>
      </c>
      <c r="B293" t="s">
        <v>46</v>
      </c>
      <c r="C293" t="s">
        <v>67</v>
      </c>
      <c r="D293">
        <v>19.8</v>
      </c>
      <c r="E293">
        <v>8.7080555555555534</v>
      </c>
      <c r="F293">
        <v>2.9521711768407801</v>
      </c>
      <c r="G293" t="s">
        <v>104</v>
      </c>
      <c r="H293" t="s">
        <v>108</v>
      </c>
    </row>
    <row r="294" spans="1:8" x14ac:dyDescent="0.3">
      <c r="A294" t="s">
        <v>19</v>
      </c>
      <c r="B294" t="s">
        <v>46</v>
      </c>
      <c r="C294" t="s">
        <v>82</v>
      </c>
      <c r="D294">
        <v>7.6</v>
      </c>
      <c r="E294">
        <v>1.600223684210526</v>
      </c>
      <c r="F294">
        <v>6.8428961748633883</v>
      </c>
      <c r="G294" t="s">
        <v>104</v>
      </c>
      <c r="H294" t="s">
        <v>108</v>
      </c>
    </row>
    <row r="295" spans="1:8" x14ac:dyDescent="0.3">
      <c r="A295" t="s">
        <v>19</v>
      </c>
      <c r="B295" t="s">
        <v>46</v>
      </c>
      <c r="C295" t="s">
        <v>83</v>
      </c>
      <c r="D295">
        <v>3.8005399999999998</v>
      </c>
      <c r="E295">
        <v>2.3284709778084172</v>
      </c>
      <c r="F295">
        <v>6.8428961748633883</v>
      </c>
      <c r="G295" t="s">
        <v>104</v>
      </c>
      <c r="H295" t="s">
        <v>108</v>
      </c>
    </row>
    <row r="296" spans="1:8" x14ac:dyDescent="0.3">
      <c r="A296" t="s">
        <v>19</v>
      </c>
      <c r="B296" t="s">
        <v>46</v>
      </c>
      <c r="C296" t="s">
        <v>84</v>
      </c>
      <c r="D296">
        <v>1.3</v>
      </c>
      <c r="E296">
        <v>1.92</v>
      </c>
      <c r="F296">
        <v>28.139870918023309</v>
      </c>
      <c r="G296" t="s">
        <v>105</v>
      </c>
      <c r="H296" t="s">
        <v>108</v>
      </c>
    </row>
    <row r="297" spans="1:8" x14ac:dyDescent="0.3">
      <c r="A297" t="s">
        <v>19</v>
      </c>
      <c r="B297" t="s">
        <v>46</v>
      </c>
      <c r="C297" t="s">
        <v>85</v>
      </c>
      <c r="D297">
        <v>10.9</v>
      </c>
      <c r="E297">
        <v>4.3866422018348619</v>
      </c>
      <c r="F297">
        <v>2.9521711768407801</v>
      </c>
      <c r="G297" t="s">
        <v>104</v>
      </c>
      <c r="H297" t="s">
        <v>108</v>
      </c>
    </row>
    <row r="298" spans="1:8" x14ac:dyDescent="0.3">
      <c r="A298" t="s">
        <v>19</v>
      </c>
      <c r="B298" t="s">
        <v>55</v>
      </c>
      <c r="C298" t="s">
        <v>86</v>
      </c>
      <c r="D298">
        <v>14.815099999999999</v>
      </c>
      <c r="E298">
        <v>12.451000000000001</v>
      </c>
      <c r="F298">
        <v>11.3</v>
      </c>
      <c r="G298" t="s">
        <v>106</v>
      </c>
      <c r="H298" t="s">
        <v>109</v>
      </c>
    </row>
    <row r="299" spans="1:8" x14ac:dyDescent="0.3">
      <c r="A299" t="s">
        <v>19</v>
      </c>
      <c r="B299" t="s">
        <v>55</v>
      </c>
      <c r="C299" t="s">
        <v>87</v>
      </c>
      <c r="D299">
        <v>1.6540999999999999</v>
      </c>
      <c r="E299">
        <v>14.749000000000001</v>
      </c>
      <c r="F299">
        <v>11.3</v>
      </c>
      <c r="G299" t="s">
        <v>106</v>
      </c>
      <c r="H299" t="s">
        <v>109</v>
      </c>
    </row>
    <row r="300" spans="1:8" x14ac:dyDescent="0.3">
      <c r="A300" t="s">
        <v>19</v>
      </c>
      <c r="B300" t="s">
        <v>55</v>
      </c>
      <c r="C300" t="s">
        <v>88</v>
      </c>
      <c r="D300">
        <v>3.9102000000000001</v>
      </c>
      <c r="E300">
        <v>14.413999999999991</v>
      </c>
      <c r="F300">
        <v>11.3</v>
      </c>
      <c r="G300" t="s">
        <v>106</v>
      </c>
      <c r="H300" t="s">
        <v>109</v>
      </c>
    </row>
    <row r="301" spans="1:8" x14ac:dyDescent="0.3">
      <c r="A301" t="s">
        <v>19</v>
      </c>
      <c r="B301" t="s">
        <v>55</v>
      </c>
      <c r="C301" t="s">
        <v>89</v>
      </c>
      <c r="D301">
        <v>3.4737</v>
      </c>
      <c r="E301">
        <v>0</v>
      </c>
      <c r="F301">
        <v>11.3</v>
      </c>
      <c r="G301" t="s">
        <v>106</v>
      </c>
      <c r="H301" t="s">
        <v>109</v>
      </c>
    </row>
    <row r="302" spans="1:8" x14ac:dyDescent="0.3">
      <c r="A302" t="s">
        <v>19</v>
      </c>
      <c r="B302" t="s">
        <v>55</v>
      </c>
      <c r="C302" t="s">
        <v>90</v>
      </c>
      <c r="D302">
        <v>0.11550000000000001</v>
      </c>
      <c r="E302">
        <v>15.036</v>
      </c>
      <c r="F302">
        <v>11.3</v>
      </c>
      <c r="G302" t="s">
        <v>106</v>
      </c>
      <c r="H302" t="s">
        <v>109</v>
      </c>
    </row>
    <row r="303" spans="1:8" x14ac:dyDescent="0.3">
      <c r="A303" t="s">
        <v>19</v>
      </c>
      <c r="B303" t="s">
        <v>55</v>
      </c>
      <c r="C303" t="s">
        <v>91</v>
      </c>
      <c r="D303">
        <v>3.4594</v>
      </c>
      <c r="E303">
        <v>13.113</v>
      </c>
      <c r="F303">
        <v>11.3</v>
      </c>
      <c r="G303" t="s">
        <v>106</v>
      </c>
      <c r="H303" t="s">
        <v>109</v>
      </c>
    </row>
    <row r="304" spans="1:8" x14ac:dyDescent="0.3">
      <c r="A304" t="s">
        <v>19</v>
      </c>
      <c r="B304" t="s">
        <v>55</v>
      </c>
      <c r="C304" t="s">
        <v>92</v>
      </c>
      <c r="D304">
        <v>1.0236799999999999</v>
      </c>
      <c r="E304">
        <v>14.749000000000001</v>
      </c>
      <c r="F304">
        <v>11.3</v>
      </c>
      <c r="G304" t="s">
        <v>106</v>
      </c>
      <c r="H304" t="s">
        <v>109</v>
      </c>
    </row>
    <row r="305" spans="1:8" x14ac:dyDescent="0.3">
      <c r="A305" t="s">
        <v>19</v>
      </c>
      <c r="B305" t="s">
        <v>56</v>
      </c>
      <c r="C305" t="s">
        <v>93</v>
      </c>
      <c r="D305">
        <v>116.68729999999999</v>
      </c>
      <c r="E305">
        <v>2.939759036144578</v>
      </c>
      <c r="F305">
        <v>23.6</v>
      </c>
      <c r="G305" t="s">
        <v>106</v>
      </c>
      <c r="H305" t="s">
        <v>109</v>
      </c>
    </row>
    <row r="306" spans="1:8" x14ac:dyDescent="0.3">
      <c r="A306" t="s">
        <v>19</v>
      </c>
      <c r="B306" t="s">
        <v>47</v>
      </c>
      <c r="C306" t="s">
        <v>68</v>
      </c>
      <c r="D306">
        <v>299.8</v>
      </c>
      <c r="E306">
        <v>5.9857568378919277</v>
      </c>
      <c r="F306">
        <v>14.9</v>
      </c>
      <c r="G306" t="s">
        <v>104</v>
      </c>
      <c r="H306" t="s">
        <v>109</v>
      </c>
    </row>
    <row r="307" spans="1:8" x14ac:dyDescent="0.3">
      <c r="A307" t="s">
        <v>19</v>
      </c>
      <c r="B307" t="s">
        <v>47</v>
      </c>
      <c r="C307" t="s">
        <v>69</v>
      </c>
      <c r="D307">
        <v>100.7</v>
      </c>
      <c r="E307">
        <v>10.209638530287981</v>
      </c>
      <c r="F307">
        <v>14.9</v>
      </c>
      <c r="G307" t="s">
        <v>104</v>
      </c>
      <c r="H307" t="s">
        <v>109</v>
      </c>
    </row>
    <row r="308" spans="1:8" x14ac:dyDescent="0.3">
      <c r="A308" t="s">
        <v>19</v>
      </c>
      <c r="B308" t="s">
        <v>48</v>
      </c>
      <c r="C308" t="s">
        <v>70</v>
      </c>
      <c r="D308">
        <v>75.2</v>
      </c>
      <c r="E308">
        <v>16.215198138297868</v>
      </c>
      <c r="F308">
        <v>16.8</v>
      </c>
      <c r="G308" t="s">
        <v>104</v>
      </c>
      <c r="H308" t="s">
        <v>109</v>
      </c>
    </row>
    <row r="309" spans="1:8" x14ac:dyDescent="0.3">
      <c r="A309" t="s">
        <v>19</v>
      </c>
      <c r="B309" t="s">
        <v>49</v>
      </c>
      <c r="C309" t="s">
        <v>71</v>
      </c>
      <c r="D309">
        <v>307.76864</v>
      </c>
      <c r="E309">
        <v>5.255778792862067</v>
      </c>
      <c r="F309">
        <v>3.86607608129234</v>
      </c>
      <c r="G309" t="s">
        <v>104</v>
      </c>
      <c r="H309" t="s">
        <v>108</v>
      </c>
    </row>
    <row r="310" spans="1:8" x14ac:dyDescent="0.3">
      <c r="A310" t="s">
        <v>19</v>
      </c>
      <c r="B310" t="s">
        <v>49</v>
      </c>
      <c r="C310" t="s">
        <v>72</v>
      </c>
      <c r="D310">
        <v>37.1</v>
      </c>
      <c r="E310">
        <v>4.2176172506738547</v>
      </c>
      <c r="F310">
        <v>3.86607608129234</v>
      </c>
      <c r="G310" t="s">
        <v>104</v>
      </c>
      <c r="H310" t="s">
        <v>108</v>
      </c>
    </row>
    <row r="311" spans="1:8" x14ac:dyDescent="0.3">
      <c r="A311" t="s">
        <v>19</v>
      </c>
      <c r="B311" t="s">
        <v>58</v>
      </c>
      <c r="C311" t="s">
        <v>95</v>
      </c>
      <c r="D311">
        <v>48.512160000000002</v>
      </c>
      <c r="E311">
        <v>2.688437115972572</v>
      </c>
      <c r="F311">
        <v>2.9521711768407801</v>
      </c>
      <c r="G311" t="s">
        <v>104</v>
      </c>
      <c r="H311" t="s">
        <v>108</v>
      </c>
    </row>
    <row r="312" spans="1:8" x14ac:dyDescent="0.3">
      <c r="A312" t="s">
        <v>19</v>
      </c>
      <c r="B312" t="s">
        <v>50</v>
      </c>
      <c r="C312" t="s">
        <v>73</v>
      </c>
      <c r="D312">
        <v>32.299999999999997</v>
      </c>
      <c r="E312">
        <v>5.4881207430340559</v>
      </c>
      <c r="F312">
        <v>20.723404255319149</v>
      </c>
      <c r="G312" t="s">
        <v>105</v>
      </c>
      <c r="H312" t="s">
        <v>108</v>
      </c>
    </row>
    <row r="313" spans="1:8" x14ac:dyDescent="0.3">
      <c r="A313" t="s">
        <v>19</v>
      </c>
      <c r="B313" t="s">
        <v>50</v>
      </c>
      <c r="C313" t="s">
        <v>74</v>
      </c>
      <c r="D313">
        <v>102.2</v>
      </c>
      <c r="E313">
        <v>4.2163101761252451</v>
      </c>
      <c r="F313">
        <v>2.0635593220338988</v>
      </c>
      <c r="G313" t="s">
        <v>105</v>
      </c>
      <c r="H313" t="s">
        <v>108</v>
      </c>
    </row>
    <row r="314" spans="1:8" x14ac:dyDescent="0.3">
      <c r="A314" t="s">
        <v>19</v>
      </c>
      <c r="B314" t="s">
        <v>59</v>
      </c>
      <c r="C314" t="s">
        <v>96</v>
      </c>
      <c r="D314">
        <v>1.9171</v>
      </c>
      <c r="E314">
        <v>17.309999999999999</v>
      </c>
      <c r="F314">
        <v>33.700000000000003</v>
      </c>
      <c r="G314" t="s">
        <v>107</v>
      </c>
      <c r="H314" t="s">
        <v>109</v>
      </c>
    </row>
    <row r="315" spans="1:8" x14ac:dyDescent="0.3">
      <c r="A315" t="s">
        <v>19</v>
      </c>
      <c r="B315" t="s">
        <v>59</v>
      </c>
      <c r="C315" t="s">
        <v>97</v>
      </c>
      <c r="D315">
        <v>7.5465</v>
      </c>
      <c r="E315">
        <v>20.835594139989151</v>
      </c>
      <c r="F315">
        <v>33.700000000000003</v>
      </c>
      <c r="G315" t="s">
        <v>107</v>
      </c>
      <c r="H315" t="s">
        <v>109</v>
      </c>
    </row>
    <row r="316" spans="1:8" x14ac:dyDescent="0.3">
      <c r="A316" t="s">
        <v>19</v>
      </c>
      <c r="B316" t="s">
        <v>51</v>
      </c>
      <c r="C316" t="s">
        <v>75</v>
      </c>
      <c r="D316">
        <v>26.732939999999999</v>
      </c>
      <c r="E316">
        <v>2.1034085826564E-4</v>
      </c>
      <c r="F316">
        <v>11.74</v>
      </c>
      <c r="G316" t="s">
        <v>104</v>
      </c>
      <c r="H316" t="s">
        <v>108</v>
      </c>
    </row>
    <row r="317" spans="1:8" x14ac:dyDescent="0.3">
      <c r="A317" t="s">
        <v>19</v>
      </c>
      <c r="B317" t="s">
        <v>60</v>
      </c>
      <c r="C317" t="s">
        <v>98</v>
      </c>
      <c r="D317">
        <v>1.6708499999999999</v>
      </c>
      <c r="E317">
        <v>25.563909774436091</v>
      </c>
      <c r="F317">
        <v>19.899999999999999</v>
      </c>
      <c r="G317" t="s">
        <v>107</v>
      </c>
      <c r="H317" t="s">
        <v>109</v>
      </c>
    </row>
    <row r="318" spans="1:8" x14ac:dyDescent="0.3">
      <c r="A318" t="s">
        <v>19</v>
      </c>
      <c r="B318" t="s">
        <v>52</v>
      </c>
      <c r="C318" t="s">
        <v>76</v>
      </c>
      <c r="D318">
        <v>1.0649999999999999</v>
      </c>
      <c r="E318">
        <v>6.5250000000000004</v>
      </c>
      <c r="F318">
        <v>12.68872359754714</v>
      </c>
      <c r="G318" t="s">
        <v>105</v>
      </c>
      <c r="H318" t="s">
        <v>108</v>
      </c>
    </row>
    <row r="319" spans="1:8" x14ac:dyDescent="0.3">
      <c r="A319" t="s">
        <v>19</v>
      </c>
      <c r="B319" t="s">
        <v>53</v>
      </c>
      <c r="C319" t="s">
        <v>77</v>
      </c>
      <c r="D319">
        <v>8.9</v>
      </c>
      <c r="E319">
        <v>4.2176404494382016</v>
      </c>
      <c r="F319">
        <v>3.86607608129234</v>
      </c>
      <c r="G319" t="s">
        <v>104</v>
      </c>
      <c r="H319" t="s">
        <v>108</v>
      </c>
    </row>
    <row r="320" spans="1:8" x14ac:dyDescent="0.3">
      <c r="A320" t="s">
        <v>19</v>
      </c>
      <c r="B320" t="s">
        <v>61</v>
      </c>
      <c r="C320" t="s">
        <v>99</v>
      </c>
      <c r="D320">
        <v>27.5</v>
      </c>
      <c r="E320">
        <v>2.1937018181818182</v>
      </c>
      <c r="F320">
        <v>2.9245635910224439</v>
      </c>
      <c r="G320" t="s">
        <v>104</v>
      </c>
      <c r="H320" t="s">
        <v>108</v>
      </c>
    </row>
    <row r="321" spans="1:8" x14ac:dyDescent="0.3">
      <c r="A321" t="s">
        <v>19</v>
      </c>
      <c r="B321" t="s">
        <v>62</v>
      </c>
      <c r="C321" t="s">
        <v>100</v>
      </c>
      <c r="D321">
        <v>5.9</v>
      </c>
      <c r="E321">
        <v>0.24745762711864411</v>
      </c>
      <c r="F321">
        <v>2.6764106050305911</v>
      </c>
      <c r="G321" t="s">
        <v>104</v>
      </c>
      <c r="H321" t="s">
        <v>108</v>
      </c>
    </row>
    <row r="322" spans="1:8" x14ac:dyDescent="0.3">
      <c r="A322" t="s">
        <v>19</v>
      </c>
      <c r="B322" t="s">
        <v>54</v>
      </c>
      <c r="C322" t="s">
        <v>78</v>
      </c>
      <c r="D322">
        <v>73.399999999999991</v>
      </c>
      <c r="E322">
        <v>8.7986144414168947</v>
      </c>
      <c r="F322">
        <v>3.86607608129234</v>
      </c>
      <c r="G322" t="s">
        <v>104</v>
      </c>
      <c r="H322" t="s">
        <v>108</v>
      </c>
    </row>
    <row r="323" spans="1:8" x14ac:dyDescent="0.3">
      <c r="A323" t="s">
        <v>20</v>
      </c>
      <c r="B323" t="s">
        <v>46</v>
      </c>
      <c r="C323" t="s">
        <v>64</v>
      </c>
      <c r="D323">
        <v>1.3990000000000001E-2</v>
      </c>
      <c r="E323">
        <v>6.178426733380987</v>
      </c>
      <c r="F323">
        <v>2.9521711768407801</v>
      </c>
      <c r="G323" t="s">
        <v>104</v>
      </c>
      <c r="H323" t="s">
        <v>108</v>
      </c>
    </row>
    <row r="324" spans="1:8" x14ac:dyDescent="0.3">
      <c r="A324" t="s">
        <v>20</v>
      </c>
      <c r="B324" t="s">
        <v>46</v>
      </c>
      <c r="C324" t="s">
        <v>79</v>
      </c>
      <c r="D324">
        <v>21.8</v>
      </c>
      <c r="E324">
        <v>4.4193394495412841</v>
      </c>
      <c r="F324">
        <v>6.8428961748633883</v>
      </c>
      <c r="G324" t="s">
        <v>104</v>
      </c>
      <c r="H324" t="s">
        <v>108</v>
      </c>
    </row>
    <row r="325" spans="1:8" x14ac:dyDescent="0.3">
      <c r="A325" t="s">
        <v>20</v>
      </c>
      <c r="B325" t="s">
        <v>46</v>
      </c>
      <c r="C325" t="s">
        <v>82</v>
      </c>
      <c r="D325">
        <v>0.5</v>
      </c>
      <c r="E325">
        <v>2.81</v>
      </c>
      <c r="F325">
        <v>6.8428961748633883</v>
      </c>
      <c r="G325" t="s">
        <v>104</v>
      </c>
      <c r="H325" t="s">
        <v>108</v>
      </c>
    </row>
    <row r="326" spans="1:8" x14ac:dyDescent="0.3">
      <c r="A326" t="s">
        <v>20</v>
      </c>
      <c r="B326" t="s">
        <v>46</v>
      </c>
      <c r="C326" t="s">
        <v>84</v>
      </c>
      <c r="D326">
        <v>0.2</v>
      </c>
      <c r="E326">
        <v>2.75</v>
      </c>
      <c r="F326">
        <v>28.139870918023309</v>
      </c>
      <c r="G326" t="s">
        <v>105</v>
      </c>
      <c r="H326" t="s">
        <v>108</v>
      </c>
    </row>
    <row r="327" spans="1:8" x14ac:dyDescent="0.3">
      <c r="A327" t="s">
        <v>20</v>
      </c>
      <c r="B327" t="s">
        <v>55</v>
      </c>
      <c r="C327" t="s">
        <v>86</v>
      </c>
      <c r="D327">
        <v>0.3054</v>
      </c>
      <c r="E327">
        <v>11.166</v>
      </c>
      <c r="F327">
        <v>40.299999999999997</v>
      </c>
      <c r="G327" t="s">
        <v>106</v>
      </c>
      <c r="H327" t="s">
        <v>109</v>
      </c>
    </row>
    <row r="328" spans="1:8" x14ac:dyDescent="0.3">
      <c r="A328" t="s">
        <v>20</v>
      </c>
      <c r="B328" t="s">
        <v>55</v>
      </c>
      <c r="C328" t="s">
        <v>89</v>
      </c>
      <c r="D328">
        <v>0.14729999999999999</v>
      </c>
      <c r="E328">
        <v>0</v>
      </c>
      <c r="F328">
        <v>40.299999999999997</v>
      </c>
      <c r="G328" t="s">
        <v>106</v>
      </c>
      <c r="H328" t="s">
        <v>109</v>
      </c>
    </row>
    <row r="329" spans="1:8" x14ac:dyDescent="0.3">
      <c r="A329" t="s">
        <v>20</v>
      </c>
      <c r="B329" t="s">
        <v>55</v>
      </c>
      <c r="C329" t="s">
        <v>91</v>
      </c>
      <c r="D329">
        <v>4.6199999999999998E-2</v>
      </c>
      <c r="E329">
        <v>13.903</v>
      </c>
      <c r="F329">
        <v>40.299999999999997</v>
      </c>
      <c r="G329" t="s">
        <v>106</v>
      </c>
      <c r="H329" t="s">
        <v>109</v>
      </c>
    </row>
    <row r="330" spans="1:8" x14ac:dyDescent="0.3">
      <c r="A330" t="s">
        <v>20</v>
      </c>
      <c r="B330" t="s">
        <v>55</v>
      </c>
      <c r="C330" t="s">
        <v>92</v>
      </c>
      <c r="D330">
        <v>0.28275</v>
      </c>
      <c r="E330">
        <v>11.269</v>
      </c>
      <c r="F330">
        <v>40.299999999999997</v>
      </c>
      <c r="G330" t="s">
        <v>106</v>
      </c>
      <c r="H330" t="s">
        <v>109</v>
      </c>
    </row>
    <row r="331" spans="1:8" x14ac:dyDescent="0.3">
      <c r="A331" t="s">
        <v>20</v>
      </c>
      <c r="B331" t="s">
        <v>47</v>
      </c>
      <c r="C331" t="s">
        <v>101</v>
      </c>
      <c r="D331">
        <v>17.399999999999999</v>
      </c>
      <c r="E331">
        <v>5.2801954022988511</v>
      </c>
      <c r="F331">
        <v>42</v>
      </c>
      <c r="G331" t="s">
        <v>104</v>
      </c>
      <c r="H331" t="s">
        <v>109</v>
      </c>
    </row>
    <row r="332" spans="1:8" x14ac:dyDescent="0.3">
      <c r="A332" t="s">
        <v>20</v>
      </c>
      <c r="B332" t="s">
        <v>57</v>
      </c>
      <c r="C332" t="s">
        <v>94</v>
      </c>
      <c r="D332">
        <v>5.4</v>
      </c>
      <c r="E332">
        <v>13.17542592592592</v>
      </c>
      <c r="F332">
        <v>24.6</v>
      </c>
      <c r="G332" t="s">
        <v>104</v>
      </c>
      <c r="H332" t="s">
        <v>109</v>
      </c>
    </row>
    <row r="333" spans="1:8" x14ac:dyDescent="0.3">
      <c r="A333" t="s">
        <v>20</v>
      </c>
      <c r="B333" t="s">
        <v>49</v>
      </c>
      <c r="C333" t="s">
        <v>71</v>
      </c>
      <c r="D333">
        <v>434.67090000000002</v>
      </c>
      <c r="E333">
        <v>5.7399920088048226</v>
      </c>
      <c r="F333">
        <v>3.86607608129234</v>
      </c>
      <c r="G333" t="s">
        <v>104</v>
      </c>
      <c r="H333" t="s">
        <v>108</v>
      </c>
    </row>
    <row r="334" spans="1:8" x14ac:dyDescent="0.3">
      <c r="A334" t="s">
        <v>20</v>
      </c>
      <c r="B334" t="s">
        <v>49</v>
      </c>
      <c r="C334" t="s">
        <v>72</v>
      </c>
      <c r="D334">
        <v>28.9</v>
      </c>
      <c r="E334">
        <v>4.581391003460209</v>
      </c>
      <c r="F334">
        <v>3.86607608129234</v>
      </c>
      <c r="G334" t="s">
        <v>104</v>
      </c>
      <c r="H334" t="s">
        <v>108</v>
      </c>
    </row>
    <row r="335" spans="1:8" x14ac:dyDescent="0.3">
      <c r="A335" t="s">
        <v>20</v>
      </c>
      <c r="B335" t="s">
        <v>58</v>
      </c>
      <c r="C335" t="s">
        <v>95</v>
      </c>
      <c r="D335">
        <v>16.398479999999999</v>
      </c>
      <c r="E335">
        <v>2.236460527439128</v>
      </c>
      <c r="F335">
        <v>2.9521711768407801</v>
      </c>
      <c r="G335" t="s">
        <v>104</v>
      </c>
      <c r="H335" t="s">
        <v>108</v>
      </c>
    </row>
    <row r="336" spans="1:8" x14ac:dyDescent="0.3">
      <c r="A336" t="s">
        <v>20</v>
      </c>
      <c r="B336" t="s">
        <v>50</v>
      </c>
      <c r="C336" t="s">
        <v>73</v>
      </c>
      <c r="D336">
        <v>2.2000000000000002</v>
      </c>
      <c r="E336">
        <v>5.6763181818181812</v>
      </c>
      <c r="F336">
        <v>20.723404255319149</v>
      </c>
      <c r="G336" t="s">
        <v>105</v>
      </c>
      <c r="H336" t="s">
        <v>108</v>
      </c>
    </row>
    <row r="337" spans="1:8" x14ac:dyDescent="0.3">
      <c r="A337" t="s">
        <v>20</v>
      </c>
      <c r="B337" t="s">
        <v>50</v>
      </c>
      <c r="C337" t="s">
        <v>74</v>
      </c>
      <c r="D337">
        <v>4.3</v>
      </c>
      <c r="E337">
        <v>6.429418604651163</v>
      </c>
      <c r="F337">
        <v>2.0635593220338988</v>
      </c>
      <c r="G337" t="s">
        <v>105</v>
      </c>
      <c r="H337" t="s">
        <v>108</v>
      </c>
    </row>
    <row r="338" spans="1:8" x14ac:dyDescent="0.3">
      <c r="A338" t="s">
        <v>20</v>
      </c>
      <c r="B338" t="s">
        <v>51</v>
      </c>
      <c r="C338" t="s">
        <v>75</v>
      </c>
      <c r="D338">
        <v>11.230880000000001</v>
      </c>
      <c r="E338">
        <v>5.0111724111234497E-2</v>
      </c>
      <c r="F338">
        <v>11.74</v>
      </c>
      <c r="G338" t="s">
        <v>104</v>
      </c>
      <c r="H338" t="s">
        <v>108</v>
      </c>
    </row>
    <row r="339" spans="1:8" x14ac:dyDescent="0.3">
      <c r="A339" t="s">
        <v>20</v>
      </c>
      <c r="B339" t="s">
        <v>60</v>
      </c>
      <c r="C339" t="s">
        <v>98</v>
      </c>
      <c r="D339">
        <v>1.1846399999999999</v>
      </c>
      <c r="E339">
        <v>19.01181525241676</v>
      </c>
      <c r="F339">
        <v>98.1</v>
      </c>
      <c r="G339" t="s">
        <v>107</v>
      </c>
      <c r="H339" t="s">
        <v>109</v>
      </c>
    </row>
    <row r="340" spans="1:8" x14ac:dyDescent="0.3">
      <c r="A340" t="s">
        <v>20</v>
      </c>
      <c r="B340" t="s">
        <v>52</v>
      </c>
      <c r="C340" t="s">
        <v>76</v>
      </c>
      <c r="D340">
        <v>2.992</v>
      </c>
      <c r="E340">
        <v>6.5250000000000004</v>
      </c>
      <c r="F340">
        <v>12.68872359754714</v>
      </c>
      <c r="G340" t="s">
        <v>105</v>
      </c>
      <c r="H340" t="s">
        <v>108</v>
      </c>
    </row>
    <row r="341" spans="1:8" x14ac:dyDescent="0.3">
      <c r="A341" t="s">
        <v>20</v>
      </c>
      <c r="B341" t="s">
        <v>53</v>
      </c>
      <c r="C341" t="s">
        <v>77</v>
      </c>
      <c r="D341">
        <v>12</v>
      </c>
      <c r="E341">
        <v>4.5811833333333327</v>
      </c>
      <c r="F341">
        <v>3.86607608129234</v>
      </c>
      <c r="G341" t="s">
        <v>104</v>
      </c>
      <c r="H341" t="s">
        <v>108</v>
      </c>
    </row>
    <row r="342" spans="1:8" x14ac:dyDescent="0.3">
      <c r="A342" t="s">
        <v>20</v>
      </c>
      <c r="B342" t="s">
        <v>61</v>
      </c>
      <c r="C342" t="s">
        <v>99</v>
      </c>
      <c r="D342">
        <v>73.199999999999989</v>
      </c>
      <c r="E342">
        <v>1.6787773224043721</v>
      </c>
      <c r="F342">
        <v>2.9245635910224439</v>
      </c>
      <c r="G342" t="s">
        <v>104</v>
      </c>
      <c r="H342" t="s">
        <v>108</v>
      </c>
    </row>
    <row r="343" spans="1:8" x14ac:dyDescent="0.3">
      <c r="A343" t="s">
        <v>20</v>
      </c>
      <c r="B343" t="s">
        <v>62</v>
      </c>
      <c r="C343" t="s">
        <v>100</v>
      </c>
      <c r="D343">
        <v>31.1</v>
      </c>
      <c r="E343">
        <v>0.61704180064308667</v>
      </c>
      <c r="F343">
        <v>2.6764106050305911</v>
      </c>
      <c r="G343" t="s">
        <v>104</v>
      </c>
      <c r="H343" t="s">
        <v>108</v>
      </c>
    </row>
    <row r="344" spans="1:8" x14ac:dyDescent="0.3">
      <c r="A344" t="s">
        <v>20</v>
      </c>
      <c r="B344" t="s">
        <v>54</v>
      </c>
      <c r="C344" t="s">
        <v>78</v>
      </c>
      <c r="D344">
        <v>179.7</v>
      </c>
      <c r="E344">
        <v>9.5693583750695606</v>
      </c>
      <c r="F344">
        <v>3.86607608129234</v>
      </c>
      <c r="G344" t="s">
        <v>104</v>
      </c>
      <c r="H344" t="s">
        <v>108</v>
      </c>
    </row>
    <row r="345" spans="1:8" x14ac:dyDescent="0.3">
      <c r="A345" t="s">
        <v>21</v>
      </c>
      <c r="B345" t="s">
        <v>46</v>
      </c>
      <c r="C345" t="s">
        <v>63</v>
      </c>
      <c r="D345">
        <v>0.11169999999999999</v>
      </c>
      <c r="E345">
        <v>2.9286474973375931</v>
      </c>
      <c r="F345">
        <v>3.950479233226837</v>
      </c>
      <c r="G345" t="s">
        <v>104</v>
      </c>
      <c r="H345" t="s">
        <v>108</v>
      </c>
    </row>
    <row r="346" spans="1:8" x14ac:dyDescent="0.3">
      <c r="A346" t="s">
        <v>21</v>
      </c>
      <c r="B346" t="s">
        <v>46</v>
      </c>
      <c r="C346" t="s">
        <v>64</v>
      </c>
      <c r="D346">
        <v>0.52290000000000003</v>
      </c>
      <c r="E346">
        <v>6.1986718493019692</v>
      </c>
      <c r="F346">
        <v>2.9521711768407801</v>
      </c>
      <c r="G346" t="s">
        <v>104</v>
      </c>
      <c r="H346" t="s">
        <v>108</v>
      </c>
    </row>
    <row r="347" spans="1:8" x14ac:dyDescent="0.3">
      <c r="A347" t="s">
        <v>21</v>
      </c>
      <c r="B347" t="s">
        <v>46</v>
      </c>
      <c r="C347" t="s">
        <v>79</v>
      </c>
      <c r="D347">
        <v>213</v>
      </c>
      <c r="E347">
        <v>2.610728638497652</v>
      </c>
      <c r="F347">
        <v>6.8428961748633883</v>
      </c>
      <c r="G347" t="s">
        <v>104</v>
      </c>
      <c r="H347" t="s">
        <v>108</v>
      </c>
    </row>
    <row r="348" spans="1:8" x14ac:dyDescent="0.3">
      <c r="A348" t="s">
        <v>21</v>
      </c>
      <c r="B348" t="s">
        <v>46</v>
      </c>
      <c r="C348" t="s">
        <v>65</v>
      </c>
      <c r="D348">
        <v>1</v>
      </c>
      <c r="E348">
        <v>6.6111000000000004</v>
      </c>
      <c r="F348">
        <v>2.9521711768407801</v>
      </c>
      <c r="G348" t="s">
        <v>104</v>
      </c>
      <c r="H348" t="s">
        <v>108</v>
      </c>
    </row>
    <row r="349" spans="1:8" x14ac:dyDescent="0.3">
      <c r="A349" t="s">
        <v>21</v>
      </c>
      <c r="B349" t="s">
        <v>46</v>
      </c>
      <c r="C349" t="s">
        <v>80</v>
      </c>
      <c r="D349">
        <v>3.0036</v>
      </c>
      <c r="E349">
        <v>0.72016183412002699</v>
      </c>
      <c r="F349">
        <v>28.139870918023309</v>
      </c>
      <c r="G349" t="s">
        <v>105</v>
      </c>
      <c r="H349" t="s">
        <v>108</v>
      </c>
    </row>
    <row r="350" spans="1:8" x14ac:dyDescent="0.3">
      <c r="A350" t="s">
        <v>21</v>
      </c>
      <c r="B350" t="s">
        <v>46</v>
      </c>
      <c r="C350" t="s">
        <v>81</v>
      </c>
      <c r="D350">
        <v>8.6365999999999996</v>
      </c>
      <c r="E350">
        <v>0.98883666274970616</v>
      </c>
      <c r="F350">
        <v>8.9647473560517046</v>
      </c>
      <c r="G350" t="s">
        <v>105</v>
      </c>
      <c r="H350" t="s">
        <v>108</v>
      </c>
    </row>
    <row r="351" spans="1:8" x14ac:dyDescent="0.3">
      <c r="A351" t="s">
        <v>21</v>
      </c>
      <c r="B351" t="s">
        <v>46</v>
      </c>
      <c r="C351" t="s">
        <v>66</v>
      </c>
      <c r="D351">
        <v>39.5</v>
      </c>
      <c r="E351">
        <v>2.6896556962025322</v>
      </c>
      <c r="F351">
        <v>6.8428961748633883</v>
      </c>
      <c r="G351" t="s">
        <v>104</v>
      </c>
      <c r="H351" t="s">
        <v>108</v>
      </c>
    </row>
    <row r="352" spans="1:8" x14ac:dyDescent="0.3">
      <c r="A352" t="s">
        <v>21</v>
      </c>
      <c r="B352" t="s">
        <v>46</v>
      </c>
      <c r="C352" t="s">
        <v>67</v>
      </c>
      <c r="D352">
        <v>0.2</v>
      </c>
      <c r="E352">
        <v>9.6169999999999991</v>
      </c>
      <c r="F352">
        <v>2.9521711768407801</v>
      </c>
      <c r="G352" t="s">
        <v>104</v>
      </c>
      <c r="H352" t="s">
        <v>108</v>
      </c>
    </row>
    <row r="353" spans="1:8" x14ac:dyDescent="0.3">
      <c r="A353" t="s">
        <v>21</v>
      </c>
      <c r="B353" t="s">
        <v>46</v>
      </c>
      <c r="C353" t="s">
        <v>82</v>
      </c>
      <c r="D353">
        <v>34.299999999999997</v>
      </c>
      <c r="E353">
        <v>1.724104956268222</v>
      </c>
      <c r="F353">
        <v>6.8428961748633883</v>
      </c>
      <c r="G353" t="s">
        <v>104</v>
      </c>
      <c r="H353" t="s">
        <v>108</v>
      </c>
    </row>
    <row r="354" spans="1:8" x14ac:dyDescent="0.3">
      <c r="A354" t="s">
        <v>21</v>
      </c>
      <c r="B354" t="s">
        <v>46</v>
      </c>
      <c r="C354" t="s">
        <v>83</v>
      </c>
      <c r="D354">
        <v>0.67837999999999998</v>
      </c>
      <c r="E354">
        <v>2.5200890209027391</v>
      </c>
      <c r="F354">
        <v>6.8428961748633883</v>
      </c>
      <c r="G354" t="s">
        <v>104</v>
      </c>
      <c r="H354" t="s">
        <v>108</v>
      </c>
    </row>
    <row r="355" spans="1:8" x14ac:dyDescent="0.3">
      <c r="A355" t="s">
        <v>21</v>
      </c>
      <c r="B355" t="s">
        <v>46</v>
      </c>
      <c r="C355" t="s">
        <v>84</v>
      </c>
      <c r="D355">
        <v>3.4</v>
      </c>
      <c r="E355">
        <v>2.0899705882352939</v>
      </c>
      <c r="F355">
        <v>28.139870918023309</v>
      </c>
      <c r="G355" t="s">
        <v>105</v>
      </c>
      <c r="H355" t="s">
        <v>108</v>
      </c>
    </row>
    <row r="356" spans="1:8" x14ac:dyDescent="0.3">
      <c r="A356" t="s">
        <v>21</v>
      </c>
      <c r="B356" t="s">
        <v>46</v>
      </c>
      <c r="C356" t="s">
        <v>85</v>
      </c>
      <c r="D356">
        <v>9.5</v>
      </c>
      <c r="E356">
        <v>4.7321052631578944</v>
      </c>
      <c r="F356">
        <v>2.9521711768407801</v>
      </c>
      <c r="G356" t="s">
        <v>104</v>
      </c>
      <c r="H356" t="s">
        <v>108</v>
      </c>
    </row>
    <row r="357" spans="1:8" x14ac:dyDescent="0.3">
      <c r="A357" t="s">
        <v>21</v>
      </c>
      <c r="B357" t="s">
        <v>55</v>
      </c>
      <c r="C357" t="s">
        <v>86</v>
      </c>
      <c r="D357">
        <v>3.5499000000000001</v>
      </c>
      <c r="E357">
        <v>11.15</v>
      </c>
      <c r="F357">
        <v>19.100000000000001</v>
      </c>
      <c r="G357" t="s">
        <v>106</v>
      </c>
      <c r="H357" t="s">
        <v>109</v>
      </c>
    </row>
    <row r="358" spans="1:8" x14ac:dyDescent="0.3">
      <c r="A358" t="s">
        <v>21</v>
      </c>
      <c r="B358" t="s">
        <v>55</v>
      </c>
      <c r="C358" t="s">
        <v>87</v>
      </c>
      <c r="D358">
        <v>12.4208</v>
      </c>
      <c r="E358">
        <v>12.73199999999999</v>
      </c>
      <c r="F358">
        <v>19.100000000000001</v>
      </c>
      <c r="G358" t="s">
        <v>106</v>
      </c>
      <c r="H358" t="s">
        <v>109</v>
      </c>
    </row>
    <row r="359" spans="1:8" x14ac:dyDescent="0.3">
      <c r="A359" t="s">
        <v>21</v>
      </c>
      <c r="B359" t="s">
        <v>55</v>
      </c>
      <c r="C359" t="s">
        <v>88</v>
      </c>
      <c r="D359">
        <v>9.3224999999999998</v>
      </c>
      <c r="E359">
        <v>12.164999999999999</v>
      </c>
      <c r="F359">
        <v>19.100000000000001</v>
      </c>
      <c r="G359" t="s">
        <v>106</v>
      </c>
      <c r="H359" t="s">
        <v>109</v>
      </c>
    </row>
    <row r="360" spans="1:8" x14ac:dyDescent="0.3">
      <c r="A360" t="s">
        <v>21</v>
      </c>
      <c r="B360" t="s">
        <v>55</v>
      </c>
      <c r="C360" t="s">
        <v>90</v>
      </c>
      <c r="D360">
        <v>3.8300000000000001E-2</v>
      </c>
      <c r="E360">
        <v>10.86000000000001</v>
      </c>
      <c r="F360">
        <v>19.100000000000001</v>
      </c>
      <c r="G360" t="s">
        <v>106</v>
      </c>
      <c r="H360" t="s">
        <v>109</v>
      </c>
    </row>
    <row r="361" spans="1:8" x14ac:dyDescent="0.3">
      <c r="A361" t="s">
        <v>21</v>
      </c>
      <c r="B361" t="s">
        <v>55</v>
      </c>
      <c r="C361" t="s">
        <v>91</v>
      </c>
      <c r="D361">
        <v>9.8999999999999991E-3</v>
      </c>
      <c r="E361">
        <v>12.561999999999999</v>
      </c>
      <c r="F361">
        <v>19.100000000000001</v>
      </c>
      <c r="G361" t="s">
        <v>106</v>
      </c>
      <c r="H361" t="s">
        <v>109</v>
      </c>
    </row>
    <row r="362" spans="1:8" x14ac:dyDescent="0.3">
      <c r="A362" t="s">
        <v>21</v>
      </c>
      <c r="B362" t="s">
        <v>55</v>
      </c>
      <c r="C362" t="s">
        <v>92</v>
      </c>
      <c r="D362">
        <v>4.4267500000000002</v>
      </c>
      <c r="E362">
        <v>12.73199999999999</v>
      </c>
      <c r="F362">
        <v>19.100000000000001</v>
      </c>
      <c r="G362" t="s">
        <v>106</v>
      </c>
      <c r="H362" t="s">
        <v>109</v>
      </c>
    </row>
    <row r="363" spans="1:8" x14ac:dyDescent="0.3">
      <c r="A363" t="s">
        <v>21</v>
      </c>
      <c r="B363" t="s">
        <v>56</v>
      </c>
      <c r="C363" t="s">
        <v>93</v>
      </c>
      <c r="D363">
        <v>251.0848</v>
      </c>
      <c r="E363">
        <v>2.939759036144578</v>
      </c>
      <c r="F363">
        <v>25.9</v>
      </c>
      <c r="G363" t="s">
        <v>106</v>
      </c>
      <c r="H363" t="s">
        <v>109</v>
      </c>
    </row>
    <row r="364" spans="1:8" x14ac:dyDescent="0.3">
      <c r="A364" t="s">
        <v>21</v>
      </c>
      <c r="B364" t="s">
        <v>47</v>
      </c>
      <c r="C364" t="s">
        <v>68</v>
      </c>
      <c r="D364">
        <v>103.9</v>
      </c>
      <c r="E364">
        <v>5.6474504331087578</v>
      </c>
      <c r="F364">
        <v>18.5</v>
      </c>
      <c r="G364" t="s">
        <v>104</v>
      </c>
      <c r="H364" t="s">
        <v>109</v>
      </c>
    </row>
    <row r="365" spans="1:8" x14ac:dyDescent="0.3">
      <c r="A365" t="s">
        <v>21</v>
      </c>
      <c r="B365" t="s">
        <v>47</v>
      </c>
      <c r="C365" t="s">
        <v>69</v>
      </c>
      <c r="D365">
        <v>104.6</v>
      </c>
      <c r="E365">
        <v>5.3942007648183568</v>
      </c>
      <c r="F365">
        <v>18.5</v>
      </c>
      <c r="G365" t="s">
        <v>104</v>
      </c>
      <c r="H365" t="s">
        <v>109</v>
      </c>
    </row>
    <row r="366" spans="1:8" x14ac:dyDescent="0.3">
      <c r="A366" t="s">
        <v>21</v>
      </c>
      <c r="B366" t="s">
        <v>57</v>
      </c>
      <c r="C366" t="s">
        <v>94</v>
      </c>
      <c r="D366">
        <v>28.9</v>
      </c>
      <c r="E366">
        <v>10.411328719723191</v>
      </c>
      <c r="F366">
        <v>15</v>
      </c>
      <c r="G366" t="s">
        <v>104</v>
      </c>
      <c r="H366" t="s">
        <v>109</v>
      </c>
    </row>
    <row r="367" spans="1:8" x14ac:dyDescent="0.3">
      <c r="A367" t="s">
        <v>21</v>
      </c>
      <c r="B367" t="s">
        <v>48</v>
      </c>
      <c r="C367" t="s">
        <v>70</v>
      </c>
      <c r="D367">
        <v>4.6000000000000014</v>
      </c>
      <c r="E367">
        <v>13.03465217391304</v>
      </c>
      <c r="F367">
        <v>15</v>
      </c>
      <c r="G367" t="s">
        <v>104</v>
      </c>
      <c r="H367" t="s">
        <v>109</v>
      </c>
    </row>
    <row r="368" spans="1:8" x14ac:dyDescent="0.3">
      <c r="A368" t="s">
        <v>21</v>
      </c>
      <c r="B368" t="s">
        <v>49</v>
      </c>
      <c r="C368" t="s">
        <v>71</v>
      </c>
      <c r="D368">
        <v>387.58497999999997</v>
      </c>
      <c r="E368">
        <v>4.7339991183610879</v>
      </c>
      <c r="F368">
        <v>3.86607608129234</v>
      </c>
      <c r="G368" t="s">
        <v>104</v>
      </c>
      <c r="H368" t="s">
        <v>108</v>
      </c>
    </row>
    <row r="369" spans="1:8" x14ac:dyDescent="0.3">
      <c r="A369" t="s">
        <v>21</v>
      </c>
      <c r="B369" t="s">
        <v>49</v>
      </c>
      <c r="C369" t="s">
        <v>72</v>
      </c>
      <c r="D369">
        <v>142.4</v>
      </c>
      <c r="E369">
        <v>3.7906271067415731</v>
      </c>
      <c r="F369">
        <v>3.86607608129234</v>
      </c>
      <c r="G369" t="s">
        <v>104</v>
      </c>
      <c r="H369" t="s">
        <v>108</v>
      </c>
    </row>
    <row r="370" spans="1:8" x14ac:dyDescent="0.3">
      <c r="A370" t="s">
        <v>21</v>
      </c>
      <c r="B370" t="s">
        <v>58</v>
      </c>
      <c r="C370" t="s">
        <v>95</v>
      </c>
      <c r="D370">
        <v>97.024339999999995</v>
      </c>
      <c r="E370">
        <v>2.7997902071789409</v>
      </c>
      <c r="F370">
        <v>2.9521711768407801</v>
      </c>
      <c r="G370" t="s">
        <v>104</v>
      </c>
      <c r="H370" t="s">
        <v>108</v>
      </c>
    </row>
    <row r="371" spans="1:8" x14ac:dyDescent="0.3">
      <c r="A371" t="s">
        <v>21</v>
      </c>
      <c r="B371" t="s">
        <v>50</v>
      </c>
      <c r="C371" t="s">
        <v>73</v>
      </c>
      <c r="D371">
        <v>37.5</v>
      </c>
      <c r="E371">
        <v>5.5669333333333331</v>
      </c>
      <c r="F371">
        <v>20.723404255319149</v>
      </c>
      <c r="G371" t="s">
        <v>105</v>
      </c>
      <c r="H371" t="s">
        <v>108</v>
      </c>
    </row>
    <row r="372" spans="1:8" x14ac:dyDescent="0.3">
      <c r="A372" t="s">
        <v>21</v>
      </c>
      <c r="B372" t="s">
        <v>50</v>
      </c>
      <c r="C372" t="s">
        <v>74</v>
      </c>
      <c r="D372">
        <v>423.8</v>
      </c>
      <c r="E372">
        <v>6.3721873525247759</v>
      </c>
      <c r="F372">
        <v>2.0635593220338988</v>
      </c>
      <c r="G372" t="s">
        <v>105</v>
      </c>
      <c r="H372" t="s">
        <v>108</v>
      </c>
    </row>
    <row r="373" spans="1:8" x14ac:dyDescent="0.3">
      <c r="A373" t="s">
        <v>21</v>
      </c>
      <c r="B373" t="s">
        <v>59</v>
      </c>
      <c r="C373" t="s">
        <v>96</v>
      </c>
      <c r="D373">
        <v>13.6951</v>
      </c>
      <c r="E373">
        <v>17.413</v>
      </c>
      <c r="F373">
        <v>20</v>
      </c>
      <c r="G373" t="s">
        <v>107</v>
      </c>
      <c r="H373" t="s">
        <v>109</v>
      </c>
    </row>
    <row r="374" spans="1:8" x14ac:dyDescent="0.3">
      <c r="A374" t="s">
        <v>21</v>
      </c>
      <c r="B374" t="s">
        <v>59</v>
      </c>
      <c r="C374" t="s">
        <v>97</v>
      </c>
      <c r="D374">
        <v>19.6188</v>
      </c>
      <c r="E374">
        <v>18.393922951709168</v>
      </c>
      <c r="F374">
        <v>20</v>
      </c>
      <c r="G374" t="s">
        <v>107</v>
      </c>
      <c r="H374" t="s">
        <v>109</v>
      </c>
    </row>
    <row r="375" spans="1:8" x14ac:dyDescent="0.3">
      <c r="A375" t="s">
        <v>21</v>
      </c>
      <c r="B375" t="s">
        <v>51</v>
      </c>
      <c r="C375" t="s">
        <v>75</v>
      </c>
      <c r="D375">
        <v>81.209999999999994</v>
      </c>
      <c r="E375">
        <v>7.6273792175835603E-2</v>
      </c>
      <c r="F375">
        <v>11.74</v>
      </c>
      <c r="G375" t="s">
        <v>104</v>
      </c>
      <c r="H375" t="s">
        <v>108</v>
      </c>
    </row>
    <row r="376" spans="1:8" x14ac:dyDescent="0.3">
      <c r="A376" t="s">
        <v>21</v>
      </c>
      <c r="B376" t="s">
        <v>60</v>
      </c>
      <c r="C376" t="s">
        <v>98</v>
      </c>
      <c r="D376">
        <v>87.548060000000007</v>
      </c>
      <c r="E376">
        <v>17.3469387755102</v>
      </c>
      <c r="F376">
        <v>26.3</v>
      </c>
      <c r="G376" t="s">
        <v>107</v>
      </c>
      <c r="H376" t="s">
        <v>109</v>
      </c>
    </row>
    <row r="377" spans="1:8" x14ac:dyDescent="0.3">
      <c r="A377" t="s">
        <v>21</v>
      </c>
      <c r="B377" t="s">
        <v>52</v>
      </c>
      <c r="C377" t="s">
        <v>76</v>
      </c>
      <c r="D377">
        <v>6.0000000000000001E-3</v>
      </c>
      <c r="E377">
        <v>6.5250000000000004</v>
      </c>
      <c r="F377">
        <v>12.68872359754714</v>
      </c>
      <c r="G377" t="s">
        <v>105</v>
      </c>
      <c r="H377" t="s">
        <v>108</v>
      </c>
    </row>
    <row r="378" spans="1:8" x14ac:dyDescent="0.3">
      <c r="A378" t="s">
        <v>21</v>
      </c>
      <c r="B378" t="s">
        <v>53</v>
      </c>
      <c r="C378" t="s">
        <v>77</v>
      </c>
      <c r="D378">
        <v>86</v>
      </c>
      <c r="E378">
        <v>3.7907267441860459</v>
      </c>
      <c r="F378">
        <v>3.86607608129234</v>
      </c>
      <c r="G378" t="s">
        <v>104</v>
      </c>
      <c r="H378" t="s">
        <v>108</v>
      </c>
    </row>
    <row r="379" spans="1:8" x14ac:dyDescent="0.3">
      <c r="A379" t="s">
        <v>21</v>
      </c>
      <c r="B379" t="s">
        <v>61</v>
      </c>
      <c r="C379" t="s">
        <v>99</v>
      </c>
      <c r="D379">
        <v>50.1</v>
      </c>
      <c r="E379">
        <v>1.9490000000000001</v>
      </c>
      <c r="F379">
        <v>2.9245635910224439</v>
      </c>
      <c r="G379" t="s">
        <v>104</v>
      </c>
      <c r="H379" t="s">
        <v>108</v>
      </c>
    </row>
    <row r="380" spans="1:8" x14ac:dyDescent="0.3">
      <c r="A380" t="s">
        <v>21</v>
      </c>
      <c r="B380" t="s">
        <v>62</v>
      </c>
      <c r="C380" t="s">
        <v>100</v>
      </c>
      <c r="D380">
        <v>14.7</v>
      </c>
      <c r="E380">
        <v>0.13197278911564619</v>
      </c>
      <c r="F380">
        <v>2.6764106050305911</v>
      </c>
      <c r="G380" t="s">
        <v>104</v>
      </c>
      <c r="H380" t="s">
        <v>108</v>
      </c>
    </row>
    <row r="381" spans="1:8" x14ac:dyDescent="0.3">
      <c r="A381" t="s">
        <v>21</v>
      </c>
      <c r="B381" t="s">
        <v>54</v>
      </c>
      <c r="C381" t="s">
        <v>78</v>
      </c>
      <c r="D381">
        <v>234.3</v>
      </c>
      <c r="E381">
        <v>7.8556086214255227</v>
      </c>
      <c r="F381">
        <v>3.86607608129234</v>
      </c>
      <c r="G381" t="s">
        <v>104</v>
      </c>
      <c r="H381" t="s">
        <v>108</v>
      </c>
    </row>
    <row r="382" spans="1:8" x14ac:dyDescent="0.3">
      <c r="A382" t="s">
        <v>22</v>
      </c>
      <c r="B382" t="s">
        <v>46</v>
      </c>
      <c r="C382" t="s">
        <v>103</v>
      </c>
      <c r="D382">
        <v>14.286</v>
      </c>
      <c r="E382">
        <v>0</v>
      </c>
    </row>
    <row r="383" spans="1:8" x14ac:dyDescent="0.3">
      <c r="A383" t="s">
        <v>22</v>
      </c>
      <c r="B383" t="s">
        <v>46</v>
      </c>
      <c r="C383" t="s">
        <v>63</v>
      </c>
      <c r="D383">
        <v>5.7099999999999998E-2</v>
      </c>
      <c r="E383">
        <v>2.9286474973375931</v>
      </c>
      <c r="F383">
        <v>3.950479233226837</v>
      </c>
      <c r="G383" t="s">
        <v>104</v>
      </c>
      <c r="H383" t="s">
        <v>108</v>
      </c>
    </row>
    <row r="384" spans="1:8" x14ac:dyDescent="0.3">
      <c r="A384" t="s">
        <v>22</v>
      </c>
      <c r="B384" t="s">
        <v>46</v>
      </c>
      <c r="C384" t="s">
        <v>80</v>
      </c>
      <c r="D384">
        <v>0.59109999999999996</v>
      </c>
      <c r="E384">
        <v>0.91773432231962238</v>
      </c>
      <c r="F384">
        <v>28.139870918023309</v>
      </c>
      <c r="G384" t="s">
        <v>105</v>
      </c>
      <c r="H384" t="s">
        <v>108</v>
      </c>
    </row>
    <row r="385" spans="1:8" x14ac:dyDescent="0.3">
      <c r="A385" t="s">
        <v>22</v>
      </c>
      <c r="B385" t="s">
        <v>46</v>
      </c>
      <c r="C385" t="s">
        <v>81</v>
      </c>
      <c r="D385">
        <v>0.4819</v>
      </c>
      <c r="E385">
        <v>3.6856639247943601</v>
      </c>
      <c r="F385">
        <v>8.9647473560517046</v>
      </c>
      <c r="G385" t="s">
        <v>105</v>
      </c>
      <c r="H385" t="s">
        <v>108</v>
      </c>
    </row>
    <row r="386" spans="1:8" x14ac:dyDescent="0.3">
      <c r="A386" t="s">
        <v>22</v>
      </c>
      <c r="B386" t="s">
        <v>55</v>
      </c>
      <c r="C386" t="s">
        <v>87</v>
      </c>
      <c r="D386">
        <v>28.591699999999999</v>
      </c>
      <c r="E386">
        <v>12.648999999999999</v>
      </c>
      <c r="F386">
        <v>11.5</v>
      </c>
      <c r="G386" t="s">
        <v>106</v>
      </c>
      <c r="H386" t="s">
        <v>109</v>
      </c>
    </row>
    <row r="387" spans="1:8" x14ac:dyDescent="0.3">
      <c r="A387" t="s">
        <v>22</v>
      </c>
      <c r="B387" t="s">
        <v>55</v>
      </c>
      <c r="C387" t="s">
        <v>88</v>
      </c>
      <c r="D387">
        <v>0.52049999999999996</v>
      </c>
      <c r="E387">
        <v>8.6709999999999994</v>
      </c>
      <c r="F387">
        <v>11.5</v>
      </c>
      <c r="G387" t="s">
        <v>106</v>
      </c>
      <c r="H387" t="s">
        <v>109</v>
      </c>
    </row>
    <row r="388" spans="1:8" x14ac:dyDescent="0.3">
      <c r="A388" t="s">
        <v>22</v>
      </c>
      <c r="B388" t="s">
        <v>55</v>
      </c>
      <c r="C388" t="s">
        <v>89</v>
      </c>
      <c r="D388">
        <v>8.0000000000000004E-4</v>
      </c>
      <c r="E388">
        <v>0</v>
      </c>
      <c r="F388">
        <v>11.5</v>
      </c>
      <c r="G388" t="s">
        <v>106</v>
      </c>
      <c r="H388" t="s">
        <v>109</v>
      </c>
    </row>
    <row r="389" spans="1:8" x14ac:dyDescent="0.3">
      <c r="A389" t="s">
        <v>22</v>
      </c>
      <c r="B389" t="s">
        <v>55</v>
      </c>
      <c r="C389" t="s">
        <v>92</v>
      </c>
      <c r="D389">
        <v>5.4449999999999998E-2</v>
      </c>
      <c r="E389">
        <v>12.648999999999999</v>
      </c>
      <c r="F389">
        <v>11.5</v>
      </c>
      <c r="G389" t="s">
        <v>106</v>
      </c>
      <c r="H389" t="s">
        <v>109</v>
      </c>
    </row>
    <row r="390" spans="1:8" x14ac:dyDescent="0.3">
      <c r="A390" t="s">
        <v>22</v>
      </c>
      <c r="B390" t="s">
        <v>49</v>
      </c>
      <c r="C390" t="s">
        <v>71</v>
      </c>
      <c r="D390">
        <v>47.172330000000002</v>
      </c>
      <c r="E390">
        <v>2.556</v>
      </c>
      <c r="F390">
        <v>3.86607608129234</v>
      </c>
      <c r="G390" t="s">
        <v>104</v>
      </c>
      <c r="H390" t="s">
        <v>108</v>
      </c>
    </row>
    <row r="391" spans="1:8" x14ac:dyDescent="0.3">
      <c r="A391" t="s">
        <v>22</v>
      </c>
      <c r="B391" t="s">
        <v>49</v>
      </c>
      <c r="C391" t="s">
        <v>72</v>
      </c>
      <c r="D391">
        <v>8.5</v>
      </c>
      <c r="E391">
        <v>1.752</v>
      </c>
      <c r="F391">
        <v>3.86607608129234</v>
      </c>
      <c r="G391" t="s">
        <v>104</v>
      </c>
      <c r="H391" t="s">
        <v>108</v>
      </c>
    </row>
    <row r="392" spans="1:8" x14ac:dyDescent="0.3">
      <c r="A392" t="s">
        <v>22</v>
      </c>
      <c r="B392" t="s">
        <v>58</v>
      </c>
      <c r="C392" t="s">
        <v>103</v>
      </c>
      <c r="D392">
        <v>3.6126049999999998</v>
      </c>
      <c r="E392">
        <v>0</v>
      </c>
    </row>
    <row r="393" spans="1:8" x14ac:dyDescent="0.3">
      <c r="A393" t="s">
        <v>22</v>
      </c>
      <c r="B393" t="s">
        <v>50</v>
      </c>
      <c r="C393" t="s">
        <v>103</v>
      </c>
      <c r="D393">
        <v>4.3921679999999999</v>
      </c>
      <c r="E393">
        <v>0</v>
      </c>
    </row>
    <row r="394" spans="1:8" x14ac:dyDescent="0.3">
      <c r="A394" t="s">
        <v>22</v>
      </c>
      <c r="B394" t="s">
        <v>51</v>
      </c>
      <c r="C394" t="s">
        <v>75</v>
      </c>
      <c r="D394">
        <v>7.3228000000000001E-2</v>
      </c>
      <c r="E394">
        <v>3.1123108533680999E-2</v>
      </c>
      <c r="F394">
        <v>11.74</v>
      </c>
      <c r="G394" t="s">
        <v>104</v>
      </c>
      <c r="H394" t="s">
        <v>108</v>
      </c>
    </row>
    <row r="395" spans="1:8" x14ac:dyDescent="0.3">
      <c r="A395" t="s">
        <v>22</v>
      </c>
      <c r="B395" t="s">
        <v>52</v>
      </c>
      <c r="C395" t="s">
        <v>76</v>
      </c>
      <c r="D395">
        <v>0.03</v>
      </c>
      <c r="E395">
        <v>6.5250000000000004</v>
      </c>
      <c r="F395">
        <v>12.68872359754714</v>
      </c>
      <c r="G395" t="s">
        <v>105</v>
      </c>
      <c r="H395" t="s">
        <v>108</v>
      </c>
    </row>
    <row r="396" spans="1:8" x14ac:dyDescent="0.3">
      <c r="A396" t="s">
        <v>22</v>
      </c>
      <c r="B396" t="s">
        <v>53</v>
      </c>
      <c r="C396" t="s">
        <v>77</v>
      </c>
      <c r="D396">
        <v>4</v>
      </c>
      <c r="E396">
        <v>1.752</v>
      </c>
      <c r="F396">
        <v>3.86607608129234</v>
      </c>
      <c r="G396" t="s">
        <v>104</v>
      </c>
      <c r="H396" t="s">
        <v>108</v>
      </c>
    </row>
    <row r="397" spans="1:8" x14ac:dyDescent="0.3">
      <c r="A397" t="s">
        <v>22</v>
      </c>
      <c r="B397" t="s">
        <v>61</v>
      </c>
      <c r="C397" t="s">
        <v>103</v>
      </c>
      <c r="D397">
        <v>0.97607299999999986</v>
      </c>
      <c r="E397">
        <v>0</v>
      </c>
    </row>
    <row r="398" spans="1:8" x14ac:dyDescent="0.3">
      <c r="A398" t="s">
        <v>22</v>
      </c>
      <c r="B398" t="s">
        <v>62</v>
      </c>
      <c r="C398" t="s">
        <v>103</v>
      </c>
      <c r="D398">
        <v>0.304506</v>
      </c>
      <c r="E398">
        <v>0</v>
      </c>
    </row>
    <row r="399" spans="1:8" x14ac:dyDescent="0.3">
      <c r="A399" t="s">
        <v>22</v>
      </c>
      <c r="B399" t="s">
        <v>54</v>
      </c>
      <c r="C399" t="s">
        <v>78</v>
      </c>
      <c r="D399">
        <v>22.2</v>
      </c>
      <c r="E399">
        <v>3.1779999999999999</v>
      </c>
      <c r="F399">
        <v>3.86607608129234</v>
      </c>
      <c r="G399" t="s">
        <v>104</v>
      </c>
      <c r="H399" t="s">
        <v>108</v>
      </c>
    </row>
    <row r="400" spans="1:8" x14ac:dyDescent="0.3">
      <c r="A400" t="s">
        <v>23</v>
      </c>
      <c r="B400" t="s">
        <v>46</v>
      </c>
      <c r="C400" t="s">
        <v>64</v>
      </c>
      <c r="D400">
        <v>0.64752999999999994</v>
      </c>
      <c r="E400">
        <v>6.1135125476811876</v>
      </c>
      <c r="F400">
        <v>2.9521711768407801</v>
      </c>
      <c r="G400" t="s">
        <v>104</v>
      </c>
      <c r="H400" t="s">
        <v>108</v>
      </c>
    </row>
    <row r="401" spans="1:8" x14ac:dyDescent="0.3">
      <c r="A401" t="s">
        <v>23</v>
      </c>
      <c r="B401" t="s">
        <v>46</v>
      </c>
      <c r="C401" t="s">
        <v>79</v>
      </c>
      <c r="D401">
        <v>31.1</v>
      </c>
      <c r="E401">
        <v>3.4159356913183281</v>
      </c>
      <c r="F401">
        <v>6.8428961748633883</v>
      </c>
      <c r="G401" t="s">
        <v>104</v>
      </c>
      <c r="H401" t="s">
        <v>108</v>
      </c>
    </row>
    <row r="402" spans="1:8" x14ac:dyDescent="0.3">
      <c r="A402" t="s">
        <v>23</v>
      </c>
      <c r="B402" t="s">
        <v>46</v>
      </c>
      <c r="C402" t="s">
        <v>65</v>
      </c>
      <c r="D402">
        <v>0.3</v>
      </c>
      <c r="E402">
        <v>4.3183333333333316</v>
      </c>
      <c r="F402">
        <v>2.9521711768407801</v>
      </c>
      <c r="G402" t="s">
        <v>104</v>
      </c>
      <c r="H402" t="s">
        <v>108</v>
      </c>
    </row>
    <row r="403" spans="1:8" x14ac:dyDescent="0.3">
      <c r="A403" t="s">
        <v>23</v>
      </c>
      <c r="B403" t="s">
        <v>46</v>
      </c>
      <c r="C403" t="s">
        <v>80</v>
      </c>
      <c r="D403">
        <v>0.76859999999999995</v>
      </c>
      <c r="E403">
        <v>0.26432906271072149</v>
      </c>
      <c r="F403">
        <v>28.139870918023309</v>
      </c>
      <c r="G403" t="s">
        <v>105</v>
      </c>
      <c r="H403" t="s">
        <v>108</v>
      </c>
    </row>
    <row r="404" spans="1:8" x14ac:dyDescent="0.3">
      <c r="A404" t="s">
        <v>23</v>
      </c>
      <c r="B404" t="s">
        <v>46</v>
      </c>
      <c r="C404" t="s">
        <v>81</v>
      </c>
      <c r="D404">
        <v>0.41110000000000002</v>
      </c>
      <c r="E404">
        <v>1.533490011750881</v>
      </c>
      <c r="F404">
        <v>8.9647473560517046</v>
      </c>
      <c r="G404" t="s">
        <v>105</v>
      </c>
      <c r="H404" t="s">
        <v>108</v>
      </c>
    </row>
    <row r="405" spans="1:8" x14ac:dyDescent="0.3">
      <c r="A405" t="s">
        <v>23</v>
      </c>
      <c r="B405" t="s">
        <v>46</v>
      </c>
      <c r="C405" t="s">
        <v>66</v>
      </c>
      <c r="D405">
        <v>24.3</v>
      </c>
      <c r="E405">
        <v>3.525374485596708</v>
      </c>
      <c r="F405">
        <v>6.8428961748633883</v>
      </c>
      <c r="G405" t="s">
        <v>104</v>
      </c>
      <c r="H405" t="s">
        <v>108</v>
      </c>
    </row>
    <row r="406" spans="1:8" x14ac:dyDescent="0.3">
      <c r="A406" t="s">
        <v>23</v>
      </c>
      <c r="B406" t="s">
        <v>46</v>
      </c>
      <c r="C406" t="s">
        <v>82</v>
      </c>
      <c r="D406">
        <v>11.1</v>
      </c>
      <c r="E406">
        <v>2.1610900900900898</v>
      </c>
      <c r="F406">
        <v>6.8428961748633883</v>
      </c>
      <c r="G406" t="s">
        <v>104</v>
      </c>
      <c r="H406" t="s">
        <v>108</v>
      </c>
    </row>
    <row r="407" spans="1:8" x14ac:dyDescent="0.3">
      <c r="A407" t="s">
        <v>23</v>
      </c>
      <c r="B407" t="s">
        <v>46</v>
      </c>
      <c r="C407" t="s">
        <v>83</v>
      </c>
      <c r="D407">
        <v>5.2029999999999993E-2</v>
      </c>
      <c r="E407">
        <v>0</v>
      </c>
      <c r="F407">
        <v>6.8428961748633883</v>
      </c>
      <c r="G407" t="s">
        <v>104</v>
      </c>
      <c r="H407" t="s">
        <v>108</v>
      </c>
    </row>
    <row r="408" spans="1:8" x14ac:dyDescent="0.3">
      <c r="A408" t="s">
        <v>23</v>
      </c>
      <c r="B408" t="s">
        <v>46</v>
      </c>
      <c r="C408" t="s">
        <v>84</v>
      </c>
      <c r="D408">
        <v>0.2</v>
      </c>
      <c r="E408">
        <v>1.9784999999999999</v>
      </c>
      <c r="F408">
        <v>28.139870918023309</v>
      </c>
      <c r="G408" t="s">
        <v>105</v>
      </c>
      <c r="H408" t="s">
        <v>108</v>
      </c>
    </row>
    <row r="409" spans="1:8" x14ac:dyDescent="0.3">
      <c r="A409" t="s">
        <v>23</v>
      </c>
      <c r="B409" t="s">
        <v>46</v>
      </c>
      <c r="C409" t="s">
        <v>85</v>
      </c>
      <c r="D409">
        <v>0.70000000000000007</v>
      </c>
      <c r="E409">
        <v>3.7891428571428571</v>
      </c>
      <c r="F409">
        <v>2.9521711768407801</v>
      </c>
      <c r="G409" t="s">
        <v>104</v>
      </c>
      <c r="H409" t="s">
        <v>108</v>
      </c>
    </row>
    <row r="410" spans="1:8" x14ac:dyDescent="0.3">
      <c r="A410" t="s">
        <v>23</v>
      </c>
      <c r="B410" t="s">
        <v>55</v>
      </c>
      <c r="C410" t="s">
        <v>86</v>
      </c>
      <c r="D410">
        <v>0.91569999999999996</v>
      </c>
      <c r="E410">
        <v>10.669</v>
      </c>
      <c r="F410">
        <v>22.1</v>
      </c>
      <c r="G410" t="s">
        <v>106</v>
      </c>
      <c r="H410" t="s">
        <v>109</v>
      </c>
    </row>
    <row r="411" spans="1:8" x14ac:dyDescent="0.3">
      <c r="A411" t="s">
        <v>23</v>
      </c>
      <c r="B411" t="s">
        <v>55</v>
      </c>
      <c r="C411" t="s">
        <v>87</v>
      </c>
      <c r="D411">
        <v>0.4874</v>
      </c>
      <c r="E411">
        <v>11.878</v>
      </c>
      <c r="F411">
        <v>22.1</v>
      </c>
      <c r="G411" t="s">
        <v>106</v>
      </c>
      <c r="H411" t="s">
        <v>109</v>
      </c>
    </row>
    <row r="412" spans="1:8" x14ac:dyDescent="0.3">
      <c r="A412" t="s">
        <v>23</v>
      </c>
      <c r="B412" t="s">
        <v>55</v>
      </c>
      <c r="C412" t="s">
        <v>88</v>
      </c>
      <c r="D412">
        <v>13.8179</v>
      </c>
      <c r="E412">
        <v>10.557</v>
      </c>
      <c r="F412">
        <v>22.1</v>
      </c>
      <c r="G412" t="s">
        <v>106</v>
      </c>
      <c r="H412" t="s">
        <v>109</v>
      </c>
    </row>
    <row r="413" spans="1:8" x14ac:dyDescent="0.3">
      <c r="A413" t="s">
        <v>23</v>
      </c>
      <c r="B413" t="s">
        <v>55</v>
      </c>
      <c r="C413" t="s">
        <v>90</v>
      </c>
      <c r="D413">
        <v>0.2999</v>
      </c>
      <c r="E413">
        <v>11.625999999999999</v>
      </c>
      <c r="F413">
        <v>22.1</v>
      </c>
      <c r="G413" t="s">
        <v>106</v>
      </c>
      <c r="H413" t="s">
        <v>109</v>
      </c>
    </row>
    <row r="414" spans="1:8" x14ac:dyDescent="0.3">
      <c r="A414" t="s">
        <v>23</v>
      </c>
      <c r="B414" t="s">
        <v>55</v>
      </c>
      <c r="C414" t="s">
        <v>92</v>
      </c>
      <c r="D414">
        <v>1.08952</v>
      </c>
      <c r="E414">
        <v>11.878</v>
      </c>
      <c r="F414">
        <v>22.1</v>
      </c>
      <c r="G414" t="s">
        <v>106</v>
      </c>
      <c r="H414" t="s">
        <v>109</v>
      </c>
    </row>
    <row r="415" spans="1:8" x14ac:dyDescent="0.3">
      <c r="A415" t="s">
        <v>23</v>
      </c>
      <c r="B415" t="s">
        <v>56</v>
      </c>
      <c r="C415" t="s">
        <v>93</v>
      </c>
      <c r="D415">
        <v>4.6843000000000004</v>
      </c>
      <c r="E415">
        <v>2.9493975903614462</v>
      </c>
      <c r="F415">
        <v>26.1</v>
      </c>
      <c r="G415" t="s">
        <v>106</v>
      </c>
      <c r="H415" t="s">
        <v>109</v>
      </c>
    </row>
    <row r="416" spans="1:8" x14ac:dyDescent="0.3">
      <c r="A416" t="s">
        <v>23</v>
      </c>
      <c r="B416" t="s">
        <v>47</v>
      </c>
      <c r="C416" t="s">
        <v>68</v>
      </c>
      <c r="D416">
        <v>62.5</v>
      </c>
      <c r="E416">
        <v>2.9938704</v>
      </c>
      <c r="F416">
        <v>41.3</v>
      </c>
      <c r="G416" t="s">
        <v>104</v>
      </c>
      <c r="H416" t="s">
        <v>109</v>
      </c>
    </row>
    <row r="417" spans="1:8" x14ac:dyDescent="0.3">
      <c r="A417" t="s">
        <v>23</v>
      </c>
      <c r="B417" t="s">
        <v>47</v>
      </c>
      <c r="C417" t="s">
        <v>69</v>
      </c>
      <c r="D417">
        <v>57.400000000000013</v>
      </c>
      <c r="E417">
        <v>2.7800818815331012</v>
      </c>
      <c r="F417">
        <v>41.3</v>
      </c>
      <c r="G417" t="s">
        <v>104</v>
      </c>
      <c r="H417" t="s">
        <v>109</v>
      </c>
    </row>
    <row r="418" spans="1:8" x14ac:dyDescent="0.3">
      <c r="A418" t="s">
        <v>23</v>
      </c>
      <c r="B418" t="s">
        <v>57</v>
      </c>
      <c r="C418" t="s">
        <v>94</v>
      </c>
      <c r="D418">
        <v>20.8</v>
      </c>
      <c r="E418">
        <v>7.4502403846153848</v>
      </c>
      <c r="F418">
        <v>46.8</v>
      </c>
      <c r="G418" t="s">
        <v>104</v>
      </c>
      <c r="H418" t="s">
        <v>109</v>
      </c>
    </row>
    <row r="419" spans="1:8" x14ac:dyDescent="0.3">
      <c r="A419" t="s">
        <v>23</v>
      </c>
      <c r="B419" t="s">
        <v>49</v>
      </c>
      <c r="C419" t="s">
        <v>71</v>
      </c>
      <c r="D419">
        <v>112.05750999999999</v>
      </c>
      <c r="E419">
        <v>2.1542928085765962</v>
      </c>
      <c r="F419">
        <v>3.86607608129234</v>
      </c>
      <c r="G419" t="s">
        <v>104</v>
      </c>
      <c r="H419" t="s">
        <v>108</v>
      </c>
    </row>
    <row r="420" spans="1:8" x14ac:dyDescent="0.3">
      <c r="A420" t="s">
        <v>23</v>
      </c>
      <c r="B420" t="s">
        <v>49</v>
      </c>
      <c r="C420" t="s">
        <v>72</v>
      </c>
      <c r="D420">
        <v>26.6</v>
      </c>
      <c r="E420">
        <v>2.8815789473684208</v>
      </c>
      <c r="F420">
        <v>3.86607608129234</v>
      </c>
      <c r="G420" t="s">
        <v>104</v>
      </c>
      <c r="H420" t="s">
        <v>108</v>
      </c>
    </row>
    <row r="421" spans="1:8" x14ac:dyDescent="0.3">
      <c r="A421" t="s">
        <v>23</v>
      </c>
      <c r="B421" t="s">
        <v>58</v>
      </c>
      <c r="C421" t="s">
        <v>95</v>
      </c>
      <c r="D421">
        <v>10.93233</v>
      </c>
      <c r="E421">
        <v>3.1415300169314322</v>
      </c>
      <c r="F421">
        <v>2.9521711768407801</v>
      </c>
      <c r="G421" t="s">
        <v>104</v>
      </c>
      <c r="H421" t="s">
        <v>108</v>
      </c>
    </row>
    <row r="422" spans="1:8" x14ac:dyDescent="0.3">
      <c r="A422" t="s">
        <v>23</v>
      </c>
      <c r="B422" t="s">
        <v>50</v>
      </c>
      <c r="C422" t="s">
        <v>73</v>
      </c>
      <c r="D422">
        <v>1.7</v>
      </c>
      <c r="E422">
        <v>5.1371176470588233</v>
      </c>
      <c r="F422">
        <v>20.723404255319149</v>
      </c>
      <c r="G422" t="s">
        <v>105</v>
      </c>
      <c r="H422" t="s">
        <v>108</v>
      </c>
    </row>
    <row r="423" spans="1:8" x14ac:dyDescent="0.3">
      <c r="A423" t="s">
        <v>23</v>
      </c>
      <c r="B423" t="s">
        <v>50</v>
      </c>
      <c r="C423" t="s">
        <v>74</v>
      </c>
      <c r="D423">
        <v>69.5</v>
      </c>
      <c r="E423">
        <v>3.5091179856115109</v>
      </c>
      <c r="F423">
        <v>2.0635593220338988</v>
      </c>
      <c r="G423" t="s">
        <v>105</v>
      </c>
      <c r="H423" t="s">
        <v>108</v>
      </c>
    </row>
    <row r="424" spans="1:8" x14ac:dyDescent="0.3">
      <c r="A424" t="s">
        <v>23</v>
      </c>
      <c r="B424" t="s">
        <v>59</v>
      </c>
      <c r="C424" t="s">
        <v>96</v>
      </c>
      <c r="D424">
        <v>1.3835999999999999</v>
      </c>
      <c r="E424">
        <v>18.27</v>
      </c>
      <c r="F424">
        <v>28.2</v>
      </c>
      <c r="G424" t="s">
        <v>107</v>
      </c>
      <c r="H424" t="s">
        <v>109</v>
      </c>
    </row>
    <row r="425" spans="1:8" x14ac:dyDescent="0.3">
      <c r="A425" t="s">
        <v>23</v>
      </c>
      <c r="B425" t="s">
        <v>59</v>
      </c>
      <c r="C425" t="s">
        <v>97</v>
      </c>
      <c r="D425">
        <v>6.2286999999999999</v>
      </c>
      <c r="E425">
        <v>18.55670103092784</v>
      </c>
      <c r="F425">
        <v>28.2</v>
      </c>
      <c r="G425" t="s">
        <v>107</v>
      </c>
      <c r="H425" t="s">
        <v>109</v>
      </c>
    </row>
    <row r="426" spans="1:8" x14ac:dyDescent="0.3">
      <c r="A426" t="s">
        <v>23</v>
      </c>
      <c r="B426" t="s">
        <v>51</v>
      </c>
      <c r="C426" t="s">
        <v>75</v>
      </c>
      <c r="D426">
        <v>8.443683</v>
      </c>
      <c r="E426">
        <v>3.7391877773988E-3</v>
      </c>
      <c r="F426">
        <v>11.74</v>
      </c>
      <c r="G426" t="s">
        <v>104</v>
      </c>
      <c r="H426" t="s">
        <v>108</v>
      </c>
    </row>
    <row r="427" spans="1:8" x14ac:dyDescent="0.3">
      <c r="A427" t="s">
        <v>23</v>
      </c>
      <c r="B427" t="s">
        <v>60</v>
      </c>
      <c r="C427" t="s">
        <v>98</v>
      </c>
      <c r="D427">
        <v>2.7507799999999998</v>
      </c>
      <c r="E427">
        <v>18.582169709989259</v>
      </c>
      <c r="F427">
        <v>47.4</v>
      </c>
      <c r="G427" t="s">
        <v>107</v>
      </c>
      <c r="H427" t="s">
        <v>109</v>
      </c>
    </row>
    <row r="428" spans="1:8" x14ac:dyDescent="0.3">
      <c r="A428" t="s">
        <v>23</v>
      </c>
      <c r="B428" t="s">
        <v>52</v>
      </c>
      <c r="C428" t="s">
        <v>76</v>
      </c>
      <c r="D428">
        <v>0.23300000000000001</v>
      </c>
      <c r="E428">
        <v>6.5250000000000004</v>
      </c>
      <c r="F428">
        <v>12.68872359754714</v>
      </c>
      <c r="G428" t="s">
        <v>105</v>
      </c>
      <c r="H428" t="s">
        <v>108</v>
      </c>
    </row>
    <row r="429" spans="1:8" x14ac:dyDescent="0.3">
      <c r="A429" t="s">
        <v>23</v>
      </c>
      <c r="B429" t="s">
        <v>53</v>
      </c>
      <c r="C429" t="s">
        <v>77</v>
      </c>
      <c r="D429">
        <v>8.1999999999999993</v>
      </c>
      <c r="E429">
        <v>2.8815853658536592</v>
      </c>
      <c r="F429">
        <v>3.86607608129234</v>
      </c>
      <c r="G429" t="s">
        <v>104</v>
      </c>
      <c r="H429" t="s">
        <v>108</v>
      </c>
    </row>
    <row r="430" spans="1:8" x14ac:dyDescent="0.3">
      <c r="A430" t="s">
        <v>23</v>
      </c>
      <c r="B430" t="s">
        <v>61</v>
      </c>
      <c r="C430" t="s">
        <v>99</v>
      </c>
      <c r="D430">
        <v>3.3</v>
      </c>
      <c r="E430">
        <v>1.990363636363637</v>
      </c>
      <c r="F430">
        <v>2.9245635910224439</v>
      </c>
      <c r="G430" t="s">
        <v>104</v>
      </c>
      <c r="H430" t="s">
        <v>108</v>
      </c>
    </row>
    <row r="431" spans="1:8" x14ac:dyDescent="0.3">
      <c r="A431" t="s">
        <v>23</v>
      </c>
      <c r="B431" t="s">
        <v>62</v>
      </c>
      <c r="C431" t="s">
        <v>100</v>
      </c>
      <c r="D431">
        <v>0.60000000000000009</v>
      </c>
      <c r="E431">
        <v>0.3</v>
      </c>
      <c r="F431">
        <v>2.6764106050305911</v>
      </c>
      <c r="G431" t="s">
        <v>104</v>
      </c>
      <c r="H431" t="s">
        <v>108</v>
      </c>
    </row>
    <row r="432" spans="1:8" x14ac:dyDescent="0.3">
      <c r="A432" t="s">
        <v>23</v>
      </c>
      <c r="B432" t="s">
        <v>54</v>
      </c>
      <c r="C432" t="s">
        <v>78</v>
      </c>
      <c r="D432">
        <v>34.4</v>
      </c>
      <c r="E432">
        <v>2.8543139534883721</v>
      </c>
      <c r="F432">
        <v>3.86607608129234</v>
      </c>
      <c r="G432" t="s">
        <v>104</v>
      </c>
      <c r="H432" t="s">
        <v>108</v>
      </c>
    </row>
    <row r="433" spans="1:8" x14ac:dyDescent="0.3">
      <c r="A433" t="s">
        <v>24</v>
      </c>
      <c r="B433" t="s">
        <v>46</v>
      </c>
      <c r="C433" t="s">
        <v>64</v>
      </c>
      <c r="D433">
        <v>3.6600000000000001E-3</v>
      </c>
      <c r="E433">
        <v>5.6687213114754096</v>
      </c>
      <c r="F433">
        <v>2.9521711768407801</v>
      </c>
      <c r="G433" t="s">
        <v>104</v>
      </c>
      <c r="H433" t="s">
        <v>108</v>
      </c>
    </row>
    <row r="434" spans="1:8" x14ac:dyDescent="0.3">
      <c r="A434" t="s">
        <v>24</v>
      </c>
      <c r="B434" t="s">
        <v>46</v>
      </c>
      <c r="C434" t="s">
        <v>80</v>
      </c>
      <c r="D434">
        <v>7.4500000000000011E-2</v>
      </c>
      <c r="E434">
        <v>0.33378287255563049</v>
      </c>
      <c r="F434">
        <v>28.139870918023309</v>
      </c>
      <c r="G434" t="s">
        <v>105</v>
      </c>
      <c r="H434" t="s">
        <v>108</v>
      </c>
    </row>
    <row r="435" spans="1:8" x14ac:dyDescent="0.3">
      <c r="A435" t="s">
        <v>24</v>
      </c>
      <c r="B435" t="s">
        <v>46</v>
      </c>
      <c r="C435" t="s">
        <v>81</v>
      </c>
      <c r="D435">
        <v>0.1096</v>
      </c>
      <c r="E435">
        <v>2.6022326674500591</v>
      </c>
      <c r="F435">
        <v>8.9647473560517046</v>
      </c>
      <c r="G435" t="s">
        <v>105</v>
      </c>
      <c r="H435" t="s">
        <v>108</v>
      </c>
    </row>
    <row r="436" spans="1:8" x14ac:dyDescent="0.3">
      <c r="A436" t="s">
        <v>24</v>
      </c>
      <c r="B436" t="s">
        <v>46</v>
      </c>
      <c r="C436" t="s">
        <v>82</v>
      </c>
      <c r="D436">
        <v>0.2</v>
      </c>
      <c r="E436">
        <v>1.252</v>
      </c>
      <c r="F436">
        <v>6.8428961748633883</v>
      </c>
      <c r="G436" t="s">
        <v>104</v>
      </c>
      <c r="H436" t="s">
        <v>108</v>
      </c>
    </row>
    <row r="437" spans="1:8" x14ac:dyDescent="0.3">
      <c r="A437" t="s">
        <v>24</v>
      </c>
      <c r="B437" t="s">
        <v>55</v>
      </c>
      <c r="C437" t="s">
        <v>86</v>
      </c>
      <c r="D437">
        <v>7.1599999999999997E-2</v>
      </c>
      <c r="E437">
        <v>10.17</v>
      </c>
      <c r="F437">
        <v>10.199999999999999</v>
      </c>
      <c r="G437" t="s">
        <v>106</v>
      </c>
      <c r="H437" t="s">
        <v>109</v>
      </c>
    </row>
    <row r="438" spans="1:8" x14ac:dyDescent="0.3">
      <c r="A438" t="s">
        <v>24</v>
      </c>
      <c r="B438" t="s">
        <v>55</v>
      </c>
      <c r="C438" t="s">
        <v>89</v>
      </c>
      <c r="D438">
        <v>8.4600000000000009E-2</v>
      </c>
      <c r="E438">
        <v>0</v>
      </c>
      <c r="F438">
        <v>10.199999999999999</v>
      </c>
      <c r="G438" t="s">
        <v>106</v>
      </c>
      <c r="H438" t="s">
        <v>109</v>
      </c>
    </row>
    <row r="439" spans="1:8" x14ac:dyDescent="0.3">
      <c r="A439" t="s">
        <v>24</v>
      </c>
      <c r="B439" t="s">
        <v>55</v>
      </c>
      <c r="C439" t="s">
        <v>92</v>
      </c>
      <c r="D439">
        <v>9.919E-2</v>
      </c>
      <c r="E439">
        <v>9.58</v>
      </c>
      <c r="F439">
        <v>10.199999999999999</v>
      </c>
      <c r="G439" t="s">
        <v>106</v>
      </c>
      <c r="H439" t="s">
        <v>109</v>
      </c>
    </row>
    <row r="440" spans="1:8" x14ac:dyDescent="0.3">
      <c r="A440" t="s">
        <v>24</v>
      </c>
      <c r="B440" t="s">
        <v>47</v>
      </c>
      <c r="C440" t="s">
        <v>101</v>
      </c>
      <c r="D440">
        <v>16</v>
      </c>
      <c r="E440">
        <v>4.8244875</v>
      </c>
      <c r="F440">
        <v>61.2</v>
      </c>
      <c r="G440" t="s">
        <v>104</v>
      </c>
      <c r="H440" t="s">
        <v>109</v>
      </c>
    </row>
    <row r="441" spans="1:8" x14ac:dyDescent="0.3">
      <c r="A441" t="s">
        <v>24</v>
      </c>
      <c r="B441" t="s">
        <v>57</v>
      </c>
      <c r="C441" t="s">
        <v>94</v>
      </c>
      <c r="D441">
        <v>8.6000000000000014</v>
      </c>
      <c r="E441">
        <v>9.788581395348837</v>
      </c>
      <c r="F441">
        <v>24.6</v>
      </c>
      <c r="G441" t="s">
        <v>104</v>
      </c>
      <c r="H441" t="s">
        <v>109</v>
      </c>
    </row>
    <row r="442" spans="1:8" x14ac:dyDescent="0.3">
      <c r="A442" t="s">
        <v>24</v>
      </c>
      <c r="B442" t="s">
        <v>49</v>
      </c>
      <c r="C442" t="s">
        <v>71</v>
      </c>
      <c r="D442">
        <v>25.468129999999999</v>
      </c>
      <c r="E442">
        <v>4.593</v>
      </c>
      <c r="F442">
        <v>3.86607608129234</v>
      </c>
      <c r="G442" t="s">
        <v>104</v>
      </c>
      <c r="H442" t="s">
        <v>108</v>
      </c>
    </row>
    <row r="443" spans="1:8" x14ac:dyDescent="0.3">
      <c r="A443" t="s">
        <v>24</v>
      </c>
      <c r="B443" t="s">
        <v>49</v>
      </c>
      <c r="C443" t="s">
        <v>72</v>
      </c>
      <c r="D443">
        <v>1</v>
      </c>
      <c r="E443">
        <v>3.6779999999999999</v>
      </c>
      <c r="F443">
        <v>3.86607608129234</v>
      </c>
      <c r="G443" t="s">
        <v>104</v>
      </c>
      <c r="H443" t="s">
        <v>108</v>
      </c>
    </row>
    <row r="444" spans="1:8" x14ac:dyDescent="0.3">
      <c r="A444" t="s">
        <v>24</v>
      </c>
      <c r="B444" t="s">
        <v>58</v>
      </c>
      <c r="C444" t="s">
        <v>95</v>
      </c>
      <c r="D444">
        <v>8.1992399999999996</v>
      </c>
      <c r="E444">
        <v>3.2730000000000001</v>
      </c>
      <c r="F444">
        <v>2.9521711768407801</v>
      </c>
      <c r="G444" t="s">
        <v>104</v>
      </c>
      <c r="H444" t="s">
        <v>108</v>
      </c>
    </row>
    <row r="445" spans="1:8" x14ac:dyDescent="0.3">
      <c r="A445" t="s">
        <v>24</v>
      </c>
      <c r="B445" t="s">
        <v>50</v>
      </c>
      <c r="C445" t="s">
        <v>73</v>
      </c>
      <c r="D445">
        <v>11.5</v>
      </c>
      <c r="E445">
        <v>5.6319999999999997</v>
      </c>
      <c r="F445">
        <v>20.723404255319149</v>
      </c>
      <c r="G445" t="s">
        <v>105</v>
      </c>
      <c r="H445" t="s">
        <v>108</v>
      </c>
    </row>
    <row r="446" spans="1:8" x14ac:dyDescent="0.3">
      <c r="A446" t="s">
        <v>24</v>
      </c>
      <c r="B446" t="s">
        <v>50</v>
      </c>
      <c r="C446" t="s">
        <v>74</v>
      </c>
      <c r="D446">
        <v>21.1</v>
      </c>
      <c r="E446">
        <v>6.1883175355450231</v>
      </c>
      <c r="F446">
        <v>2.0635593220338988</v>
      </c>
      <c r="G446" t="s">
        <v>105</v>
      </c>
      <c r="H446" t="s">
        <v>108</v>
      </c>
    </row>
    <row r="447" spans="1:8" x14ac:dyDescent="0.3">
      <c r="A447" t="s">
        <v>24</v>
      </c>
      <c r="B447" t="s">
        <v>51</v>
      </c>
      <c r="C447" t="s">
        <v>75</v>
      </c>
      <c r="D447">
        <v>1.3517790000000001</v>
      </c>
      <c r="E447">
        <v>4.0908601592947097E-2</v>
      </c>
      <c r="F447">
        <v>11.74</v>
      </c>
      <c r="G447" t="s">
        <v>104</v>
      </c>
      <c r="H447" t="s">
        <v>108</v>
      </c>
    </row>
    <row r="448" spans="1:8" x14ac:dyDescent="0.3">
      <c r="A448" t="s">
        <v>24</v>
      </c>
      <c r="B448" t="s">
        <v>60</v>
      </c>
      <c r="C448" t="s">
        <v>98</v>
      </c>
      <c r="D448">
        <v>1.01502</v>
      </c>
      <c r="E448">
        <v>26.262083780880769</v>
      </c>
      <c r="F448">
        <v>33.200000000000003</v>
      </c>
      <c r="G448" t="s">
        <v>107</v>
      </c>
      <c r="H448" t="s">
        <v>109</v>
      </c>
    </row>
    <row r="449" spans="1:8" x14ac:dyDescent="0.3">
      <c r="A449" t="s">
        <v>24</v>
      </c>
      <c r="B449" t="s">
        <v>52</v>
      </c>
      <c r="C449" t="s">
        <v>76</v>
      </c>
      <c r="D449">
        <v>1E-3</v>
      </c>
      <c r="E449">
        <v>6.5250000000000004</v>
      </c>
      <c r="F449">
        <v>12.68872359754714</v>
      </c>
      <c r="G449" t="s">
        <v>105</v>
      </c>
      <c r="H449" t="s">
        <v>108</v>
      </c>
    </row>
    <row r="450" spans="1:8" x14ac:dyDescent="0.3">
      <c r="A450" t="s">
        <v>24</v>
      </c>
      <c r="B450" t="s">
        <v>53</v>
      </c>
      <c r="C450" t="s">
        <v>77</v>
      </c>
      <c r="D450">
        <v>0.5</v>
      </c>
      <c r="E450">
        <v>3.6779999999999999</v>
      </c>
      <c r="F450">
        <v>3.86607608129234</v>
      </c>
      <c r="G450" t="s">
        <v>104</v>
      </c>
      <c r="H450" t="s">
        <v>108</v>
      </c>
    </row>
    <row r="451" spans="1:8" x14ac:dyDescent="0.3">
      <c r="A451" t="s">
        <v>24</v>
      </c>
      <c r="B451" t="s">
        <v>61</v>
      </c>
      <c r="C451" t="s">
        <v>99</v>
      </c>
      <c r="D451">
        <v>6.9</v>
      </c>
      <c r="E451">
        <v>2.1819999999999999</v>
      </c>
      <c r="F451">
        <v>2.9245635910224439</v>
      </c>
      <c r="G451" t="s">
        <v>104</v>
      </c>
      <c r="H451" t="s">
        <v>108</v>
      </c>
    </row>
    <row r="452" spans="1:8" x14ac:dyDescent="0.3">
      <c r="A452" t="s">
        <v>24</v>
      </c>
      <c r="B452" t="s">
        <v>62</v>
      </c>
      <c r="C452" t="s">
        <v>100</v>
      </c>
      <c r="D452">
        <v>2.4</v>
      </c>
      <c r="E452">
        <v>1.1125</v>
      </c>
      <c r="F452">
        <v>2.6764106050305911</v>
      </c>
      <c r="G452" t="s">
        <v>104</v>
      </c>
      <c r="H452" t="s">
        <v>108</v>
      </c>
    </row>
    <row r="453" spans="1:8" x14ac:dyDescent="0.3">
      <c r="A453" t="s">
        <v>24</v>
      </c>
      <c r="B453" t="s">
        <v>54</v>
      </c>
      <c r="C453" t="s">
        <v>78</v>
      </c>
      <c r="D453">
        <v>13</v>
      </c>
      <c r="E453">
        <v>7.843</v>
      </c>
      <c r="F453">
        <v>3.86607608129234</v>
      </c>
      <c r="G453" t="s">
        <v>104</v>
      </c>
      <c r="H453" t="s">
        <v>108</v>
      </c>
    </row>
    <row r="454" spans="1:8" x14ac:dyDescent="0.3">
      <c r="A454" t="s">
        <v>25</v>
      </c>
      <c r="B454" t="s">
        <v>51</v>
      </c>
      <c r="C454" t="s">
        <v>75</v>
      </c>
      <c r="D454">
        <v>0.96244099999999999</v>
      </c>
      <c r="E454">
        <v>2.9470675665319401E-3</v>
      </c>
      <c r="F454">
        <v>11.74</v>
      </c>
      <c r="G454" t="s">
        <v>104</v>
      </c>
      <c r="H454" t="s">
        <v>108</v>
      </c>
    </row>
    <row r="455" spans="1:8" x14ac:dyDescent="0.3">
      <c r="A455" t="s">
        <v>26</v>
      </c>
      <c r="B455" t="s">
        <v>46</v>
      </c>
      <c r="C455" t="s">
        <v>63</v>
      </c>
      <c r="D455">
        <v>3.4676999999999998</v>
      </c>
      <c r="E455">
        <v>2.9286474973375931</v>
      </c>
      <c r="F455">
        <v>3.950479233226837</v>
      </c>
      <c r="G455" t="s">
        <v>104</v>
      </c>
      <c r="H455" t="s">
        <v>108</v>
      </c>
    </row>
    <row r="456" spans="1:8" x14ac:dyDescent="0.3">
      <c r="A456" t="s">
        <v>26</v>
      </c>
      <c r="B456" t="s">
        <v>46</v>
      </c>
      <c r="C456" t="s">
        <v>64</v>
      </c>
      <c r="D456">
        <v>1.4221699999999999</v>
      </c>
      <c r="E456">
        <v>6.2320019617907843</v>
      </c>
      <c r="F456">
        <v>2.9521711768407801</v>
      </c>
      <c r="G456" t="s">
        <v>104</v>
      </c>
      <c r="H456" t="s">
        <v>108</v>
      </c>
    </row>
    <row r="457" spans="1:8" x14ac:dyDescent="0.3">
      <c r="A457" t="s">
        <v>26</v>
      </c>
      <c r="B457" t="s">
        <v>46</v>
      </c>
      <c r="C457" t="s">
        <v>79</v>
      </c>
      <c r="D457">
        <v>25.9</v>
      </c>
      <c r="E457">
        <v>2.8854440154440151</v>
      </c>
      <c r="F457">
        <v>6.8428961748633883</v>
      </c>
      <c r="G457" t="s">
        <v>104</v>
      </c>
      <c r="H457" t="s">
        <v>108</v>
      </c>
    </row>
    <row r="458" spans="1:8" x14ac:dyDescent="0.3">
      <c r="A458" t="s">
        <v>26</v>
      </c>
      <c r="B458" t="s">
        <v>46</v>
      </c>
      <c r="C458" t="s">
        <v>65</v>
      </c>
      <c r="D458">
        <v>2.5</v>
      </c>
      <c r="E458">
        <v>6.7403199999999996</v>
      </c>
      <c r="F458">
        <v>2.9521711768407801</v>
      </c>
      <c r="G458" t="s">
        <v>104</v>
      </c>
      <c r="H458" t="s">
        <v>108</v>
      </c>
    </row>
    <row r="459" spans="1:8" x14ac:dyDescent="0.3">
      <c r="A459" t="s">
        <v>26</v>
      </c>
      <c r="B459" t="s">
        <v>46</v>
      </c>
      <c r="C459" t="s">
        <v>102</v>
      </c>
      <c r="D459">
        <v>2</v>
      </c>
      <c r="E459">
        <v>5.7937000000000003</v>
      </c>
      <c r="F459">
        <v>2.9521711768407801</v>
      </c>
      <c r="G459" t="s">
        <v>104</v>
      </c>
      <c r="H459" t="s">
        <v>108</v>
      </c>
    </row>
    <row r="460" spans="1:8" x14ac:dyDescent="0.3">
      <c r="A460" t="s">
        <v>26</v>
      </c>
      <c r="B460" t="s">
        <v>46</v>
      </c>
      <c r="C460" t="s">
        <v>80</v>
      </c>
      <c r="D460">
        <v>4.3003999999999998</v>
      </c>
      <c r="E460">
        <v>0.7329737019554956</v>
      </c>
      <c r="F460">
        <v>28.139870918023309</v>
      </c>
      <c r="G460" t="s">
        <v>105</v>
      </c>
      <c r="H460" t="s">
        <v>108</v>
      </c>
    </row>
    <row r="461" spans="1:8" x14ac:dyDescent="0.3">
      <c r="A461" t="s">
        <v>26</v>
      </c>
      <c r="B461" t="s">
        <v>46</v>
      </c>
      <c r="C461" t="s">
        <v>81</v>
      </c>
      <c r="D461">
        <v>2.0699999999999998</v>
      </c>
      <c r="E461">
        <v>1.2708578143360749</v>
      </c>
      <c r="F461">
        <v>8.9647473560517046</v>
      </c>
      <c r="G461" t="s">
        <v>105</v>
      </c>
      <c r="H461" t="s">
        <v>108</v>
      </c>
    </row>
    <row r="462" spans="1:8" x14ac:dyDescent="0.3">
      <c r="A462" t="s">
        <v>26</v>
      </c>
      <c r="B462" t="s">
        <v>46</v>
      </c>
      <c r="C462" t="s">
        <v>66</v>
      </c>
      <c r="D462">
        <v>24</v>
      </c>
      <c r="E462">
        <v>2.988395833333334</v>
      </c>
      <c r="F462">
        <v>6.8428961748633883</v>
      </c>
      <c r="G462" t="s">
        <v>104</v>
      </c>
      <c r="H462" t="s">
        <v>108</v>
      </c>
    </row>
    <row r="463" spans="1:8" x14ac:dyDescent="0.3">
      <c r="A463" t="s">
        <v>26</v>
      </c>
      <c r="B463" t="s">
        <v>46</v>
      </c>
      <c r="C463" t="s">
        <v>67</v>
      </c>
      <c r="D463">
        <v>9</v>
      </c>
      <c r="E463">
        <v>9.7905333333333342</v>
      </c>
      <c r="F463">
        <v>2.9521711768407801</v>
      </c>
      <c r="G463" t="s">
        <v>104</v>
      </c>
      <c r="H463" t="s">
        <v>108</v>
      </c>
    </row>
    <row r="464" spans="1:8" x14ac:dyDescent="0.3">
      <c r="A464" t="s">
        <v>26</v>
      </c>
      <c r="B464" t="s">
        <v>46</v>
      </c>
      <c r="C464" t="s">
        <v>82</v>
      </c>
      <c r="D464">
        <v>1.8</v>
      </c>
      <c r="E464">
        <v>1.9056111111111109</v>
      </c>
      <c r="F464">
        <v>6.8428961748633883</v>
      </c>
      <c r="G464" t="s">
        <v>104</v>
      </c>
      <c r="H464" t="s">
        <v>108</v>
      </c>
    </row>
    <row r="465" spans="1:8" x14ac:dyDescent="0.3">
      <c r="A465" t="s">
        <v>26</v>
      </c>
      <c r="B465" t="s">
        <v>46</v>
      </c>
      <c r="C465" t="s">
        <v>83</v>
      </c>
      <c r="D465">
        <v>6.8832800000000001</v>
      </c>
      <c r="E465">
        <v>2.794761927453191</v>
      </c>
      <c r="F465">
        <v>6.8428961748633883</v>
      </c>
      <c r="G465" t="s">
        <v>104</v>
      </c>
      <c r="H465" t="s">
        <v>108</v>
      </c>
    </row>
    <row r="466" spans="1:8" x14ac:dyDescent="0.3">
      <c r="A466" t="s">
        <v>26</v>
      </c>
      <c r="B466" t="s">
        <v>46</v>
      </c>
      <c r="C466" t="s">
        <v>84</v>
      </c>
      <c r="D466">
        <v>1</v>
      </c>
      <c r="E466">
        <v>2.2795000000000001</v>
      </c>
      <c r="F466">
        <v>28.139870918023309</v>
      </c>
      <c r="G466" t="s">
        <v>105</v>
      </c>
      <c r="H466" t="s">
        <v>108</v>
      </c>
    </row>
    <row r="467" spans="1:8" x14ac:dyDescent="0.3">
      <c r="A467" t="s">
        <v>26</v>
      </c>
      <c r="B467" t="s">
        <v>46</v>
      </c>
      <c r="C467" t="s">
        <v>85</v>
      </c>
      <c r="D467">
        <v>7.8</v>
      </c>
      <c r="E467">
        <v>4.9244871794871798</v>
      </c>
      <c r="F467">
        <v>2.9521711768407801</v>
      </c>
      <c r="G467" t="s">
        <v>104</v>
      </c>
      <c r="H467" t="s">
        <v>108</v>
      </c>
    </row>
    <row r="468" spans="1:8" x14ac:dyDescent="0.3">
      <c r="A468" t="s">
        <v>26</v>
      </c>
      <c r="B468" t="s">
        <v>55</v>
      </c>
      <c r="C468" t="s">
        <v>86</v>
      </c>
      <c r="D468">
        <v>1.0834999999999999</v>
      </c>
      <c r="E468">
        <v>13.37</v>
      </c>
      <c r="F468">
        <v>15.2</v>
      </c>
      <c r="G468" t="s">
        <v>106</v>
      </c>
      <c r="H468" t="s">
        <v>109</v>
      </c>
    </row>
    <row r="469" spans="1:8" x14ac:dyDescent="0.3">
      <c r="A469" t="s">
        <v>26</v>
      </c>
      <c r="B469" t="s">
        <v>55</v>
      </c>
      <c r="C469" t="s">
        <v>87</v>
      </c>
      <c r="D469">
        <v>6.6112000000000002</v>
      </c>
      <c r="E469">
        <v>18.117000000000001</v>
      </c>
      <c r="F469">
        <v>15.2</v>
      </c>
      <c r="G469" t="s">
        <v>106</v>
      </c>
      <c r="H469" t="s">
        <v>109</v>
      </c>
    </row>
    <row r="470" spans="1:8" x14ac:dyDescent="0.3">
      <c r="A470" t="s">
        <v>26</v>
      </c>
      <c r="B470" t="s">
        <v>55</v>
      </c>
      <c r="C470" t="s">
        <v>88</v>
      </c>
      <c r="D470">
        <v>11.4838</v>
      </c>
      <c r="E470">
        <v>14.14</v>
      </c>
      <c r="F470">
        <v>15.2</v>
      </c>
      <c r="G470" t="s">
        <v>106</v>
      </c>
      <c r="H470" t="s">
        <v>109</v>
      </c>
    </row>
    <row r="471" spans="1:8" x14ac:dyDescent="0.3">
      <c r="A471" t="s">
        <v>26</v>
      </c>
      <c r="B471" t="s">
        <v>55</v>
      </c>
      <c r="C471" t="s">
        <v>92</v>
      </c>
      <c r="D471">
        <v>2.2839999999999998</v>
      </c>
      <c r="E471">
        <v>18.117000000000001</v>
      </c>
      <c r="F471">
        <v>15.2</v>
      </c>
      <c r="G471" t="s">
        <v>106</v>
      </c>
      <c r="H471" t="s">
        <v>109</v>
      </c>
    </row>
    <row r="472" spans="1:8" x14ac:dyDescent="0.3">
      <c r="A472" t="s">
        <v>26</v>
      </c>
      <c r="B472" t="s">
        <v>56</v>
      </c>
      <c r="C472" t="s">
        <v>93</v>
      </c>
      <c r="D472">
        <v>48.777700000000003</v>
      </c>
      <c r="E472">
        <v>2.939759036144578</v>
      </c>
      <c r="F472">
        <v>23.4</v>
      </c>
      <c r="G472" t="s">
        <v>106</v>
      </c>
      <c r="H472" t="s">
        <v>109</v>
      </c>
    </row>
    <row r="473" spans="1:8" x14ac:dyDescent="0.3">
      <c r="A473" t="s">
        <v>26</v>
      </c>
      <c r="B473" t="s">
        <v>47</v>
      </c>
      <c r="C473" t="s">
        <v>68</v>
      </c>
      <c r="D473">
        <v>163.30000000000001</v>
      </c>
      <c r="E473">
        <v>6.5795603184323328</v>
      </c>
      <c r="F473">
        <v>20.8</v>
      </c>
      <c r="G473" t="s">
        <v>104</v>
      </c>
      <c r="H473" t="s">
        <v>109</v>
      </c>
    </row>
    <row r="474" spans="1:8" x14ac:dyDescent="0.3">
      <c r="A474" t="s">
        <v>26</v>
      </c>
      <c r="B474" t="s">
        <v>47</v>
      </c>
      <c r="C474" t="s">
        <v>69</v>
      </c>
      <c r="D474">
        <v>89.5</v>
      </c>
      <c r="E474">
        <v>9.115435754189944</v>
      </c>
      <c r="F474">
        <v>20.8</v>
      </c>
      <c r="G474" t="s">
        <v>104</v>
      </c>
      <c r="H474" t="s">
        <v>109</v>
      </c>
    </row>
    <row r="475" spans="1:8" x14ac:dyDescent="0.3">
      <c r="A475" t="s">
        <v>26</v>
      </c>
      <c r="B475" t="s">
        <v>48</v>
      </c>
      <c r="C475" t="s">
        <v>70</v>
      </c>
      <c r="D475">
        <v>21.8</v>
      </c>
      <c r="E475">
        <v>18.129880733944951</v>
      </c>
      <c r="F475">
        <v>0</v>
      </c>
      <c r="G475" t="s">
        <v>104</v>
      </c>
      <c r="H475" t="s">
        <v>109</v>
      </c>
    </row>
    <row r="476" spans="1:8" x14ac:dyDescent="0.3">
      <c r="A476" t="s">
        <v>26</v>
      </c>
      <c r="B476" t="s">
        <v>49</v>
      </c>
      <c r="C476" t="s">
        <v>71</v>
      </c>
      <c r="D476">
        <v>280.19941999999998</v>
      </c>
      <c r="E476">
        <v>4.7230748026530538</v>
      </c>
      <c r="F476">
        <v>3.86607608129234</v>
      </c>
      <c r="G476" t="s">
        <v>104</v>
      </c>
      <c r="H476" t="s">
        <v>108</v>
      </c>
    </row>
    <row r="477" spans="1:8" x14ac:dyDescent="0.3">
      <c r="A477" t="s">
        <v>26</v>
      </c>
      <c r="B477" t="s">
        <v>49</v>
      </c>
      <c r="C477" t="s">
        <v>72</v>
      </c>
      <c r="D477">
        <v>47.8</v>
      </c>
      <c r="E477">
        <v>3.7971673640167372</v>
      </c>
      <c r="F477">
        <v>3.86607608129234</v>
      </c>
      <c r="G477" t="s">
        <v>104</v>
      </c>
      <c r="H477" t="s">
        <v>108</v>
      </c>
    </row>
    <row r="478" spans="1:8" x14ac:dyDescent="0.3">
      <c r="A478" t="s">
        <v>26</v>
      </c>
      <c r="B478" t="s">
        <v>58</v>
      </c>
      <c r="C478" t="s">
        <v>95</v>
      </c>
      <c r="D478">
        <v>25.280989999999999</v>
      </c>
      <c r="E478">
        <v>2.904432719209177</v>
      </c>
      <c r="F478">
        <v>2.9521711768407801</v>
      </c>
      <c r="G478" t="s">
        <v>104</v>
      </c>
      <c r="H478" t="s">
        <v>108</v>
      </c>
    </row>
    <row r="479" spans="1:8" x14ac:dyDescent="0.3">
      <c r="A479" t="s">
        <v>26</v>
      </c>
      <c r="B479" t="s">
        <v>50</v>
      </c>
      <c r="C479" t="s">
        <v>73</v>
      </c>
      <c r="D479">
        <v>29.4</v>
      </c>
      <c r="E479">
        <v>5.8951122448979589</v>
      </c>
      <c r="F479">
        <v>20.723404255319149</v>
      </c>
      <c r="G479" t="s">
        <v>105</v>
      </c>
      <c r="H479" t="s">
        <v>108</v>
      </c>
    </row>
    <row r="480" spans="1:8" x14ac:dyDescent="0.3">
      <c r="A480" t="s">
        <v>26</v>
      </c>
      <c r="B480" t="s">
        <v>50</v>
      </c>
      <c r="C480" t="s">
        <v>74</v>
      </c>
      <c r="D480">
        <v>150.80000000000001</v>
      </c>
      <c r="E480">
        <v>4.7997287798408479</v>
      </c>
      <c r="F480">
        <v>2.0635593220338988</v>
      </c>
      <c r="G480" t="s">
        <v>105</v>
      </c>
      <c r="H480" t="s">
        <v>108</v>
      </c>
    </row>
    <row r="481" spans="1:8" x14ac:dyDescent="0.3">
      <c r="A481" t="s">
        <v>26</v>
      </c>
      <c r="B481" t="s">
        <v>59</v>
      </c>
      <c r="C481" t="s">
        <v>96</v>
      </c>
      <c r="D481">
        <v>1.1869000000000001</v>
      </c>
      <c r="E481">
        <v>17.364000000000001</v>
      </c>
      <c r="F481">
        <v>18.600000000000001</v>
      </c>
      <c r="G481" t="s">
        <v>107</v>
      </c>
      <c r="H481" t="s">
        <v>109</v>
      </c>
    </row>
    <row r="482" spans="1:8" x14ac:dyDescent="0.3">
      <c r="A482" t="s">
        <v>26</v>
      </c>
      <c r="B482" t="s">
        <v>59</v>
      </c>
      <c r="C482" t="s">
        <v>97</v>
      </c>
      <c r="D482">
        <v>2.0878999999999999</v>
      </c>
      <c r="E482">
        <v>13.94465545306565</v>
      </c>
      <c r="F482">
        <v>18.600000000000001</v>
      </c>
      <c r="G482" t="s">
        <v>107</v>
      </c>
      <c r="H482" t="s">
        <v>109</v>
      </c>
    </row>
    <row r="483" spans="1:8" x14ac:dyDescent="0.3">
      <c r="A483" t="s">
        <v>26</v>
      </c>
      <c r="B483" t="s">
        <v>51</v>
      </c>
      <c r="C483" t="s">
        <v>75</v>
      </c>
      <c r="D483">
        <v>30.1995</v>
      </c>
      <c r="E483">
        <v>8.5002049740402305E-2</v>
      </c>
      <c r="F483">
        <v>11.74</v>
      </c>
      <c r="G483" t="s">
        <v>104</v>
      </c>
      <c r="H483" t="s">
        <v>108</v>
      </c>
    </row>
    <row r="484" spans="1:8" x14ac:dyDescent="0.3">
      <c r="A484" t="s">
        <v>26</v>
      </c>
      <c r="B484" t="s">
        <v>60</v>
      </c>
      <c r="C484" t="s">
        <v>98</v>
      </c>
      <c r="D484">
        <v>0.16858000000000001</v>
      </c>
      <c r="E484">
        <v>10.79484425349087</v>
      </c>
      <c r="F484">
        <v>39</v>
      </c>
      <c r="G484" t="s">
        <v>107</v>
      </c>
      <c r="H484" t="s">
        <v>109</v>
      </c>
    </row>
    <row r="485" spans="1:8" x14ac:dyDescent="0.3">
      <c r="A485" t="s">
        <v>26</v>
      </c>
      <c r="B485" t="s">
        <v>52</v>
      </c>
      <c r="C485" t="s">
        <v>76</v>
      </c>
      <c r="D485">
        <v>0.214</v>
      </c>
      <c r="E485">
        <v>6.5250000000000004</v>
      </c>
      <c r="F485">
        <v>12.68872359754714</v>
      </c>
      <c r="G485" t="s">
        <v>105</v>
      </c>
      <c r="H485" t="s">
        <v>108</v>
      </c>
    </row>
    <row r="486" spans="1:8" x14ac:dyDescent="0.3">
      <c r="A486" t="s">
        <v>26</v>
      </c>
      <c r="B486" t="s">
        <v>53</v>
      </c>
      <c r="C486" t="s">
        <v>77</v>
      </c>
      <c r="D486">
        <v>16</v>
      </c>
      <c r="E486">
        <v>3.7984125</v>
      </c>
      <c r="F486">
        <v>3.86607608129234</v>
      </c>
      <c r="G486" t="s">
        <v>104</v>
      </c>
      <c r="H486" t="s">
        <v>108</v>
      </c>
    </row>
    <row r="487" spans="1:8" x14ac:dyDescent="0.3">
      <c r="A487" t="s">
        <v>26</v>
      </c>
      <c r="B487" t="s">
        <v>61</v>
      </c>
      <c r="C487" t="s">
        <v>99</v>
      </c>
      <c r="D487">
        <v>21.2</v>
      </c>
      <c r="E487">
        <v>2.3328207547169808</v>
      </c>
      <c r="F487">
        <v>2.9245635910224439</v>
      </c>
      <c r="G487" t="s">
        <v>104</v>
      </c>
      <c r="H487" t="s">
        <v>108</v>
      </c>
    </row>
    <row r="488" spans="1:8" x14ac:dyDescent="0.3">
      <c r="A488" t="s">
        <v>26</v>
      </c>
      <c r="B488" t="s">
        <v>62</v>
      </c>
      <c r="C488" t="s">
        <v>100</v>
      </c>
      <c r="D488">
        <v>2.6</v>
      </c>
      <c r="E488">
        <v>0.1730769230769231</v>
      </c>
      <c r="F488">
        <v>2.6764106050305911</v>
      </c>
      <c r="G488" t="s">
        <v>104</v>
      </c>
      <c r="H488" t="s">
        <v>108</v>
      </c>
    </row>
    <row r="489" spans="1:8" x14ac:dyDescent="0.3">
      <c r="A489" t="s">
        <v>26</v>
      </c>
      <c r="B489" t="s">
        <v>54</v>
      </c>
      <c r="C489" t="s">
        <v>78</v>
      </c>
      <c r="D489">
        <v>94.3</v>
      </c>
      <c r="E489">
        <v>7.8101081654294804</v>
      </c>
      <c r="F489">
        <v>3.86607608129234</v>
      </c>
      <c r="G489" t="s">
        <v>104</v>
      </c>
      <c r="H489" t="s">
        <v>108</v>
      </c>
    </row>
    <row r="490" spans="1:8" x14ac:dyDescent="0.3">
      <c r="A490" t="s">
        <v>27</v>
      </c>
      <c r="B490" t="s">
        <v>46</v>
      </c>
      <c r="C490" t="s">
        <v>64</v>
      </c>
      <c r="D490">
        <v>4.292E-2</v>
      </c>
      <c r="E490">
        <v>0</v>
      </c>
      <c r="F490">
        <v>2.9521711768407801</v>
      </c>
      <c r="G490" t="s">
        <v>104</v>
      </c>
      <c r="H490" t="s">
        <v>108</v>
      </c>
    </row>
    <row r="491" spans="1:8" x14ac:dyDescent="0.3">
      <c r="A491" t="s">
        <v>27</v>
      </c>
      <c r="B491" t="s">
        <v>46</v>
      </c>
      <c r="C491" t="s">
        <v>79</v>
      </c>
      <c r="D491">
        <v>16.2</v>
      </c>
      <c r="E491">
        <v>0</v>
      </c>
      <c r="F491">
        <v>6.8428961748633883</v>
      </c>
      <c r="G491" t="s">
        <v>104</v>
      </c>
      <c r="H491" t="s">
        <v>108</v>
      </c>
    </row>
    <row r="492" spans="1:8" x14ac:dyDescent="0.3">
      <c r="A492" t="s">
        <v>27</v>
      </c>
      <c r="B492" t="s">
        <v>46</v>
      </c>
      <c r="C492" t="s">
        <v>65</v>
      </c>
      <c r="D492">
        <v>0.1</v>
      </c>
      <c r="E492">
        <v>0</v>
      </c>
      <c r="F492">
        <v>2.9521711768407801</v>
      </c>
      <c r="G492" t="s">
        <v>104</v>
      </c>
      <c r="H492" t="s">
        <v>108</v>
      </c>
    </row>
    <row r="493" spans="1:8" x14ac:dyDescent="0.3">
      <c r="A493" t="s">
        <v>27</v>
      </c>
      <c r="B493" t="s">
        <v>46</v>
      </c>
      <c r="C493" t="s">
        <v>80</v>
      </c>
      <c r="D493">
        <v>1.6299999999999999E-2</v>
      </c>
      <c r="E493">
        <v>0.25084288604180721</v>
      </c>
      <c r="F493">
        <v>28.139870918023309</v>
      </c>
      <c r="G493" t="s">
        <v>105</v>
      </c>
      <c r="H493" t="s">
        <v>108</v>
      </c>
    </row>
    <row r="494" spans="1:8" x14ac:dyDescent="0.3">
      <c r="A494" t="s">
        <v>27</v>
      </c>
      <c r="B494" t="s">
        <v>46</v>
      </c>
      <c r="C494" t="s">
        <v>81</v>
      </c>
      <c r="D494">
        <v>4.7000000000000002E-3</v>
      </c>
      <c r="E494">
        <v>1.663924794359577</v>
      </c>
      <c r="F494">
        <v>8.9647473560517046</v>
      </c>
      <c r="G494" t="s">
        <v>105</v>
      </c>
      <c r="H494" t="s">
        <v>108</v>
      </c>
    </row>
    <row r="495" spans="1:8" x14ac:dyDescent="0.3">
      <c r="A495" t="s">
        <v>27</v>
      </c>
      <c r="B495" t="s">
        <v>46</v>
      </c>
      <c r="C495" t="s">
        <v>66</v>
      </c>
      <c r="D495">
        <v>0.3</v>
      </c>
      <c r="E495">
        <v>2.7250000000000001</v>
      </c>
      <c r="F495">
        <v>6.8428961748633883</v>
      </c>
      <c r="G495" t="s">
        <v>104</v>
      </c>
      <c r="H495" t="s">
        <v>108</v>
      </c>
    </row>
    <row r="496" spans="1:8" x14ac:dyDescent="0.3">
      <c r="A496" t="s">
        <v>27</v>
      </c>
      <c r="B496" t="s">
        <v>46</v>
      </c>
      <c r="C496" t="s">
        <v>82</v>
      </c>
      <c r="D496">
        <v>2.1</v>
      </c>
      <c r="E496">
        <v>1.6919999999999999</v>
      </c>
      <c r="F496">
        <v>6.8428961748633883</v>
      </c>
      <c r="G496" t="s">
        <v>104</v>
      </c>
      <c r="H496" t="s">
        <v>108</v>
      </c>
    </row>
    <row r="497" spans="1:8" x14ac:dyDescent="0.3">
      <c r="A497" t="s">
        <v>27</v>
      </c>
      <c r="B497" t="s">
        <v>46</v>
      </c>
      <c r="C497" t="s">
        <v>84</v>
      </c>
      <c r="D497">
        <v>0.4</v>
      </c>
      <c r="E497">
        <v>1.6910000000000001</v>
      </c>
      <c r="F497">
        <v>28.139870918023309</v>
      </c>
      <c r="G497" t="s">
        <v>105</v>
      </c>
      <c r="H497" t="s">
        <v>108</v>
      </c>
    </row>
    <row r="498" spans="1:8" x14ac:dyDescent="0.3">
      <c r="A498" t="s">
        <v>27</v>
      </c>
      <c r="B498" t="s">
        <v>55</v>
      </c>
      <c r="C498" t="s">
        <v>86</v>
      </c>
      <c r="D498">
        <v>0.72989999999999999</v>
      </c>
      <c r="E498">
        <v>9.9629999999999992</v>
      </c>
      <c r="F498">
        <v>6.2</v>
      </c>
      <c r="G498" t="s">
        <v>106</v>
      </c>
      <c r="H498" t="s">
        <v>109</v>
      </c>
    </row>
    <row r="499" spans="1:8" x14ac:dyDescent="0.3">
      <c r="A499" t="s">
        <v>27</v>
      </c>
      <c r="B499" t="s">
        <v>55</v>
      </c>
      <c r="C499" t="s">
        <v>88</v>
      </c>
      <c r="D499">
        <v>0.13289999999999999</v>
      </c>
      <c r="E499">
        <v>12.96</v>
      </c>
      <c r="F499">
        <v>6.2</v>
      </c>
      <c r="G499" t="s">
        <v>106</v>
      </c>
      <c r="H499" t="s">
        <v>109</v>
      </c>
    </row>
    <row r="500" spans="1:8" x14ac:dyDescent="0.3">
      <c r="A500" t="s">
        <v>27</v>
      </c>
      <c r="B500" t="s">
        <v>55</v>
      </c>
      <c r="C500" t="s">
        <v>89</v>
      </c>
      <c r="D500">
        <v>1.8E-3</v>
      </c>
      <c r="E500">
        <v>0</v>
      </c>
      <c r="F500">
        <v>6.2</v>
      </c>
      <c r="G500" t="s">
        <v>106</v>
      </c>
      <c r="H500" t="s">
        <v>109</v>
      </c>
    </row>
    <row r="501" spans="1:8" x14ac:dyDescent="0.3">
      <c r="A501" t="s">
        <v>27</v>
      </c>
      <c r="B501" t="s">
        <v>55</v>
      </c>
      <c r="C501" t="s">
        <v>90</v>
      </c>
      <c r="D501">
        <v>0.79330000000000001</v>
      </c>
      <c r="E501">
        <v>8.8279999999999994</v>
      </c>
      <c r="F501">
        <v>6.2</v>
      </c>
      <c r="G501" t="s">
        <v>106</v>
      </c>
      <c r="H501" t="s">
        <v>109</v>
      </c>
    </row>
    <row r="502" spans="1:8" x14ac:dyDescent="0.3">
      <c r="A502" t="s">
        <v>27</v>
      </c>
      <c r="B502" t="s">
        <v>55</v>
      </c>
      <c r="C502" t="s">
        <v>91</v>
      </c>
      <c r="D502">
        <v>0.37359999999999999</v>
      </c>
      <c r="E502">
        <v>8.484</v>
      </c>
      <c r="F502">
        <v>6.2</v>
      </c>
      <c r="G502" t="s">
        <v>106</v>
      </c>
      <c r="H502" t="s">
        <v>109</v>
      </c>
    </row>
    <row r="503" spans="1:8" x14ac:dyDescent="0.3">
      <c r="A503" t="s">
        <v>27</v>
      </c>
      <c r="B503" t="s">
        <v>55</v>
      </c>
      <c r="C503" t="s">
        <v>92</v>
      </c>
      <c r="D503">
        <v>0.56071000000000004</v>
      </c>
      <c r="E503">
        <v>10.994</v>
      </c>
      <c r="F503">
        <v>6.2</v>
      </c>
      <c r="G503" t="s">
        <v>106</v>
      </c>
      <c r="H503" t="s">
        <v>109</v>
      </c>
    </row>
    <row r="504" spans="1:8" x14ac:dyDescent="0.3">
      <c r="A504" t="s">
        <v>27</v>
      </c>
      <c r="B504" t="s">
        <v>56</v>
      </c>
      <c r="C504" t="s">
        <v>93</v>
      </c>
      <c r="D504">
        <v>26.7255</v>
      </c>
      <c r="E504">
        <v>2.9493975903614462</v>
      </c>
      <c r="F504">
        <v>18.3</v>
      </c>
      <c r="G504" t="s">
        <v>106</v>
      </c>
      <c r="H504" t="s">
        <v>109</v>
      </c>
    </row>
    <row r="505" spans="1:8" x14ac:dyDescent="0.3">
      <c r="A505" t="s">
        <v>27</v>
      </c>
      <c r="B505" t="s">
        <v>47</v>
      </c>
      <c r="C505" t="s">
        <v>101</v>
      </c>
      <c r="D505">
        <v>35.9</v>
      </c>
      <c r="E505">
        <v>2.3519999999999999</v>
      </c>
      <c r="F505">
        <v>43.8</v>
      </c>
      <c r="G505" t="s">
        <v>104</v>
      </c>
      <c r="H505" t="s">
        <v>109</v>
      </c>
    </row>
    <row r="506" spans="1:8" x14ac:dyDescent="0.3">
      <c r="A506" t="s">
        <v>27</v>
      </c>
      <c r="B506" t="s">
        <v>57</v>
      </c>
      <c r="C506" t="s">
        <v>94</v>
      </c>
      <c r="D506">
        <v>18.7</v>
      </c>
      <c r="E506">
        <v>6.875</v>
      </c>
      <c r="F506">
        <v>19.8</v>
      </c>
      <c r="G506" t="s">
        <v>104</v>
      </c>
      <c r="H506" t="s">
        <v>109</v>
      </c>
    </row>
    <row r="507" spans="1:8" x14ac:dyDescent="0.3">
      <c r="A507" t="s">
        <v>27</v>
      </c>
      <c r="B507" t="s">
        <v>49</v>
      </c>
      <c r="C507" t="s">
        <v>71</v>
      </c>
      <c r="D507">
        <v>73.666089999999997</v>
      </c>
      <c r="E507">
        <v>0</v>
      </c>
      <c r="F507">
        <v>3.86607608129234</v>
      </c>
      <c r="G507" t="s">
        <v>104</v>
      </c>
      <c r="H507" t="s">
        <v>108</v>
      </c>
    </row>
    <row r="508" spans="1:8" x14ac:dyDescent="0.3">
      <c r="A508" t="s">
        <v>27</v>
      </c>
      <c r="B508" t="s">
        <v>49</v>
      </c>
      <c r="C508" t="s">
        <v>72</v>
      </c>
      <c r="D508">
        <v>11.3</v>
      </c>
      <c r="E508">
        <v>0</v>
      </c>
      <c r="F508">
        <v>3.86607608129234</v>
      </c>
      <c r="G508" t="s">
        <v>104</v>
      </c>
      <c r="H508" t="s">
        <v>108</v>
      </c>
    </row>
    <row r="509" spans="1:8" x14ac:dyDescent="0.3">
      <c r="A509" t="s">
        <v>27</v>
      </c>
      <c r="B509" t="s">
        <v>58</v>
      </c>
      <c r="C509" t="s">
        <v>95</v>
      </c>
      <c r="D509">
        <v>6.8327</v>
      </c>
      <c r="E509">
        <v>3.0070000000000001</v>
      </c>
      <c r="F509">
        <v>2.9521711768407801</v>
      </c>
      <c r="G509" t="s">
        <v>104</v>
      </c>
      <c r="H509" t="s">
        <v>108</v>
      </c>
    </row>
    <row r="510" spans="1:8" x14ac:dyDescent="0.3">
      <c r="A510" t="s">
        <v>27</v>
      </c>
      <c r="B510" t="s">
        <v>50</v>
      </c>
      <c r="C510" t="s">
        <v>73</v>
      </c>
      <c r="D510">
        <v>1.9</v>
      </c>
      <c r="E510">
        <v>4.976</v>
      </c>
      <c r="F510">
        <v>20.723404255319149</v>
      </c>
      <c r="G510" t="s">
        <v>105</v>
      </c>
      <c r="H510" t="s">
        <v>108</v>
      </c>
    </row>
    <row r="511" spans="1:8" x14ac:dyDescent="0.3">
      <c r="A511" t="s">
        <v>27</v>
      </c>
      <c r="B511" t="s">
        <v>50</v>
      </c>
      <c r="C511" t="s">
        <v>74</v>
      </c>
      <c r="D511">
        <v>12.5</v>
      </c>
      <c r="E511">
        <v>3.383</v>
      </c>
      <c r="F511">
        <v>2.0635593220338988</v>
      </c>
      <c r="G511" t="s">
        <v>105</v>
      </c>
      <c r="H511" t="s">
        <v>108</v>
      </c>
    </row>
    <row r="512" spans="1:8" x14ac:dyDescent="0.3">
      <c r="A512" t="s">
        <v>27</v>
      </c>
      <c r="B512" t="s">
        <v>51</v>
      </c>
      <c r="C512" t="s">
        <v>75</v>
      </c>
      <c r="D512">
        <v>1.1284350000000001</v>
      </c>
      <c r="E512">
        <v>4.94730994233765E-2</v>
      </c>
      <c r="F512">
        <v>11.74</v>
      </c>
      <c r="G512" t="s">
        <v>104</v>
      </c>
      <c r="H512" t="s">
        <v>108</v>
      </c>
    </row>
    <row r="513" spans="1:8" x14ac:dyDescent="0.3">
      <c r="A513" t="s">
        <v>27</v>
      </c>
      <c r="B513" t="s">
        <v>60</v>
      </c>
      <c r="C513" t="s">
        <v>98</v>
      </c>
      <c r="D513">
        <v>5.8698499999999996</v>
      </c>
      <c r="E513">
        <v>16.809881847475829</v>
      </c>
      <c r="F513">
        <v>26.9</v>
      </c>
      <c r="G513" t="s">
        <v>107</v>
      </c>
      <c r="H513" t="s">
        <v>109</v>
      </c>
    </row>
    <row r="514" spans="1:8" x14ac:dyDescent="0.3">
      <c r="A514" t="s">
        <v>27</v>
      </c>
      <c r="B514" t="s">
        <v>53</v>
      </c>
      <c r="C514" t="s">
        <v>77</v>
      </c>
      <c r="D514">
        <v>4</v>
      </c>
      <c r="E514">
        <v>0</v>
      </c>
      <c r="F514">
        <v>3.86607608129234</v>
      </c>
      <c r="G514" t="s">
        <v>104</v>
      </c>
      <c r="H514" t="s">
        <v>108</v>
      </c>
    </row>
    <row r="515" spans="1:8" x14ac:dyDescent="0.3">
      <c r="A515" t="s">
        <v>27</v>
      </c>
      <c r="B515" t="s">
        <v>61</v>
      </c>
      <c r="C515" t="s">
        <v>99</v>
      </c>
      <c r="D515">
        <v>8.1</v>
      </c>
      <c r="E515">
        <v>0</v>
      </c>
      <c r="F515">
        <v>2.9245635910224439</v>
      </c>
      <c r="G515" t="s">
        <v>104</v>
      </c>
      <c r="H515" t="s">
        <v>108</v>
      </c>
    </row>
    <row r="516" spans="1:8" x14ac:dyDescent="0.3">
      <c r="A516" t="s">
        <v>27</v>
      </c>
      <c r="B516" t="s">
        <v>62</v>
      </c>
      <c r="C516" t="s">
        <v>100</v>
      </c>
      <c r="D516">
        <v>3.1</v>
      </c>
      <c r="E516">
        <v>1.6</v>
      </c>
      <c r="F516">
        <v>2.6764106050305911</v>
      </c>
      <c r="G516" t="s">
        <v>104</v>
      </c>
      <c r="H516" t="s">
        <v>108</v>
      </c>
    </row>
    <row r="517" spans="1:8" x14ac:dyDescent="0.3">
      <c r="A517" t="s">
        <v>27</v>
      </c>
      <c r="B517" t="s">
        <v>54</v>
      </c>
      <c r="C517" t="s">
        <v>78</v>
      </c>
      <c r="D517">
        <v>26.3</v>
      </c>
      <c r="E517">
        <v>0</v>
      </c>
      <c r="F517">
        <v>3.86607608129234</v>
      </c>
      <c r="G517" t="s">
        <v>104</v>
      </c>
      <c r="H517" t="s">
        <v>108</v>
      </c>
    </row>
    <row r="518" spans="1:8" x14ac:dyDescent="0.3">
      <c r="A518" t="s">
        <v>28</v>
      </c>
      <c r="B518" t="s">
        <v>46</v>
      </c>
      <c r="C518" t="s">
        <v>103</v>
      </c>
      <c r="D518">
        <v>0.60399999999999998</v>
      </c>
      <c r="E518">
        <v>0</v>
      </c>
    </row>
    <row r="519" spans="1:8" x14ac:dyDescent="0.3">
      <c r="A519" t="s">
        <v>28</v>
      </c>
      <c r="B519" t="s">
        <v>46</v>
      </c>
      <c r="C519" t="s">
        <v>80</v>
      </c>
      <c r="D519">
        <v>1.44E-2</v>
      </c>
      <c r="E519">
        <v>0</v>
      </c>
      <c r="F519">
        <v>28.139870918023309</v>
      </c>
      <c r="G519" t="s">
        <v>105</v>
      </c>
      <c r="H519" t="s">
        <v>108</v>
      </c>
    </row>
    <row r="520" spans="1:8" x14ac:dyDescent="0.3">
      <c r="A520" t="s">
        <v>28</v>
      </c>
      <c r="B520" t="s">
        <v>46</v>
      </c>
      <c r="C520" t="s">
        <v>81</v>
      </c>
      <c r="D520">
        <v>0.1077</v>
      </c>
      <c r="E520">
        <v>0</v>
      </c>
      <c r="F520">
        <v>8.9647473560517046</v>
      </c>
      <c r="G520" t="s">
        <v>105</v>
      </c>
      <c r="H520" t="s">
        <v>108</v>
      </c>
    </row>
    <row r="521" spans="1:8" x14ac:dyDescent="0.3">
      <c r="A521" t="s">
        <v>28</v>
      </c>
      <c r="B521" t="s">
        <v>55</v>
      </c>
      <c r="C521" t="s">
        <v>86</v>
      </c>
      <c r="D521">
        <v>0.2135</v>
      </c>
      <c r="E521">
        <v>5.4980000000000002</v>
      </c>
      <c r="F521">
        <v>26.8</v>
      </c>
      <c r="G521" t="s">
        <v>106</v>
      </c>
      <c r="H521" t="s">
        <v>109</v>
      </c>
    </row>
    <row r="522" spans="1:8" x14ac:dyDescent="0.3">
      <c r="A522" t="s">
        <v>28</v>
      </c>
      <c r="B522" t="s">
        <v>55</v>
      </c>
      <c r="C522" t="s">
        <v>88</v>
      </c>
      <c r="D522">
        <v>8.8000000000000005E-3</v>
      </c>
      <c r="E522">
        <v>3.4870000000000001</v>
      </c>
      <c r="F522">
        <v>26.8</v>
      </c>
      <c r="G522" t="s">
        <v>106</v>
      </c>
      <c r="H522" t="s">
        <v>109</v>
      </c>
    </row>
    <row r="523" spans="1:8" x14ac:dyDescent="0.3">
      <c r="A523" t="s">
        <v>28</v>
      </c>
      <c r="B523" t="s">
        <v>55</v>
      </c>
      <c r="C523" t="s">
        <v>92</v>
      </c>
      <c r="D523">
        <v>0.16364999999999999</v>
      </c>
      <c r="E523">
        <v>6.0330000000000004</v>
      </c>
      <c r="F523">
        <v>26.8</v>
      </c>
      <c r="G523" t="s">
        <v>106</v>
      </c>
      <c r="H523" t="s">
        <v>109</v>
      </c>
    </row>
    <row r="524" spans="1:8" x14ac:dyDescent="0.3">
      <c r="A524" t="s">
        <v>28</v>
      </c>
      <c r="B524" t="s">
        <v>49</v>
      </c>
      <c r="C524" t="s">
        <v>71</v>
      </c>
      <c r="D524">
        <v>6.86273</v>
      </c>
      <c r="E524">
        <v>0</v>
      </c>
      <c r="F524">
        <v>3.86607608129234</v>
      </c>
      <c r="G524" t="s">
        <v>104</v>
      </c>
      <c r="H524" t="s">
        <v>108</v>
      </c>
    </row>
    <row r="525" spans="1:8" x14ac:dyDescent="0.3">
      <c r="A525" t="s">
        <v>28</v>
      </c>
      <c r="B525" t="s">
        <v>49</v>
      </c>
      <c r="C525" t="s">
        <v>72</v>
      </c>
      <c r="D525">
        <v>0.1</v>
      </c>
      <c r="E525">
        <v>0</v>
      </c>
      <c r="F525">
        <v>3.86607608129234</v>
      </c>
      <c r="G525" t="s">
        <v>104</v>
      </c>
      <c r="H525" t="s">
        <v>108</v>
      </c>
    </row>
    <row r="526" spans="1:8" x14ac:dyDescent="0.3">
      <c r="A526" t="s">
        <v>28</v>
      </c>
      <c r="B526" t="s">
        <v>50</v>
      </c>
      <c r="C526" t="s">
        <v>103</v>
      </c>
      <c r="D526">
        <v>3.0438450000000001</v>
      </c>
      <c r="E526">
        <v>0</v>
      </c>
    </row>
    <row r="527" spans="1:8" x14ac:dyDescent="0.3">
      <c r="A527" t="s">
        <v>28</v>
      </c>
      <c r="B527" t="s">
        <v>51</v>
      </c>
      <c r="C527" t="s">
        <v>75</v>
      </c>
      <c r="D527">
        <v>0.109542</v>
      </c>
      <c r="E527">
        <v>6.8881694990146399E-4</v>
      </c>
      <c r="F527">
        <v>11.74</v>
      </c>
      <c r="G527" t="s">
        <v>104</v>
      </c>
      <c r="H527" t="s">
        <v>108</v>
      </c>
    </row>
    <row r="528" spans="1:8" x14ac:dyDescent="0.3">
      <c r="A528" t="s">
        <v>28</v>
      </c>
      <c r="B528" t="s">
        <v>60</v>
      </c>
      <c r="C528" t="s">
        <v>98</v>
      </c>
      <c r="D528">
        <v>1.0378000000000001</v>
      </c>
      <c r="E528">
        <v>0</v>
      </c>
      <c r="F528">
        <v>37.799999999999997</v>
      </c>
      <c r="G528" t="s">
        <v>107</v>
      </c>
      <c r="H528" t="s">
        <v>109</v>
      </c>
    </row>
    <row r="529" spans="1:8" x14ac:dyDescent="0.3">
      <c r="A529" t="s">
        <v>28</v>
      </c>
      <c r="B529" t="s">
        <v>61</v>
      </c>
      <c r="C529" t="s">
        <v>103</v>
      </c>
      <c r="D529">
        <v>1.7567269999999999</v>
      </c>
      <c r="E529">
        <v>0</v>
      </c>
    </row>
    <row r="530" spans="1:8" x14ac:dyDescent="0.3">
      <c r="A530" t="s">
        <v>28</v>
      </c>
      <c r="B530" t="s">
        <v>62</v>
      </c>
      <c r="C530" t="s">
        <v>103</v>
      </c>
      <c r="D530">
        <v>0.22295400000000001</v>
      </c>
      <c r="E530">
        <v>0</v>
      </c>
    </row>
    <row r="531" spans="1:8" x14ac:dyDescent="0.3">
      <c r="A531" t="s">
        <v>28</v>
      </c>
      <c r="B531" t="s">
        <v>54</v>
      </c>
      <c r="C531" t="s">
        <v>78</v>
      </c>
      <c r="D531">
        <v>3.5</v>
      </c>
      <c r="E531">
        <v>0</v>
      </c>
      <c r="F531">
        <v>3.86607608129234</v>
      </c>
      <c r="G531" t="s">
        <v>104</v>
      </c>
      <c r="H531" t="s">
        <v>108</v>
      </c>
    </row>
    <row r="532" spans="1:8" x14ac:dyDescent="0.3">
      <c r="A532" t="s">
        <v>29</v>
      </c>
      <c r="B532" t="s">
        <v>46</v>
      </c>
      <c r="C532" t="s">
        <v>64</v>
      </c>
      <c r="D532">
        <v>2.7910000000000001E-2</v>
      </c>
      <c r="E532">
        <v>0</v>
      </c>
      <c r="F532">
        <v>2.9521711768407801</v>
      </c>
      <c r="G532" t="s">
        <v>104</v>
      </c>
      <c r="H532" t="s">
        <v>108</v>
      </c>
    </row>
    <row r="533" spans="1:8" x14ac:dyDescent="0.3">
      <c r="A533" t="s">
        <v>29</v>
      </c>
      <c r="B533" t="s">
        <v>46</v>
      </c>
      <c r="C533" t="s">
        <v>79</v>
      </c>
      <c r="D533">
        <v>9.9</v>
      </c>
      <c r="E533">
        <v>0</v>
      </c>
      <c r="F533">
        <v>6.8428961748633883</v>
      </c>
      <c r="G533" t="s">
        <v>104</v>
      </c>
      <c r="H533" t="s">
        <v>108</v>
      </c>
    </row>
    <row r="534" spans="1:8" x14ac:dyDescent="0.3">
      <c r="A534" t="s">
        <v>29</v>
      </c>
      <c r="B534" t="s">
        <v>46</v>
      </c>
      <c r="C534" t="s">
        <v>80</v>
      </c>
      <c r="D534">
        <v>4.4299999999999999E-2</v>
      </c>
      <c r="E534">
        <v>0.18071476736345249</v>
      </c>
      <c r="F534">
        <v>28.139870918023309</v>
      </c>
      <c r="G534" t="s">
        <v>105</v>
      </c>
      <c r="H534" t="s">
        <v>108</v>
      </c>
    </row>
    <row r="535" spans="1:8" x14ac:dyDescent="0.3">
      <c r="A535" t="s">
        <v>29</v>
      </c>
      <c r="B535" t="s">
        <v>46</v>
      </c>
      <c r="C535" t="s">
        <v>81</v>
      </c>
      <c r="D535">
        <v>2.7E-2</v>
      </c>
      <c r="E535">
        <v>0.36545240893066983</v>
      </c>
      <c r="F535">
        <v>8.9647473560517046</v>
      </c>
      <c r="G535" t="s">
        <v>105</v>
      </c>
      <c r="H535" t="s">
        <v>108</v>
      </c>
    </row>
    <row r="536" spans="1:8" x14ac:dyDescent="0.3">
      <c r="A536" t="s">
        <v>29</v>
      </c>
      <c r="B536" t="s">
        <v>46</v>
      </c>
      <c r="C536" t="s">
        <v>82</v>
      </c>
      <c r="D536">
        <v>1</v>
      </c>
      <c r="E536">
        <v>1.704</v>
      </c>
      <c r="F536">
        <v>6.8428961748633883</v>
      </c>
      <c r="G536" t="s">
        <v>104</v>
      </c>
      <c r="H536" t="s">
        <v>108</v>
      </c>
    </row>
    <row r="537" spans="1:8" x14ac:dyDescent="0.3">
      <c r="A537" t="s">
        <v>29</v>
      </c>
      <c r="B537" t="s">
        <v>55</v>
      </c>
      <c r="C537" t="s">
        <v>86</v>
      </c>
      <c r="D537">
        <v>0.1045</v>
      </c>
      <c r="E537">
        <v>8.6820000000000004</v>
      </c>
      <c r="F537">
        <v>12.7</v>
      </c>
      <c r="G537" t="s">
        <v>106</v>
      </c>
      <c r="H537" t="s">
        <v>109</v>
      </c>
    </row>
    <row r="538" spans="1:8" x14ac:dyDescent="0.3">
      <c r="A538" t="s">
        <v>29</v>
      </c>
      <c r="B538" t="s">
        <v>55</v>
      </c>
      <c r="C538" t="s">
        <v>89</v>
      </c>
      <c r="D538">
        <v>3.2000000000000002E-3</v>
      </c>
      <c r="E538">
        <v>0</v>
      </c>
      <c r="F538">
        <v>12.7</v>
      </c>
      <c r="G538" t="s">
        <v>106</v>
      </c>
      <c r="H538" t="s">
        <v>109</v>
      </c>
    </row>
    <row r="539" spans="1:8" x14ac:dyDescent="0.3">
      <c r="A539" t="s">
        <v>29</v>
      </c>
      <c r="B539" t="s">
        <v>55</v>
      </c>
      <c r="C539" t="s">
        <v>90</v>
      </c>
      <c r="D539">
        <v>5.6500000000000002E-2</v>
      </c>
      <c r="E539">
        <v>10.387</v>
      </c>
      <c r="F539">
        <v>12.7</v>
      </c>
      <c r="G539" t="s">
        <v>106</v>
      </c>
      <c r="H539" t="s">
        <v>109</v>
      </c>
    </row>
    <row r="540" spans="1:8" x14ac:dyDescent="0.3">
      <c r="A540" t="s">
        <v>29</v>
      </c>
      <c r="B540" t="s">
        <v>55</v>
      </c>
      <c r="C540" t="s">
        <v>91</v>
      </c>
      <c r="D540">
        <v>6.6500000000000004E-2</v>
      </c>
      <c r="E540">
        <v>8.9979999999999993</v>
      </c>
      <c r="F540">
        <v>12.7</v>
      </c>
      <c r="G540" t="s">
        <v>106</v>
      </c>
      <c r="H540" t="s">
        <v>109</v>
      </c>
    </row>
    <row r="541" spans="1:8" x14ac:dyDescent="0.3">
      <c r="A541" t="s">
        <v>29</v>
      </c>
      <c r="B541" t="s">
        <v>55</v>
      </c>
      <c r="C541" t="s">
        <v>92</v>
      </c>
      <c r="D541">
        <v>0.58809</v>
      </c>
      <c r="E541">
        <v>10.631</v>
      </c>
      <c r="F541">
        <v>12.7</v>
      </c>
      <c r="G541" t="s">
        <v>106</v>
      </c>
      <c r="H541" t="s">
        <v>109</v>
      </c>
    </row>
    <row r="542" spans="1:8" x14ac:dyDescent="0.3">
      <c r="A542" t="s">
        <v>29</v>
      </c>
      <c r="B542" t="s">
        <v>47</v>
      </c>
      <c r="C542" t="s">
        <v>101</v>
      </c>
      <c r="D542">
        <v>10.3</v>
      </c>
      <c r="E542">
        <v>2.5249999999999999</v>
      </c>
      <c r="F542">
        <v>43.8</v>
      </c>
      <c r="G542" t="s">
        <v>104</v>
      </c>
      <c r="H542" t="s">
        <v>109</v>
      </c>
    </row>
    <row r="543" spans="1:8" x14ac:dyDescent="0.3">
      <c r="A543" t="s">
        <v>29</v>
      </c>
      <c r="B543" t="s">
        <v>57</v>
      </c>
      <c r="C543" t="s">
        <v>94</v>
      </c>
      <c r="D543">
        <v>6.1</v>
      </c>
      <c r="E543">
        <v>7.1319999999999997</v>
      </c>
      <c r="F543">
        <v>19.8</v>
      </c>
      <c r="G543" t="s">
        <v>104</v>
      </c>
      <c r="H543" t="s">
        <v>109</v>
      </c>
    </row>
    <row r="544" spans="1:8" x14ac:dyDescent="0.3">
      <c r="A544" t="s">
        <v>29</v>
      </c>
      <c r="B544" t="s">
        <v>49</v>
      </c>
      <c r="C544" t="s">
        <v>71</v>
      </c>
      <c r="D544">
        <v>126.53563</v>
      </c>
      <c r="E544">
        <v>0</v>
      </c>
      <c r="F544">
        <v>3.86607608129234</v>
      </c>
      <c r="G544" t="s">
        <v>104</v>
      </c>
      <c r="H544" t="s">
        <v>108</v>
      </c>
    </row>
    <row r="545" spans="1:8" x14ac:dyDescent="0.3">
      <c r="A545" t="s">
        <v>29</v>
      </c>
      <c r="B545" t="s">
        <v>49</v>
      </c>
      <c r="C545" t="s">
        <v>72</v>
      </c>
      <c r="D545">
        <v>13.9</v>
      </c>
      <c r="E545">
        <v>0</v>
      </c>
      <c r="F545">
        <v>3.86607608129234</v>
      </c>
      <c r="G545" t="s">
        <v>104</v>
      </c>
      <c r="H545" t="s">
        <v>108</v>
      </c>
    </row>
    <row r="546" spans="1:8" x14ac:dyDescent="0.3">
      <c r="A546" t="s">
        <v>29</v>
      </c>
      <c r="B546" t="s">
        <v>58</v>
      </c>
      <c r="C546" t="s">
        <v>95</v>
      </c>
      <c r="D546">
        <v>6.1494299999999997</v>
      </c>
      <c r="E546">
        <v>3.0070000000000001</v>
      </c>
      <c r="F546">
        <v>2.9521711768407801</v>
      </c>
      <c r="G546" t="s">
        <v>104</v>
      </c>
      <c r="H546" t="s">
        <v>108</v>
      </c>
    </row>
    <row r="547" spans="1:8" x14ac:dyDescent="0.3">
      <c r="A547" t="s">
        <v>29</v>
      </c>
      <c r="B547" t="s">
        <v>50</v>
      </c>
      <c r="C547" t="s">
        <v>73</v>
      </c>
      <c r="D547">
        <v>0.3</v>
      </c>
      <c r="E547">
        <v>5.0090000000000003</v>
      </c>
      <c r="F547">
        <v>20.723404255319149</v>
      </c>
      <c r="G547" t="s">
        <v>105</v>
      </c>
      <c r="H547" t="s">
        <v>108</v>
      </c>
    </row>
    <row r="548" spans="1:8" x14ac:dyDescent="0.3">
      <c r="A548" t="s">
        <v>29</v>
      </c>
      <c r="B548" t="s">
        <v>50</v>
      </c>
      <c r="C548" t="s">
        <v>74</v>
      </c>
      <c r="D548">
        <v>9.1</v>
      </c>
      <c r="E548">
        <v>3.5</v>
      </c>
      <c r="F548">
        <v>2.0635593220338988</v>
      </c>
      <c r="G548" t="s">
        <v>105</v>
      </c>
      <c r="H548" t="s">
        <v>108</v>
      </c>
    </row>
    <row r="549" spans="1:8" x14ac:dyDescent="0.3">
      <c r="A549" t="s">
        <v>29</v>
      </c>
      <c r="B549" t="s">
        <v>51</v>
      </c>
      <c r="C549" t="s">
        <v>75</v>
      </c>
      <c r="D549">
        <v>0.61040000000000005</v>
      </c>
      <c r="E549">
        <v>2.03944230015608E-4</v>
      </c>
      <c r="F549">
        <v>11.74</v>
      </c>
      <c r="G549" t="s">
        <v>104</v>
      </c>
      <c r="H549" t="s">
        <v>108</v>
      </c>
    </row>
    <row r="550" spans="1:8" x14ac:dyDescent="0.3">
      <c r="A550" t="s">
        <v>29</v>
      </c>
      <c r="B550" t="s">
        <v>60</v>
      </c>
      <c r="C550" t="s">
        <v>98</v>
      </c>
      <c r="D550">
        <v>2.05518</v>
      </c>
      <c r="E550">
        <v>16.058002148227711</v>
      </c>
      <c r="F550">
        <v>28.2</v>
      </c>
      <c r="G550" t="s">
        <v>107</v>
      </c>
      <c r="H550" t="s">
        <v>109</v>
      </c>
    </row>
    <row r="551" spans="1:8" x14ac:dyDescent="0.3">
      <c r="A551" t="s">
        <v>29</v>
      </c>
      <c r="B551" t="s">
        <v>52</v>
      </c>
      <c r="C551" t="s">
        <v>76</v>
      </c>
      <c r="D551">
        <v>1E-3</v>
      </c>
      <c r="E551">
        <v>6.5250000000000004</v>
      </c>
      <c r="F551">
        <v>12.68872359754714</v>
      </c>
      <c r="G551" t="s">
        <v>105</v>
      </c>
      <c r="H551" t="s">
        <v>108</v>
      </c>
    </row>
    <row r="552" spans="1:8" x14ac:dyDescent="0.3">
      <c r="A552" t="s">
        <v>29</v>
      </c>
      <c r="B552" t="s">
        <v>53</v>
      </c>
      <c r="C552" t="s">
        <v>77</v>
      </c>
      <c r="D552">
        <v>5.4</v>
      </c>
      <c r="E552">
        <v>0</v>
      </c>
      <c r="F552">
        <v>3.86607608129234</v>
      </c>
      <c r="G552" t="s">
        <v>104</v>
      </c>
      <c r="H552" t="s">
        <v>108</v>
      </c>
    </row>
    <row r="553" spans="1:8" x14ac:dyDescent="0.3">
      <c r="A553" t="s">
        <v>29</v>
      </c>
      <c r="B553" t="s">
        <v>61</v>
      </c>
      <c r="C553" t="s">
        <v>99</v>
      </c>
      <c r="D553">
        <v>21.4</v>
      </c>
      <c r="E553">
        <v>0</v>
      </c>
      <c r="F553">
        <v>2.9245635910224439</v>
      </c>
      <c r="G553" t="s">
        <v>104</v>
      </c>
      <c r="H553" t="s">
        <v>108</v>
      </c>
    </row>
    <row r="554" spans="1:8" x14ac:dyDescent="0.3">
      <c r="A554" t="s">
        <v>29</v>
      </c>
      <c r="B554" t="s">
        <v>62</v>
      </c>
      <c r="C554" t="s">
        <v>100</v>
      </c>
      <c r="D554">
        <v>9.3000000000000007</v>
      </c>
      <c r="E554">
        <v>1.5</v>
      </c>
      <c r="F554">
        <v>2.6764106050305911</v>
      </c>
      <c r="G554" t="s">
        <v>104</v>
      </c>
      <c r="H554" t="s">
        <v>108</v>
      </c>
    </row>
    <row r="555" spans="1:8" x14ac:dyDescent="0.3">
      <c r="A555" t="s">
        <v>29</v>
      </c>
      <c r="B555" t="s">
        <v>54</v>
      </c>
      <c r="C555" t="s">
        <v>78</v>
      </c>
      <c r="D555">
        <v>48.8</v>
      </c>
      <c r="E555">
        <v>0</v>
      </c>
      <c r="F555">
        <v>3.86607608129234</v>
      </c>
      <c r="G555" t="s">
        <v>104</v>
      </c>
      <c r="H555" t="s">
        <v>108</v>
      </c>
    </row>
    <row r="556" spans="1:8" x14ac:dyDescent="0.3">
      <c r="A556" t="s">
        <v>30</v>
      </c>
      <c r="B556" t="s">
        <v>46</v>
      </c>
      <c r="C556" t="s">
        <v>63</v>
      </c>
      <c r="D556">
        <v>3.0999999999999999E-3</v>
      </c>
      <c r="E556">
        <v>2.9286474973375931</v>
      </c>
      <c r="F556">
        <v>3.950479233226837</v>
      </c>
      <c r="G556" t="s">
        <v>104</v>
      </c>
      <c r="H556" t="s">
        <v>108</v>
      </c>
    </row>
    <row r="557" spans="1:8" x14ac:dyDescent="0.3">
      <c r="A557" t="s">
        <v>30</v>
      </c>
      <c r="B557" t="s">
        <v>46</v>
      </c>
      <c r="C557" t="s">
        <v>64</v>
      </c>
      <c r="D557">
        <v>3.5839999999999997E-2</v>
      </c>
      <c r="E557">
        <v>6.08</v>
      </c>
      <c r="F557">
        <v>2.9521711768407801</v>
      </c>
      <c r="G557" t="s">
        <v>104</v>
      </c>
      <c r="H557" t="s">
        <v>108</v>
      </c>
    </row>
    <row r="558" spans="1:8" x14ac:dyDescent="0.3">
      <c r="A558" t="s">
        <v>30</v>
      </c>
      <c r="B558" t="s">
        <v>46</v>
      </c>
      <c r="C558" t="s">
        <v>65</v>
      </c>
      <c r="D558">
        <v>0.1</v>
      </c>
      <c r="E558">
        <v>4.4640000000000004</v>
      </c>
      <c r="F558">
        <v>2.9521711768407801</v>
      </c>
      <c r="G558" t="s">
        <v>104</v>
      </c>
      <c r="H558" t="s">
        <v>108</v>
      </c>
    </row>
    <row r="559" spans="1:8" x14ac:dyDescent="0.3">
      <c r="A559" t="s">
        <v>30</v>
      </c>
      <c r="B559" t="s">
        <v>47</v>
      </c>
      <c r="C559" t="s">
        <v>68</v>
      </c>
      <c r="D559">
        <v>1.7</v>
      </c>
      <c r="E559">
        <v>3.609</v>
      </c>
      <c r="F559">
        <v>14.5</v>
      </c>
      <c r="G559" t="s">
        <v>104</v>
      </c>
      <c r="H559" t="s">
        <v>109</v>
      </c>
    </row>
    <row r="560" spans="1:8" x14ac:dyDescent="0.3">
      <c r="A560" t="s">
        <v>30</v>
      </c>
      <c r="B560" t="s">
        <v>47</v>
      </c>
      <c r="C560" t="s">
        <v>69</v>
      </c>
      <c r="D560">
        <v>1.2</v>
      </c>
      <c r="E560">
        <v>3.59</v>
      </c>
      <c r="F560">
        <v>14.5</v>
      </c>
      <c r="G560" t="s">
        <v>104</v>
      </c>
      <c r="H560" t="s">
        <v>109</v>
      </c>
    </row>
    <row r="561" spans="1:8" x14ac:dyDescent="0.3">
      <c r="A561" t="s">
        <v>30</v>
      </c>
      <c r="B561" t="s">
        <v>48</v>
      </c>
      <c r="C561" t="s">
        <v>70</v>
      </c>
      <c r="D561">
        <v>0.6</v>
      </c>
      <c r="E561">
        <v>9.141</v>
      </c>
      <c r="F561">
        <v>0</v>
      </c>
      <c r="G561" t="s">
        <v>104</v>
      </c>
      <c r="H561" t="s">
        <v>109</v>
      </c>
    </row>
    <row r="562" spans="1:8" x14ac:dyDescent="0.3">
      <c r="A562" t="s">
        <v>30</v>
      </c>
      <c r="B562" t="s">
        <v>49</v>
      </c>
      <c r="C562" t="s">
        <v>72</v>
      </c>
      <c r="D562">
        <v>2.2000000000000002</v>
      </c>
      <c r="E562">
        <v>1.4710000000000001</v>
      </c>
      <c r="F562">
        <v>3.86607608129234</v>
      </c>
      <c r="G562" t="s">
        <v>104</v>
      </c>
      <c r="H562" t="s">
        <v>108</v>
      </c>
    </row>
    <row r="563" spans="1:8" x14ac:dyDescent="0.3">
      <c r="A563" t="s">
        <v>30</v>
      </c>
      <c r="B563" t="s">
        <v>50</v>
      </c>
      <c r="C563" t="s">
        <v>73</v>
      </c>
      <c r="D563">
        <v>0.1</v>
      </c>
      <c r="E563">
        <v>4.8520000000000003</v>
      </c>
      <c r="F563">
        <v>20.723404255319149</v>
      </c>
      <c r="G563" t="s">
        <v>105</v>
      </c>
      <c r="H563" t="s">
        <v>108</v>
      </c>
    </row>
    <row r="564" spans="1:8" x14ac:dyDescent="0.3">
      <c r="A564" t="s">
        <v>30</v>
      </c>
      <c r="B564" t="s">
        <v>50</v>
      </c>
      <c r="C564" t="s">
        <v>74</v>
      </c>
      <c r="D564">
        <v>0.3</v>
      </c>
      <c r="E564">
        <v>3.391999999999999</v>
      </c>
      <c r="F564">
        <v>2.0635593220338988</v>
      </c>
      <c r="G564" t="s">
        <v>105</v>
      </c>
      <c r="H564" t="s">
        <v>108</v>
      </c>
    </row>
    <row r="565" spans="1:8" x14ac:dyDescent="0.3">
      <c r="A565" t="s">
        <v>30</v>
      </c>
      <c r="B565" t="s">
        <v>51</v>
      </c>
      <c r="C565" t="s">
        <v>75</v>
      </c>
      <c r="D565">
        <v>0</v>
      </c>
      <c r="E565">
        <v>0.14069241575201899</v>
      </c>
      <c r="F565">
        <v>11.74</v>
      </c>
      <c r="G565" t="s">
        <v>104</v>
      </c>
      <c r="H565" t="s">
        <v>108</v>
      </c>
    </row>
    <row r="566" spans="1:8" x14ac:dyDescent="0.3">
      <c r="A566" t="s">
        <v>30</v>
      </c>
      <c r="B566" t="s">
        <v>53</v>
      </c>
      <c r="C566" t="s">
        <v>77</v>
      </c>
      <c r="D566">
        <v>0.9</v>
      </c>
      <c r="E566">
        <v>1.4710000000000001</v>
      </c>
      <c r="F566">
        <v>3.86607608129234</v>
      </c>
      <c r="G566" t="s">
        <v>104</v>
      </c>
      <c r="H566" t="s">
        <v>108</v>
      </c>
    </row>
    <row r="567" spans="1:8" x14ac:dyDescent="0.3">
      <c r="A567" t="s">
        <v>31</v>
      </c>
      <c r="B567" t="s">
        <v>46</v>
      </c>
      <c r="C567" t="s">
        <v>63</v>
      </c>
      <c r="D567">
        <v>1.2200000000000001E-2</v>
      </c>
      <c r="E567">
        <v>2.9286474973375931</v>
      </c>
      <c r="F567">
        <v>3.950479233226837</v>
      </c>
      <c r="G567" t="s">
        <v>104</v>
      </c>
      <c r="H567" t="s">
        <v>108</v>
      </c>
    </row>
    <row r="568" spans="1:8" x14ac:dyDescent="0.3">
      <c r="A568" t="s">
        <v>31</v>
      </c>
      <c r="B568" t="s">
        <v>46</v>
      </c>
      <c r="C568" t="s">
        <v>64</v>
      </c>
      <c r="D568">
        <v>0.23241999999999999</v>
      </c>
      <c r="E568">
        <v>6.3959999999999999</v>
      </c>
      <c r="F568">
        <v>2.9521711768407801</v>
      </c>
      <c r="G568" t="s">
        <v>104</v>
      </c>
      <c r="H568" t="s">
        <v>108</v>
      </c>
    </row>
    <row r="569" spans="1:8" x14ac:dyDescent="0.3">
      <c r="A569" t="s">
        <v>31</v>
      </c>
      <c r="B569" t="s">
        <v>46</v>
      </c>
      <c r="C569" t="s">
        <v>79</v>
      </c>
      <c r="D569">
        <v>1.3</v>
      </c>
      <c r="E569">
        <v>0</v>
      </c>
      <c r="F569">
        <v>6.8428961748633883</v>
      </c>
      <c r="G569" t="s">
        <v>104</v>
      </c>
      <c r="H569" t="s">
        <v>108</v>
      </c>
    </row>
    <row r="570" spans="1:8" x14ac:dyDescent="0.3">
      <c r="A570" t="s">
        <v>31</v>
      </c>
      <c r="B570" t="s">
        <v>46</v>
      </c>
      <c r="C570" t="s">
        <v>65</v>
      </c>
      <c r="D570">
        <v>0.2</v>
      </c>
      <c r="E570">
        <v>4.431</v>
      </c>
      <c r="F570">
        <v>2.9521711768407801</v>
      </c>
      <c r="G570" t="s">
        <v>104</v>
      </c>
      <c r="H570" t="s">
        <v>108</v>
      </c>
    </row>
    <row r="571" spans="1:8" x14ac:dyDescent="0.3">
      <c r="A571" t="s">
        <v>31</v>
      </c>
      <c r="B571" t="s">
        <v>46</v>
      </c>
      <c r="C571" t="s">
        <v>66</v>
      </c>
      <c r="D571">
        <v>0.4</v>
      </c>
      <c r="E571">
        <v>0</v>
      </c>
      <c r="F571">
        <v>6.8428961748633883</v>
      </c>
      <c r="G571" t="s">
        <v>104</v>
      </c>
      <c r="H571" t="s">
        <v>108</v>
      </c>
    </row>
    <row r="572" spans="1:8" x14ac:dyDescent="0.3">
      <c r="A572" t="s">
        <v>31</v>
      </c>
      <c r="B572" t="s">
        <v>46</v>
      </c>
      <c r="C572" t="s">
        <v>83</v>
      </c>
      <c r="D572">
        <v>9.2399999999999996E-2</v>
      </c>
      <c r="E572">
        <v>0</v>
      </c>
      <c r="F572">
        <v>6.8428961748633883</v>
      </c>
      <c r="G572" t="s">
        <v>104</v>
      </c>
      <c r="H572" t="s">
        <v>108</v>
      </c>
    </row>
    <row r="573" spans="1:8" x14ac:dyDescent="0.3">
      <c r="A573" t="s">
        <v>31</v>
      </c>
      <c r="B573" t="s">
        <v>46</v>
      </c>
      <c r="C573" t="s">
        <v>85</v>
      </c>
      <c r="D573">
        <v>0.2</v>
      </c>
      <c r="E573">
        <v>4.1399999999999997</v>
      </c>
      <c r="F573">
        <v>2.9521711768407801</v>
      </c>
      <c r="G573" t="s">
        <v>104</v>
      </c>
      <c r="H573" t="s">
        <v>108</v>
      </c>
    </row>
    <row r="574" spans="1:8" x14ac:dyDescent="0.3">
      <c r="A574" t="s">
        <v>31</v>
      </c>
      <c r="B574" t="s">
        <v>47</v>
      </c>
      <c r="C574" t="s">
        <v>68</v>
      </c>
      <c r="D574">
        <v>10.9</v>
      </c>
      <c r="E574">
        <v>3.609</v>
      </c>
      <c r="F574">
        <v>14.5</v>
      </c>
      <c r="G574" t="s">
        <v>104</v>
      </c>
      <c r="H574" t="s">
        <v>109</v>
      </c>
    </row>
    <row r="575" spans="1:8" x14ac:dyDescent="0.3">
      <c r="A575" t="s">
        <v>31</v>
      </c>
      <c r="B575" t="s">
        <v>47</v>
      </c>
      <c r="C575" t="s">
        <v>69</v>
      </c>
      <c r="D575">
        <v>7.6</v>
      </c>
      <c r="E575">
        <v>3.59</v>
      </c>
      <c r="F575">
        <v>14.5</v>
      </c>
      <c r="G575" t="s">
        <v>104</v>
      </c>
      <c r="H575" t="s">
        <v>109</v>
      </c>
    </row>
    <row r="576" spans="1:8" x14ac:dyDescent="0.3">
      <c r="A576" t="s">
        <v>31</v>
      </c>
      <c r="B576" t="s">
        <v>48</v>
      </c>
      <c r="C576" t="s">
        <v>70</v>
      </c>
      <c r="D576">
        <v>4</v>
      </c>
      <c r="E576">
        <v>9.141</v>
      </c>
      <c r="F576">
        <v>0</v>
      </c>
      <c r="G576" t="s">
        <v>104</v>
      </c>
      <c r="H576" t="s">
        <v>109</v>
      </c>
    </row>
    <row r="577" spans="1:8" x14ac:dyDescent="0.3">
      <c r="A577" t="s">
        <v>31</v>
      </c>
      <c r="B577" t="s">
        <v>49</v>
      </c>
      <c r="C577" t="s">
        <v>71</v>
      </c>
      <c r="D577">
        <v>5.5918999999999999</v>
      </c>
      <c r="E577">
        <v>0</v>
      </c>
      <c r="F577">
        <v>3.86607608129234</v>
      </c>
      <c r="G577" t="s">
        <v>104</v>
      </c>
      <c r="H577" t="s">
        <v>108</v>
      </c>
    </row>
    <row r="578" spans="1:8" x14ac:dyDescent="0.3">
      <c r="A578" t="s">
        <v>31</v>
      </c>
      <c r="B578" t="s">
        <v>49</v>
      </c>
      <c r="C578" t="s">
        <v>72</v>
      </c>
      <c r="D578">
        <v>8.6999999999999993</v>
      </c>
      <c r="E578">
        <v>0</v>
      </c>
      <c r="F578">
        <v>3.86607608129234</v>
      </c>
      <c r="G578" t="s">
        <v>104</v>
      </c>
      <c r="H578" t="s">
        <v>108</v>
      </c>
    </row>
    <row r="579" spans="1:8" x14ac:dyDescent="0.3">
      <c r="A579" t="s">
        <v>31</v>
      </c>
      <c r="B579" t="s">
        <v>50</v>
      </c>
      <c r="C579" t="s">
        <v>73</v>
      </c>
      <c r="D579">
        <v>0.3</v>
      </c>
      <c r="E579">
        <v>4.7309999999999999</v>
      </c>
      <c r="F579">
        <v>20.723404255319149</v>
      </c>
      <c r="G579" t="s">
        <v>105</v>
      </c>
      <c r="H579" t="s">
        <v>108</v>
      </c>
    </row>
    <row r="580" spans="1:8" x14ac:dyDescent="0.3">
      <c r="A580" t="s">
        <v>31</v>
      </c>
      <c r="B580" t="s">
        <v>50</v>
      </c>
      <c r="C580" t="s">
        <v>74</v>
      </c>
      <c r="D580">
        <v>0.8</v>
      </c>
      <c r="E580">
        <v>3.3919999999999999</v>
      </c>
      <c r="F580">
        <v>2.0635593220338988</v>
      </c>
      <c r="G580" t="s">
        <v>105</v>
      </c>
      <c r="H580" t="s">
        <v>108</v>
      </c>
    </row>
    <row r="581" spans="1:8" x14ac:dyDescent="0.3">
      <c r="A581" t="s">
        <v>31</v>
      </c>
      <c r="B581" t="s">
        <v>51</v>
      </c>
      <c r="C581" t="s">
        <v>75</v>
      </c>
      <c r="D581">
        <v>0.56571800000000005</v>
      </c>
      <c r="E581">
        <v>8.1442870273948406E-2</v>
      </c>
      <c r="F581">
        <v>11.74</v>
      </c>
      <c r="G581" t="s">
        <v>104</v>
      </c>
      <c r="H581" t="s">
        <v>108</v>
      </c>
    </row>
    <row r="582" spans="1:8" x14ac:dyDescent="0.3">
      <c r="A582" t="s">
        <v>31</v>
      </c>
      <c r="B582" t="s">
        <v>52</v>
      </c>
      <c r="C582" t="s">
        <v>76</v>
      </c>
      <c r="D582">
        <v>3.0000000000000001E-3</v>
      </c>
      <c r="E582">
        <v>6.5250000000000004</v>
      </c>
      <c r="F582">
        <v>12.68872359754714</v>
      </c>
      <c r="G582" t="s">
        <v>105</v>
      </c>
      <c r="H582" t="s">
        <v>108</v>
      </c>
    </row>
    <row r="583" spans="1:8" x14ac:dyDescent="0.3">
      <c r="A583" t="s">
        <v>31</v>
      </c>
      <c r="B583" t="s">
        <v>53</v>
      </c>
      <c r="C583" t="s">
        <v>77</v>
      </c>
      <c r="D583">
        <v>4.4000000000000004</v>
      </c>
      <c r="E583">
        <v>0</v>
      </c>
      <c r="F583">
        <v>3.86607608129234</v>
      </c>
      <c r="G583" t="s">
        <v>104</v>
      </c>
      <c r="H583" t="s">
        <v>108</v>
      </c>
    </row>
    <row r="584" spans="1:8" x14ac:dyDescent="0.3">
      <c r="A584" t="s">
        <v>31</v>
      </c>
      <c r="B584" t="s">
        <v>54</v>
      </c>
      <c r="C584" t="s">
        <v>78</v>
      </c>
      <c r="D584">
        <v>2.8</v>
      </c>
      <c r="E584">
        <v>0</v>
      </c>
      <c r="F584">
        <v>3.86607608129234</v>
      </c>
      <c r="G584" t="s">
        <v>104</v>
      </c>
      <c r="H584" t="s">
        <v>108</v>
      </c>
    </row>
    <row r="585" spans="1:8" x14ac:dyDescent="0.3">
      <c r="A585" t="s">
        <v>32</v>
      </c>
      <c r="B585" t="s">
        <v>46</v>
      </c>
      <c r="C585" t="s">
        <v>103</v>
      </c>
      <c r="D585">
        <v>1.6E-2</v>
      </c>
      <c r="E585">
        <v>0</v>
      </c>
    </row>
    <row r="586" spans="1:8" x14ac:dyDescent="0.3">
      <c r="A586" t="s">
        <v>32</v>
      </c>
      <c r="B586" t="s">
        <v>50</v>
      </c>
      <c r="C586" t="s">
        <v>103</v>
      </c>
      <c r="D586">
        <v>0.81403300000000001</v>
      </c>
      <c r="E586">
        <v>0</v>
      </c>
    </row>
    <row r="587" spans="1:8" x14ac:dyDescent="0.3">
      <c r="A587" t="s">
        <v>32</v>
      </c>
      <c r="B587" t="s">
        <v>51</v>
      </c>
      <c r="C587" t="s">
        <v>75</v>
      </c>
      <c r="D587">
        <v>3.692412</v>
      </c>
      <c r="E587">
        <v>2.8961281384508101E-5</v>
      </c>
      <c r="F587">
        <v>11.74</v>
      </c>
      <c r="G587" t="s">
        <v>104</v>
      </c>
      <c r="H587" t="s">
        <v>108</v>
      </c>
    </row>
    <row r="588" spans="1:8" x14ac:dyDescent="0.3">
      <c r="A588" t="s">
        <v>33</v>
      </c>
      <c r="B588" t="s">
        <v>46</v>
      </c>
      <c r="C588" t="s">
        <v>64</v>
      </c>
      <c r="D588">
        <v>0.17274999999999999</v>
      </c>
      <c r="E588">
        <v>6.772261244573083</v>
      </c>
      <c r="F588">
        <v>2.9521711768407801</v>
      </c>
      <c r="G588" t="s">
        <v>104</v>
      </c>
      <c r="H588" t="s">
        <v>108</v>
      </c>
    </row>
    <row r="589" spans="1:8" x14ac:dyDescent="0.3">
      <c r="A589" t="s">
        <v>33</v>
      </c>
      <c r="B589" t="s">
        <v>46</v>
      </c>
      <c r="C589" t="s">
        <v>79</v>
      </c>
      <c r="D589">
        <v>2.8</v>
      </c>
      <c r="E589">
        <v>6.199642857142857</v>
      </c>
      <c r="F589">
        <v>6.8428961748633883</v>
      </c>
      <c r="G589" t="s">
        <v>104</v>
      </c>
      <c r="H589" t="s">
        <v>108</v>
      </c>
    </row>
    <row r="590" spans="1:8" x14ac:dyDescent="0.3">
      <c r="A590" t="s">
        <v>33</v>
      </c>
      <c r="B590" t="s">
        <v>46</v>
      </c>
      <c r="C590" t="s">
        <v>80</v>
      </c>
      <c r="D590">
        <v>1.345</v>
      </c>
      <c r="E590">
        <v>0.33378287255563049</v>
      </c>
      <c r="F590">
        <v>28.139870918023309</v>
      </c>
      <c r="G590" t="s">
        <v>105</v>
      </c>
      <c r="H590" t="s">
        <v>108</v>
      </c>
    </row>
    <row r="591" spans="1:8" x14ac:dyDescent="0.3">
      <c r="A591" t="s">
        <v>33</v>
      </c>
      <c r="B591" t="s">
        <v>46</v>
      </c>
      <c r="C591" t="s">
        <v>81</v>
      </c>
      <c r="D591">
        <v>1.3434999999999999</v>
      </c>
      <c r="E591">
        <v>1.173913043478261</v>
      </c>
      <c r="F591">
        <v>8.9647473560517046</v>
      </c>
      <c r="G591" t="s">
        <v>105</v>
      </c>
      <c r="H591" t="s">
        <v>108</v>
      </c>
    </row>
    <row r="592" spans="1:8" x14ac:dyDescent="0.3">
      <c r="A592" t="s">
        <v>33</v>
      </c>
      <c r="B592" t="s">
        <v>46</v>
      </c>
      <c r="C592" t="s">
        <v>66</v>
      </c>
      <c r="D592">
        <v>0.5</v>
      </c>
      <c r="E592">
        <v>6.4692000000000007</v>
      </c>
      <c r="F592">
        <v>6.8428961748633883</v>
      </c>
      <c r="G592" t="s">
        <v>104</v>
      </c>
      <c r="H592" t="s">
        <v>108</v>
      </c>
    </row>
    <row r="593" spans="1:8" x14ac:dyDescent="0.3">
      <c r="A593" t="s">
        <v>33</v>
      </c>
      <c r="B593" t="s">
        <v>46</v>
      </c>
      <c r="C593" t="s">
        <v>84</v>
      </c>
      <c r="D593">
        <v>0.60000000000000009</v>
      </c>
      <c r="E593">
        <v>3.2558333333333329</v>
      </c>
      <c r="F593">
        <v>28.139870918023309</v>
      </c>
      <c r="G593" t="s">
        <v>105</v>
      </c>
      <c r="H593" t="s">
        <v>108</v>
      </c>
    </row>
    <row r="594" spans="1:8" x14ac:dyDescent="0.3">
      <c r="A594" t="s">
        <v>33</v>
      </c>
      <c r="B594" t="s">
        <v>55</v>
      </c>
      <c r="C594" t="s">
        <v>86</v>
      </c>
      <c r="D594">
        <v>0.14460000000000001</v>
      </c>
      <c r="E594">
        <v>11.643000000000001</v>
      </c>
      <c r="F594">
        <v>42.1</v>
      </c>
      <c r="G594" t="s">
        <v>106</v>
      </c>
      <c r="H594" t="s">
        <v>109</v>
      </c>
    </row>
    <row r="595" spans="1:8" x14ac:dyDescent="0.3">
      <c r="A595" t="s">
        <v>33</v>
      </c>
      <c r="B595" t="s">
        <v>55</v>
      </c>
      <c r="C595" t="s">
        <v>88</v>
      </c>
      <c r="D595">
        <v>7.4399999999999994E-2</v>
      </c>
      <c r="E595">
        <v>11.102</v>
      </c>
      <c r="F595">
        <v>42.1</v>
      </c>
      <c r="G595" t="s">
        <v>106</v>
      </c>
      <c r="H595" t="s">
        <v>109</v>
      </c>
    </row>
    <row r="596" spans="1:8" x14ac:dyDescent="0.3">
      <c r="A596" t="s">
        <v>33</v>
      </c>
      <c r="B596" t="s">
        <v>55</v>
      </c>
      <c r="C596" t="s">
        <v>89</v>
      </c>
      <c r="D596">
        <v>7.4800000000000005E-2</v>
      </c>
      <c r="E596">
        <v>0</v>
      </c>
      <c r="F596">
        <v>42.1</v>
      </c>
      <c r="G596" t="s">
        <v>106</v>
      </c>
      <c r="H596" t="s">
        <v>109</v>
      </c>
    </row>
    <row r="597" spans="1:8" x14ac:dyDescent="0.3">
      <c r="A597" t="s">
        <v>33</v>
      </c>
      <c r="B597" t="s">
        <v>55</v>
      </c>
      <c r="C597" t="s">
        <v>90</v>
      </c>
      <c r="D597">
        <v>2.07E-2</v>
      </c>
      <c r="E597">
        <v>15.02100000000001</v>
      </c>
      <c r="F597">
        <v>42.1</v>
      </c>
      <c r="G597" t="s">
        <v>106</v>
      </c>
      <c r="H597" t="s">
        <v>109</v>
      </c>
    </row>
    <row r="598" spans="1:8" x14ac:dyDescent="0.3">
      <c r="A598" t="s">
        <v>33</v>
      </c>
      <c r="B598" t="s">
        <v>55</v>
      </c>
      <c r="C598" t="s">
        <v>91</v>
      </c>
      <c r="D598">
        <v>0.10979999999999999</v>
      </c>
      <c r="E598">
        <v>12.728</v>
      </c>
      <c r="F598">
        <v>42.1</v>
      </c>
      <c r="G598" t="s">
        <v>106</v>
      </c>
      <c r="H598" t="s">
        <v>109</v>
      </c>
    </row>
    <row r="599" spans="1:8" x14ac:dyDescent="0.3">
      <c r="A599" t="s">
        <v>33</v>
      </c>
      <c r="B599" t="s">
        <v>55</v>
      </c>
      <c r="C599" t="s">
        <v>92</v>
      </c>
      <c r="D599">
        <v>0.33494000000000002</v>
      </c>
      <c r="E599">
        <v>11.698</v>
      </c>
      <c r="F599">
        <v>42.1</v>
      </c>
      <c r="G599" t="s">
        <v>106</v>
      </c>
      <c r="H599" t="s">
        <v>109</v>
      </c>
    </row>
    <row r="600" spans="1:8" x14ac:dyDescent="0.3">
      <c r="A600" t="s">
        <v>33</v>
      </c>
      <c r="B600" t="s">
        <v>56</v>
      </c>
      <c r="C600" t="s">
        <v>93</v>
      </c>
      <c r="D600">
        <v>15.5892</v>
      </c>
      <c r="E600">
        <v>2.939759036144578</v>
      </c>
      <c r="F600">
        <v>53.4</v>
      </c>
      <c r="G600" t="s">
        <v>106</v>
      </c>
      <c r="H600" t="s">
        <v>109</v>
      </c>
    </row>
    <row r="601" spans="1:8" x14ac:dyDescent="0.3">
      <c r="A601" t="s">
        <v>33</v>
      </c>
      <c r="B601" t="s">
        <v>47</v>
      </c>
      <c r="C601" t="s">
        <v>68</v>
      </c>
      <c r="D601">
        <v>5.8</v>
      </c>
      <c r="E601">
        <v>8.6225344827586206</v>
      </c>
      <c r="F601">
        <v>23.9</v>
      </c>
      <c r="G601" t="s">
        <v>104</v>
      </c>
      <c r="H601" t="s">
        <v>109</v>
      </c>
    </row>
    <row r="602" spans="1:8" x14ac:dyDescent="0.3">
      <c r="A602" t="s">
        <v>33</v>
      </c>
      <c r="B602" t="s">
        <v>47</v>
      </c>
      <c r="C602" t="s">
        <v>69</v>
      </c>
      <c r="D602">
        <v>8.4</v>
      </c>
      <c r="E602">
        <v>7.8986547619047611</v>
      </c>
      <c r="F602">
        <v>23.9</v>
      </c>
      <c r="G602" t="s">
        <v>104</v>
      </c>
      <c r="H602" t="s">
        <v>109</v>
      </c>
    </row>
    <row r="603" spans="1:8" x14ac:dyDescent="0.3">
      <c r="A603" t="s">
        <v>33</v>
      </c>
      <c r="B603" t="s">
        <v>57</v>
      </c>
      <c r="C603" t="s">
        <v>94</v>
      </c>
      <c r="D603">
        <v>1.5</v>
      </c>
      <c r="E603">
        <v>14.659733333333341</v>
      </c>
      <c r="F603">
        <v>49.1</v>
      </c>
      <c r="G603" t="s">
        <v>104</v>
      </c>
      <c r="H603" t="s">
        <v>109</v>
      </c>
    </row>
    <row r="604" spans="1:8" x14ac:dyDescent="0.3">
      <c r="A604" t="s">
        <v>33</v>
      </c>
      <c r="B604" t="s">
        <v>49</v>
      </c>
      <c r="C604" t="s">
        <v>71</v>
      </c>
      <c r="D604">
        <v>12.20589</v>
      </c>
      <c r="E604">
        <v>3.231765802411787</v>
      </c>
      <c r="F604">
        <v>3.86607608129234</v>
      </c>
      <c r="G604" t="s">
        <v>104</v>
      </c>
      <c r="H604" t="s">
        <v>108</v>
      </c>
    </row>
    <row r="605" spans="1:8" x14ac:dyDescent="0.3">
      <c r="A605" t="s">
        <v>33</v>
      </c>
      <c r="B605" t="s">
        <v>49</v>
      </c>
      <c r="C605" t="s">
        <v>72</v>
      </c>
      <c r="D605">
        <v>2</v>
      </c>
      <c r="E605">
        <v>4.5859000000000014</v>
      </c>
      <c r="F605">
        <v>3.86607608129234</v>
      </c>
      <c r="G605" t="s">
        <v>104</v>
      </c>
      <c r="H605" t="s">
        <v>108</v>
      </c>
    </row>
    <row r="606" spans="1:8" x14ac:dyDescent="0.3">
      <c r="A606" t="s">
        <v>33</v>
      </c>
      <c r="B606" t="s">
        <v>58</v>
      </c>
      <c r="C606" t="s">
        <v>95</v>
      </c>
      <c r="D606">
        <v>4.7828900000000001</v>
      </c>
      <c r="E606">
        <v>2.5110919987706182</v>
      </c>
      <c r="F606">
        <v>2.9521711768407801</v>
      </c>
      <c r="G606" t="s">
        <v>104</v>
      </c>
      <c r="H606" t="s">
        <v>108</v>
      </c>
    </row>
    <row r="607" spans="1:8" x14ac:dyDescent="0.3">
      <c r="A607" t="s">
        <v>33</v>
      </c>
      <c r="B607" t="s">
        <v>50</v>
      </c>
      <c r="C607" t="s">
        <v>73</v>
      </c>
      <c r="D607">
        <v>42.4</v>
      </c>
      <c r="E607">
        <v>5.9100801886792436</v>
      </c>
      <c r="F607">
        <v>20.723404255319149</v>
      </c>
      <c r="G607" t="s">
        <v>105</v>
      </c>
      <c r="H607" t="s">
        <v>108</v>
      </c>
    </row>
    <row r="608" spans="1:8" x14ac:dyDescent="0.3">
      <c r="A608" t="s">
        <v>33</v>
      </c>
      <c r="B608" t="s">
        <v>50</v>
      </c>
      <c r="C608" t="s">
        <v>74</v>
      </c>
      <c r="D608">
        <v>29.3</v>
      </c>
      <c r="E608">
        <v>6.3761365187713306</v>
      </c>
      <c r="F608">
        <v>2.0635593220338988</v>
      </c>
      <c r="G608" t="s">
        <v>105</v>
      </c>
      <c r="H608" t="s">
        <v>108</v>
      </c>
    </row>
    <row r="609" spans="1:8" x14ac:dyDescent="0.3">
      <c r="A609" t="s">
        <v>33</v>
      </c>
      <c r="B609" t="s">
        <v>59</v>
      </c>
      <c r="C609" t="s">
        <v>97</v>
      </c>
      <c r="D609">
        <v>1.66E-2</v>
      </c>
      <c r="E609">
        <v>20.2930005425936</v>
      </c>
      <c r="F609">
        <v>25.7</v>
      </c>
      <c r="G609" t="s">
        <v>107</v>
      </c>
      <c r="H609" t="s">
        <v>109</v>
      </c>
    </row>
    <row r="610" spans="1:8" x14ac:dyDescent="0.3">
      <c r="A610" t="s">
        <v>33</v>
      </c>
      <c r="B610" t="s">
        <v>51</v>
      </c>
      <c r="C610" t="s">
        <v>75</v>
      </c>
      <c r="D610">
        <v>50.882129999999997</v>
      </c>
      <c r="E610">
        <v>5.5639313540507503E-2</v>
      </c>
      <c r="F610">
        <v>11.74</v>
      </c>
      <c r="G610" t="s">
        <v>104</v>
      </c>
      <c r="H610" t="s">
        <v>108</v>
      </c>
    </row>
    <row r="611" spans="1:8" x14ac:dyDescent="0.3">
      <c r="A611" t="s">
        <v>33</v>
      </c>
      <c r="B611" t="s">
        <v>60</v>
      </c>
      <c r="C611" t="s">
        <v>98</v>
      </c>
      <c r="D611">
        <v>0.10360999999999999</v>
      </c>
      <c r="E611">
        <v>12.19119226638024</v>
      </c>
      <c r="F611">
        <v>61.8</v>
      </c>
      <c r="G611" t="s">
        <v>107</v>
      </c>
      <c r="H611" t="s">
        <v>109</v>
      </c>
    </row>
    <row r="612" spans="1:8" x14ac:dyDescent="0.3">
      <c r="A612" t="s">
        <v>33</v>
      </c>
      <c r="B612" t="s">
        <v>52</v>
      </c>
      <c r="C612" t="s">
        <v>76</v>
      </c>
      <c r="D612">
        <v>0.32600000000000001</v>
      </c>
      <c r="E612">
        <v>6.5250000000000004</v>
      </c>
      <c r="F612">
        <v>12.68872359754714</v>
      </c>
      <c r="G612" t="s">
        <v>105</v>
      </c>
      <c r="H612" t="s">
        <v>108</v>
      </c>
    </row>
    <row r="613" spans="1:8" x14ac:dyDescent="0.3">
      <c r="A613" t="s">
        <v>33</v>
      </c>
      <c r="B613" t="s">
        <v>53</v>
      </c>
      <c r="C613" t="s">
        <v>77</v>
      </c>
      <c r="D613">
        <v>0.70000000000000007</v>
      </c>
      <c r="E613">
        <v>4.5864285714285709</v>
      </c>
      <c r="F613">
        <v>3.86607608129234</v>
      </c>
      <c r="G613" t="s">
        <v>104</v>
      </c>
      <c r="H613" t="s">
        <v>108</v>
      </c>
    </row>
    <row r="614" spans="1:8" x14ac:dyDescent="0.3">
      <c r="A614" t="s">
        <v>33</v>
      </c>
      <c r="B614" t="s">
        <v>61</v>
      </c>
      <c r="C614" t="s">
        <v>99</v>
      </c>
      <c r="D614">
        <v>0.8</v>
      </c>
      <c r="E614">
        <v>2.06575</v>
      </c>
      <c r="F614">
        <v>2.9245635910224439</v>
      </c>
      <c r="G614" t="s">
        <v>104</v>
      </c>
      <c r="H614" t="s">
        <v>108</v>
      </c>
    </row>
    <row r="615" spans="1:8" x14ac:dyDescent="0.3">
      <c r="A615" t="s">
        <v>33</v>
      </c>
      <c r="B615" t="s">
        <v>62</v>
      </c>
      <c r="C615" t="s">
        <v>100</v>
      </c>
      <c r="D615">
        <v>0.3</v>
      </c>
      <c r="E615">
        <v>0.43333333333333329</v>
      </c>
      <c r="F615">
        <v>2.6764106050305911</v>
      </c>
      <c r="G615" t="s">
        <v>104</v>
      </c>
      <c r="H615" t="s">
        <v>108</v>
      </c>
    </row>
    <row r="616" spans="1:8" x14ac:dyDescent="0.3">
      <c r="A616" t="s">
        <v>33</v>
      </c>
      <c r="B616" t="s">
        <v>54</v>
      </c>
      <c r="C616" t="s">
        <v>78</v>
      </c>
      <c r="D616">
        <v>4.5</v>
      </c>
      <c r="E616">
        <v>9.5490444444444442</v>
      </c>
      <c r="F616">
        <v>3.86607608129234</v>
      </c>
      <c r="G616" t="s">
        <v>104</v>
      </c>
      <c r="H616" t="s">
        <v>108</v>
      </c>
    </row>
    <row r="617" spans="1:8" x14ac:dyDescent="0.3">
      <c r="A617" t="s">
        <v>34</v>
      </c>
      <c r="B617" t="s">
        <v>47</v>
      </c>
      <c r="C617" t="s">
        <v>101</v>
      </c>
      <c r="D617">
        <v>4.5999999999999996</v>
      </c>
      <c r="E617">
        <v>0</v>
      </c>
      <c r="F617">
        <v>0</v>
      </c>
      <c r="G617" t="s">
        <v>104</v>
      </c>
      <c r="H617" t="s">
        <v>109</v>
      </c>
    </row>
    <row r="618" spans="1:8" x14ac:dyDescent="0.3">
      <c r="A618" t="s">
        <v>34</v>
      </c>
      <c r="B618" t="s">
        <v>57</v>
      </c>
      <c r="C618" t="s">
        <v>94</v>
      </c>
      <c r="D618">
        <v>4.4000000000000004</v>
      </c>
      <c r="E618">
        <v>0</v>
      </c>
      <c r="F618">
        <v>0</v>
      </c>
      <c r="G618" t="s">
        <v>104</v>
      </c>
      <c r="H618" t="s">
        <v>109</v>
      </c>
    </row>
    <row r="619" spans="1:8" x14ac:dyDescent="0.3">
      <c r="A619" t="s">
        <v>34</v>
      </c>
      <c r="B619" t="s">
        <v>49</v>
      </c>
      <c r="C619" t="s">
        <v>71</v>
      </c>
      <c r="D619">
        <v>133.59509</v>
      </c>
      <c r="E619">
        <v>4.6458086814418103</v>
      </c>
      <c r="F619">
        <v>3.86607608129234</v>
      </c>
      <c r="G619" t="s">
        <v>104</v>
      </c>
      <c r="H619" t="s">
        <v>108</v>
      </c>
    </row>
    <row r="620" spans="1:8" x14ac:dyDescent="0.3">
      <c r="A620" t="s">
        <v>34</v>
      </c>
      <c r="B620" t="s">
        <v>49</v>
      </c>
      <c r="C620" t="s">
        <v>72</v>
      </c>
      <c r="D620">
        <v>11.6</v>
      </c>
      <c r="E620">
        <v>3.7137586206896551</v>
      </c>
      <c r="F620">
        <v>3.86607608129234</v>
      </c>
      <c r="G620" t="s">
        <v>104</v>
      </c>
      <c r="H620" t="s">
        <v>108</v>
      </c>
    </row>
    <row r="621" spans="1:8" x14ac:dyDescent="0.3">
      <c r="A621" t="s">
        <v>34</v>
      </c>
      <c r="B621" t="s">
        <v>51</v>
      </c>
      <c r="C621" t="s">
        <v>75</v>
      </c>
      <c r="D621">
        <v>17.731249999999999</v>
      </c>
      <c r="E621">
        <v>3.9498274541487997E-3</v>
      </c>
      <c r="F621">
        <v>11.74</v>
      </c>
      <c r="G621" t="s">
        <v>104</v>
      </c>
      <c r="H621" t="s">
        <v>108</v>
      </c>
    </row>
    <row r="622" spans="1:8" x14ac:dyDescent="0.3">
      <c r="A622" t="s">
        <v>34</v>
      </c>
      <c r="B622" t="s">
        <v>52</v>
      </c>
      <c r="C622" t="s">
        <v>76</v>
      </c>
      <c r="D622">
        <v>0.42</v>
      </c>
      <c r="E622">
        <v>6.5250000000000004</v>
      </c>
      <c r="F622">
        <v>12.68872359754714</v>
      </c>
      <c r="G622" t="s">
        <v>105</v>
      </c>
      <c r="H622" t="s">
        <v>108</v>
      </c>
    </row>
    <row r="623" spans="1:8" x14ac:dyDescent="0.3">
      <c r="A623" t="s">
        <v>34</v>
      </c>
      <c r="B623" t="s">
        <v>53</v>
      </c>
      <c r="C623" t="s">
        <v>77</v>
      </c>
      <c r="D623">
        <v>5.7</v>
      </c>
      <c r="E623">
        <v>3.7135263157894731</v>
      </c>
      <c r="F623">
        <v>3.86607608129234</v>
      </c>
      <c r="G623" t="s">
        <v>104</v>
      </c>
      <c r="H623" t="s">
        <v>108</v>
      </c>
    </row>
    <row r="624" spans="1:8" x14ac:dyDescent="0.3">
      <c r="A624" t="s">
        <v>34</v>
      </c>
      <c r="B624" t="s">
        <v>54</v>
      </c>
      <c r="C624" t="s">
        <v>78</v>
      </c>
      <c r="D624">
        <v>66.099999999999994</v>
      </c>
      <c r="E624">
        <v>7.6458154311649018</v>
      </c>
      <c r="F624">
        <v>3.86607608129234</v>
      </c>
      <c r="G624" t="s">
        <v>104</v>
      </c>
      <c r="H624" t="s">
        <v>108</v>
      </c>
    </row>
    <row r="625" spans="1:8" x14ac:dyDescent="0.3">
      <c r="A625" t="s">
        <v>35</v>
      </c>
      <c r="B625" t="s">
        <v>46</v>
      </c>
      <c r="C625" t="s">
        <v>64</v>
      </c>
      <c r="D625">
        <v>2.1164900000000002</v>
      </c>
      <c r="E625">
        <v>6.6988302330745704</v>
      </c>
      <c r="F625">
        <v>2.9521711768407801</v>
      </c>
      <c r="G625" t="s">
        <v>104</v>
      </c>
      <c r="H625" t="s">
        <v>108</v>
      </c>
    </row>
    <row r="626" spans="1:8" x14ac:dyDescent="0.3">
      <c r="A626" t="s">
        <v>35</v>
      </c>
      <c r="B626" t="s">
        <v>46</v>
      </c>
      <c r="C626" t="s">
        <v>79</v>
      </c>
      <c r="D626">
        <v>112.6</v>
      </c>
      <c r="E626">
        <v>2.661069271758437</v>
      </c>
      <c r="F626">
        <v>6.8428961748633883</v>
      </c>
      <c r="G626" t="s">
        <v>104</v>
      </c>
      <c r="H626" t="s">
        <v>108</v>
      </c>
    </row>
    <row r="627" spans="1:8" x14ac:dyDescent="0.3">
      <c r="A627" t="s">
        <v>35</v>
      </c>
      <c r="B627" t="s">
        <v>46</v>
      </c>
      <c r="C627" t="s">
        <v>65</v>
      </c>
      <c r="D627">
        <v>2.2999999999999998</v>
      </c>
      <c r="E627">
        <v>4.6408695652173906</v>
      </c>
      <c r="F627">
        <v>2.9521711768407801</v>
      </c>
      <c r="G627" t="s">
        <v>104</v>
      </c>
      <c r="H627" t="s">
        <v>108</v>
      </c>
    </row>
    <row r="628" spans="1:8" x14ac:dyDescent="0.3">
      <c r="A628" t="s">
        <v>35</v>
      </c>
      <c r="B628" t="s">
        <v>46</v>
      </c>
      <c r="C628" t="s">
        <v>80</v>
      </c>
      <c r="D628">
        <v>1.1129</v>
      </c>
      <c r="E628">
        <v>0.46459878624409978</v>
      </c>
      <c r="F628">
        <v>28.139870918023309</v>
      </c>
      <c r="G628" t="s">
        <v>105</v>
      </c>
      <c r="H628" t="s">
        <v>108</v>
      </c>
    </row>
    <row r="629" spans="1:8" x14ac:dyDescent="0.3">
      <c r="A629" t="s">
        <v>35</v>
      </c>
      <c r="B629" t="s">
        <v>46</v>
      </c>
      <c r="C629" t="s">
        <v>81</v>
      </c>
      <c r="D629">
        <v>3.6419999999999999</v>
      </c>
      <c r="E629">
        <v>0.69388954171562867</v>
      </c>
      <c r="F629">
        <v>8.9647473560517046</v>
      </c>
      <c r="G629" t="s">
        <v>105</v>
      </c>
      <c r="H629" t="s">
        <v>108</v>
      </c>
    </row>
    <row r="630" spans="1:8" x14ac:dyDescent="0.3">
      <c r="A630" t="s">
        <v>35</v>
      </c>
      <c r="B630" t="s">
        <v>46</v>
      </c>
      <c r="C630" t="s">
        <v>66</v>
      </c>
      <c r="D630">
        <v>8.1999999999999993</v>
      </c>
      <c r="E630">
        <v>2.7439268292682928</v>
      </c>
      <c r="F630">
        <v>6.8428961748633883</v>
      </c>
      <c r="G630" t="s">
        <v>104</v>
      </c>
      <c r="H630" t="s">
        <v>108</v>
      </c>
    </row>
    <row r="631" spans="1:8" x14ac:dyDescent="0.3">
      <c r="A631" t="s">
        <v>35</v>
      </c>
      <c r="B631" t="s">
        <v>46</v>
      </c>
      <c r="C631" t="s">
        <v>82</v>
      </c>
      <c r="D631">
        <v>7.2</v>
      </c>
      <c r="E631">
        <v>1.710652777777778</v>
      </c>
      <c r="F631">
        <v>6.8428961748633883</v>
      </c>
      <c r="G631" t="s">
        <v>104</v>
      </c>
      <c r="H631" t="s">
        <v>108</v>
      </c>
    </row>
    <row r="632" spans="1:8" x14ac:dyDescent="0.3">
      <c r="A632" t="s">
        <v>35</v>
      </c>
      <c r="B632" t="s">
        <v>46</v>
      </c>
      <c r="C632" t="s">
        <v>84</v>
      </c>
      <c r="D632">
        <v>1.7</v>
      </c>
      <c r="E632">
        <v>1.731235294117647</v>
      </c>
      <c r="F632">
        <v>28.139870918023309</v>
      </c>
      <c r="G632" t="s">
        <v>105</v>
      </c>
      <c r="H632" t="s">
        <v>108</v>
      </c>
    </row>
    <row r="633" spans="1:8" x14ac:dyDescent="0.3">
      <c r="A633" t="s">
        <v>35</v>
      </c>
      <c r="B633" t="s">
        <v>55</v>
      </c>
      <c r="C633" t="s">
        <v>86</v>
      </c>
      <c r="D633">
        <v>2.4171</v>
      </c>
      <c r="E633">
        <v>9.7590000000000003</v>
      </c>
      <c r="F633">
        <v>12.6</v>
      </c>
      <c r="G633" t="s">
        <v>106</v>
      </c>
      <c r="H633" t="s">
        <v>109</v>
      </c>
    </row>
    <row r="634" spans="1:8" x14ac:dyDescent="0.3">
      <c r="A634" t="s">
        <v>35</v>
      </c>
      <c r="B634" t="s">
        <v>55</v>
      </c>
      <c r="C634" t="s">
        <v>88</v>
      </c>
      <c r="D634">
        <v>2.3380999999999998</v>
      </c>
      <c r="E634">
        <v>10.297000000000001</v>
      </c>
      <c r="F634">
        <v>12.6</v>
      </c>
      <c r="G634" t="s">
        <v>106</v>
      </c>
      <c r="H634" t="s">
        <v>109</v>
      </c>
    </row>
    <row r="635" spans="1:8" x14ac:dyDescent="0.3">
      <c r="A635" t="s">
        <v>35</v>
      </c>
      <c r="B635" t="s">
        <v>55</v>
      </c>
      <c r="C635" t="s">
        <v>89</v>
      </c>
      <c r="D635">
        <v>6.1899999999999997E-2</v>
      </c>
      <c r="E635">
        <v>0</v>
      </c>
      <c r="F635">
        <v>12.6</v>
      </c>
      <c r="G635" t="s">
        <v>106</v>
      </c>
      <c r="H635" t="s">
        <v>109</v>
      </c>
    </row>
    <row r="636" spans="1:8" x14ac:dyDescent="0.3">
      <c r="A636" t="s">
        <v>35</v>
      </c>
      <c r="B636" t="s">
        <v>55</v>
      </c>
      <c r="C636" t="s">
        <v>90</v>
      </c>
      <c r="D636">
        <v>1.3339000000000001</v>
      </c>
      <c r="E636">
        <v>10.423999999999999</v>
      </c>
      <c r="F636">
        <v>12.6</v>
      </c>
      <c r="G636" t="s">
        <v>106</v>
      </c>
      <c r="H636" t="s">
        <v>109</v>
      </c>
    </row>
    <row r="637" spans="1:8" x14ac:dyDescent="0.3">
      <c r="A637" t="s">
        <v>35</v>
      </c>
      <c r="B637" t="s">
        <v>55</v>
      </c>
      <c r="C637" t="s">
        <v>91</v>
      </c>
      <c r="D637">
        <v>4.1269</v>
      </c>
      <c r="E637">
        <v>8.9329999999999963</v>
      </c>
      <c r="F637">
        <v>12.6</v>
      </c>
      <c r="G637" t="s">
        <v>106</v>
      </c>
      <c r="H637" t="s">
        <v>109</v>
      </c>
    </row>
    <row r="638" spans="1:8" x14ac:dyDescent="0.3">
      <c r="A638" t="s">
        <v>35</v>
      </c>
      <c r="B638" t="s">
        <v>55</v>
      </c>
      <c r="C638" t="s">
        <v>92</v>
      </c>
      <c r="D638">
        <v>2.0031099999999999</v>
      </c>
      <c r="E638">
        <v>10.840999999999999</v>
      </c>
      <c r="F638">
        <v>12.6</v>
      </c>
      <c r="G638" t="s">
        <v>106</v>
      </c>
      <c r="H638" t="s">
        <v>109</v>
      </c>
    </row>
    <row r="639" spans="1:8" x14ac:dyDescent="0.3">
      <c r="A639" t="s">
        <v>35</v>
      </c>
      <c r="B639" t="s">
        <v>56</v>
      </c>
      <c r="C639" t="s">
        <v>93</v>
      </c>
      <c r="D639">
        <v>31.5594</v>
      </c>
      <c r="E639">
        <v>2.9493975903614462</v>
      </c>
      <c r="F639">
        <v>29.5</v>
      </c>
      <c r="G639" t="s">
        <v>106</v>
      </c>
      <c r="H639" t="s">
        <v>109</v>
      </c>
    </row>
    <row r="640" spans="1:8" x14ac:dyDescent="0.3">
      <c r="A640" t="s">
        <v>35</v>
      </c>
      <c r="B640" t="s">
        <v>47</v>
      </c>
      <c r="C640" t="s">
        <v>101</v>
      </c>
      <c r="D640">
        <v>226.1</v>
      </c>
      <c r="E640">
        <v>4.0459898275099517</v>
      </c>
      <c r="F640">
        <v>43.8</v>
      </c>
      <c r="G640" t="s">
        <v>104</v>
      </c>
      <c r="H640" t="s">
        <v>109</v>
      </c>
    </row>
    <row r="641" spans="1:8" x14ac:dyDescent="0.3">
      <c r="A641" t="s">
        <v>35</v>
      </c>
      <c r="B641" t="s">
        <v>57</v>
      </c>
      <c r="C641" t="s">
        <v>94</v>
      </c>
      <c r="D641">
        <v>103.3</v>
      </c>
      <c r="E641">
        <v>8.8413794772507259</v>
      </c>
      <c r="F641">
        <v>19.8</v>
      </c>
      <c r="G641" t="s">
        <v>104</v>
      </c>
      <c r="H641" t="s">
        <v>109</v>
      </c>
    </row>
    <row r="642" spans="1:8" x14ac:dyDescent="0.3">
      <c r="A642" t="s">
        <v>35</v>
      </c>
      <c r="B642" t="s">
        <v>49</v>
      </c>
      <c r="C642" t="s">
        <v>71</v>
      </c>
      <c r="D642">
        <v>509.58843000000002</v>
      </c>
      <c r="E642">
        <v>2.7807163447961321</v>
      </c>
      <c r="F642">
        <v>3.86607608129234</v>
      </c>
      <c r="G642" t="s">
        <v>104</v>
      </c>
      <c r="H642" t="s">
        <v>108</v>
      </c>
    </row>
    <row r="643" spans="1:8" x14ac:dyDescent="0.3">
      <c r="A643" t="s">
        <v>35</v>
      </c>
      <c r="B643" t="s">
        <v>49</v>
      </c>
      <c r="C643" t="s">
        <v>72</v>
      </c>
      <c r="D643">
        <v>25</v>
      </c>
      <c r="E643">
        <v>3.7798440000000002</v>
      </c>
      <c r="F643">
        <v>3.86607608129234</v>
      </c>
      <c r="G643" t="s">
        <v>104</v>
      </c>
      <c r="H643" t="s">
        <v>108</v>
      </c>
    </row>
    <row r="644" spans="1:8" x14ac:dyDescent="0.3">
      <c r="A644" t="s">
        <v>35</v>
      </c>
      <c r="B644" t="s">
        <v>58</v>
      </c>
      <c r="C644" t="s">
        <v>95</v>
      </c>
      <c r="D644">
        <v>38.263120000000001</v>
      </c>
      <c r="E644">
        <v>2.8194687328163508</v>
      </c>
      <c r="F644">
        <v>2.9521711768407801</v>
      </c>
      <c r="G644" t="s">
        <v>104</v>
      </c>
      <c r="H644" t="s">
        <v>108</v>
      </c>
    </row>
    <row r="645" spans="1:8" x14ac:dyDescent="0.3">
      <c r="A645" t="s">
        <v>35</v>
      </c>
      <c r="B645" t="s">
        <v>50</v>
      </c>
      <c r="C645" t="s">
        <v>73</v>
      </c>
      <c r="D645">
        <v>6.2</v>
      </c>
      <c r="E645">
        <v>5.106854838709677</v>
      </c>
      <c r="F645">
        <v>20.723404255319149</v>
      </c>
      <c r="G645" t="s">
        <v>105</v>
      </c>
      <c r="H645" t="s">
        <v>108</v>
      </c>
    </row>
    <row r="646" spans="1:8" x14ac:dyDescent="0.3">
      <c r="A646" t="s">
        <v>35</v>
      </c>
      <c r="B646" t="s">
        <v>50</v>
      </c>
      <c r="C646" t="s">
        <v>74</v>
      </c>
      <c r="D646">
        <v>85.7</v>
      </c>
      <c r="E646">
        <v>3.482845974329055</v>
      </c>
      <c r="F646">
        <v>2.0635593220338988</v>
      </c>
      <c r="G646" t="s">
        <v>105</v>
      </c>
      <c r="H646" t="s">
        <v>108</v>
      </c>
    </row>
    <row r="647" spans="1:8" x14ac:dyDescent="0.3">
      <c r="A647" t="s">
        <v>35</v>
      </c>
      <c r="B647" t="s">
        <v>59</v>
      </c>
      <c r="C647" t="s">
        <v>96</v>
      </c>
      <c r="D647">
        <v>0.1085</v>
      </c>
      <c r="E647">
        <v>18.283000000000001</v>
      </c>
      <c r="F647">
        <v>19.100000000000001</v>
      </c>
      <c r="G647" t="s">
        <v>107</v>
      </c>
      <c r="H647" t="s">
        <v>109</v>
      </c>
    </row>
    <row r="648" spans="1:8" x14ac:dyDescent="0.3">
      <c r="A648" t="s">
        <v>35</v>
      </c>
      <c r="B648" t="s">
        <v>59</v>
      </c>
      <c r="C648" t="s">
        <v>97</v>
      </c>
      <c r="D648">
        <v>0.21859999999999999</v>
      </c>
      <c r="E648">
        <v>19.099294628323381</v>
      </c>
      <c r="F648">
        <v>19.100000000000001</v>
      </c>
      <c r="G648" t="s">
        <v>107</v>
      </c>
      <c r="H648" t="s">
        <v>109</v>
      </c>
    </row>
    <row r="649" spans="1:8" x14ac:dyDescent="0.3">
      <c r="A649" t="s">
        <v>35</v>
      </c>
      <c r="B649" t="s">
        <v>51</v>
      </c>
      <c r="C649" t="s">
        <v>75</v>
      </c>
      <c r="D649">
        <v>22.301880000000001</v>
      </c>
      <c r="E649">
        <v>2.5987808206021099E-3</v>
      </c>
      <c r="F649">
        <v>11.74</v>
      </c>
      <c r="G649" t="s">
        <v>104</v>
      </c>
      <c r="H649" t="s">
        <v>108</v>
      </c>
    </row>
    <row r="650" spans="1:8" x14ac:dyDescent="0.3">
      <c r="A650" t="s">
        <v>35</v>
      </c>
      <c r="B650" t="s">
        <v>60</v>
      </c>
      <c r="C650" t="s">
        <v>98</v>
      </c>
      <c r="D650">
        <v>18.448090000000001</v>
      </c>
      <c r="E650">
        <v>16.165413533834581</v>
      </c>
      <c r="F650">
        <v>46</v>
      </c>
      <c r="G650" t="s">
        <v>107</v>
      </c>
      <c r="H650" t="s">
        <v>109</v>
      </c>
    </row>
    <row r="651" spans="1:8" x14ac:dyDescent="0.3">
      <c r="A651" t="s">
        <v>35</v>
      </c>
      <c r="B651" t="s">
        <v>52</v>
      </c>
      <c r="C651" t="s">
        <v>76</v>
      </c>
      <c r="D651">
        <v>0.91900000000000004</v>
      </c>
      <c r="E651">
        <v>6.5250000000000004</v>
      </c>
      <c r="F651">
        <v>12.68872359754714</v>
      </c>
      <c r="G651" t="s">
        <v>105</v>
      </c>
      <c r="H651" t="s">
        <v>108</v>
      </c>
    </row>
    <row r="652" spans="1:8" x14ac:dyDescent="0.3">
      <c r="A652" t="s">
        <v>35</v>
      </c>
      <c r="B652" t="s">
        <v>53</v>
      </c>
      <c r="C652" t="s">
        <v>77</v>
      </c>
      <c r="D652">
        <v>8.6</v>
      </c>
      <c r="E652">
        <v>3.7798488372093022</v>
      </c>
      <c r="F652">
        <v>3.86607608129234</v>
      </c>
      <c r="G652" t="s">
        <v>104</v>
      </c>
      <c r="H652" t="s">
        <v>108</v>
      </c>
    </row>
    <row r="653" spans="1:8" x14ac:dyDescent="0.3">
      <c r="A653" t="s">
        <v>35</v>
      </c>
      <c r="B653" t="s">
        <v>61</v>
      </c>
      <c r="C653" t="s">
        <v>99</v>
      </c>
      <c r="D653">
        <v>32.4</v>
      </c>
      <c r="E653">
        <v>1.4042469135802469</v>
      </c>
      <c r="F653">
        <v>2.9245635910224439</v>
      </c>
      <c r="G653" t="s">
        <v>104</v>
      </c>
      <c r="H653" t="s">
        <v>108</v>
      </c>
    </row>
    <row r="654" spans="1:8" x14ac:dyDescent="0.3">
      <c r="A654" t="s">
        <v>35</v>
      </c>
      <c r="B654" t="s">
        <v>62</v>
      </c>
      <c r="C654" t="s">
        <v>100</v>
      </c>
      <c r="D654">
        <v>5.3</v>
      </c>
      <c r="E654">
        <v>9.0566037735849064E-2</v>
      </c>
      <c r="F654">
        <v>2.6764106050305911</v>
      </c>
      <c r="G654" t="s">
        <v>104</v>
      </c>
      <c r="H654" t="s">
        <v>108</v>
      </c>
    </row>
    <row r="655" spans="1:8" x14ac:dyDescent="0.3">
      <c r="A655" t="s">
        <v>35</v>
      </c>
      <c r="B655" t="s">
        <v>54</v>
      </c>
      <c r="C655" t="s">
        <v>78</v>
      </c>
      <c r="D655">
        <v>178.1</v>
      </c>
      <c r="E655">
        <v>3.7242459292532288</v>
      </c>
      <c r="F655">
        <v>3.86607608129234</v>
      </c>
      <c r="G655" t="s">
        <v>104</v>
      </c>
      <c r="H655" t="s">
        <v>108</v>
      </c>
    </row>
    <row r="656" spans="1:8" x14ac:dyDescent="0.3">
      <c r="A656" t="s">
        <v>36</v>
      </c>
      <c r="B656" t="s">
        <v>46</v>
      </c>
      <c r="C656" t="s">
        <v>63</v>
      </c>
      <c r="D656">
        <v>0.95459999999999989</v>
      </c>
      <c r="E656">
        <v>2.9286474973375931</v>
      </c>
      <c r="F656">
        <v>3.950479233226837</v>
      </c>
      <c r="G656" t="s">
        <v>104</v>
      </c>
      <c r="H656" t="s">
        <v>108</v>
      </c>
    </row>
    <row r="657" spans="1:8" x14ac:dyDescent="0.3">
      <c r="A657" t="s">
        <v>36</v>
      </c>
      <c r="B657" t="s">
        <v>46</v>
      </c>
      <c r="C657" t="s">
        <v>64</v>
      </c>
      <c r="D657">
        <v>0.24068000000000001</v>
      </c>
      <c r="E657">
        <v>6.8549982964932683</v>
      </c>
      <c r="F657">
        <v>2.9521711768407801</v>
      </c>
      <c r="G657" t="s">
        <v>104</v>
      </c>
      <c r="H657" t="s">
        <v>108</v>
      </c>
    </row>
    <row r="658" spans="1:8" x14ac:dyDescent="0.3">
      <c r="A658" t="s">
        <v>36</v>
      </c>
      <c r="B658" t="s">
        <v>46</v>
      </c>
      <c r="C658" t="s">
        <v>65</v>
      </c>
      <c r="D658">
        <v>1.2</v>
      </c>
      <c r="E658">
        <v>4.4943333333333344</v>
      </c>
      <c r="F658">
        <v>2.9521711768407801</v>
      </c>
      <c r="G658" t="s">
        <v>104</v>
      </c>
      <c r="H658" t="s">
        <v>108</v>
      </c>
    </row>
    <row r="659" spans="1:8" x14ac:dyDescent="0.3">
      <c r="A659" t="s">
        <v>36</v>
      </c>
      <c r="B659" t="s">
        <v>46</v>
      </c>
      <c r="C659" t="s">
        <v>102</v>
      </c>
      <c r="D659">
        <v>0.2</v>
      </c>
      <c r="E659">
        <v>4.1749999999999998</v>
      </c>
      <c r="F659">
        <v>2.9521711768407801</v>
      </c>
      <c r="G659" t="s">
        <v>104</v>
      </c>
      <c r="H659" t="s">
        <v>108</v>
      </c>
    </row>
    <row r="660" spans="1:8" x14ac:dyDescent="0.3">
      <c r="A660" t="s">
        <v>36</v>
      </c>
      <c r="B660" t="s">
        <v>46</v>
      </c>
      <c r="C660" t="s">
        <v>80</v>
      </c>
      <c r="D660">
        <v>0.1857</v>
      </c>
      <c r="E660">
        <v>0.36952124072825349</v>
      </c>
      <c r="F660">
        <v>28.139870918023309</v>
      </c>
      <c r="G660" t="s">
        <v>105</v>
      </c>
      <c r="H660" t="s">
        <v>108</v>
      </c>
    </row>
    <row r="661" spans="1:8" x14ac:dyDescent="0.3">
      <c r="A661" t="s">
        <v>36</v>
      </c>
      <c r="B661" t="s">
        <v>46</v>
      </c>
      <c r="C661" t="s">
        <v>81</v>
      </c>
      <c r="D661">
        <v>0.77140000000000009</v>
      </c>
      <c r="E661">
        <v>1.463572267920094</v>
      </c>
      <c r="F661">
        <v>8.9647473560517046</v>
      </c>
      <c r="G661" t="s">
        <v>105</v>
      </c>
      <c r="H661" t="s">
        <v>108</v>
      </c>
    </row>
    <row r="662" spans="1:8" x14ac:dyDescent="0.3">
      <c r="A662" t="s">
        <v>36</v>
      </c>
      <c r="B662" t="s">
        <v>46</v>
      </c>
      <c r="C662" t="s">
        <v>66</v>
      </c>
      <c r="D662">
        <v>1.1000000000000001</v>
      </c>
      <c r="E662">
        <v>2.432818181818182</v>
      </c>
      <c r="F662">
        <v>6.8428961748633883</v>
      </c>
      <c r="G662" t="s">
        <v>104</v>
      </c>
      <c r="H662" t="s">
        <v>108</v>
      </c>
    </row>
    <row r="663" spans="1:8" x14ac:dyDescent="0.3">
      <c r="A663" t="s">
        <v>36</v>
      </c>
      <c r="B663" t="s">
        <v>46</v>
      </c>
      <c r="C663" t="s">
        <v>67</v>
      </c>
      <c r="D663">
        <v>2.4</v>
      </c>
      <c r="E663">
        <v>5.5377916666666671</v>
      </c>
      <c r="F663">
        <v>2.9521711768407801</v>
      </c>
      <c r="G663" t="s">
        <v>104</v>
      </c>
      <c r="H663" t="s">
        <v>108</v>
      </c>
    </row>
    <row r="664" spans="1:8" x14ac:dyDescent="0.3">
      <c r="A664" t="s">
        <v>36</v>
      </c>
      <c r="B664" t="s">
        <v>46</v>
      </c>
      <c r="C664" t="s">
        <v>82</v>
      </c>
      <c r="D664">
        <v>0.4</v>
      </c>
      <c r="E664">
        <v>1.542</v>
      </c>
      <c r="F664">
        <v>6.8428961748633883</v>
      </c>
      <c r="G664" t="s">
        <v>104</v>
      </c>
      <c r="H664" t="s">
        <v>108</v>
      </c>
    </row>
    <row r="665" spans="1:8" x14ac:dyDescent="0.3">
      <c r="A665" t="s">
        <v>36</v>
      </c>
      <c r="B665" t="s">
        <v>46</v>
      </c>
      <c r="C665" t="s">
        <v>83</v>
      </c>
      <c r="D665">
        <v>0.94825000000000004</v>
      </c>
      <c r="E665">
        <v>2.266966770366464</v>
      </c>
      <c r="F665">
        <v>6.8428961748633883</v>
      </c>
      <c r="G665" t="s">
        <v>104</v>
      </c>
      <c r="H665" t="s">
        <v>108</v>
      </c>
    </row>
    <row r="666" spans="1:8" x14ac:dyDescent="0.3">
      <c r="A666" t="s">
        <v>36</v>
      </c>
      <c r="B666" t="s">
        <v>46</v>
      </c>
      <c r="C666" t="s">
        <v>85</v>
      </c>
      <c r="D666">
        <v>1.4</v>
      </c>
      <c r="E666">
        <v>3.2915714285714279</v>
      </c>
      <c r="F666">
        <v>2.9521711768407801</v>
      </c>
      <c r="G666" t="s">
        <v>104</v>
      </c>
      <c r="H666" t="s">
        <v>108</v>
      </c>
    </row>
    <row r="667" spans="1:8" x14ac:dyDescent="0.3">
      <c r="A667" t="s">
        <v>36</v>
      </c>
      <c r="B667" t="s">
        <v>55</v>
      </c>
      <c r="C667" t="s">
        <v>86</v>
      </c>
      <c r="D667">
        <v>6.6299999999999998E-2</v>
      </c>
      <c r="E667">
        <v>13.714</v>
      </c>
      <c r="F667">
        <v>22.9</v>
      </c>
      <c r="G667" t="s">
        <v>106</v>
      </c>
      <c r="H667" t="s">
        <v>109</v>
      </c>
    </row>
    <row r="668" spans="1:8" x14ac:dyDescent="0.3">
      <c r="A668" t="s">
        <v>36</v>
      </c>
      <c r="B668" t="s">
        <v>55</v>
      </c>
      <c r="C668" t="s">
        <v>88</v>
      </c>
      <c r="D668">
        <v>0.11360000000000001</v>
      </c>
      <c r="E668">
        <v>12.385</v>
      </c>
      <c r="F668">
        <v>22.9</v>
      </c>
      <c r="G668" t="s">
        <v>106</v>
      </c>
      <c r="H668" t="s">
        <v>109</v>
      </c>
    </row>
    <row r="669" spans="1:8" x14ac:dyDescent="0.3">
      <c r="A669" t="s">
        <v>36</v>
      </c>
      <c r="B669" t="s">
        <v>56</v>
      </c>
      <c r="C669" t="s">
        <v>93</v>
      </c>
      <c r="D669">
        <v>0.22189999999999999</v>
      </c>
      <c r="E669">
        <v>2.939759036144578</v>
      </c>
      <c r="F669">
        <v>26.7</v>
      </c>
      <c r="G669" t="s">
        <v>106</v>
      </c>
      <c r="H669" t="s">
        <v>109</v>
      </c>
    </row>
    <row r="670" spans="1:8" x14ac:dyDescent="0.3">
      <c r="A670" t="s">
        <v>36</v>
      </c>
      <c r="B670" t="s">
        <v>47</v>
      </c>
      <c r="C670" t="s">
        <v>68</v>
      </c>
      <c r="D670">
        <v>22.3</v>
      </c>
      <c r="E670">
        <v>4.3394304932735421</v>
      </c>
      <c r="F670">
        <v>8.1</v>
      </c>
      <c r="G670" t="s">
        <v>104</v>
      </c>
      <c r="H670" t="s">
        <v>109</v>
      </c>
    </row>
    <row r="671" spans="1:8" x14ac:dyDescent="0.3">
      <c r="A671" t="s">
        <v>36</v>
      </c>
      <c r="B671" t="s">
        <v>47</v>
      </c>
      <c r="C671" t="s">
        <v>69</v>
      </c>
      <c r="D671">
        <v>13.7</v>
      </c>
      <c r="E671">
        <v>4.7114817518248184</v>
      </c>
      <c r="F671">
        <v>8.1</v>
      </c>
      <c r="G671" t="s">
        <v>104</v>
      </c>
      <c r="H671" t="s">
        <v>109</v>
      </c>
    </row>
    <row r="672" spans="1:8" x14ac:dyDescent="0.3">
      <c r="A672" t="s">
        <v>36</v>
      </c>
      <c r="B672" t="s">
        <v>48</v>
      </c>
      <c r="C672" t="s">
        <v>70</v>
      </c>
      <c r="D672">
        <v>5.6999999999999993</v>
      </c>
      <c r="E672">
        <v>11.241</v>
      </c>
      <c r="F672">
        <v>0</v>
      </c>
      <c r="G672" t="s">
        <v>104</v>
      </c>
      <c r="H672" t="s">
        <v>109</v>
      </c>
    </row>
    <row r="673" spans="1:8" x14ac:dyDescent="0.3">
      <c r="A673" t="s">
        <v>36</v>
      </c>
      <c r="B673" t="s">
        <v>49</v>
      </c>
      <c r="C673" t="s">
        <v>71</v>
      </c>
      <c r="D673">
        <v>132.1294</v>
      </c>
      <c r="E673">
        <v>5.2360594055524361</v>
      </c>
      <c r="F673">
        <v>3.86607608129234</v>
      </c>
      <c r="G673" t="s">
        <v>104</v>
      </c>
      <c r="H673" t="s">
        <v>108</v>
      </c>
    </row>
    <row r="674" spans="1:8" x14ac:dyDescent="0.3">
      <c r="A674" t="s">
        <v>36</v>
      </c>
      <c r="B674" t="s">
        <v>49</v>
      </c>
      <c r="C674" t="s">
        <v>72</v>
      </c>
      <c r="D674">
        <v>3.5</v>
      </c>
      <c r="E674">
        <v>4.1932285714285724</v>
      </c>
      <c r="F674">
        <v>3.86607608129234</v>
      </c>
      <c r="G674" t="s">
        <v>104</v>
      </c>
      <c r="H674" t="s">
        <v>108</v>
      </c>
    </row>
    <row r="675" spans="1:8" x14ac:dyDescent="0.3">
      <c r="A675" t="s">
        <v>36</v>
      </c>
      <c r="B675" t="s">
        <v>58</v>
      </c>
      <c r="C675" t="s">
        <v>95</v>
      </c>
      <c r="D675">
        <v>10.932320000000001</v>
      </c>
      <c r="E675">
        <v>2.661</v>
      </c>
      <c r="F675">
        <v>2.9521711768407801</v>
      </c>
      <c r="G675" t="s">
        <v>104</v>
      </c>
      <c r="H675" t="s">
        <v>108</v>
      </c>
    </row>
    <row r="676" spans="1:8" x14ac:dyDescent="0.3">
      <c r="A676" t="s">
        <v>36</v>
      </c>
      <c r="B676" t="s">
        <v>50</v>
      </c>
      <c r="C676" t="s">
        <v>73</v>
      </c>
      <c r="D676">
        <v>2.6</v>
      </c>
      <c r="E676">
        <v>5.0742307692307689</v>
      </c>
      <c r="F676">
        <v>20.723404255319149</v>
      </c>
      <c r="G676" t="s">
        <v>105</v>
      </c>
      <c r="H676" t="s">
        <v>108</v>
      </c>
    </row>
    <row r="677" spans="1:8" x14ac:dyDescent="0.3">
      <c r="A677" t="s">
        <v>36</v>
      </c>
      <c r="B677" t="s">
        <v>50</v>
      </c>
      <c r="C677" t="s">
        <v>74</v>
      </c>
      <c r="D677">
        <v>29.9</v>
      </c>
      <c r="E677">
        <v>3.7763377926421411</v>
      </c>
      <c r="F677">
        <v>2.0635593220338988</v>
      </c>
      <c r="G677" t="s">
        <v>105</v>
      </c>
      <c r="H677" t="s">
        <v>108</v>
      </c>
    </row>
    <row r="678" spans="1:8" x14ac:dyDescent="0.3">
      <c r="A678" t="s">
        <v>36</v>
      </c>
      <c r="B678" t="s">
        <v>59</v>
      </c>
      <c r="C678" t="s">
        <v>97</v>
      </c>
      <c r="D678">
        <v>1.0636000000000001</v>
      </c>
      <c r="E678">
        <v>36.353771025501899</v>
      </c>
      <c r="F678">
        <v>36.299999999999997</v>
      </c>
      <c r="G678" t="s">
        <v>107</v>
      </c>
      <c r="H678" t="s">
        <v>109</v>
      </c>
    </row>
    <row r="679" spans="1:8" x14ac:dyDescent="0.3">
      <c r="A679" t="s">
        <v>36</v>
      </c>
      <c r="B679" t="s">
        <v>51</v>
      </c>
      <c r="C679" t="s">
        <v>75</v>
      </c>
      <c r="D679">
        <v>11.59877</v>
      </c>
      <c r="E679">
        <v>4.5662088836647902E-3</v>
      </c>
      <c r="F679">
        <v>11.74</v>
      </c>
      <c r="G679" t="s">
        <v>104</v>
      </c>
      <c r="H679" t="s">
        <v>108</v>
      </c>
    </row>
    <row r="680" spans="1:8" x14ac:dyDescent="0.3">
      <c r="A680" t="s">
        <v>36</v>
      </c>
      <c r="B680" t="s">
        <v>52</v>
      </c>
      <c r="C680" t="s">
        <v>76</v>
      </c>
      <c r="D680">
        <v>0.46899999999999997</v>
      </c>
      <c r="E680">
        <v>6.5250000000000004</v>
      </c>
      <c r="F680">
        <v>12.68872359754714</v>
      </c>
      <c r="G680" t="s">
        <v>105</v>
      </c>
      <c r="H680" t="s">
        <v>108</v>
      </c>
    </row>
    <row r="681" spans="1:8" x14ac:dyDescent="0.3">
      <c r="A681" t="s">
        <v>36</v>
      </c>
      <c r="B681" t="s">
        <v>53</v>
      </c>
      <c r="C681" t="s">
        <v>77</v>
      </c>
      <c r="D681">
        <v>0.9</v>
      </c>
      <c r="E681">
        <v>4.1936666666666662</v>
      </c>
      <c r="F681">
        <v>3.86607608129234</v>
      </c>
      <c r="G681" t="s">
        <v>104</v>
      </c>
      <c r="H681" t="s">
        <v>108</v>
      </c>
    </row>
    <row r="682" spans="1:8" x14ac:dyDescent="0.3">
      <c r="A682" t="s">
        <v>36</v>
      </c>
      <c r="B682" t="s">
        <v>61</v>
      </c>
      <c r="C682" t="s">
        <v>99</v>
      </c>
      <c r="D682">
        <v>8.8000000000000007</v>
      </c>
      <c r="E682">
        <v>1.9753068181818181</v>
      </c>
      <c r="F682">
        <v>2.9245635910224439</v>
      </c>
      <c r="G682" t="s">
        <v>104</v>
      </c>
      <c r="H682" t="s">
        <v>108</v>
      </c>
    </row>
    <row r="683" spans="1:8" x14ac:dyDescent="0.3">
      <c r="A683" t="s">
        <v>36</v>
      </c>
      <c r="B683" t="s">
        <v>62</v>
      </c>
      <c r="C683" t="s">
        <v>100</v>
      </c>
      <c r="D683">
        <v>1.9</v>
      </c>
      <c r="E683">
        <v>0.80526315789473701</v>
      </c>
      <c r="F683">
        <v>2.6764106050305911</v>
      </c>
      <c r="G683" t="s">
        <v>104</v>
      </c>
      <c r="H683" t="s">
        <v>108</v>
      </c>
    </row>
    <row r="684" spans="1:8" x14ac:dyDescent="0.3">
      <c r="A684" t="s">
        <v>36</v>
      </c>
      <c r="B684" t="s">
        <v>54</v>
      </c>
      <c r="C684" t="s">
        <v>78</v>
      </c>
      <c r="D684">
        <v>33.9</v>
      </c>
      <c r="E684">
        <v>8.8140825958702056</v>
      </c>
      <c r="F684">
        <v>3.86607608129234</v>
      </c>
      <c r="G684" t="s">
        <v>104</v>
      </c>
      <c r="H684" t="s">
        <v>108</v>
      </c>
    </row>
    <row r="685" spans="1:8" x14ac:dyDescent="0.3">
      <c r="A685" t="s">
        <v>37</v>
      </c>
      <c r="B685" t="s">
        <v>46</v>
      </c>
      <c r="C685" t="s">
        <v>64</v>
      </c>
      <c r="D685">
        <v>0.65366000000000002</v>
      </c>
      <c r="E685">
        <v>6.4670947128476568</v>
      </c>
      <c r="F685">
        <v>2.9521711768407801</v>
      </c>
      <c r="G685" t="s">
        <v>104</v>
      </c>
      <c r="H685" t="s">
        <v>108</v>
      </c>
    </row>
    <row r="686" spans="1:8" x14ac:dyDescent="0.3">
      <c r="A686" t="s">
        <v>37</v>
      </c>
      <c r="B686" t="s">
        <v>46</v>
      </c>
      <c r="C686" t="s">
        <v>79</v>
      </c>
      <c r="D686">
        <v>33.299999999999997</v>
      </c>
      <c r="E686">
        <v>2.7162072072072081</v>
      </c>
      <c r="F686">
        <v>6.8428961748633883</v>
      </c>
      <c r="G686" t="s">
        <v>104</v>
      </c>
      <c r="H686" t="s">
        <v>108</v>
      </c>
    </row>
    <row r="687" spans="1:8" x14ac:dyDescent="0.3">
      <c r="A687" t="s">
        <v>37</v>
      </c>
      <c r="B687" t="s">
        <v>46</v>
      </c>
      <c r="C687" t="s">
        <v>65</v>
      </c>
      <c r="D687">
        <v>1.1000000000000001</v>
      </c>
      <c r="E687">
        <v>4.0394545454545456</v>
      </c>
      <c r="F687">
        <v>2.9521711768407801</v>
      </c>
      <c r="G687" t="s">
        <v>104</v>
      </c>
      <c r="H687" t="s">
        <v>108</v>
      </c>
    </row>
    <row r="688" spans="1:8" x14ac:dyDescent="0.3">
      <c r="A688" t="s">
        <v>37</v>
      </c>
      <c r="B688" t="s">
        <v>46</v>
      </c>
      <c r="C688" t="s">
        <v>80</v>
      </c>
      <c r="D688">
        <v>0.99490000000000001</v>
      </c>
      <c r="E688">
        <v>1.7687120701281189</v>
      </c>
      <c r="F688">
        <v>28.139870918023309</v>
      </c>
      <c r="G688" t="s">
        <v>105</v>
      </c>
      <c r="H688" t="s">
        <v>108</v>
      </c>
    </row>
    <row r="689" spans="1:8" x14ac:dyDescent="0.3">
      <c r="A689" t="s">
        <v>37</v>
      </c>
      <c r="B689" t="s">
        <v>46</v>
      </c>
      <c r="C689" t="s">
        <v>81</v>
      </c>
      <c r="D689">
        <v>0.89300000000000002</v>
      </c>
      <c r="E689">
        <v>3.96180963572268</v>
      </c>
      <c r="F689">
        <v>8.9647473560517046</v>
      </c>
      <c r="G689" t="s">
        <v>105</v>
      </c>
      <c r="H689" t="s">
        <v>108</v>
      </c>
    </row>
    <row r="690" spans="1:8" x14ac:dyDescent="0.3">
      <c r="A690" t="s">
        <v>37</v>
      </c>
      <c r="B690" t="s">
        <v>46</v>
      </c>
      <c r="C690" t="s">
        <v>66</v>
      </c>
      <c r="D690">
        <v>28.5</v>
      </c>
      <c r="E690">
        <v>2.8021508771929819</v>
      </c>
      <c r="F690">
        <v>6.8428961748633883</v>
      </c>
      <c r="G690" t="s">
        <v>104</v>
      </c>
      <c r="H690" t="s">
        <v>108</v>
      </c>
    </row>
    <row r="691" spans="1:8" x14ac:dyDescent="0.3">
      <c r="A691" t="s">
        <v>37</v>
      </c>
      <c r="B691" t="s">
        <v>46</v>
      </c>
      <c r="C691" t="s">
        <v>82</v>
      </c>
      <c r="D691">
        <v>12.5</v>
      </c>
      <c r="E691">
        <v>1.7316720000000001</v>
      </c>
      <c r="F691">
        <v>6.8428961748633883</v>
      </c>
      <c r="G691" t="s">
        <v>104</v>
      </c>
      <c r="H691" t="s">
        <v>108</v>
      </c>
    </row>
    <row r="692" spans="1:8" x14ac:dyDescent="0.3">
      <c r="A692" t="s">
        <v>37</v>
      </c>
      <c r="B692" t="s">
        <v>46</v>
      </c>
      <c r="C692" t="s">
        <v>83</v>
      </c>
      <c r="D692">
        <v>0.30008000000000001</v>
      </c>
      <c r="E692">
        <v>2.6574909690749129</v>
      </c>
      <c r="F692">
        <v>6.8428961748633883</v>
      </c>
      <c r="G692" t="s">
        <v>104</v>
      </c>
      <c r="H692" t="s">
        <v>108</v>
      </c>
    </row>
    <row r="693" spans="1:8" x14ac:dyDescent="0.3">
      <c r="A693" t="s">
        <v>37</v>
      </c>
      <c r="B693" t="s">
        <v>46</v>
      </c>
      <c r="C693" t="s">
        <v>84</v>
      </c>
      <c r="D693">
        <v>0.5</v>
      </c>
      <c r="E693">
        <v>1.6617999999999999</v>
      </c>
      <c r="F693">
        <v>28.139870918023309</v>
      </c>
      <c r="G693" t="s">
        <v>105</v>
      </c>
      <c r="H693" t="s">
        <v>108</v>
      </c>
    </row>
    <row r="694" spans="1:8" x14ac:dyDescent="0.3">
      <c r="A694" t="s">
        <v>37</v>
      </c>
      <c r="B694" t="s">
        <v>46</v>
      </c>
      <c r="C694" t="s">
        <v>85</v>
      </c>
      <c r="D694">
        <v>1.4</v>
      </c>
      <c r="E694">
        <v>3.8930000000000011</v>
      </c>
      <c r="F694">
        <v>2.9521711768407801</v>
      </c>
      <c r="G694" t="s">
        <v>104</v>
      </c>
      <c r="H694" t="s">
        <v>108</v>
      </c>
    </row>
    <row r="695" spans="1:8" x14ac:dyDescent="0.3">
      <c r="A695" t="s">
        <v>37</v>
      </c>
      <c r="B695" t="s">
        <v>55</v>
      </c>
      <c r="C695" t="s">
        <v>86</v>
      </c>
      <c r="D695">
        <v>2.0528</v>
      </c>
      <c r="E695">
        <v>13.375</v>
      </c>
      <c r="F695">
        <v>8.6999999999999993</v>
      </c>
      <c r="G695" t="s">
        <v>106</v>
      </c>
      <c r="H695" t="s">
        <v>109</v>
      </c>
    </row>
    <row r="696" spans="1:8" x14ac:dyDescent="0.3">
      <c r="A696" t="s">
        <v>37</v>
      </c>
      <c r="B696" t="s">
        <v>55</v>
      </c>
      <c r="C696" t="s">
        <v>87</v>
      </c>
      <c r="D696">
        <v>0.14499999999999999</v>
      </c>
      <c r="E696">
        <v>12.215999999999999</v>
      </c>
      <c r="F696">
        <v>8.6999999999999993</v>
      </c>
      <c r="G696" t="s">
        <v>106</v>
      </c>
      <c r="H696" t="s">
        <v>109</v>
      </c>
    </row>
    <row r="697" spans="1:8" x14ac:dyDescent="0.3">
      <c r="A697" t="s">
        <v>37</v>
      </c>
      <c r="B697" t="s">
        <v>55</v>
      </c>
      <c r="C697" t="s">
        <v>88</v>
      </c>
      <c r="D697">
        <v>15.3911</v>
      </c>
      <c r="E697">
        <v>17.085000000000001</v>
      </c>
      <c r="F697">
        <v>8.6999999999999993</v>
      </c>
      <c r="G697" t="s">
        <v>106</v>
      </c>
      <c r="H697" t="s">
        <v>109</v>
      </c>
    </row>
    <row r="698" spans="1:8" x14ac:dyDescent="0.3">
      <c r="A698" t="s">
        <v>37</v>
      </c>
      <c r="B698" t="s">
        <v>55</v>
      </c>
      <c r="C698" t="s">
        <v>89</v>
      </c>
      <c r="D698">
        <v>5.4999999999999997E-3</v>
      </c>
      <c r="E698">
        <v>0</v>
      </c>
      <c r="F698">
        <v>8.6999999999999993</v>
      </c>
      <c r="G698" t="s">
        <v>106</v>
      </c>
      <c r="H698" t="s">
        <v>109</v>
      </c>
    </row>
    <row r="699" spans="1:8" x14ac:dyDescent="0.3">
      <c r="A699" t="s">
        <v>37</v>
      </c>
      <c r="B699" t="s">
        <v>55</v>
      </c>
      <c r="C699" t="s">
        <v>92</v>
      </c>
      <c r="D699">
        <v>1.9917400000000001</v>
      </c>
      <c r="E699">
        <v>12.215999999999999</v>
      </c>
      <c r="F699">
        <v>8.6999999999999993</v>
      </c>
      <c r="G699" t="s">
        <v>106</v>
      </c>
      <c r="H699" t="s">
        <v>109</v>
      </c>
    </row>
    <row r="700" spans="1:8" x14ac:dyDescent="0.3">
      <c r="A700" t="s">
        <v>37</v>
      </c>
      <c r="B700" t="s">
        <v>56</v>
      </c>
      <c r="C700" t="s">
        <v>93</v>
      </c>
      <c r="D700">
        <v>10.8886</v>
      </c>
      <c r="E700">
        <v>2.9493975903614462</v>
      </c>
      <c r="F700">
        <v>34</v>
      </c>
      <c r="G700" t="s">
        <v>106</v>
      </c>
      <c r="H700" t="s">
        <v>109</v>
      </c>
    </row>
    <row r="701" spans="1:8" x14ac:dyDescent="0.3">
      <c r="A701" t="s">
        <v>37</v>
      </c>
      <c r="B701" t="s">
        <v>47</v>
      </c>
      <c r="C701" t="s">
        <v>68</v>
      </c>
      <c r="D701">
        <v>185.3</v>
      </c>
      <c r="E701">
        <v>2.7094365893146239</v>
      </c>
      <c r="F701">
        <v>16.600000000000001</v>
      </c>
      <c r="G701" t="s">
        <v>104</v>
      </c>
      <c r="H701" t="s">
        <v>109</v>
      </c>
    </row>
    <row r="702" spans="1:8" x14ac:dyDescent="0.3">
      <c r="A702" t="s">
        <v>37</v>
      </c>
      <c r="B702" t="s">
        <v>47</v>
      </c>
      <c r="C702" t="s">
        <v>69</v>
      </c>
      <c r="D702">
        <v>187.4</v>
      </c>
      <c r="E702">
        <v>2.4560053361792962</v>
      </c>
      <c r="F702">
        <v>16.600000000000001</v>
      </c>
      <c r="G702" t="s">
        <v>104</v>
      </c>
      <c r="H702" t="s">
        <v>109</v>
      </c>
    </row>
    <row r="703" spans="1:8" x14ac:dyDescent="0.3">
      <c r="A703" t="s">
        <v>37</v>
      </c>
      <c r="B703" t="s">
        <v>57</v>
      </c>
      <c r="C703" t="s">
        <v>94</v>
      </c>
      <c r="D703">
        <v>82.2</v>
      </c>
      <c r="E703">
        <v>6.7958771289537703</v>
      </c>
      <c r="F703">
        <v>16.600000000000001</v>
      </c>
      <c r="G703" t="s">
        <v>104</v>
      </c>
      <c r="H703" t="s">
        <v>109</v>
      </c>
    </row>
    <row r="704" spans="1:8" x14ac:dyDescent="0.3">
      <c r="A704" t="s">
        <v>37</v>
      </c>
      <c r="B704" t="s">
        <v>49</v>
      </c>
      <c r="C704" t="s">
        <v>71</v>
      </c>
      <c r="D704">
        <v>335.26348000000002</v>
      </c>
      <c r="E704">
        <v>2.2363365822606149</v>
      </c>
      <c r="F704">
        <v>3.86607608129234</v>
      </c>
      <c r="G704" t="s">
        <v>104</v>
      </c>
      <c r="H704" t="s">
        <v>108</v>
      </c>
    </row>
    <row r="705" spans="1:8" x14ac:dyDescent="0.3">
      <c r="A705" t="s">
        <v>37</v>
      </c>
      <c r="B705" t="s">
        <v>49</v>
      </c>
      <c r="C705" t="s">
        <v>72</v>
      </c>
      <c r="D705">
        <v>20.399999999999999</v>
      </c>
      <c r="E705">
        <v>3.0241813725490201</v>
      </c>
      <c r="F705">
        <v>3.86607608129234</v>
      </c>
      <c r="G705" t="s">
        <v>104</v>
      </c>
      <c r="H705" t="s">
        <v>108</v>
      </c>
    </row>
    <row r="706" spans="1:8" x14ac:dyDescent="0.3">
      <c r="A706" t="s">
        <v>37</v>
      </c>
      <c r="B706" t="s">
        <v>58</v>
      </c>
      <c r="C706" t="s">
        <v>95</v>
      </c>
      <c r="D706">
        <v>40.283470000000001</v>
      </c>
      <c r="E706">
        <v>2.661</v>
      </c>
      <c r="F706">
        <v>2.9521711768407801</v>
      </c>
      <c r="G706" t="s">
        <v>104</v>
      </c>
      <c r="H706" t="s">
        <v>108</v>
      </c>
    </row>
    <row r="707" spans="1:8" x14ac:dyDescent="0.3">
      <c r="A707" t="s">
        <v>37</v>
      </c>
      <c r="B707" t="s">
        <v>50</v>
      </c>
      <c r="C707" t="s">
        <v>73</v>
      </c>
      <c r="D707">
        <v>3.4</v>
      </c>
      <c r="E707">
        <v>4.9504411764705871</v>
      </c>
      <c r="F707">
        <v>20.723404255319149</v>
      </c>
      <c r="G707" t="s">
        <v>105</v>
      </c>
      <c r="H707" t="s">
        <v>108</v>
      </c>
    </row>
    <row r="708" spans="1:8" x14ac:dyDescent="0.3">
      <c r="A708" t="s">
        <v>37</v>
      </c>
      <c r="B708" t="s">
        <v>50</v>
      </c>
      <c r="C708" t="s">
        <v>74</v>
      </c>
      <c r="D708">
        <v>25.1</v>
      </c>
      <c r="E708">
        <v>3.2381274900398411</v>
      </c>
      <c r="F708">
        <v>2.0635593220338988</v>
      </c>
      <c r="G708" t="s">
        <v>105</v>
      </c>
      <c r="H708" t="s">
        <v>108</v>
      </c>
    </row>
    <row r="709" spans="1:8" x14ac:dyDescent="0.3">
      <c r="A709" t="s">
        <v>37</v>
      </c>
      <c r="B709" t="s">
        <v>59</v>
      </c>
      <c r="C709" t="s">
        <v>96</v>
      </c>
      <c r="D709">
        <v>2.2004999999999999</v>
      </c>
      <c r="E709">
        <v>19.170999999999999</v>
      </c>
      <c r="F709">
        <v>7.2</v>
      </c>
      <c r="G709" t="s">
        <v>107</v>
      </c>
      <c r="H709" t="s">
        <v>109</v>
      </c>
    </row>
    <row r="710" spans="1:8" x14ac:dyDescent="0.3">
      <c r="A710" t="s">
        <v>37</v>
      </c>
      <c r="B710" t="s">
        <v>59</v>
      </c>
      <c r="C710" t="s">
        <v>97</v>
      </c>
      <c r="D710">
        <v>2.9916999999999998</v>
      </c>
      <c r="E710">
        <v>15.95225176342919</v>
      </c>
      <c r="F710">
        <v>7.2</v>
      </c>
      <c r="G710" t="s">
        <v>107</v>
      </c>
      <c r="H710" t="s">
        <v>109</v>
      </c>
    </row>
    <row r="711" spans="1:8" x14ac:dyDescent="0.3">
      <c r="A711" t="s">
        <v>37</v>
      </c>
      <c r="B711" t="s">
        <v>51</v>
      </c>
      <c r="C711" t="s">
        <v>75</v>
      </c>
      <c r="D711">
        <v>8.0501439999999995</v>
      </c>
      <c r="E711">
        <v>0.14069241575201899</v>
      </c>
      <c r="F711">
        <v>11.74</v>
      </c>
      <c r="G711" t="s">
        <v>104</v>
      </c>
      <c r="H711" t="s">
        <v>108</v>
      </c>
    </row>
    <row r="712" spans="1:8" x14ac:dyDescent="0.3">
      <c r="A712" t="s">
        <v>37</v>
      </c>
      <c r="B712" t="s">
        <v>60</v>
      </c>
      <c r="C712" t="s">
        <v>98</v>
      </c>
      <c r="D712">
        <v>7.3623600000000007</v>
      </c>
      <c r="E712">
        <v>13.856068743286791</v>
      </c>
      <c r="F712">
        <v>24.7</v>
      </c>
      <c r="G712" t="s">
        <v>107</v>
      </c>
      <c r="H712" t="s">
        <v>109</v>
      </c>
    </row>
    <row r="713" spans="1:8" x14ac:dyDescent="0.3">
      <c r="A713" t="s">
        <v>37</v>
      </c>
      <c r="B713" t="s">
        <v>52</v>
      </c>
      <c r="C713" t="s">
        <v>76</v>
      </c>
      <c r="D713">
        <v>1.9E-2</v>
      </c>
      <c r="E713">
        <v>6.5250000000000004</v>
      </c>
      <c r="F713">
        <v>12.68872359754714</v>
      </c>
      <c r="G713" t="s">
        <v>105</v>
      </c>
      <c r="H713" t="s">
        <v>108</v>
      </c>
    </row>
    <row r="714" spans="1:8" x14ac:dyDescent="0.3">
      <c r="A714" t="s">
        <v>37</v>
      </c>
      <c r="B714" t="s">
        <v>53</v>
      </c>
      <c r="C714" t="s">
        <v>77</v>
      </c>
      <c r="D714">
        <v>7</v>
      </c>
      <c r="E714">
        <v>3.024171428571429</v>
      </c>
      <c r="F714">
        <v>3.86607608129234</v>
      </c>
      <c r="G714" t="s">
        <v>104</v>
      </c>
      <c r="H714" t="s">
        <v>108</v>
      </c>
    </row>
    <row r="715" spans="1:8" x14ac:dyDescent="0.3">
      <c r="A715" t="s">
        <v>37</v>
      </c>
      <c r="B715" t="s">
        <v>61</v>
      </c>
      <c r="C715" t="s">
        <v>99</v>
      </c>
      <c r="D715">
        <v>43.6</v>
      </c>
      <c r="E715">
        <v>1.4293922018348619</v>
      </c>
      <c r="F715">
        <v>2.9245635910224439</v>
      </c>
      <c r="G715" t="s">
        <v>104</v>
      </c>
      <c r="H715" t="s">
        <v>108</v>
      </c>
    </row>
    <row r="716" spans="1:8" x14ac:dyDescent="0.3">
      <c r="A716" t="s">
        <v>37</v>
      </c>
      <c r="B716" t="s">
        <v>62</v>
      </c>
      <c r="C716" t="s">
        <v>100</v>
      </c>
      <c r="D716">
        <v>14.5</v>
      </c>
      <c r="E716">
        <v>0.49241379310344829</v>
      </c>
      <c r="F716">
        <v>2.6764106050305911</v>
      </c>
      <c r="G716" t="s">
        <v>104</v>
      </c>
      <c r="H716" t="s">
        <v>108</v>
      </c>
    </row>
    <row r="717" spans="1:8" x14ac:dyDescent="0.3">
      <c r="A717" t="s">
        <v>37</v>
      </c>
      <c r="B717" t="s">
        <v>54</v>
      </c>
      <c r="C717" t="s">
        <v>78</v>
      </c>
      <c r="D717">
        <v>114.9</v>
      </c>
      <c r="E717">
        <v>2.9833472584856402</v>
      </c>
      <c r="F717">
        <v>3.86607608129234</v>
      </c>
      <c r="G717" t="s">
        <v>104</v>
      </c>
      <c r="H717" t="s">
        <v>108</v>
      </c>
    </row>
    <row r="718" spans="1:8" x14ac:dyDescent="0.3">
      <c r="A718" t="s">
        <v>38</v>
      </c>
      <c r="B718" t="s">
        <v>46</v>
      </c>
      <c r="C718" t="s">
        <v>64</v>
      </c>
      <c r="D718">
        <v>0.80503999999999998</v>
      </c>
      <c r="E718">
        <v>6.2809999999999997</v>
      </c>
      <c r="F718">
        <v>2.9521711768407801</v>
      </c>
      <c r="G718" t="s">
        <v>104</v>
      </c>
      <c r="H718" t="s">
        <v>108</v>
      </c>
    </row>
    <row r="719" spans="1:8" x14ac:dyDescent="0.3">
      <c r="A719" t="s">
        <v>38</v>
      </c>
      <c r="B719" t="s">
        <v>46</v>
      </c>
      <c r="C719" t="s">
        <v>79</v>
      </c>
      <c r="D719">
        <v>7.5</v>
      </c>
      <c r="E719">
        <v>3.36</v>
      </c>
      <c r="F719">
        <v>6.8428961748633883</v>
      </c>
      <c r="G719" t="s">
        <v>104</v>
      </c>
      <c r="H719" t="s">
        <v>108</v>
      </c>
    </row>
    <row r="720" spans="1:8" x14ac:dyDescent="0.3">
      <c r="A720" t="s">
        <v>38</v>
      </c>
      <c r="B720" t="s">
        <v>46</v>
      </c>
      <c r="C720" t="s">
        <v>65</v>
      </c>
      <c r="D720">
        <v>2.1</v>
      </c>
      <c r="E720">
        <v>4.4349999999999996</v>
      </c>
      <c r="F720">
        <v>2.9521711768407801</v>
      </c>
      <c r="G720" t="s">
        <v>104</v>
      </c>
      <c r="H720" t="s">
        <v>108</v>
      </c>
    </row>
    <row r="721" spans="1:8" x14ac:dyDescent="0.3">
      <c r="A721" t="s">
        <v>38</v>
      </c>
      <c r="B721" t="s">
        <v>46</v>
      </c>
      <c r="C721" t="s">
        <v>66</v>
      </c>
      <c r="D721">
        <v>19.600000000000001</v>
      </c>
      <c r="E721">
        <v>3.4670000000000001</v>
      </c>
      <c r="F721">
        <v>6.8428961748633883</v>
      </c>
      <c r="G721" t="s">
        <v>104</v>
      </c>
      <c r="H721" t="s">
        <v>108</v>
      </c>
    </row>
    <row r="722" spans="1:8" x14ac:dyDescent="0.3">
      <c r="A722" t="s">
        <v>38</v>
      </c>
      <c r="B722" t="s">
        <v>46</v>
      </c>
      <c r="C722" t="s">
        <v>82</v>
      </c>
      <c r="D722">
        <v>2.6</v>
      </c>
      <c r="E722">
        <v>2.1320000000000001</v>
      </c>
      <c r="F722">
        <v>6.8428961748633883</v>
      </c>
      <c r="G722" t="s">
        <v>104</v>
      </c>
      <c r="H722" t="s">
        <v>108</v>
      </c>
    </row>
    <row r="723" spans="1:8" x14ac:dyDescent="0.3">
      <c r="A723" t="s">
        <v>38</v>
      </c>
      <c r="B723" t="s">
        <v>46</v>
      </c>
      <c r="C723" t="s">
        <v>84</v>
      </c>
      <c r="D723">
        <v>0.7</v>
      </c>
      <c r="E723">
        <v>0</v>
      </c>
      <c r="F723">
        <v>28.139870918023309</v>
      </c>
      <c r="G723" t="s">
        <v>105</v>
      </c>
      <c r="H723" t="s">
        <v>108</v>
      </c>
    </row>
    <row r="724" spans="1:8" x14ac:dyDescent="0.3">
      <c r="A724" t="s">
        <v>38</v>
      </c>
      <c r="B724" t="s">
        <v>46</v>
      </c>
      <c r="C724" t="s">
        <v>85</v>
      </c>
      <c r="D724">
        <v>0.7</v>
      </c>
      <c r="E724">
        <v>4.1429999999999998</v>
      </c>
      <c r="F724">
        <v>2.9521711768407801</v>
      </c>
      <c r="G724" t="s">
        <v>104</v>
      </c>
      <c r="H724" t="s">
        <v>108</v>
      </c>
    </row>
    <row r="725" spans="1:8" x14ac:dyDescent="0.3">
      <c r="A725" t="s">
        <v>38</v>
      </c>
      <c r="B725" t="s">
        <v>47</v>
      </c>
      <c r="C725" t="s">
        <v>68</v>
      </c>
      <c r="D725">
        <v>25.3</v>
      </c>
      <c r="E725">
        <v>3.609</v>
      </c>
      <c r="F725">
        <v>14.5</v>
      </c>
      <c r="G725" t="s">
        <v>104</v>
      </c>
      <c r="H725" t="s">
        <v>109</v>
      </c>
    </row>
    <row r="726" spans="1:8" x14ac:dyDescent="0.3">
      <c r="A726" t="s">
        <v>38</v>
      </c>
      <c r="B726" t="s">
        <v>47</v>
      </c>
      <c r="C726" t="s">
        <v>69</v>
      </c>
      <c r="D726">
        <v>17.7</v>
      </c>
      <c r="E726">
        <v>3.5910000000000002</v>
      </c>
      <c r="F726">
        <v>14.5</v>
      </c>
      <c r="G726" t="s">
        <v>104</v>
      </c>
      <c r="H726" t="s">
        <v>109</v>
      </c>
    </row>
    <row r="727" spans="1:8" x14ac:dyDescent="0.3">
      <c r="A727" t="s">
        <v>38</v>
      </c>
      <c r="B727" t="s">
        <v>48</v>
      </c>
      <c r="C727" t="s">
        <v>70</v>
      </c>
      <c r="D727">
        <v>9.4</v>
      </c>
      <c r="E727">
        <v>9.14</v>
      </c>
      <c r="F727">
        <v>0</v>
      </c>
      <c r="G727" t="s">
        <v>104</v>
      </c>
      <c r="H727" t="s">
        <v>109</v>
      </c>
    </row>
    <row r="728" spans="1:8" x14ac:dyDescent="0.3">
      <c r="A728" t="s">
        <v>38</v>
      </c>
      <c r="B728" t="s">
        <v>49</v>
      </c>
      <c r="C728" t="s">
        <v>72</v>
      </c>
      <c r="D728">
        <v>31.5</v>
      </c>
      <c r="E728">
        <v>0</v>
      </c>
      <c r="F728">
        <v>3.86607608129234</v>
      </c>
      <c r="G728" t="s">
        <v>104</v>
      </c>
      <c r="H728" t="s">
        <v>108</v>
      </c>
    </row>
    <row r="729" spans="1:8" x14ac:dyDescent="0.3">
      <c r="A729" t="s">
        <v>38</v>
      </c>
      <c r="B729" t="s">
        <v>50</v>
      </c>
      <c r="C729" t="s">
        <v>73</v>
      </c>
      <c r="D729">
        <v>5</v>
      </c>
      <c r="E729">
        <v>5.4240000000000004</v>
      </c>
      <c r="F729">
        <v>20.723404255319149</v>
      </c>
      <c r="G729" t="s">
        <v>105</v>
      </c>
      <c r="H729" t="s">
        <v>108</v>
      </c>
    </row>
    <row r="730" spans="1:8" x14ac:dyDescent="0.3">
      <c r="A730" t="s">
        <v>38</v>
      </c>
      <c r="B730" t="s">
        <v>50</v>
      </c>
      <c r="C730" t="s">
        <v>74</v>
      </c>
      <c r="D730">
        <v>7.1</v>
      </c>
      <c r="E730">
        <v>3.484</v>
      </c>
      <c r="F730">
        <v>2.0635593220338988</v>
      </c>
      <c r="G730" t="s">
        <v>105</v>
      </c>
      <c r="H730" t="s">
        <v>108</v>
      </c>
    </row>
    <row r="731" spans="1:8" x14ac:dyDescent="0.3">
      <c r="A731" t="s">
        <v>38</v>
      </c>
      <c r="B731" t="s">
        <v>51</v>
      </c>
      <c r="C731" t="s">
        <v>75</v>
      </c>
      <c r="D731">
        <v>7.3351420000000003</v>
      </c>
      <c r="E731">
        <v>0.14069241575201899</v>
      </c>
      <c r="F731">
        <v>11.74</v>
      </c>
      <c r="G731" t="s">
        <v>104</v>
      </c>
      <c r="H731" t="s">
        <v>108</v>
      </c>
    </row>
    <row r="732" spans="1:8" x14ac:dyDescent="0.3">
      <c r="A732" t="s">
        <v>38</v>
      </c>
      <c r="B732" t="s">
        <v>52</v>
      </c>
      <c r="C732" t="s">
        <v>76</v>
      </c>
      <c r="D732">
        <v>3.0000000000000001E-3</v>
      </c>
      <c r="E732">
        <v>6.5250000000000004</v>
      </c>
      <c r="F732">
        <v>12.68872359754714</v>
      </c>
      <c r="G732" t="s">
        <v>105</v>
      </c>
      <c r="H732" t="s">
        <v>108</v>
      </c>
    </row>
    <row r="733" spans="1:8" x14ac:dyDescent="0.3">
      <c r="A733" t="s">
        <v>38</v>
      </c>
      <c r="B733" t="s">
        <v>53</v>
      </c>
      <c r="C733" t="s">
        <v>77</v>
      </c>
      <c r="D733">
        <v>24.9</v>
      </c>
      <c r="E733">
        <v>0</v>
      </c>
      <c r="F733">
        <v>3.86607608129234</v>
      </c>
      <c r="G733" t="s">
        <v>104</v>
      </c>
      <c r="H733" t="s">
        <v>108</v>
      </c>
    </row>
    <row r="734" spans="1:8" x14ac:dyDescent="0.3">
      <c r="A734" t="s">
        <v>39</v>
      </c>
      <c r="B734" t="s">
        <v>46</v>
      </c>
      <c r="C734" t="s">
        <v>64</v>
      </c>
      <c r="D734">
        <v>1.5820000000000001E-2</v>
      </c>
      <c r="E734">
        <v>6.6904500632111246</v>
      </c>
      <c r="F734">
        <v>2.9521711768407801</v>
      </c>
      <c r="G734" t="s">
        <v>104</v>
      </c>
      <c r="H734" t="s">
        <v>108</v>
      </c>
    </row>
    <row r="735" spans="1:8" x14ac:dyDescent="0.3">
      <c r="A735" t="s">
        <v>39</v>
      </c>
      <c r="B735" t="s">
        <v>46</v>
      </c>
      <c r="C735" t="s">
        <v>79</v>
      </c>
      <c r="D735">
        <v>20.8</v>
      </c>
      <c r="E735">
        <v>4.444548076923077</v>
      </c>
      <c r="F735">
        <v>6.8428961748633883</v>
      </c>
      <c r="G735" t="s">
        <v>104</v>
      </c>
      <c r="H735" t="s">
        <v>108</v>
      </c>
    </row>
    <row r="736" spans="1:8" x14ac:dyDescent="0.3">
      <c r="A736" t="s">
        <v>39</v>
      </c>
      <c r="B736" t="s">
        <v>46</v>
      </c>
      <c r="C736" t="s">
        <v>80</v>
      </c>
      <c r="D736">
        <v>1.3134999999999999</v>
      </c>
      <c r="E736">
        <v>0.56844234659474036</v>
      </c>
      <c r="F736">
        <v>28.139870918023309</v>
      </c>
      <c r="G736" t="s">
        <v>105</v>
      </c>
      <c r="H736" t="s">
        <v>108</v>
      </c>
    </row>
    <row r="737" spans="1:8" x14ac:dyDescent="0.3">
      <c r="A737" t="s">
        <v>39</v>
      </c>
      <c r="B737" t="s">
        <v>46</v>
      </c>
      <c r="C737" t="s">
        <v>81</v>
      </c>
      <c r="D737">
        <v>4.9299999999999997E-2</v>
      </c>
      <c r="E737">
        <v>3.150998824911869</v>
      </c>
      <c r="F737">
        <v>8.9647473560517046</v>
      </c>
      <c r="G737" t="s">
        <v>105</v>
      </c>
      <c r="H737" t="s">
        <v>108</v>
      </c>
    </row>
    <row r="738" spans="1:8" x14ac:dyDescent="0.3">
      <c r="A738" t="s">
        <v>39</v>
      </c>
      <c r="B738" t="s">
        <v>46</v>
      </c>
      <c r="C738" t="s">
        <v>82</v>
      </c>
      <c r="D738">
        <v>0.8</v>
      </c>
      <c r="E738">
        <v>2.831</v>
      </c>
      <c r="F738">
        <v>6.8428961748633883</v>
      </c>
      <c r="G738" t="s">
        <v>104</v>
      </c>
      <c r="H738" t="s">
        <v>108</v>
      </c>
    </row>
    <row r="739" spans="1:8" x14ac:dyDescent="0.3">
      <c r="A739" t="s">
        <v>39</v>
      </c>
      <c r="B739" t="s">
        <v>46</v>
      </c>
      <c r="C739" t="s">
        <v>84</v>
      </c>
      <c r="D739">
        <v>0.3</v>
      </c>
      <c r="E739">
        <v>2.855</v>
      </c>
      <c r="F739">
        <v>28.139870918023309</v>
      </c>
      <c r="G739" t="s">
        <v>105</v>
      </c>
      <c r="H739" t="s">
        <v>108</v>
      </c>
    </row>
    <row r="740" spans="1:8" x14ac:dyDescent="0.3">
      <c r="A740" t="s">
        <v>39</v>
      </c>
      <c r="B740" t="s">
        <v>55</v>
      </c>
      <c r="C740" t="s">
        <v>86</v>
      </c>
      <c r="D740">
        <v>0.44800000000000001</v>
      </c>
      <c r="E740">
        <v>11.157999999999999</v>
      </c>
      <c r="F740">
        <v>14.2</v>
      </c>
      <c r="G740" t="s">
        <v>106</v>
      </c>
      <c r="H740" t="s">
        <v>109</v>
      </c>
    </row>
    <row r="741" spans="1:8" x14ac:dyDescent="0.3">
      <c r="A741" t="s">
        <v>39</v>
      </c>
      <c r="B741" t="s">
        <v>55</v>
      </c>
      <c r="C741" t="s">
        <v>89</v>
      </c>
      <c r="D741">
        <v>8.3500000000000005E-2</v>
      </c>
      <c r="E741">
        <v>0</v>
      </c>
      <c r="F741">
        <v>14.2</v>
      </c>
      <c r="G741" t="s">
        <v>106</v>
      </c>
      <c r="H741" t="s">
        <v>109</v>
      </c>
    </row>
    <row r="742" spans="1:8" x14ac:dyDescent="0.3">
      <c r="A742" t="s">
        <v>39</v>
      </c>
      <c r="B742" t="s">
        <v>55</v>
      </c>
      <c r="C742" t="s">
        <v>91</v>
      </c>
      <c r="D742">
        <v>3.9800000000000002E-2</v>
      </c>
      <c r="E742">
        <v>10.734999999999999</v>
      </c>
      <c r="F742">
        <v>14.2</v>
      </c>
      <c r="G742" t="s">
        <v>106</v>
      </c>
      <c r="H742" t="s">
        <v>109</v>
      </c>
    </row>
    <row r="743" spans="1:8" x14ac:dyDescent="0.3">
      <c r="A743" t="s">
        <v>39</v>
      </c>
      <c r="B743" t="s">
        <v>55</v>
      </c>
      <c r="C743" t="s">
        <v>92</v>
      </c>
      <c r="D743">
        <v>0.33502999999999999</v>
      </c>
      <c r="E743">
        <v>12.048999999999999</v>
      </c>
      <c r="F743">
        <v>14.2</v>
      </c>
      <c r="G743" t="s">
        <v>106</v>
      </c>
      <c r="H743" t="s">
        <v>109</v>
      </c>
    </row>
    <row r="744" spans="1:8" x14ac:dyDescent="0.3">
      <c r="A744" t="s">
        <v>39</v>
      </c>
      <c r="B744" t="s">
        <v>56</v>
      </c>
      <c r="C744" t="s">
        <v>93</v>
      </c>
      <c r="D744">
        <v>5.0021000000000004</v>
      </c>
      <c r="E744">
        <v>2.939759036144578</v>
      </c>
      <c r="F744">
        <v>0.1</v>
      </c>
      <c r="G744" t="s">
        <v>106</v>
      </c>
      <c r="H744" t="s">
        <v>109</v>
      </c>
    </row>
    <row r="745" spans="1:8" x14ac:dyDescent="0.3">
      <c r="A745" t="s">
        <v>39</v>
      </c>
      <c r="B745" t="s">
        <v>47</v>
      </c>
      <c r="C745" t="s">
        <v>101</v>
      </c>
      <c r="D745">
        <v>14.2</v>
      </c>
      <c r="E745">
        <v>7.6673450704225354</v>
      </c>
      <c r="F745">
        <v>29.8</v>
      </c>
      <c r="G745" t="s">
        <v>104</v>
      </c>
      <c r="H745" t="s">
        <v>109</v>
      </c>
    </row>
    <row r="746" spans="1:8" x14ac:dyDescent="0.3">
      <c r="A746" t="s">
        <v>39</v>
      </c>
      <c r="B746" t="s">
        <v>57</v>
      </c>
      <c r="C746" t="s">
        <v>94</v>
      </c>
      <c r="D746">
        <v>5.7</v>
      </c>
      <c r="E746">
        <v>12.93994736842105</v>
      </c>
      <c r="F746">
        <v>15.5</v>
      </c>
      <c r="G746" t="s">
        <v>104</v>
      </c>
      <c r="H746" t="s">
        <v>109</v>
      </c>
    </row>
    <row r="747" spans="1:8" x14ac:dyDescent="0.3">
      <c r="A747" t="s">
        <v>39</v>
      </c>
      <c r="B747" t="s">
        <v>49</v>
      </c>
      <c r="C747" t="s">
        <v>71</v>
      </c>
      <c r="D747">
        <v>594.12428</v>
      </c>
      <c r="E747">
        <v>5.9622395135408377</v>
      </c>
      <c r="F747">
        <v>3.86607608129234</v>
      </c>
      <c r="G747" t="s">
        <v>104</v>
      </c>
      <c r="H747" t="s">
        <v>108</v>
      </c>
    </row>
    <row r="748" spans="1:8" x14ac:dyDescent="0.3">
      <c r="A748" t="s">
        <v>39</v>
      </c>
      <c r="B748" t="s">
        <v>49</v>
      </c>
      <c r="C748" t="s">
        <v>72</v>
      </c>
      <c r="D748">
        <v>30.7</v>
      </c>
      <c r="E748">
        <v>4.7674462540716611</v>
      </c>
      <c r="F748">
        <v>3.86607608129234</v>
      </c>
      <c r="G748" t="s">
        <v>104</v>
      </c>
      <c r="H748" t="s">
        <v>108</v>
      </c>
    </row>
    <row r="749" spans="1:8" x14ac:dyDescent="0.3">
      <c r="A749" t="s">
        <v>39</v>
      </c>
      <c r="B749" t="s">
        <v>58</v>
      </c>
      <c r="C749" t="s">
        <v>95</v>
      </c>
      <c r="D749">
        <v>55.077530000000003</v>
      </c>
      <c r="E749">
        <v>2.661</v>
      </c>
      <c r="F749">
        <v>2.9521711768407801</v>
      </c>
      <c r="G749" t="s">
        <v>104</v>
      </c>
      <c r="H749" t="s">
        <v>108</v>
      </c>
    </row>
    <row r="750" spans="1:8" x14ac:dyDescent="0.3">
      <c r="A750" t="s">
        <v>39</v>
      </c>
      <c r="B750" t="s">
        <v>50</v>
      </c>
      <c r="C750" t="s">
        <v>73</v>
      </c>
      <c r="D750">
        <v>5</v>
      </c>
      <c r="E750">
        <v>5.7799800000000001</v>
      </c>
      <c r="F750">
        <v>20.723404255319149</v>
      </c>
      <c r="G750" t="s">
        <v>105</v>
      </c>
      <c r="H750" t="s">
        <v>108</v>
      </c>
    </row>
    <row r="751" spans="1:8" x14ac:dyDescent="0.3">
      <c r="A751" t="s">
        <v>39</v>
      </c>
      <c r="B751" t="s">
        <v>50</v>
      </c>
      <c r="C751" t="s">
        <v>74</v>
      </c>
      <c r="D751">
        <v>24.1</v>
      </c>
      <c r="E751">
        <v>6.6845435684647301</v>
      </c>
      <c r="F751">
        <v>2.0635593220338988</v>
      </c>
      <c r="G751" t="s">
        <v>105</v>
      </c>
      <c r="H751" t="s">
        <v>108</v>
      </c>
    </row>
    <row r="752" spans="1:8" x14ac:dyDescent="0.3">
      <c r="A752" t="s">
        <v>39</v>
      </c>
      <c r="B752" t="s">
        <v>51</v>
      </c>
      <c r="C752" t="s">
        <v>75</v>
      </c>
      <c r="D752">
        <v>27.277329999999999</v>
      </c>
      <c r="E752">
        <v>2.9470675665319401E-3</v>
      </c>
      <c r="F752">
        <v>11.74</v>
      </c>
      <c r="G752" t="s">
        <v>104</v>
      </c>
      <c r="H752" t="s">
        <v>108</v>
      </c>
    </row>
    <row r="753" spans="1:8" x14ac:dyDescent="0.3">
      <c r="A753" t="s">
        <v>39</v>
      </c>
      <c r="B753" t="s">
        <v>60</v>
      </c>
      <c r="C753" t="s">
        <v>98</v>
      </c>
      <c r="D753">
        <v>0.99545000000000006</v>
      </c>
      <c r="E753">
        <v>16.004296455424271</v>
      </c>
      <c r="F753">
        <v>22.8</v>
      </c>
      <c r="G753" t="s">
        <v>107</v>
      </c>
      <c r="H753" t="s">
        <v>109</v>
      </c>
    </row>
    <row r="754" spans="1:8" x14ac:dyDescent="0.3">
      <c r="A754" t="s">
        <v>39</v>
      </c>
      <c r="B754" t="s">
        <v>52</v>
      </c>
      <c r="C754" t="s">
        <v>76</v>
      </c>
      <c r="D754">
        <v>1.397</v>
      </c>
      <c r="E754">
        <v>6.5250000000000004</v>
      </c>
      <c r="F754">
        <v>12.68872359754714</v>
      </c>
      <c r="G754" t="s">
        <v>105</v>
      </c>
      <c r="H754" t="s">
        <v>108</v>
      </c>
    </row>
    <row r="755" spans="1:8" x14ac:dyDescent="0.3">
      <c r="A755" t="s">
        <v>39</v>
      </c>
      <c r="B755" t="s">
        <v>53</v>
      </c>
      <c r="C755" t="s">
        <v>77</v>
      </c>
      <c r="D755">
        <v>15.5</v>
      </c>
      <c r="E755">
        <v>4.7675935483870964</v>
      </c>
      <c r="F755">
        <v>3.86607608129234</v>
      </c>
      <c r="G755" t="s">
        <v>104</v>
      </c>
      <c r="H755" t="s">
        <v>108</v>
      </c>
    </row>
    <row r="756" spans="1:8" x14ac:dyDescent="0.3">
      <c r="A756" t="s">
        <v>39</v>
      </c>
      <c r="B756" t="s">
        <v>61</v>
      </c>
      <c r="C756" t="s">
        <v>99</v>
      </c>
      <c r="D756">
        <v>177.6</v>
      </c>
      <c r="E756">
        <v>1.698978040540541</v>
      </c>
      <c r="F756">
        <v>2.9245635910224439</v>
      </c>
      <c r="G756" t="s">
        <v>104</v>
      </c>
      <c r="H756" t="s">
        <v>108</v>
      </c>
    </row>
    <row r="757" spans="1:8" x14ac:dyDescent="0.3">
      <c r="A757" t="s">
        <v>39</v>
      </c>
      <c r="B757" t="s">
        <v>62</v>
      </c>
      <c r="C757" t="s">
        <v>100</v>
      </c>
      <c r="D757">
        <v>81.5</v>
      </c>
      <c r="E757">
        <v>0.53472392638036803</v>
      </c>
      <c r="F757">
        <v>2.6764106050305911</v>
      </c>
      <c r="G757" t="s">
        <v>104</v>
      </c>
      <c r="H757" t="s">
        <v>108</v>
      </c>
    </row>
    <row r="758" spans="1:8" x14ac:dyDescent="0.3">
      <c r="A758" t="s">
        <v>39</v>
      </c>
      <c r="B758" t="s">
        <v>54</v>
      </c>
      <c r="C758" t="s">
        <v>78</v>
      </c>
      <c r="D758">
        <v>299.5</v>
      </c>
      <c r="E758">
        <v>9.9421943238731227</v>
      </c>
      <c r="F758">
        <v>3.86607608129234</v>
      </c>
      <c r="G758" t="s">
        <v>104</v>
      </c>
      <c r="H758" t="s">
        <v>108</v>
      </c>
    </row>
    <row r="759" spans="1:8" x14ac:dyDescent="0.3">
      <c r="A759" t="s">
        <v>40</v>
      </c>
      <c r="B759" t="s">
        <v>46</v>
      </c>
      <c r="C759" t="s">
        <v>63</v>
      </c>
      <c r="D759">
        <v>3.5999999999999999E-3</v>
      </c>
      <c r="E759">
        <v>2.9286474973375931</v>
      </c>
      <c r="F759">
        <v>3.950479233226837</v>
      </c>
      <c r="G759" t="s">
        <v>104</v>
      </c>
      <c r="H759" t="s">
        <v>108</v>
      </c>
    </row>
    <row r="760" spans="1:8" x14ac:dyDescent="0.3">
      <c r="A760" t="s">
        <v>40</v>
      </c>
      <c r="B760" t="s">
        <v>46</v>
      </c>
      <c r="C760" t="s">
        <v>64</v>
      </c>
      <c r="D760">
        <v>4.9259999999999998E-2</v>
      </c>
      <c r="E760">
        <v>6.1847237109216424</v>
      </c>
      <c r="F760">
        <v>2.9521711768407801</v>
      </c>
      <c r="G760" t="s">
        <v>104</v>
      </c>
      <c r="H760" t="s">
        <v>108</v>
      </c>
    </row>
    <row r="761" spans="1:8" x14ac:dyDescent="0.3">
      <c r="A761" t="s">
        <v>40</v>
      </c>
      <c r="B761" t="s">
        <v>46</v>
      </c>
      <c r="C761" t="s">
        <v>79</v>
      </c>
      <c r="D761">
        <v>0.1</v>
      </c>
      <c r="E761">
        <v>2.7770000000000001</v>
      </c>
      <c r="F761">
        <v>6.8428961748633883</v>
      </c>
      <c r="G761" t="s">
        <v>104</v>
      </c>
      <c r="H761" t="s">
        <v>108</v>
      </c>
    </row>
    <row r="762" spans="1:8" x14ac:dyDescent="0.3">
      <c r="A762" t="s">
        <v>40</v>
      </c>
      <c r="B762" t="s">
        <v>46</v>
      </c>
      <c r="C762" t="s">
        <v>80</v>
      </c>
      <c r="D762">
        <v>0.1341</v>
      </c>
      <c r="E762">
        <v>2.7417397167902902</v>
      </c>
      <c r="F762">
        <v>28.139870918023309</v>
      </c>
      <c r="G762" t="s">
        <v>105</v>
      </c>
      <c r="H762" t="s">
        <v>108</v>
      </c>
    </row>
    <row r="763" spans="1:8" x14ac:dyDescent="0.3">
      <c r="A763" t="s">
        <v>40</v>
      </c>
      <c r="B763" t="s">
        <v>46</v>
      </c>
      <c r="C763" t="s">
        <v>81</v>
      </c>
      <c r="D763">
        <v>3.8199999999999998E-2</v>
      </c>
      <c r="E763">
        <v>2.5616921269095179</v>
      </c>
      <c r="F763">
        <v>8.9647473560517046</v>
      </c>
      <c r="G763" t="s">
        <v>105</v>
      </c>
      <c r="H763" t="s">
        <v>108</v>
      </c>
    </row>
    <row r="764" spans="1:8" x14ac:dyDescent="0.3">
      <c r="A764" t="s">
        <v>40</v>
      </c>
      <c r="B764" t="s">
        <v>46</v>
      </c>
      <c r="C764" t="s">
        <v>66</v>
      </c>
      <c r="D764">
        <v>0.89999999999999991</v>
      </c>
      <c r="E764">
        <v>2.867</v>
      </c>
      <c r="F764">
        <v>6.8428961748633883</v>
      </c>
      <c r="G764" t="s">
        <v>104</v>
      </c>
      <c r="H764" t="s">
        <v>108</v>
      </c>
    </row>
    <row r="765" spans="1:8" x14ac:dyDescent="0.3">
      <c r="A765" t="s">
        <v>40</v>
      </c>
      <c r="B765" t="s">
        <v>46</v>
      </c>
      <c r="C765" t="s">
        <v>85</v>
      </c>
      <c r="D765">
        <v>0.2</v>
      </c>
      <c r="E765">
        <v>4.383</v>
      </c>
      <c r="F765">
        <v>2.9521711768407801</v>
      </c>
      <c r="G765" t="s">
        <v>104</v>
      </c>
      <c r="H765" t="s">
        <v>108</v>
      </c>
    </row>
    <row r="766" spans="1:8" x14ac:dyDescent="0.3">
      <c r="A766" t="s">
        <v>40</v>
      </c>
      <c r="B766" t="s">
        <v>55</v>
      </c>
      <c r="C766" t="s">
        <v>86</v>
      </c>
      <c r="D766">
        <v>2.5499999999999998E-2</v>
      </c>
      <c r="E766">
        <v>9.6440000000000001</v>
      </c>
      <c r="F766">
        <v>20.2</v>
      </c>
      <c r="G766" t="s">
        <v>106</v>
      </c>
      <c r="H766" t="s">
        <v>109</v>
      </c>
    </row>
    <row r="767" spans="1:8" x14ac:dyDescent="0.3">
      <c r="A767" t="s">
        <v>40</v>
      </c>
      <c r="B767" t="s">
        <v>55</v>
      </c>
      <c r="C767" t="s">
        <v>88</v>
      </c>
      <c r="D767">
        <v>2.3300000000000001E-2</v>
      </c>
      <c r="E767">
        <v>10.012</v>
      </c>
      <c r="F767">
        <v>20.2</v>
      </c>
      <c r="G767" t="s">
        <v>106</v>
      </c>
      <c r="H767" t="s">
        <v>109</v>
      </c>
    </row>
    <row r="768" spans="1:8" x14ac:dyDescent="0.3">
      <c r="A768" t="s">
        <v>40</v>
      </c>
      <c r="B768" t="s">
        <v>47</v>
      </c>
      <c r="C768" t="s">
        <v>68</v>
      </c>
      <c r="D768">
        <v>1.9</v>
      </c>
      <c r="E768">
        <v>3.4153157894736852</v>
      </c>
      <c r="F768">
        <v>17.3</v>
      </c>
      <c r="G768" t="s">
        <v>104</v>
      </c>
      <c r="H768" t="s">
        <v>109</v>
      </c>
    </row>
    <row r="769" spans="1:8" x14ac:dyDescent="0.3">
      <c r="A769" t="s">
        <v>40</v>
      </c>
      <c r="B769" t="s">
        <v>47</v>
      </c>
      <c r="C769" t="s">
        <v>69</v>
      </c>
      <c r="D769">
        <v>0.8</v>
      </c>
      <c r="E769">
        <v>3.54725</v>
      </c>
      <c r="F769">
        <v>17.3</v>
      </c>
      <c r="G769" t="s">
        <v>104</v>
      </c>
      <c r="H769" t="s">
        <v>109</v>
      </c>
    </row>
    <row r="770" spans="1:8" x14ac:dyDescent="0.3">
      <c r="A770" t="s">
        <v>40</v>
      </c>
      <c r="B770" t="s">
        <v>48</v>
      </c>
      <c r="C770" t="s">
        <v>70</v>
      </c>
      <c r="D770">
        <v>0.1</v>
      </c>
      <c r="E770">
        <v>10.066000000000001</v>
      </c>
      <c r="F770">
        <v>0</v>
      </c>
      <c r="G770" t="s">
        <v>104</v>
      </c>
      <c r="H770" t="s">
        <v>109</v>
      </c>
    </row>
    <row r="771" spans="1:8" x14ac:dyDescent="0.3">
      <c r="A771" t="s">
        <v>40</v>
      </c>
      <c r="B771" t="s">
        <v>49</v>
      </c>
      <c r="C771" t="s">
        <v>71</v>
      </c>
      <c r="D771">
        <v>96.697859999999991</v>
      </c>
      <c r="E771">
        <v>2.5215884008187981</v>
      </c>
      <c r="F771">
        <v>3.86607608129234</v>
      </c>
      <c r="G771" t="s">
        <v>104</v>
      </c>
      <c r="H771" t="s">
        <v>108</v>
      </c>
    </row>
    <row r="772" spans="1:8" x14ac:dyDescent="0.3">
      <c r="A772" t="s">
        <v>40</v>
      </c>
      <c r="B772" t="s">
        <v>49</v>
      </c>
      <c r="C772" t="s">
        <v>72</v>
      </c>
      <c r="D772">
        <v>8.1</v>
      </c>
      <c r="E772">
        <v>3.360074074074074</v>
      </c>
      <c r="F772">
        <v>3.86607608129234</v>
      </c>
      <c r="G772" t="s">
        <v>104</v>
      </c>
      <c r="H772" t="s">
        <v>108</v>
      </c>
    </row>
    <row r="773" spans="1:8" x14ac:dyDescent="0.3">
      <c r="A773" t="s">
        <v>40</v>
      </c>
      <c r="B773" t="s">
        <v>58</v>
      </c>
      <c r="C773" t="s">
        <v>95</v>
      </c>
      <c r="D773">
        <v>1.3665400000000001</v>
      </c>
      <c r="E773">
        <v>2.661</v>
      </c>
      <c r="F773">
        <v>2.9521711768407801</v>
      </c>
      <c r="G773" t="s">
        <v>104</v>
      </c>
      <c r="H773" t="s">
        <v>108</v>
      </c>
    </row>
    <row r="774" spans="1:8" x14ac:dyDescent="0.3">
      <c r="A774" t="s">
        <v>40</v>
      </c>
      <c r="B774" t="s">
        <v>50</v>
      </c>
      <c r="C774" t="s">
        <v>73</v>
      </c>
      <c r="D774">
        <v>0.4</v>
      </c>
      <c r="E774">
        <v>5.1550000000000002</v>
      </c>
      <c r="F774">
        <v>20.723404255319149</v>
      </c>
      <c r="G774" t="s">
        <v>105</v>
      </c>
      <c r="H774" t="s">
        <v>108</v>
      </c>
    </row>
    <row r="775" spans="1:8" x14ac:dyDescent="0.3">
      <c r="A775" t="s">
        <v>40</v>
      </c>
      <c r="B775" t="s">
        <v>50</v>
      </c>
      <c r="C775" t="s">
        <v>74</v>
      </c>
      <c r="D775">
        <v>1.7</v>
      </c>
      <c r="E775">
        <v>3.8699411764705882</v>
      </c>
      <c r="F775">
        <v>2.0635593220338988</v>
      </c>
      <c r="G775" t="s">
        <v>105</v>
      </c>
      <c r="H775" t="s">
        <v>108</v>
      </c>
    </row>
    <row r="776" spans="1:8" x14ac:dyDescent="0.3">
      <c r="A776" t="s">
        <v>40</v>
      </c>
      <c r="B776" t="s">
        <v>51</v>
      </c>
      <c r="C776" t="s">
        <v>75</v>
      </c>
      <c r="D776">
        <v>0.93880399999999997</v>
      </c>
      <c r="E776">
        <v>0.14369423185663699</v>
      </c>
      <c r="F776">
        <v>11.74</v>
      </c>
      <c r="G776" t="s">
        <v>104</v>
      </c>
      <c r="H776" t="s">
        <v>108</v>
      </c>
    </row>
    <row r="777" spans="1:8" x14ac:dyDescent="0.3">
      <c r="A777" t="s">
        <v>40</v>
      </c>
      <c r="B777" t="s">
        <v>60</v>
      </c>
      <c r="C777" t="s">
        <v>98</v>
      </c>
      <c r="D777">
        <v>5.2740000000000002E-2</v>
      </c>
      <c r="E777">
        <v>28.73254564983888</v>
      </c>
      <c r="F777">
        <v>37.6</v>
      </c>
      <c r="G777" t="s">
        <v>107</v>
      </c>
      <c r="H777" t="s">
        <v>109</v>
      </c>
    </row>
    <row r="778" spans="1:8" x14ac:dyDescent="0.3">
      <c r="A778" t="s">
        <v>40</v>
      </c>
      <c r="B778" t="s">
        <v>52</v>
      </c>
      <c r="C778" t="s">
        <v>76</v>
      </c>
      <c r="D778">
        <v>5.8000000000000003E-2</v>
      </c>
      <c r="E778">
        <v>6.5250000000000004</v>
      </c>
      <c r="F778">
        <v>12.68872359754714</v>
      </c>
      <c r="G778" t="s">
        <v>105</v>
      </c>
      <c r="H778" t="s">
        <v>108</v>
      </c>
    </row>
    <row r="779" spans="1:8" x14ac:dyDescent="0.3">
      <c r="A779" t="s">
        <v>40</v>
      </c>
      <c r="B779" t="s">
        <v>53</v>
      </c>
      <c r="C779" t="s">
        <v>77</v>
      </c>
      <c r="D779">
        <v>2.8</v>
      </c>
      <c r="E779">
        <v>3.359928571428572</v>
      </c>
      <c r="F779">
        <v>3.86607608129234</v>
      </c>
      <c r="G779" t="s">
        <v>104</v>
      </c>
      <c r="H779" t="s">
        <v>108</v>
      </c>
    </row>
    <row r="780" spans="1:8" x14ac:dyDescent="0.3">
      <c r="A780" t="s">
        <v>40</v>
      </c>
      <c r="B780" t="s">
        <v>61</v>
      </c>
      <c r="C780" t="s">
        <v>99</v>
      </c>
      <c r="D780">
        <v>4.7</v>
      </c>
      <c r="E780">
        <v>1.578702127659575</v>
      </c>
      <c r="F780">
        <v>2.9245635910224439</v>
      </c>
      <c r="G780" t="s">
        <v>104</v>
      </c>
      <c r="H780" t="s">
        <v>108</v>
      </c>
    </row>
    <row r="781" spans="1:8" x14ac:dyDescent="0.3">
      <c r="A781" t="s">
        <v>40</v>
      </c>
      <c r="B781" t="s">
        <v>62</v>
      </c>
      <c r="C781" t="s">
        <v>100</v>
      </c>
      <c r="D781">
        <v>1</v>
      </c>
      <c r="E781">
        <v>0.84</v>
      </c>
      <c r="F781">
        <v>2.6764106050305911</v>
      </c>
      <c r="G781" t="s">
        <v>104</v>
      </c>
      <c r="H781" t="s">
        <v>108</v>
      </c>
    </row>
    <row r="782" spans="1:8" x14ac:dyDescent="0.3">
      <c r="A782" t="s">
        <v>40</v>
      </c>
      <c r="B782" t="s">
        <v>54</v>
      </c>
      <c r="C782" t="s">
        <v>78</v>
      </c>
      <c r="D782">
        <v>34.299999999999997</v>
      </c>
      <c r="E782">
        <v>3.3411428571428581</v>
      </c>
      <c r="F782">
        <v>3.86607608129234</v>
      </c>
      <c r="G782" t="s">
        <v>104</v>
      </c>
      <c r="H782" t="s">
        <v>108</v>
      </c>
    </row>
    <row r="783" spans="1:8" x14ac:dyDescent="0.3">
      <c r="A783" t="s">
        <v>41</v>
      </c>
      <c r="B783" t="s">
        <v>46</v>
      </c>
      <c r="C783" t="s">
        <v>64</v>
      </c>
      <c r="D783">
        <v>4.7260000000000003E-2</v>
      </c>
      <c r="E783">
        <v>5.8799811680067711</v>
      </c>
      <c r="F783">
        <v>2.9521711768407801</v>
      </c>
      <c r="G783" t="s">
        <v>104</v>
      </c>
      <c r="H783" t="s">
        <v>108</v>
      </c>
    </row>
    <row r="784" spans="1:8" x14ac:dyDescent="0.3">
      <c r="A784" t="s">
        <v>41</v>
      </c>
      <c r="B784" t="s">
        <v>46</v>
      </c>
      <c r="C784" t="s">
        <v>79</v>
      </c>
      <c r="D784">
        <v>13</v>
      </c>
      <c r="E784">
        <v>4.5206692307692302</v>
      </c>
      <c r="F784">
        <v>6.8428961748633883</v>
      </c>
      <c r="G784" t="s">
        <v>104</v>
      </c>
      <c r="H784" t="s">
        <v>108</v>
      </c>
    </row>
    <row r="785" spans="1:8" x14ac:dyDescent="0.3">
      <c r="A785" t="s">
        <v>41</v>
      </c>
      <c r="B785" t="s">
        <v>46</v>
      </c>
      <c r="C785" t="s">
        <v>80</v>
      </c>
      <c r="D785">
        <v>0.1026</v>
      </c>
      <c r="E785">
        <v>0.2002697235333783</v>
      </c>
      <c r="F785">
        <v>28.139870918023309</v>
      </c>
      <c r="G785" t="s">
        <v>105</v>
      </c>
      <c r="H785" t="s">
        <v>108</v>
      </c>
    </row>
    <row r="786" spans="1:8" x14ac:dyDescent="0.3">
      <c r="A786" t="s">
        <v>41</v>
      </c>
      <c r="B786" t="s">
        <v>46</v>
      </c>
      <c r="C786" t="s">
        <v>81</v>
      </c>
      <c r="D786">
        <v>5.0900000000000001E-2</v>
      </c>
      <c r="E786">
        <v>0.36251468860164521</v>
      </c>
      <c r="F786">
        <v>8.9647473560517046</v>
      </c>
      <c r="G786" t="s">
        <v>105</v>
      </c>
      <c r="H786" t="s">
        <v>108</v>
      </c>
    </row>
    <row r="787" spans="1:8" x14ac:dyDescent="0.3">
      <c r="A787" t="s">
        <v>41</v>
      </c>
      <c r="B787" t="s">
        <v>46</v>
      </c>
      <c r="C787" t="s">
        <v>66</v>
      </c>
      <c r="D787">
        <v>3.4</v>
      </c>
      <c r="E787">
        <v>4.6685294117647054</v>
      </c>
      <c r="F787">
        <v>6.8428961748633883</v>
      </c>
      <c r="G787" t="s">
        <v>104</v>
      </c>
      <c r="H787" t="s">
        <v>108</v>
      </c>
    </row>
    <row r="788" spans="1:8" x14ac:dyDescent="0.3">
      <c r="A788" t="s">
        <v>41</v>
      </c>
      <c r="B788" t="s">
        <v>46</v>
      </c>
      <c r="C788" t="s">
        <v>82</v>
      </c>
      <c r="D788">
        <v>2.8</v>
      </c>
      <c r="E788">
        <v>2.8229642857142858</v>
      </c>
      <c r="F788">
        <v>6.8428961748633883</v>
      </c>
      <c r="G788" t="s">
        <v>104</v>
      </c>
      <c r="H788" t="s">
        <v>108</v>
      </c>
    </row>
    <row r="789" spans="1:8" x14ac:dyDescent="0.3">
      <c r="A789" t="s">
        <v>41</v>
      </c>
      <c r="B789" t="s">
        <v>46</v>
      </c>
      <c r="C789" t="s">
        <v>84</v>
      </c>
      <c r="D789">
        <v>0.2</v>
      </c>
      <c r="E789">
        <v>2.3820000000000001</v>
      </c>
      <c r="F789">
        <v>28.139870918023309</v>
      </c>
      <c r="G789" t="s">
        <v>105</v>
      </c>
      <c r="H789" t="s">
        <v>108</v>
      </c>
    </row>
    <row r="790" spans="1:8" x14ac:dyDescent="0.3">
      <c r="A790" t="s">
        <v>41</v>
      </c>
      <c r="B790" t="s">
        <v>46</v>
      </c>
      <c r="C790" t="s">
        <v>85</v>
      </c>
      <c r="D790">
        <v>0.1</v>
      </c>
      <c r="E790">
        <v>4.1459999999999999</v>
      </c>
      <c r="F790">
        <v>2.9521711768407801</v>
      </c>
      <c r="G790" t="s">
        <v>104</v>
      </c>
      <c r="H790" t="s">
        <v>108</v>
      </c>
    </row>
    <row r="791" spans="1:8" x14ac:dyDescent="0.3">
      <c r="A791" t="s">
        <v>41</v>
      </c>
      <c r="B791" t="s">
        <v>55</v>
      </c>
      <c r="C791" t="s">
        <v>86</v>
      </c>
      <c r="D791">
        <v>0.2853</v>
      </c>
      <c r="E791">
        <v>11.377000000000001</v>
      </c>
      <c r="F791">
        <v>9.1999999999999993</v>
      </c>
      <c r="G791" t="s">
        <v>106</v>
      </c>
      <c r="H791" t="s">
        <v>109</v>
      </c>
    </row>
    <row r="792" spans="1:8" x14ac:dyDescent="0.3">
      <c r="A792" t="s">
        <v>41</v>
      </c>
      <c r="B792" t="s">
        <v>55</v>
      </c>
      <c r="C792" t="s">
        <v>87</v>
      </c>
      <c r="D792">
        <v>0.66650000000000009</v>
      </c>
      <c r="E792">
        <v>10.821999999999999</v>
      </c>
      <c r="F792">
        <v>9.1999999999999993</v>
      </c>
      <c r="G792" t="s">
        <v>106</v>
      </c>
      <c r="H792" t="s">
        <v>109</v>
      </c>
    </row>
    <row r="793" spans="1:8" x14ac:dyDescent="0.3">
      <c r="A793" t="s">
        <v>41</v>
      </c>
      <c r="B793" t="s">
        <v>55</v>
      </c>
      <c r="C793" t="s">
        <v>88</v>
      </c>
      <c r="D793">
        <v>2.2911999999999999</v>
      </c>
      <c r="E793">
        <v>9.9030000000000005</v>
      </c>
      <c r="F793">
        <v>9.1999999999999993</v>
      </c>
      <c r="G793" t="s">
        <v>106</v>
      </c>
      <c r="H793" t="s">
        <v>109</v>
      </c>
    </row>
    <row r="794" spans="1:8" x14ac:dyDescent="0.3">
      <c r="A794" t="s">
        <v>41</v>
      </c>
      <c r="B794" t="s">
        <v>55</v>
      </c>
      <c r="C794" t="s">
        <v>90</v>
      </c>
      <c r="D794">
        <v>4.7199999999999999E-2</v>
      </c>
      <c r="E794">
        <v>11.891999999999999</v>
      </c>
      <c r="F794">
        <v>9.1999999999999993</v>
      </c>
      <c r="G794" t="s">
        <v>106</v>
      </c>
      <c r="H794" t="s">
        <v>109</v>
      </c>
    </row>
    <row r="795" spans="1:8" x14ac:dyDescent="0.3">
      <c r="A795" t="s">
        <v>41</v>
      </c>
      <c r="B795" t="s">
        <v>55</v>
      </c>
      <c r="C795" t="s">
        <v>91</v>
      </c>
      <c r="D795">
        <v>0.151</v>
      </c>
      <c r="E795">
        <v>11.093999999999999</v>
      </c>
      <c r="F795">
        <v>9.1999999999999993</v>
      </c>
      <c r="G795" t="s">
        <v>106</v>
      </c>
      <c r="H795" t="s">
        <v>109</v>
      </c>
    </row>
    <row r="796" spans="1:8" x14ac:dyDescent="0.3">
      <c r="A796" t="s">
        <v>41</v>
      </c>
      <c r="B796" t="s">
        <v>55</v>
      </c>
      <c r="C796" t="s">
        <v>92</v>
      </c>
      <c r="D796">
        <v>0.34222000000000002</v>
      </c>
      <c r="E796">
        <v>10.821999999999999</v>
      </c>
      <c r="F796">
        <v>9.1999999999999993</v>
      </c>
      <c r="G796" t="s">
        <v>106</v>
      </c>
      <c r="H796" t="s">
        <v>109</v>
      </c>
    </row>
    <row r="797" spans="1:8" x14ac:dyDescent="0.3">
      <c r="A797" t="s">
        <v>41</v>
      </c>
      <c r="B797" t="s">
        <v>56</v>
      </c>
      <c r="C797" t="s">
        <v>93</v>
      </c>
      <c r="D797">
        <v>1.7755000000000001</v>
      </c>
      <c r="E797">
        <v>2.9493975903614462</v>
      </c>
      <c r="F797">
        <v>15.9</v>
      </c>
      <c r="G797" t="s">
        <v>106</v>
      </c>
      <c r="H797" t="s">
        <v>109</v>
      </c>
    </row>
    <row r="798" spans="1:8" x14ac:dyDescent="0.3">
      <c r="A798" t="s">
        <v>41</v>
      </c>
      <c r="B798" t="s">
        <v>47</v>
      </c>
      <c r="C798" t="s">
        <v>68</v>
      </c>
      <c r="D798">
        <v>9.1</v>
      </c>
      <c r="E798">
        <v>3.0127362637362638</v>
      </c>
      <c r="F798">
        <v>23.8</v>
      </c>
      <c r="G798" t="s">
        <v>104</v>
      </c>
      <c r="H798" t="s">
        <v>109</v>
      </c>
    </row>
    <row r="799" spans="1:8" x14ac:dyDescent="0.3">
      <c r="A799" t="s">
        <v>41</v>
      </c>
      <c r="B799" t="s">
        <v>47</v>
      </c>
      <c r="C799" t="s">
        <v>69</v>
      </c>
      <c r="D799">
        <v>4.5</v>
      </c>
      <c r="E799">
        <v>3.0124666666666671</v>
      </c>
      <c r="F799">
        <v>23.8</v>
      </c>
      <c r="G799" t="s">
        <v>104</v>
      </c>
      <c r="H799" t="s">
        <v>109</v>
      </c>
    </row>
    <row r="800" spans="1:8" x14ac:dyDescent="0.3">
      <c r="A800" t="s">
        <v>41</v>
      </c>
      <c r="B800" t="s">
        <v>57</v>
      </c>
      <c r="C800" t="s">
        <v>94</v>
      </c>
      <c r="D800">
        <v>2.8</v>
      </c>
      <c r="E800">
        <v>7.080928571428573</v>
      </c>
      <c r="F800">
        <v>15</v>
      </c>
      <c r="G800" t="s">
        <v>104</v>
      </c>
      <c r="H800" t="s">
        <v>109</v>
      </c>
    </row>
    <row r="801" spans="1:8" x14ac:dyDescent="0.3">
      <c r="A801" t="s">
        <v>41</v>
      </c>
      <c r="B801" t="s">
        <v>49</v>
      </c>
      <c r="C801" t="s">
        <v>71</v>
      </c>
      <c r="D801">
        <v>106.18906</v>
      </c>
      <c r="E801">
        <v>2.3896700997259042</v>
      </c>
      <c r="F801">
        <v>3.86607608129234</v>
      </c>
      <c r="G801" t="s">
        <v>104</v>
      </c>
      <c r="H801" t="s">
        <v>108</v>
      </c>
    </row>
    <row r="802" spans="1:8" x14ac:dyDescent="0.3">
      <c r="A802" t="s">
        <v>41</v>
      </c>
      <c r="B802" t="s">
        <v>49</v>
      </c>
      <c r="C802" t="s">
        <v>72</v>
      </c>
      <c r="D802">
        <v>3.2</v>
      </c>
      <c r="E802">
        <v>3.19996875</v>
      </c>
      <c r="F802">
        <v>3.86607608129234</v>
      </c>
      <c r="G802" t="s">
        <v>104</v>
      </c>
      <c r="H802" t="s">
        <v>108</v>
      </c>
    </row>
    <row r="803" spans="1:8" x14ac:dyDescent="0.3">
      <c r="A803" t="s">
        <v>41</v>
      </c>
      <c r="B803" t="s">
        <v>58</v>
      </c>
      <c r="C803" t="s">
        <v>95</v>
      </c>
      <c r="D803">
        <v>5.46617</v>
      </c>
      <c r="E803">
        <v>2.661</v>
      </c>
      <c r="F803">
        <v>2.9521711768407801</v>
      </c>
      <c r="G803" t="s">
        <v>104</v>
      </c>
      <c r="H803" t="s">
        <v>108</v>
      </c>
    </row>
    <row r="804" spans="1:8" x14ac:dyDescent="0.3">
      <c r="A804" t="s">
        <v>41</v>
      </c>
      <c r="B804" t="s">
        <v>50</v>
      </c>
      <c r="C804" t="s">
        <v>73</v>
      </c>
      <c r="D804">
        <v>2.1</v>
      </c>
      <c r="E804">
        <v>5.1365238095238093</v>
      </c>
      <c r="F804">
        <v>20.723404255319149</v>
      </c>
      <c r="G804" t="s">
        <v>105</v>
      </c>
      <c r="H804" t="s">
        <v>108</v>
      </c>
    </row>
    <row r="805" spans="1:8" x14ac:dyDescent="0.3">
      <c r="A805" t="s">
        <v>41</v>
      </c>
      <c r="B805" t="s">
        <v>50</v>
      </c>
      <c r="C805" t="s">
        <v>74</v>
      </c>
      <c r="D805">
        <v>14.7</v>
      </c>
      <c r="E805">
        <v>3.6209863945578231</v>
      </c>
      <c r="F805">
        <v>2.0635593220338988</v>
      </c>
      <c r="G805" t="s">
        <v>105</v>
      </c>
      <c r="H805" t="s">
        <v>108</v>
      </c>
    </row>
    <row r="806" spans="1:8" x14ac:dyDescent="0.3">
      <c r="A806" t="s">
        <v>41</v>
      </c>
      <c r="B806" t="s">
        <v>59</v>
      </c>
      <c r="C806" t="s">
        <v>96</v>
      </c>
      <c r="D806">
        <v>0.27650000000000002</v>
      </c>
      <c r="E806">
        <v>18.32</v>
      </c>
      <c r="F806">
        <v>10</v>
      </c>
      <c r="G806" t="s">
        <v>107</v>
      </c>
      <c r="H806" t="s">
        <v>109</v>
      </c>
    </row>
    <row r="807" spans="1:8" x14ac:dyDescent="0.3">
      <c r="A807" t="s">
        <v>41</v>
      </c>
      <c r="B807" t="s">
        <v>59</v>
      </c>
      <c r="C807" t="s">
        <v>97</v>
      </c>
      <c r="D807">
        <v>0.7923</v>
      </c>
      <c r="E807">
        <v>15.95225176342919</v>
      </c>
      <c r="F807">
        <v>10</v>
      </c>
      <c r="G807" t="s">
        <v>107</v>
      </c>
      <c r="H807" t="s">
        <v>109</v>
      </c>
    </row>
    <row r="808" spans="1:8" x14ac:dyDescent="0.3">
      <c r="A808" t="s">
        <v>41</v>
      </c>
      <c r="B808" t="s">
        <v>51</v>
      </c>
      <c r="C808" t="s">
        <v>75</v>
      </c>
      <c r="D808">
        <v>3.3129200000000001</v>
      </c>
      <c r="E808">
        <v>1.9432455248603899E-2</v>
      </c>
      <c r="F808">
        <v>11.74</v>
      </c>
      <c r="G808" t="s">
        <v>104</v>
      </c>
      <c r="H808" t="s">
        <v>108</v>
      </c>
    </row>
    <row r="809" spans="1:8" x14ac:dyDescent="0.3">
      <c r="A809" t="s">
        <v>41</v>
      </c>
      <c r="B809" t="s">
        <v>60</v>
      </c>
      <c r="C809" t="s">
        <v>98</v>
      </c>
      <c r="D809">
        <v>2.9053599999999999</v>
      </c>
      <c r="E809">
        <v>18.367346938775508</v>
      </c>
      <c r="F809">
        <v>18.8</v>
      </c>
      <c r="G809" t="s">
        <v>107</v>
      </c>
      <c r="H809" t="s">
        <v>109</v>
      </c>
    </row>
    <row r="810" spans="1:8" x14ac:dyDescent="0.3">
      <c r="A810" t="s">
        <v>41</v>
      </c>
      <c r="B810" t="s">
        <v>52</v>
      </c>
      <c r="C810" t="s">
        <v>76</v>
      </c>
      <c r="D810">
        <v>1E-3</v>
      </c>
      <c r="E810">
        <v>6.5250000000000004</v>
      </c>
      <c r="F810">
        <v>12.68872359754714</v>
      </c>
      <c r="G810" t="s">
        <v>105</v>
      </c>
      <c r="H810" t="s">
        <v>108</v>
      </c>
    </row>
    <row r="811" spans="1:8" x14ac:dyDescent="0.3">
      <c r="A811" t="s">
        <v>41</v>
      </c>
      <c r="B811" t="s">
        <v>53</v>
      </c>
      <c r="C811" t="s">
        <v>77</v>
      </c>
      <c r="D811">
        <v>1</v>
      </c>
      <c r="E811">
        <v>3.1998000000000002</v>
      </c>
      <c r="F811">
        <v>3.86607608129234</v>
      </c>
      <c r="G811" t="s">
        <v>104</v>
      </c>
      <c r="H811" t="s">
        <v>108</v>
      </c>
    </row>
    <row r="812" spans="1:8" x14ac:dyDescent="0.3">
      <c r="A812" t="s">
        <v>41</v>
      </c>
      <c r="B812" t="s">
        <v>61</v>
      </c>
      <c r="C812" t="s">
        <v>99</v>
      </c>
      <c r="D812">
        <v>10.8</v>
      </c>
      <c r="E812">
        <v>1.9537037037037039</v>
      </c>
      <c r="F812">
        <v>2.9245635910224439</v>
      </c>
      <c r="G812" t="s">
        <v>104</v>
      </c>
      <c r="H812" t="s">
        <v>108</v>
      </c>
    </row>
    <row r="813" spans="1:8" x14ac:dyDescent="0.3">
      <c r="A813" t="s">
        <v>41</v>
      </c>
      <c r="B813" t="s">
        <v>62</v>
      </c>
      <c r="C813" t="s">
        <v>100</v>
      </c>
      <c r="D813">
        <v>3.4</v>
      </c>
      <c r="E813">
        <v>0.73823529411764688</v>
      </c>
      <c r="F813">
        <v>2.6764106050305911</v>
      </c>
      <c r="G813" t="s">
        <v>104</v>
      </c>
      <c r="H813" t="s">
        <v>108</v>
      </c>
    </row>
    <row r="814" spans="1:8" x14ac:dyDescent="0.3">
      <c r="A814" t="s">
        <v>41</v>
      </c>
      <c r="B814" t="s">
        <v>54</v>
      </c>
      <c r="C814" t="s">
        <v>78</v>
      </c>
      <c r="D814">
        <v>35.4</v>
      </c>
      <c r="E814">
        <v>3.1732203389830511</v>
      </c>
      <c r="F814">
        <v>3.86607608129234</v>
      </c>
      <c r="G814" t="s">
        <v>104</v>
      </c>
      <c r="H814" t="s">
        <v>108</v>
      </c>
    </row>
    <row r="815" spans="1:8" x14ac:dyDescent="0.3">
      <c r="A815" t="s">
        <v>42</v>
      </c>
      <c r="B815" t="s">
        <v>46</v>
      </c>
      <c r="C815" t="s">
        <v>63</v>
      </c>
      <c r="D815">
        <v>2.3744999999999998</v>
      </c>
      <c r="E815">
        <v>2.9286474973375931</v>
      </c>
      <c r="F815">
        <v>3.950479233226837</v>
      </c>
      <c r="G815" t="s">
        <v>104</v>
      </c>
      <c r="H815" t="s">
        <v>108</v>
      </c>
    </row>
    <row r="816" spans="1:8" x14ac:dyDescent="0.3">
      <c r="A816" t="s">
        <v>42</v>
      </c>
      <c r="B816" t="s">
        <v>46</v>
      </c>
      <c r="C816" t="s">
        <v>64</v>
      </c>
      <c r="D816">
        <v>3.0007799999999998</v>
      </c>
      <c r="E816">
        <v>6.7059057345090283</v>
      </c>
      <c r="F816">
        <v>2.9521711768407801</v>
      </c>
      <c r="G816" t="s">
        <v>104</v>
      </c>
      <c r="H816" t="s">
        <v>108</v>
      </c>
    </row>
    <row r="817" spans="1:8" x14ac:dyDescent="0.3">
      <c r="A817" t="s">
        <v>42</v>
      </c>
      <c r="B817" t="s">
        <v>46</v>
      </c>
      <c r="C817" t="s">
        <v>65</v>
      </c>
      <c r="D817">
        <v>15.2</v>
      </c>
      <c r="E817">
        <v>4.7208815789473677</v>
      </c>
      <c r="F817">
        <v>2.9521711768407801</v>
      </c>
      <c r="G817" t="s">
        <v>104</v>
      </c>
      <c r="H817" t="s">
        <v>108</v>
      </c>
    </row>
    <row r="818" spans="1:8" x14ac:dyDescent="0.3">
      <c r="A818" t="s">
        <v>42</v>
      </c>
      <c r="B818" t="s">
        <v>46</v>
      </c>
      <c r="C818" t="s">
        <v>67</v>
      </c>
      <c r="D818">
        <v>8.5</v>
      </c>
      <c r="E818">
        <v>6.2850000000000001</v>
      </c>
      <c r="F818">
        <v>2.9521711768407801</v>
      </c>
      <c r="G818" t="s">
        <v>104</v>
      </c>
      <c r="H818" t="s">
        <v>108</v>
      </c>
    </row>
    <row r="819" spans="1:8" x14ac:dyDescent="0.3">
      <c r="A819" t="s">
        <v>42</v>
      </c>
      <c r="B819" t="s">
        <v>46</v>
      </c>
      <c r="C819" t="s">
        <v>85</v>
      </c>
      <c r="D819">
        <v>4.9000000000000004</v>
      </c>
      <c r="E819">
        <v>4.3479999999999999</v>
      </c>
      <c r="F819">
        <v>2.9521711768407801</v>
      </c>
      <c r="G819" t="s">
        <v>104</v>
      </c>
      <c r="H819" t="s">
        <v>108</v>
      </c>
    </row>
    <row r="820" spans="1:8" x14ac:dyDescent="0.3">
      <c r="A820" t="s">
        <v>42</v>
      </c>
      <c r="B820" t="s">
        <v>47</v>
      </c>
      <c r="C820" t="s">
        <v>68</v>
      </c>
      <c r="D820">
        <v>213.4</v>
      </c>
      <c r="E820">
        <v>3.0546996251171521</v>
      </c>
      <c r="G820" t="s">
        <v>104</v>
      </c>
      <c r="H820" t="s">
        <v>109</v>
      </c>
    </row>
    <row r="821" spans="1:8" x14ac:dyDescent="0.3">
      <c r="A821" t="s">
        <v>42</v>
      </c>
      <c r="B821" t="s">
        <v>47</v>
      </c>
      <c r="C821" t="s">
        <v>69</v>
      </c>
      <c r="D821">
        <v>149.4</v>
      </c>
      <c r="E821">
        <v>3.0439196787148601</v>
      </c>
      <c r="G821" t="s">
        <v>104</v>
      </c>
      <c r="H821" t="s">
        <v>109</v>
      </c>
    </row>
    <row r="822" spans="1:8" x14ac:dyDescent="0.3">
      <c r="A822" t="s">
        <v>42</v>
      </c>
      <c r="B822" t="s">
        <v>48</v>
      </c>
      <c r="C822" t="s">
        <v>70</v>
      </c>
      <c r="D822">
        <v>78.7</v>
      </c>
      <c r="E822">
        <v>7.93989834815756</v>
      </c>
      <c r="G822" t="s">
        <v>104</v>
      </c>
      <c r="H822" t="s">
        <v>109</v>
      </c>
    </row>
    <row r="823" spans="1:8" x14ac:dyDescent="0.3">
      <c r="A823" t="s">
        <v>42</v>
      </c>
      <c r="B823" t="s">
        <v>49</v>
      </c>
      <c r="C823" t="s">
        <v>71</v>
      </c>
      <c r="D823">
        <v>0.29780000000000001</v>
      </c>
      <c r="E823">
        <v>3.423</v>
      </c>
      <c r="F823">
        <v>3.86607608129234</v>
      </c>
      <c r="G823" t="s">
        <v>104</v>
      </c>
      <c r="H823" t="s">
        <v>108</v>
      </c>
    </row>
    <row r="824" spans="1:8" x14ac:dyDescent="0.3">
      <c r="A824" t="s">
        <v>42</v>
      </c>
      <c r="B824" t="s">
        <v>52</v>
      </c>
      <c r="C824" t="s">
        <v>76</v>
      </c>
      <c r="D824">
        <v>2.2509999999999999</v>
      </c>
      <c r="E824">
        <v>0</v>
      </c>
      <c r="F824">
        <v>12.68872359754714</v>
      </c>
      <c r="G824" t="s">
        <v>105</v>
      </c>
      <c r="H824" t="s">
        <v>108</v>
      </c>
    </row>
    <row r="825" spans="1:8" x14ac:dyDescent="0.3">
      <c r="A825" t="s">
        <v>43</v>
      </c>
      <c r="B825" t="s">
        <v>49</v>
      </c>
      <c r="C825" t="s">
        <v>71</v>
      </c>
      <c r="D825">
        <v>340.45048000000003</v>
      </c>
      <c r="E825">
        <v>0</v>
      </c>
      <c r="G825" t="s">
        <v>104</v>
      </c>
      <c r="H825" t="s">
        <v>108</v>
      </c>
    </row>
    <row r="826" spans="1:8" x14ac:dyDescent="0.3">
      <c r="A826" t="s">
        <v>43</v>
      </c>
      <c r="B826" t="s">
        <v>49</v>
      </c>
      <c r="C826" t="s">
        <v>72</v>
      </c>
      <c r="D826">
        <v>62</v>
      </c>
      <c r="E826">
        <v>0</v>
      </c>
      <c r="G826" t="s">
        <v>104</v>
      </c>
      <c r="H826" t="s">
        <v>108</v>
      </c>
    </row>
    <row r="827" spans="1:8" x14ac:dyDescent="0.3">
      <c r="A827" t="s">
        <v>43</v>
      </c>
      <c r="B827" t="s">
        <v>53</v>
      </c>
      <c r="C827" t="s">
        <v>77</v>
      </c>
      <c r="D827">
        <v>20.5</v>
      </c>
      <c r="E827">
        <v>0</v>
      </c>
      <c r="G827" t="s">
        <v>104</v>
      </c>
      <c r="H827" t="s">
        <v>108</v>
      </c>
    </row>
    <row r="828" spans="1:8" x14ac:dyDescent="0.3">
      <c r="A828" t="s">
        <v>43</v>
      </c>
      <c r="B828" t="s">
        <v>54</v>
      </c>
      <c r="C828" t="s">
        <v>78</v>
      </c>
      <c r="D828">
        <v>112.3</v>
      </c>
      <c r="E828">
        <v>0</v>
      </c>
      <c r="G828" t="s">
        <v>104</v>
      </c>
      <c r="H828" t="s">
        <v>108</v>
      </c>
    </row>
    <row r="829" spans="1:8" x14ac:dyDescent="0.3">
      <c r="A829" t="s">
        <v>44</v>
      </c>
      <c r="B829" t="s">
        <v>46</v>
      </c>
      <c r="C829" t="s">
        <v>64</v>
      </c>
      <c r="D829">
        <v>0.16994999999999999</v>
      </c>
      <c r="E829">
        <v>6.7041573403942341</v>
      </c>
      <c r="F829">
        <v>2.9521711768407801</v>
      </c>
      <c r="G829" t="s">
        <v>104</v>
      </c>
      <c r="H829" t="s">
        <v>108</v>
      </c>
    </row>
    <row r="830" spans="1:8" x14ac:dyDescent="0.3">
      <c r="A830" t="s">
        <v>44</v>
      </c>
      <c r="B830" t="s">
        <v>46</v>
      </c>
      <c r="C830" t="s">
        <v>79</v>
      </c>
      <c r="D830">
        <v>76.2</v>
      </c>
      <c r="E830">
        <v>4.6847296587926506</v>
      </c>
      <c r="F830">
        <v>6.8428961748633883</v>
      </c>
      <c r="G830" t="s">
        <v>104</v>
      </c>
      <c r="H830" t="s">
        <v>108</v>
      </c>
    </row>
    <row r="831" spans="1:8" x14ac:dyDescent="0.3">
      <c r="A831" t="s">
        <v>44</v>
      </c>
      <c r="B831" t="s">
        <v>46</v>
      </c>
      <c r="C831" t="s">
        <v>80</v>
      </c>
      <c r="D831">
        <v>2.9095</v>
      </c>
      <c r="E831">
        <v>4.7201618341200263E-2</v>
      </c>
      <c r="F831">
        <v>28.139870918023309</v>
      </c>
      <c r="G831" t="s">
        <v>105</v>
      </c>
      <c r="H831" t="s">
        <v>108</v>
      </c>
    </row>
    <row r="832" spans="1:8" x14ac:dyDescent="0.3">
      <c r="A832" t="s">
        <v>44</v>
      </c>
      <c r="B832" t="s">
        <v>46</v>
      </c>
      <c r="C832" t="s">
        <v>81</v>
      </c>
      <c r="D832">
        <v>1.0318000000000001</v>
      </c>
      <c r="E832">
        <v>0.69388954171562867</v>
      </c>
      <c r="F832">
        <v>8.9647473560517046</v>
      </c>
      <c r="G832" t="s">
        <v>105</v>
      </c>
      <c r="H832" t="s">
        <v>108</v>
      </c>
    </row>
    <row r="833" spans="1:8" x14ac:dyDescent="0.3">
      <c r="A833" t="s">
        <v>44</v>
      </c>
      <c r="B833" t="s">
        <v>46</v>
      </c>
      <c r="C833" t="s">
        <v>82</v>
      </c>
      <c r="D833">
        <v>7.8</v>
      </c>
      <c r="E833">
        <v>2.973871794871795</v>
      </c>
      <c r="F833">
        <v>6.8428961748633883</v>
      </c>
      <c r="G833" t="s">
        <v>104</v>
      </c>
      <c r="H833" t="s">
        <v>108</v>
      </c>
    </row>
    <row r="834" spans="1:8" x14ac:dyDescent="0.3">
      <c r="A834" t="s">
        <v>44</v>
      </c>
      <c r="B834" t="s">
        <v>46</v>
      </c>
      <c r="C834" t="s">
        <v>84</v>
      </c>
      <c r="D834">
        <v>1.2</v>
      </c>
      <c r="E834">
        <v>2.851666666666667</v>
      </c>
      <c r="F834">
        <v>28.139870918023309</v>
      </c>
      <c r="G834" t="s">
        <v>105</v>
      </c>
      <c r="H834" t="s">
        <v>108</v>
      </c>
    </row>
    <row r="835" spans="1:8" x14ac:dyDescent="0.3">
      <c r="A835" t="s">
        <v>44</v>
      </c>
      <c r="B835" t="s">
        <v>55</v>
      </c>
      <c r="C835" t="s">
        <v>86</v>
      </c>
      <c r="D835">
        <v>3.2776999999999998</v>
      </c>
      <c r="E835">
        <v>12.305999999999999</v>
      </c>
      <c r="F835">
        <v>11.6</v>
      </c>
      <c r="G835" t="s">
        <v>106</v>
      </c>
      <c r="H835" t="s">
        <v>109</v>
      </c>
    </row>
    <row r="836" spans="1:8" x14ac:dyDescent="0.3">
      <c r="A836" t="s">
        <v>44</v>
      </c>
      <c r="B836" t="s">
        <v>55</v>
      </c>
      <c r="C836" t="s">
        <v>89</v>
      </c>
      <c r="D836">
        <v>3.4201999999999999</v>
      </c>
      <c r="E836">
        <v>0</v>
      </c>
      <c r="F836">
        <v>11.6</v>
      </c>
      <c r="G836" t="s">
        <v>106</v>
      </c>
      <c r="H836" t="s">
        <v>109</v>
      </c>
    </row>
    <row r="837" spans="1:8" x14ac:dyDescent="0.3">
      <c r="A837" t="s">
        <v>44</v>
      </c>
      <c r="B837" t="s">
        <v>55</v>
      </c>
      <c r="C837" t="s">
        <v>92</v>
      </c>
      <c r="D837">
        <v>13.19496</v>
      </c>
      <c r="E837">
        <v>12.39999999999999</v>
      </c>
      <c r="F837">
        <v>11.6</v>
      </c>
      <c r="G837" t="s">
        <v>106</v>
      </c>
      <c r="H837" t="s">
        <v>109</v>
      </c>
    </row>
    <row r="838" spans="1:8" x14ac:dyDescent="0.3">
      <c r="A838" t="s">
        <v>44</v>
      </c>
      <c r="B838" t="s">
        <v>56</v>
      </c>
      <c r="C838" t="s">
        <v>93</v>
      </c>
      <c r="D838">
        <v>19.983000000000001</v>
      </c>
      <c r="E838">
        <v>2.939759036144578</v>
      </c>
      <c r="F838">
        <v>28.8</v>
      </c>
      <c r="G838" t="s">
        <v>106</v>
      </c>
      <c r="H838" t="s">
        <v>109</v>
      </c>
    </row>
    <row r="839" spans="1:8" x14ac:dyDescent="0.3">
      <c r="A839" t="s">
        <v>44</v>
      </c>
      <c r="B839" t="s">
        <v>47</v>
      </c>
      <c r="C839" t="s">
        <v>68</v>
      </c>
      <c r="D839">
        <v>20.8</v>
      </c>
      <c r="E839">
        <v>6.9537211538461543</v>
      </c>
      <c r="F839">
        <v>15.9</v>
      </c>
      <c r="G839" t="s">
        <v>104</v>
      </c>
      <c r="H839" t="s">
        <v>109</v>
      </c>
    </row>
    <row r="840" spans="1:8" x14ac:dyDescent="0.3">
      <c r="A840" t="s">
        <v>44</v>
      </c>
      <c r="B840" t="s">
        <v>47</v>
      </c>
      <c r="C840" t="s">
        <v>69</v>
      </c>
      <c r="D840">
        <v>14</v>
      </c>
      <c r="E840">
        <v>7.3613357142857154</v>
      </c>
      <c r="F840">
        <v>15.9</v>
      </c>
      <c r="G840" t="s">
        <v>104</v>
      </c>
      <c r="H840" t="s">
        <v>109</v>
      </c>
    </row>
    <row r="841" spans="1:8" x14ac:dyDescent="0.3">
      <c r="A841" t="s">
        <v>44</v>
      </c>
      <c r="B841" t="s">
        <v>57</v>
      </c>
      <c r="C841" t="s">
        <v>94</v>
      </c>
      <c r="D841">
        <v>34.1</v>
      </c>
      <c r="E841">
        <v>10.26938123167155</v>
      </c>
      <c r="F841">
        <v>24.6</v>
      </c>
      <c r="G841" t="s">
        <v>104</v>
      </c>
      <c r="H841" t="s">
        <v>109</v>
      </c>
    </row>
    <row r="842" spans="1:8" x14ac:dyDescent="0.3">
      <c r="A842" t="s">
        <v>44</v>
      </c>
      <c r="B842" t="s">
        <v>49</v>
      </c>
      <c r="C842" t="s">
        <v>71</v>
      </c>
      <c r="D842">
        <v>102.15833000000001</v>
      </c>
      <c r="E842">
        <v>3.3709703859685249</v>
      </c>
      <c r="F842">
        <v>3.86607608129234</v>
      </c>
      <c r="G842" t="s">
        <v>104</v>
      </c>
      <c r="H842" t="s">
        <v>108</v>
      </c>
    </row>
    <row r="843" spans="1:8" x14ac:dyDescent="0.3">
      <c r="A843" t="s">
        <v>44</v>
      </c>
      <c r="B843" t="s">
        <v>49</v>
      </c>
      <c r="C843" t="s">
        <v>72</v>
      </c>
      <c r="D843">
        <v>7.4</v>
      </c>
      <c r="E843">
        <v>2.7111081081081081</v>
      </c>
      <c r="F843">
        <v>3.86607608129234</v>
      </c>
      <c r="G843" t="s">
        <v>104</v>
      </c>
      <c r="H843" t="s">
        <v>108</v>
      </c>
    </row>
    <row r="844" spans="1:8" x14ac:dyDescent="0.3">
      <c r="A844" t="s">
        <v>44</v>
      </c>
      <c r="B844" t="s">
        <v>58</v>
      </c>
      <c r="C844" t="s">
        <v>95</v>
      </c>
      <c r="D844">
        <v>27.94341</v>
      </c>
      <c r="E844">
        <v>0.31875232800864323</v>
      </c>
      <c r="F844">
        <v>2.9521711768407801</v>
      </c>
      <c r="G844" t="s">
        <v>104</v>
      </c>
      <c r="H844" t="s">
        <v>108</v>
      </c>
    </row>
    <row r="845" spans="1:8" x14ac:dyDescent="0.3">
      <c r="A845" t="s">
        <v>44</v>
      </c>
      <c r="B845" t="s">
        <v>50</v>
      </c>
      <c r="C845" t="s">
        <v>73</v>
      </c>
      <c r="D845">
        <v>20.2</v>
      </c>
      <c r="E845">
        <v>5.9723613861386138</v>
      </c>
      <c r="F845">
        <v>20.723404255319149</v>
      </c>
      <c r="G845" t="s">
        <v>105</v>
      </c>
      <c r="H845" t="s">
        <v>108</v>
      </c>
    </row>
    <row r="846" spans="1:8" x14ac:dyDescent="0.3">
      <c r="A846" t="s">
        <v>44</v>
      </c>
      <c r="B846" t="s">
        <v>50</v>
      </c>
      <c r="C846" t="s">
        <v>74</v>
      </c>
      <c r="D846">
        <v>227.6</v>
      </c>
      <c r="E846">
        <v>6.4870909490333926</v>
      </c>
      <c r="F846">
        <v>2.0635593220338988</v>
      </c>
      <c r="G846" t="s">
        <v>105</v>
      </c>
      <c r="H846" t="s">
        <v>108</v>
      </c>
    </row>
    <row r="847" spans="1:8" x14ac:dyDescent="0.3">
      <c r="A847" t="s">
        <v>44</v>
      </c>
      <c r="B847" t="s">
        <v>51</v>
      </c>
      <c r="C847" t="s">
        <v>75</v>
      </c>
      <c r="D847">
        <v>14.98071</v>
      </c>
      <c r="E847">
        <v>4.0116991337164599E-2</v>
      </c>
      <c r="F847">
        <v>11.74</v>
      </c>
      <c r="G847" t="s">
        <v>104</v>
      </c>
      <c r="H847" t="s">
        <v>108</v>
      </c>
    </row>
    <row r="848" spans="1:8" x14ac:dyDescent="0.3">
      <c r="A848" t="s">
        <v>44</v>
      </c>
      <c r="B848" t="s">
        <v>60</v>
      </c>
      <c r="C848" t="s">
        <v>98</v>
      </c>
      <c r="D848">
        <v>2.5670199999999999</v>
      </c>
      <c r="E848">
        <v>19.60257787325456</v>
      </c>
      <c r="F848">
        <v>20.6</v>
      </c>
      <c r="G848" t="s">
        <v>107</v>
      </c>
      <c r="H848" t="s">
        <v>109</v>
      </c>
    </row>
    <row r="849" spans="1:8" x14ac:dyDescent="0.3">
      <c r="A849" t="s">
        <v>44</v>
      </c>
      <c r="B849" t="s">
        <v>52</v>
      </c>
      <c r="C849" t="s">
        <v>76</v>
      </c>
      <c r="D849">
        <v>0.108</v>
      </c>
      <c r="E849">
        <v>6.5250000000000004</v>
      </c>
      <c r="F849">
        <v>12.68872359754714</v>
      </c>
      <c r="G849" t="s">
        <v>105</v>
      </c>
      <c r="H849" t="s">
        <v>108</v>
      </c>
    </row>
    <row r="850" spans="1:8" x14ac:dyDescent="0.3">
      <c r="A850" t="s">
        <v>44</v>
      </c>
      <c r="B850" t="s">
        <v>53</v>
      </c>
      <c r="C850" t="s">
        <v>77</v>
      </c>
      <c r="D850">
        <v>3.2</v>
      </c>
      <c r="E850">
        <v>2.5273124999999999</v>
      </c>
      <c r="F850">
        <v>3.86607608129234</v>
      </c>
      <c r="G850" t="s">
        <v>104</v>
      </c>
      <c r="H850" t="s">
        <v>108</v>
      </c>
    </row>
    <row r="851" spans="1:8" x14ac:dyDescent="0.3">
      <c r="A851" t="s">
        <v>44</v>
      </c>
      <c r="B851" t="s">
        <v>61</v>
      </c>
      <c r="C851" t="s">
        <v>99</v>
      </c>
      <c r="D851">
        <v>20.3</v>
      </c>
      <c r="E851">
        <v>1.7208719211822661</v>
      </c>
      <c r="F851">
        <v>2.9245635910224439</v>
      </c>
      <c r="G851" t="s">
        <v>104</v>
      </c>
      <c r="H851" t="s">
        <v>108</v>
      </c>
    </row>
    <row r="852" spans="1:8" x14ac:dyDescent="0.3">
      <c r="A852" t="s">
        <v>44</v>
      </c>
      <c r="B852" t="s">
        <v>62</v>
      </c>
      <c r="C852" t="s">
        <v>100</v>
      </c>
      <c r="D852">
        <v>6.3</v>
      </c>
      <c r="E852">
        <v>9.841269841269841E-2</v>
      </c>
      <c r="F852">
        <v>2.6764106050305911</v>
      </c>
      <c r="G852" t="s">
        <v>104</v>
      </c>
      <c r="H852" t="s">
        <v>108</v>
      </c>
    </row>
    <row r="853" spans="1:8" x14ac:dyDescent="0.3">
      <c r="A853" t="s">
        <v>44</v>
      </c>
      <c r="B853" t="s">
        <v>54</v>
      </c>
      <c r="C853" t="s">
        <v>78</v>
      </c>
      <c r="D853">
        <v>48.2</v>
      </c>
      <c r="E853">
        <v>5.3449481327800834</v>
      </c>
      <c r="F853">
        <v>3.86607608129234</v>
      </c>
      <c r="G853" t="s">
        <v>104</v>
      </c>
      <c r="H853" t="s">
        <v>108</v>
      </c>
    </row>
    <row r="854" spans="1:8" x14ac:dyDescent="0.3">
      <c r="A854" t="s">
        <v>45</v>
      </c>
      <c r="B854" t="s">
        <v>46</v>
      </c>
      <c r="C854" t="s">
        <v>64</v>
      </c>
      <c r="D854">
        <v>2.0619999999999999E-2</v>
      </c>
      <c r="E854">
        <v>6.7129999999999992</v>
      </c>
      <c r="F854">
        <v>2.9521711768407801</v>
      </c>
      <c r="G854" t="s">
        <v>104</v>
      </c>
      <c r="H854" t="s">
        <v>108</v>
      </c>
    </row>
    <row r="855" spans="1:8" x14ac:dyDescent="0.3">
      <c r="A855" t="s">
        <v>45</v>
      </c>
      <c r="B855" t="s">
        <v>46</v>
      </c>
      <c r="C855" t="s">
        <v>79</v>
      </c>
      <c r="D855">
        <v>1.2</v>
      </c>
      <c r="E855">
        <v>3.4670000000000001</v>
      </c>
      <c r="F855">
        <v>6.8428961748633883</v>
      </c>
      <c r="G855" t="s">
        <v>104</v>
      </c>
      <c r="H855" t="s">
        <v>108</v>
      </c>
    </row>
    <row r="856" spans="1:8" x14ac:dyDescent="0.3">
      <c r="A856" t="s">
        <v>45</v>
      </c>
      <c r="B856" t="s">
        <v>46</v>
      </c>
      <c r="C856" t="s">
        <v>66</v>
      </c>
      <c r="D856">
        <v>0.1</v>
      </c>
      <c r="E856">
        <v>3.180000000000001</v>
      </c>
      <c r="F856">
        <v>6.8428961748633883</v>
      </c>
      <c r="G856" t="s">
        <v>104</v>
      </c>
      <c r="H856" t="s">
        <v>108</v>
      </c>
    </row>
    <row r="857" spans="1:8" x14ac:dyDescent="0.3">
      <c r="A857" t="s">
        <v>45</v>
      </c>
      <c r="B857" t="s">
        <v>47</v>
      </c>
      <c r="C857" t="s">
        <v>68</v>
      </c>
      <c r="D857">
        <v>29.1</v>
      </c>
      <c r="E857">
        <v>3.6120000000000001</v>
      </c>
      <c r="G857" t="s">
        <v>104</v>
      </c>
      <c r="H857" t="s">
        <v>109</v>
      </c>
    </row>
    <row r="858" spans="1:8" x14ac:dyDescent="0.3">
      <c r="A858" t="s">
        <v>45</v>
      </c>
      <c r="B858" t="s">
        <v>47</v>
      </c>
      <c r="C858" t="s">
        <v>69</v>
      </c>
      <c r="D858">
        <v>20.3</v>
      </c>
      <c r="E858">
        <v>3.593</v>
      </c>
      <c r="G858" t="s">
        <v>104</v>
      </c>
      <c r="H858" t="s">
        <v>109</v>
      </c>
    </row>
    <row r="859" spans="1:8" x14ac:dyDescent="0.3">
      <c r="A859" t="s">
        <v>45</v>
      </c>
      <c r="B859" t="s">
        <v>48</v>
      </c>
      <c r="C859" t="s">
        <v>70</v>
      </c>
      <c r="D859">
        <v>10.7</v>
      </c>
      <c r="E859">
        <v>9.1419999999999995</v>
      </c>
      <c r="G859" t="s">
        <v>104</v>
      </c>
      <c r="H859" t="s">
        <v>109</v>
      </c>
    </row>
    <row r="860" spans="1:8" x14ac:dyDescent="0.3">
      <c r="A860" t="s">
        <v>45</v>
      </c>
      <c r="B860" t="s">
        <v>49</v>
      </c>
      <c r="C860" t="s">
        <v>71</v>
      </c>
      <c r="D860">
        <v>3.0570499999999998</v>
      </c>
      <c r="E860">
        <v>0</v>
      </c>
      <c r="F860">
        <v>3.86607608129234</v>
      </c>
      <c r="G860" t="s">
        <v>104</v>
      </c>
      <c r="H860" t="s">
        <v>108</v>
      </c>
    </row>
    <row r="861" spans="1:8" x14ac:dyDescent="0.3">
      <c r="A861" t="s">
        <v>45</v>
      </c>
      <c r="B861" t="s">
        <v>50</v>
      </c>
      <c r="C861" t="s">
        <v>73</v>
      </c>
      <c r="D861">
        <v>0.2</v>
      </c>
      <c r="E861">
        <v>5.4240000000000004</v>
      </c>
      <c r="F861">
        <v>20.723404255319149</v>
      </c>
      <c r="G861" t="s">
        <v>105</v>
      </c>
      <c r="H861" t="s">
        <v>108</v>
      </c>
    </row>
    <row r="862" spans="1:8" x14ac:dyDescent="0.3">
      <c r="A862" t="s">
        <v>45</v>
      </c>
      <c r="B862" t="s">
        <v>50</v>
      </c>
      <c r="C862" t="s">
        <v>74</v>
      </c>
      <c r="D862">
        <v>0.1</v>
      </c>
      <c r="E862">
        <v>3.484</v>
      </c>
      <c r="F862">
        <v>2.0635593220338988</v>
      </c>
      <c r="G862" t="s">
        <v>105</v>
      </c>
      <c r="H862" t="s">
        <v>108</v>
      </c>
    </row>
    <row r="863" spans="1:8" x14ac:dyDescent="0.3">
      <c r="A863" t="s">
        <v>45</v>
      </c>
      <c r="B863" t="s">
        <v>52</v>
      </c>
      <c r="C863" t="s">
        <v>76</v>
      </c>
      <c r="D863">
        <v>1.6E-2</v>
      </c>
      <c r="E863">
        <v>0</v>
      </c>
      <c r="F863">
        <v>12.68872359754714</v>
      </c>
      <c r="G863" t="s">
        <v>105</v>
      </c>
      <c r="H863" t="s">
        <v>108</v>
      </c>
    </row>
    <row r="864" spans="1:8" x14ac:dyDescent="0.3">
      <c r="A864" t="s">
        <v>45</v>
      </c>
      <c r="B864" t="s">
        <v>54</v>
      </c>
      <c r="C864" t="s">
        <v>78</v>
      </c>
      <c r="D864">
        <v>2.5</v>
      </c>
      <c r="E864">
        <v>0</v>
      </c>
      <c r="F864">
        <v>3.86607608129234</v>
      </c>
      <c r="G864" t="s">
        <v>104</v>
      </c>
      <c r="H864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44"/>
  <sheetViews>
    <sheetView workbookViewId="0">
      <selection activeCell="E1" sqref="E1"/>
    </sheetView>
  </sheetViews>
  <sheetFormatPr baseColWidth="10" defaultColWidth="8.88671875" defaultRowHeight="14.4" x14ac:dyDescent="0.3"/>
  <cols>
    <col min="2" max="2" width="10.109375" customWidth="1"/>
    <col min="3" max="3" width="18.88671875" customWidth="1"/>
    <col min="4" max="5" width="14" customWidth="1"/>
    <col min="7" max="7" width="14.33203125" customWidth="1"/>
    <col min="8" max="9" width="18.6640625" customWidth="1"/>
    <col min="10" max="10" width="10.44140625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115</v>
      </c>
      <c r="F1" s="1" t="s">
        <v>112</v>
      </c>
      <c r="G1" s="2" t="s">
        <v>110</v>
      </c>
      <c r="H1" s="2" t="s">
        <v>4</v>
      </c>
      <c r="I1" s="2" t="s">
        <v>111</v>
      </c>
      <c r="J1" s="2" t="s">
        <v>5</v>
      </c>
      <c r="K1" s="2" t="s">
        <v>6</v>
      </c>
    </row>
    <row r="2" spans="1:11" hidden="1" x14ac:dyDescent="0.3">
      <c r="A2" t="s">
        <v>7</v>
      </c>
      <c r="B2" t="s">
        <v>46</v>
      </c>
      <c r="C2" t="s">
        <v>63</v>
      </c>
      <c r="D2">
        <v>7.7600000000000002E-2</v>
      </c>
      <c r="E2">
        <f>Tableau2[[#This Row],[Potential (PJ)]]/3.6*1000</f>
        <v>21.555555555555557</v>
      </c>
      <c r="F2">
        <v>2.9286474973375931</v>
      </c>
      <c r="G2">
        <f>Tableau2[[#This Row],[Cost (€/GJ)]]/1000000*3600</f>
        <v>1.0543130990415334E-2</v>
      </c>
      <c r="H2">
        <v>3.950479233226837</v>
      </c>
      <c r="I2">
        <f>Tableau2[[#This Row],[GHG (kgCO2eq/GJ)]]/1000*3.6</f>
        <v>1.4221725239616614E-2</v>
      </c>
      <c r="J2" t="s">
        <v>104</v>
      </c>
      <c r="K2" t="s">
        <v>108</v>
      </c>
    </row>
    <row r="3" spans="1:11" hidden="1" x14ac:dyDescent="0.3">
      <c r="A3" t="s">
        <v>7</v>
      </c>
      <c r="B3" t="s">
        <v>46</v>
      </c>
      <c r="C3" t="s">
        <v>64</v>
      </c>
      <c r="D3">
        <v>0.34582000000000002</v>
      </c>
      <c r="E3">
        <f>Tableau2[[#This Row],[Potential (PJ)]]/3.6*1000</f>
        <v>96.061111111111117</v>
      </c>
      <c r="F3">
        <v>2.5129999999999999</v>
      </c>
      <c r="G3">
        <f>Tableau2[[#This Row],[Cost (€/GJ)]]/1000000*3600</f>
        <v>9.0467999999999989E-3</v>
      </c>
      <c r="H3">
        <v>2.9521711768407801</v>
      </c>
      <c r="I3">
        <f>Tableau2[[#This Row],[GHG (kgCO2eq/GJ)]]/1000*3.6</f>
        <v>1.0627816236626808E-2</v>
      </c>
      <c r="J3" t="s">
        <v>104</v>
      </c>
      <c r="K3" t="s">
        <v>108</v>
      </c>
    </row>
    <row r="4" spans="1:11" hidden="1" x14ac:dyDescent="0.3">
      <c r="A4" t="s">
        <v>7</v>
      </c>
      <c r="B4" t="s">
        <v>46</v>
      </c>
      <c r="C4" t="s">
        <v>65</v>
      </c>
      <c r="D4">
        <v>0.5</v>
      </c>
      <c r="E4">
        <f>Tableau2[[#This Row],[Potential (PJ)]]/3.6*1000</f>
        <v>138.88888888888889</v>
      </c>
      <c r="F4">
        <v>4.3099999999999996</v>
      </c>
      <c r="G4">
        <f>Tableau2[[#This Row],[Cost (€/GJ)]]/1000000*3600</f>
        <v>1.5515999999999999E-2</v>
      </c>
      <c r="H4">
        <v>2.9521711768407801</v>
      </c>
      <c r="I4">
        <f>Tableau2[[#This Row],[GHG (kgCO2eq/GJ)]]/1000*3.6</f>
        <v>1.0627816236626808E-2</v>
      </c>
      <c r="J4" t="s">
        <v>104</v>
      </c>
      <c r="K4" t="s">
        <v>108</v>
      </c>
    </row>
    <row r="5" spans="1:11" hidden="1" x14ac:dyDescent="0.3">
      <c r="A5" t="s">
        <v>7</v>
      </c>
      <c r="B5" t="s">
        <v>46</v>
      </c>
      <c r="C5" t="s">
        <v>66</v>
      </c>
      <c r="D5">
        <v>0.4</v>
      </c>
      <c r="E5">
        <f>Tableau2[[#This Row],[Potential (PJ)]]/3.6*1000</f>
        <v>111.11111111111111</v>
      </c>
      <c r="F5">
        <v>1.504</v>
      </c>
      <c r="G5">
        <f>Tableau2[[#This Row],[Cost (€/GJ)]]/1000000*3600</f>
        <v>5.4143999999999998E-3</v>
      </c>
      <c r="H5">
        <v>6.8428961748633883</v>
      </c>
      <c r="I5">
        <f>Tableau2[[#This Row],[GHG (kgCO2eq/GJ)]]/1000*3.6</f>
        <v>2.4634426229508198E-2</v>
      </c>
      <c r="J5" t="s">
        <v>104</v>
      </c>
      <c r="K5" t="s">
        <v>108</v>
      </c>
    </row>
    <row r="6" spans="1:11" hidden="1" x14ac:dyDescent="0.3">
      <c r="A6" t="s">
        <v>7</v>
      </c>
      <c r="B6" t="s">
        <v>46</v>
      </c>
      <c r="C6" t="s">
        <v>67</v>
      </c>
      <c r="D6">
        <v>0.2</v>
      </c>
      <c r="E6">
        <f>Tableau2[[#This Row],[Potential (PJ)]]/3.6*1000</f>
        <v>55.555555555555557</v>
      </c>
      <c r="F6">
        <v>4.7140000000000004</v>
      </c>
      <c r="G6">
        <f>Tableau2[[#This Row],[Cost (€/GJ)]]/1000000*3600</f>
        <v>1.69704E-2</v>
      </c>
      <c r="H6">
        <v>2.9521711768407801</v>
      </c>
      <c r="I6">
        <f>Tableau2[[#This Row],[GHG (kgCO2eq/GJ)]]/1000*3.6</f>
        <v>1.0627816236626808E-2</v>
      </c>
      <c r="J6" t="s">
        <v>104</v>
      </c>
      <c r="K6" t="s">
        <v>108</v>
      </c>
    </row>
    <row r="7" spans="1:11" hidden="1" x14ac:dyDescent="0.3">
      <c r="A7" t="s">
        <v>7</v>
      </c>
      <c r="B7" t="s">
        <v>46</v>
      </c>
      <c r="C7" t="s">
        <v>85</v>
      </c>
      <c r="D7">
        <v>0.1</v>
      </c>
      <c r="E7">
        <f>Tableau2[[#This Row],[Potential (PJ)]]/3.6*1000</f>
        <v>27.777777777777779</v>
      </c>
      <c r="F7">
        <v>4.0629999999999997</v>
      </c>
      <c r="G7">
        <f>Tableau2[[#This Row],[Cost (€/GJ)]]/1000000*3600</f>
        <v>1.4626799999999999E-2</v>
      </c>
      <c r="H7">
        <v>2.9521711768407801</v>
      </c>
      <c r="I7">
        <f>Tableau2[[#This Row],[GHG (kgCO2eq/GJ)]]/1000*3.6</f>
        <v>1.0627816236626808E-2</v>
      </c>
      <c r="J7" t="s">
        <v>104</v>
      </c>
      <c r="K7" t="s">
        <v>108</v>
      </c>
    </row>
    <row r="8" spans="1:11" hidden="1" x14ac:dyDescent="0.3">
      <c r="A8" t="s">
        <v>7</v>
      </c>
      <c r="B8" t="s">
        <v>47</v>
      </c>
      <c r="C8" t="s">
        <v>68</v>
      </c>
      <c r="D8">
        <v>16.8</v>
      </c>
      <c r="E8">
        <f>Tableau2[[#This Row],[Potential (PJ)]]/3.6*1000</f>
        <v>4666.666666666667</v>
      </c>
      <c r="F8">
        <v>3.36</v>
      </c>
      <c r="G8">
        <f>Tableau2[[#This Row],[Cost (€/GJ)]]/1000000*3600</f>
        <v>1.2096000000000001E-2</v>
      </c>
      <c r="H8">
        <v>14.1</v>
      </c>
      <c r="I8">
        <f>Tableau2[[#This Row],[GHG (kgCO2eq/GJ)]]/1000*3.6</f>
        <v>5.076E-2</v>
      </c>
      <c r="J8" t="s">
        <v>104</v>
      </c>
      <c r="K8" t="s">
        <v>109</v>
      </c>
    </row>
    <row r="9" spans="1:11" hidden="1" x14ac:dyDescent="0.3">
      <c r="A9" t="s">
        <v>7</v>
      </c>
      <c r="B9" t="s">
        <v>47</v>
      </c>
      <c r="C9" t="s">
        <v>69</v>
      </c>
      <c r="D9">
        <v>11.8</v>
      </c>
      <c r="E9">
        <f>Tableau2[[#This Row],[Potential (PJ)]]/3.6*1000</f>
        <v>3277.7777777777778</v>
      </c>
      <c r="F9">
        <v>3.355</v>
      </c>
      <c r="G9">
        <f>Tableau2[[#This Row],[Cost (€/GJ)]]/1000000*3600</f>
        <v>1.2078E-2</v>
      </c>
      <c r="H9">
        <v>14.1</v>
      </c>
      <c r="I9">
        <f>Tableau2[[#This Row],[GHG (kgCO2eq/GJ)]]/1000*3.6</f>
        <v>5.076E-2</v>
      </c>
      <c r="J9" t="s">
        <v>104</v>
      </c>
      <c r="K9" t="s">
        <v>109</v>
      </c>
    </row>
    <row r="10" spans="1:11" hidden="1" x14ac:dyDescent="0.3">
      <c r="A10" t="s">
        <v>7</v>
      </c>
      <c r="B10" t="s">
        <v>48</v>
      </c>
      <c r="C10" t="s">
        <v>70</v>
      </c>
      <c r="D10">
        <v>6.2</v>
      </c>
      <c r="E10">
        <f>Tableau2[[#This Row],[Potential (PJ)]]/3.6*1000</f>
        <v>1722.2222222222224</v>
      </c>
      <c r="F10">
        <v>8.8789999999999996</v>
      </c>
      <c r="G10">
        <f>Tableau2[[#This Row],[Cost (€/GJ)]]/1000000*3600</f>
        <v>3.1964399999999997E-2</v>
      </c>
      <c r="H10">
        <v>0</v>
      </c>
      <c r="I10">
        <f>Tableau2[[#This Row],[GHG (kgCO2eq/GJ)]]/1000*3.6</f>
        <v>0</v>
      </c>
      <c r="J10" t="s">
        <v>104</v>
      </c>
      <c r="K10" t="s">
        <v>109</v>
      </c>
    </row>
    <row r="11" spans="1:11" hidden="1" x14ac:dyDescent="0.3">
      <c r="A11" t="s">
        <v>7</v>
      </c>
      <c r="B11" t="s">
        <v>49</v>
      </c>
      <c r="C11" t="s">
        <v>71</v>
      </c>
      <c r="D11">
        <v>3.7838699999999998</v>
      </c>
      <c r="E11">
        <f>Tableau2[[#This Row],[Potential (PJ)]]/3.6*1000</f>
        <v>1051.075</v>
      </c>
      <c r="F11">
        <v>0</v>
      </c>
      <c r="G11">
        <f>Tableau2[[#This Row],[Cost (€/GJ)]]/1000000*3600</f>
        <v>0</v>
      </c>
      <c r="H11">
        <v>3.86607608129234</v>
      </c>
      <c r="I11">
        <f>Tableau2[[#This Row],[GHG (kgCO2eq/GJ)]]/1000*3.6</f>
        <v>1.3917873892652425E-2</v>
      </c>
      <c r="J11" t="s">
        <v>104</v>
      </c>
      <c r="K11" t="s">
        <v>108</v>
      </c>
    </row>
    <row r="12" spans="1:11" hidden="1" x14ac:dyDescent="0.3">
      <c r="A12" t="s">
        <v>7</v>
      </c>
      <c r="B12" t="s">
        <v>49</v>
      </c>
      <c r="C12" t="s">
        <v>72</v>
      </c>
      <c r="D12">
        <v>1</v>
      </c>
      <c r="E12">
        <f>Tableau2[[#This Row],[Potential (PJ)]]/3.6*1000</f>
        <v>277.77777777777777</v>
      </c>
      <c r="F12">
        <v>0</v>
      </c>
      <c r="G12">
        <f>Tableau2[[#This Row],[Cost (€/GJ)]]/1000000*3600</f>
        <v>0</v>
      </c>
      <c r="H12">
        <v>3.86607608129234</v>
      </c>
      <c r="I12">
        <f>Tableau2[[#This Row],[GHG (kgCO2eq/GJ)]]/1000*3.6</f>
        <v>1.3917873892652425E-2</v>
      </c>
      <c r="J12" t="s">
        <v>104</v>
      </c>
      <c r="K12" t="s">
        <v>108</v>
      </c>
    </row>
    <row r="13" spans="1:11" hidden="1" x14ac:dyDescent="0.3">
      <c r="A13" t="s">
        <v>7</v>
      </c>
      <c r="B13" t="s">
        <v>50</v>
      </c>
      <c r="C13" t="s">
        <v>73</v>
      </c>
      <c r="D13">
        <v>0.4</v>
      </c>
      <c r="E13">
        <f>Tableau2[[#This Row],[Potential (PJ)]]/3.6*1000</f>
        <v>111.11111111111111</v>
      </c>
      <c r="F13">
        <v>5.4240000000000004</v>
      </c>
      <c r="G13">
        <f>Tableau2[[#This Row],[Cost (€/GJ)]]/1000000*3600</f>
        <v>1.9526399999999999E-2</v>
      </c>
      <c r="H13">
        <v>20.723404255319149</v>
      </c>
      <c r="I13">
        <f>Tableau2[[#This Row],[GHG (kgCO2eq/GJ)]]/1000*3.6</f>
        <v>7.4604255319148938E-2</v>
      </c>
      <c r="J13" t="s">
        <v>105</v>
      </c>
      <c r="K13" t="s">
        <v>108</v>
      </c>
    </row>
    <row r="14" spans="1:11" hidden="1" x14ac:dyDescent="0.3">
      <c r="A14" t="s">
        <v>7</v>
      </c>
      <c r="B14" t="s">
        <v>50</v>
      </c>
      <c r="C14" t="s">
        <v>74</v>
      </c>
      <c r="D14">
        <v>1.4</v>
      </c>
      <c r="E14">
        <f>Tableau2[[#This Row],[Potential (PJ)]]/3.6*1000</f>
        <v>388.88888888888886</v>
      </c>
      <c r="F14">
        <v>3.484</v>
      </c>
      <c r="G14">
        <f>Tableau2[[#This Row],[Cost (€/GJ)]]/1000000*3600</f>
        <v>1.25424E-2</v>
      </c>
      <c r="H14">
        <v>2.0635593220338988</v>
      </c>
      <c r="I14">
        <f>Tableau2[[#This Row],[GHG (kgCO2eq/GJ)]]/1000*3.6</f>
        <v>7.4288135593220351E-3</v>
      </c>
      <c r="J14" t="s">
        <v>105</v>
      </c>
      <c r="K14" t="s">
        <v>108</v>
      </c>
    </row>
    <row r="15" spans="1:11" hidden="1" x14ac:dyDescent="0.3">
      <c r="A15" t="s">
        <v>7</v>
      </c>
      <c r="B15" t="s">
        <v>51</v>
      </c>
      <c r="C15" t="s">
        <v>75</v>
      </c>
      <c r="D15">
        <v>2.4212999999999998E-2</v>
      </c>
      <c r="E15">
        <f>Tableau2[[#This Row],[Potential (PJ)]]/3.6*1000</f>
        <v>6.7258333333333331</v>
      </c>
      <c r="F15">
        <v>8.9872161086532704E-2</v>
      </c>
      <c r="G15">
        <f>Tableau2[[#This Row],[Cost (€/GJ)]]/1000000*3600</f>
        <v>3.2353977991151771E-4</v>
      </c>
      <c r="H15">
        <v>11.74</v>
      </c>
      <c r="I15">
        <f>Tableau2[[#This Row],[GHG (kgCO2eq/GJ)]]/1000*3.6</f>
        <v>4.2264000000000003E-2</v>
      </c>
      <c r="J15" t="s">
        <v>104</v>
      </c>
      <c r="K15" t="s">
        <v>108</v>
      </c>
    </row>
    <row r="16" spans="1:11" hidden="1" x14ac:dyDescent="0.3">
      <c r="A16" t="s">
        <v>7</v>
      </c>
      <c r="B16" t="s">
        <v>52</v>
      </c>
      <c r="C16" t="s">
        <v>76</v>
      </c>
      <c r="D16">
        <v>4.9000000000000002E-2</v>
      </c>
      <c r="E16">
        <f>Tableau2[[#This Row],[Potential (PJ)]]/3.6*1000</f>
        <v>13.611111111111112</v>
      </c>
      <c r="F16">
        <v>5.4702337500000002</v>
      </c>
      <c r="G16">
        <f>Tableau2[[#This Row],[Cost (€/GJ)]]/1000000*3600</f>
        <v>1.9692841500000002E-2</v>
      </c>
      <c r="H16">
        <v>12.68872359754714</v>
      </c>
      <c r="I16">
        <f>Tableau2[[#This Row],[GHG (kgCO2eq/GJ)]]/1000*3.6</f>
        <v>4.5679404951169705E-2</v>
      </c>
      <c r="J16" t="s">
        <v>105</v>
      </c>
      <c r="K16" t="s">
        <v>108</v>
      </c>
    </row>
    <row r="17" spans="1:11" hidden="1" x14ac:dyDescent="0.3">
      <c r="A17" t="s">
        <v>7</v>
      </c>
      <c r="B17" t="s">
        <v>53</v>
      </c>
      <c r="C17" t="s">
        <v>77</v>
      </c>
      <c r="D17">
        <v>1.2</v>
      </c>
      <c r="E17">
        <f>Tableau2[[#This Row],[Potential (PJ)]]/3.6*1000</f>
        <v>333.33333333333331</v>
      </c>
      <c r="F17">
        <v>0</v>
      </c>
      <c r="G17">
        <f>Tableau2[[#This Row],[Cost (€/GJ)]]/1000000*3600</f>
        <v>0</v>
      </c>
      <c r="H17">
        <v>3.86607608129234</v>
      </c>
      <c r="I17">
        <f>Tableau2[[#This Row],[GHG (kgCO2eq/GJ)]]/1000*3.6</f>
        <v>1.3917873892652425E-2</v>
      </c>
      <c r="J17" t="s">
        <v>104</v>
      </c>
      <c r="K17" t="s">
        <v>108</v>
      </c>
    </row>
    <row r="18" spans="1:11" hidden="1" x14ac:dyDescent="0.3">
      <c r="A18" t="s">
        <v>7</v>
      </c>
      <c r="B18" t="s">
        <v>54</v>
      </c>
      <c r="C18" t="s">
        <v>78</v>
      </c>
      <c r="D18">
        <v>4.4000000000000004</v>
      </c>
      <c r="E18">
        <f>Tableau2[[#This Row],[Potential (PJ)]]/3.6*1000</f>
        <v>1222.2222222222224</v>
      </c>
      <c r="F18">
        <v>0</v>
      </c>
      <c r="G18">
        <f>Tableau2[[#This Row],[Cost (€/GJ)]]/1000000*3600</f>
        <v>0</v>
      </c>
      <c r="H18">
        <v>3.86607608129234</v>
      </c>
      <c r="I18">
        <f>Tableau2[[#This Row],[GHG (kgCO2eq/GJ)]]/1000*3.6</f>
        <v>1.3917873892652425E-2</v>
      </c>
      <c r="J18" t="s">
        <v>104</v>
      </c>
      <c r="K18" t="s">
        <v>108</v>
      </c>
    </row>
    <row r="19" spans="1:11" hidden="1" x14ac:dyDescent="0.3">
      <c r="A19" t="s">
        <v>8</v>
      </c>
      <c r="B19" t="s">
        <v>46</v>
      </c>
      <c r="C19" t="s">
        <v>79</v>
      </c>
      <c r="D19">
        <v>7.3999999999999986</v>
      </c>
      <c r="E19">
        <f>Tableau2[[#This Row],[Potential (PJ)]]/3.6*1000</f>
        <v>2055.5555555555547</v>
      </c>
      <c r="F19">
        <v>8.3298648648648648</v>
      </c>
      <c r="G19">
        <f>Tableau2[[#This Row],[Cost (€/GJ)]]/1000000*3600</f>
        <v>2.998751351351351E-2</v>
      </c>
      <c r="H19">
        <v>6.8428961748633883</v>
      </c>
      <c r="I19">
        <f>Tableau2[[#This Row],[GHG (kgCO2eq/GJ)]]/1000*3.6</f>
        <v>2.4634426229508198E-2</v>
      </c>
      <c r="J19" t="s">
        <v>104</v>
      </c>
      <c r="K19" t="s">
        <v>108</v>
      </c>
    </row>
    <row r="20" spans="1:11" hidden="1" x14ac:dyDescent="0.3">
      <c r="A20" t="s">
        <v>8</v>
      </c>
      <c r="B20" t="s">
        <v>46</v>
      </c>
      <c r="C20" t="s">
        <v>80</v>
      </c>
      <c r="D20">
        <v>8.7295999999999996</v>
      </c>
      <c r="E20">
        <f>Tableau2[[#This Row],[Potential (PJ)]]/3.6*1000</f>
        <v>2424.8888888888887</v>
      </c>
      <c r="F20">
        <v>0.71274443695212408</v>
      </c>
      <c r="G20">
        <f>Tableau2[[#This Row],[Cost (€/GJ)]]/1000000*3600</f>
        <v>2.5658799730276468E-3</v>
      </c>
      <c r="H20">
        <v>28.139870918023309</v>
      </c>
      <c r="I20">
        <f>Tableau2[[#This Row],[GHG (kgCO2eq/GJ)]]/1000*3.6</f>
        <v>0.10130353530488391</v>
      </c>
      <c r="J20" t="s">
        <v>105</v>
      </c>
      <c r="K20" t="s">
        <v>108</v>
      </c>
    </row>
    <row r="21" spans="1:11" hidden="1" x14ac:dyDescent="0.3">
      <c r="A21" t="s">
        <v>8</v>
      </c>
      <c r="B21" t="s">
        <v>46</v>
      </c>
      <c r="C21" t="s">
        <v>81</v>
      </c>
      <c r="D21">
        <v>2.0388000000000002</v>
      </c>
      <c r="E21">
        <f>Tableau2[[#This Row],[Potential (PJ)]]/3.6*1000</f>
        <v>566.33333333333337</v>
      </c>
      <c r="F21">
        <v>1.242655699177438</v>
      </c>
      <c r="G21">
        <f>Tableau2[[#This Row],[Cost (€/GJ)]]/1000000*3600</f>
        <v>4.4735605170387769E-3</v>
      </c>
      <c r="H21">
        <v>8.9647473560517046</v>
      </c>
      <c r="I21">
        <f>Tableau2[[#This Row],[GHG (kgCO2eq/GJ)]]/1000*3.6</f>
        <v>3.2273090481786136E-2</v>
      </c>
      <c r="J21" t="s">
        <v>105</v>
      </c>
      <c r="K21" t="s">
        <v>108</v>
      </c>
    </row>
    <row r="22" spans="1:11" hidden="1" x14ac:dyDescent="0.3">
      <c r="A22" t="s">
        <v>8</v>
      </c>
      <c r="B22" t="s">
        <v>46</v>
      </c>
      <c r="C22" t="s">
        <v>66</v>
      </c>
      <c r="D22">
        <v>3.6</v>
      </c>
      <c r="E22">
        <f>Tableau2[[#This Row],[Potential (PJ)]]/3.6*1000</f>
        <v>1000</v>
      </c>
      <c r="F22">
        <v>8.7730555555555565</v>
      </c>
      <c r="G22">
        <f>Tableau2[[#This Row],[Cost (€/GJ)]]/1000000*3600</f>
        <v>3.1583000000000007E-2</v>
      </c>
      <c r="H22">
        <v>6.8428961748633883</v>
      </c>
      <c r="I22">
        <f>Tableau2[[#This Row],[GHG (kgCO2eq/GJ)]]/1000*3.6</f>
        <v>2.4634426229508198E-2</v>
      </c>
      <c r="J22" t="s">
        <v>104</v>
      </c>
      <c r="K22" t="s">
        <v>108</v>
      </c>
    </row>
    <row r="23" spans="1:11" hidden="1" x14ac:dyDescent="0.3">
      <c r="A23" t="s">
        <v>8</v>
      </c>
      <c r="B23" t="s">
        <v>46</v>
      </c>
      <c r="C23" t="s">
        <v>82</v>
      </c>
      <c r="D23">
        <v>1</v>
      </c>
      <c r="E23">
        <f>Tableau2[[#This Row],[Potential (PJ)]]/3.6*1000</f>
        <v>277.77777777777777</v>
      </c>
      <c r="F23">
        <v>5.1779999999999999</v>
      </c>
      <c r="G23">
        <f>Tableau2[[#This Row],[Cost (€/GJ)]]/1000000*3600</f>
        <v>1.8640800000000003E-2</v>
      </c>
      <c r="H23">
        <v>6.8428961748633883</v>
      </c>
      <c r="I23">
        <f>Tableau2[[#This Row],[GHG (kgCO2eq/GJ)]]/1000*3.6</f>
        <v>2.4634426229508198E-2</v>
      </c>
      <c r="J23" t="s">
        <v>104</v>
      </c>
      <c r="K23" t="s">
        <v>108</v>
      </c>
    </row>
    <row r="24" spans="1:11" hidden="1" x14ac:dyDescent="0.3">
      <c r="A24" t="s">
        <v>8</v>
      </c>
      <c r="B24" t="s">
        <v>46</v>
      </c>
      <c r="C24" t="s">
        <v>83</v>
      </c>
      <c r="D24">
        <v>0.2</v>
      </c>
      <c r="E24">
        <f>Tableau2[[#This Row],[Potential (PJ)]]/3.6*1000</f>
        <v>55.555555555555557</v>
      </c>
      <c r="F24">
        <v>0</v>
      </c>
      <c r="G24">
        <f>Tableau2[[#This Row],[Cost (€/GJ)]]/1000000*3600</f>
        <v>0</v>
      </c>
      <c r="H24">
        <v>6.8428961748633883</v>
      </c>
      <c r="I24">
        <f>Tableau2[[#This Row],[GHG (kgCO2eq/GJ)]]/1000*3.6</f>
        <v>2.4634426229508198E-2</v>
      </c>
      <c r="J24" t="s">
        <v>104</v>
      </c>
      <c r="K24" t="s">
        <v>108</v>
      </c>
    </row>
    <row r="25" spans="1:11" hidden="1" x14ac:dyDescent="0.3">
      <c r="A25" t="s">
        <v>8</v>
      </c>
      <c r="B25" t="s">
        <v>46</v>
      </c>
      <c r="C25" t="s">
        <v>84</v>
      </c>
      <c r="D25">
        <v>0.2</v>
      </c>
      <c r="E25">
        <f>Tableau2[[#This Row],[Potential (PJ)]]/3.6*1000</f>
        <v>55.555555555555557</v>
      </c>
      <c r="F25">
        <v>4.1900000000000004</v>
      </c>
      <c r="G25">
        <f>Tableau2[[#This Row],[Cost (€/GJ)]]/1000000*3600</f>
        <v>1.5084000000000002E-2</v>
      </c>
      <c r="H25">
        <v>28.139870918023309</v>
      </c>
      <c r="I25">
        <f>Tableau2[[#This Row],[GHG (kgCO2eq/GJ)]]/1000*3.6</f>
        <v>0.10130353530488391</v>
      </c>
      <c r="J25" t="s">
        <v>105</v>
      </c>
      <c r="K25" t="s">
        <v>108</v>
      </c>
    </row>
    <row r="26" spans="1:11" hidden="1" x14ac:dyDescent="0.3">
      <c r="A26" t="s">
        <v>8</v>
      </c>
      <c r="B26" t="s">
        <v>46</v>
      </c>
      <c r="C26" t="s">
        <v>85</v>
      </c>
      <c r="D26">
        <v>0.2</v>
      </c>
      <c r="E26">
        <f>Tableau2[[#This Row],[Potential (PJ)]]/3.6*1000</f>
        <v>55.555555555555557</v>
      </c>
      <c r="F26">
        <v>3.722</v>
      </c>
      <c r="G26">
        <f>Tableau2[[#This Row],[Cost (€/GJ)]]/1000000*3600</f>
        <v>1.33992E-2</v>
      </c>
      <c r="H26">
        <v>2.9521711768407801</v>
      </c>
      <c r="I26">
        <f>Tableau2[[#This Row],[GHG (kgCO2eq/GJ)]]/1000*3.6</f>
        <v>1.0627816236626808E-2</v>
      </c>
      <c r="J26" t="s">
        <v>104</v>
      </c>
      <c r="K26" t="s">
        <v>108</v>
      </c>
    </row>
    <row r="27" spans="1:11" hidden="1" x14ac:dyDescent="0.3">
      <c r="A27" t="s">
        <v>8</v>
      </c>
      <c r="B27" t="s">
        <v>55</v>
      </c>
      <c r="C27" t="s">
        <v>86</v>
      </c>
      <c r="D27">
        <v>0.11169999999999999</v>
      </c>
      <c r="E27">
        <f>Tableau2[[#This Row],[Potential (PJ)]]/3.6*1000</f>
        <v>31.027777777777775</v>
      </c>
      <c r="F27">
        <v>15.507999999999999</v>
      </c>
      <c r="G27">
        <f>Tableau2[[#This Row],[Cost (€/GJ)]]/1000000*3600</f>
        <v>5.5828799999999991E-2</v>
      </c>
      <c r="H27">
        <v>9.3000000000000007</v>
      </c>
      <c r="I27">
        <f>Tableau2[[#This Row],[GHG (kgCO2eq/GJ)]]/1000*3.6</f>
        <v>3.3480000000000003E-2</v>
      </c>
      <c r="J27" t="s">
        <v>106</v>
      </c>
      <c r="K27" t="s">
        <v>109</v>
      </c>
    </row>
    <row r="28" spans="1:11" hidden="1" x14ac:dyDescent="0.3">
      <c r="A28" t="s">
        <v>8</v>
      </c>
      <c r="B28" t="s">
        <v>55</v>
      </c>
      <c r="C28" t="s">
        <v>87</v>
      </c>
      <c r="D28">
        <v>0.38100000000000001</v>
      </c>
      <c r="E28">
        <f>Tableau2[[#This Row],[Potential (PJ)]]/3.6*1000</f>
        <v>105.83333333333333</v>
      </c>
      <c r="F28">
        <v>17.648</v>
      </c>
      <c r="G28">
        <f>Tableau2[[#This Row],[Cost (€/GJ)]]/1000000*3600</f>
        <v>6.35328E-2</v>
      </c>
      <c r="H28">
        <v>9.3000000000000007</v>
      </c>
      <c r="I28">
        <f>Tableau2[[#This Row],[GHG (kgCO2eq/GJ)]]/1000*3.6</f>
        <v>3.3480000000000003E-2</v>
      </c>
      <c r="J28" t="s">
        <v>106</v>
      </c>
      <c r="K28" t="s">
        <v>109</v>
      </c>
    </row>
    <row r="29" spans="1:11" hidden="1" x14ac:dyDescent="0.3">
      <c r="A29" t="s">
        <v>8</v>
      </c>
      <c r="B29" t="s">
        <v>55</v>
      </c>
      <c r="C29" t="s">
        <v>88</v>
      </c>
      <c r="D29">
        <v>0.74129999999999996</v>
      </c>
      <c r="E29">
        <f>Tableau2[[#This Row],[Potential (PJ)]]/3.6*1000</f>
        <v>205.91666666666663</v>
      </c>
      <c r="F29">
        <v>15.755000000000001</v>
      </c>
      <c r="G29">
        <f>Tableau2[[#This Row],[Cost (€/GJ)]]/1000000*3600</f>
        <v>5.6718000000000005E-2</v>
      </c>
      <c r="H29">
        <v>9.3000000000000007</v>
      </c>
      <c r="I29">
        <f>Tableau2[[#This Row],[GHG (kgCO2eq/GJ)]]/1000*3.6</f>
        <v>3.3480000000000003E-2</v>
      </c>
      <c r="J29" t="s">
        <v>106</v>
      </c>
      <c r="K29" t="s">
        <v>109</v>
      </c>
    </row>
    <row r="30" spans="1:11" hidden="1" x14ac:dyDescent="0.3">
      <c r="A30" t="s">
        <v>8</v>
      </c>
      <c r="B30" t="s">
        <v>55</v>
      </c>
      <c r="C30" t="s">
        <v>89</v>
      </c>
      <c r="D30">
        <v>0.1336</v>
      </c>
      <c r="E30">
        <f>Tableau2[[#This Row],[Potential (PJ)]]/3.6*1000</f>
        <v>37.111111111111107</v>
      </c>
      <c r="F30">
        <v>0</v>
      </c>
      <c r="G30">
        <f>Tableau2[[#This Row],[Cost (€/GJ)]]/1000000*3600</f>
        <v>0</v>
      </c>
      <c r="H30">
        <v>9.3000000000000007</v>
      </c>
      <c r="I30">
        <f>Tableau2[[#This Row],[GHG (kgCO2eq/GJ)]]/1000*3.6</f>
        <v>3.3480000000000003E-2</v>
      </c>
      <c r="J30" t="s">
        <v>106</v>
      </c>
      <c r="K30" t="s">
        <v>109</v>
      </c>
    </row>
    <row r="31" spans="1:11" hidden="1" x14ac:dyDescent="0.3">
      <c r="A31" t="s">
        <v>8</v>
      </c>
      <c r="B31" t="s">
        <v>55</v>
      </c>
      <c r="C31" t="s">
        <v>91</v>
      </c>
      <c r="D31">
        <v>9.69E-2</v>
      </c>
      <c r="E31">
        <f>Tableau2[[#This Row],[Potential (PJ)]]/3.6*1000</f>
        <v>26.916666666666664</v>
      </c>
      <c r="F31">
        <v>14.819000000000001</v>
      </c>
      <c r="G31">
        <f>Tableau2[[#This Row],[Cost (€/GJ)]]/1000000*3600</f>
        <v>5.3348400000000004E-2</v>
      </c>
      <c r="H31">
        <v>9.3000000000000007</v>
      </c>
      <c r="I31">
        <f>Tableau2[[#This Row],[GHG (kgCO2eq/GJ)]]/1000*3.6</f>
        <v>3.3480000000000003E-2</v>
      </c>
      <c r="J31" t="s">
        <v>106</v>
      </c>
      <c r="K31" t="s">
        <v>109</v>
      </c>
    </row>
    <row r="32" spans="1:11" hidden="1" x14ac:dyDescent="0.3">
      <c r="A32" t="s">
        <v>8</v>
      </c>
      <c r="B32" t="s">
        <v>55</v>
      </c>
      <c r="C32" t="s">
        <v>92</v>
      </c>
      <c r="D32">
        <v>0.49289000000000011</v>
      </c>
      <c r="E32">
        <f>Tableau2[[#This Row],[Potential (PJ)]]/3.6*1000</f>
        <v>136.91388888888892</v>
      </c>
      <c r="F32">
        <v>17.648</v>
      </c>
      <c r="G32">
        <f>Tableau2[[#This Row],[Cost (€/GJ)]]/1000000*3600</f>
        <v>6.35328E-2</v>
      </c>
      <c r="H32">
        <v>9.3000000000000007</v>
      </c>
      <c r="I32">
        <f>Tableau2[[#This Row],[GHG (kgCO2eq/GJ)]]/1000*3.6</f>
        <v>3.3480000000000003E-2</v>
      </c>
      <c r="J32" t="s">
        <v>106</v>
      </c>
      <c r="K32" t="s">
        <v>109</v>
      </c>
    </row>
    <row r="33" spans="1:11" hidden="1" x14ac:dyDescent="0.3">
      <c r="A33" t="s">
        <v>8</v>
      </c>
      <c r="B33" t="s">
        <v>56</v>
      </c>
      <c r="C33" t="s">
        <v>93</v>
      </c>
      <c r="D33">
        <v>14.3353</v>
      </c>
      <c r="E33">
        <f>Tableau2[[#This Row],[Potential (PJ)]]/3.6*1000</f>
        <v>3982.0277777777778</v>
      </c>
      <c r="F33">
        <v>2.939759036144578</v>
      </c>
      <c r="G33">
        <f>Tableau2[[#This Row],[Cost (€/GJ)]]/1000000*3600</f>
        <v>1.0583132530120481E-2</v>
      </c>
      <c r="H33">
        <v>16.899999999999999</v>
      </c>
      <c r="I33">
        <f>Tableau2[[#This Row],[GHG (kgCO2eq/GJ)]]/1000*3.6</f>
        <v>6.0839999999999998E-2</v>
      </c>
      <c r="J33" t="s">
        <v>106</v>
      </c>
      <c r="K33" t="s">
        <v>109</v>
      </c>
    </row>
    <row r="34" spans="1:11" hidden="1" x14ac:dyDescent="0.3">
      <c r="A34" t="s">
        <v>8</v>
      </c>
      <c r="B34" t="s">
        <v>47</v>
      </c>
      <c r="C34" t="s">
        <v>68</v>
      </c>
      <c r="D34">
        <v>3.4</v>
      </c>
      <c r="E34">
        <f>Tableau2[[#This Row],[Potential (PJ)]]/3.6*1000</f>
        <v>944.44444444444446</v>
      </c>
      <c r="F34">
        <v>5.3194999999999997</v>
      </c>
      <c r="G34">
        <f>Tableau2[[#This Row],[Cost (€/GJ)]]/1000000*3600</f>
        <v>1.9150199999999999E-2</v>
      </c>
      <c r="H34">
        <v>21.1</v>
      </c>
      <c r="I34">
        <f>Tableau2[[#This Row],[GHG (kgCO2eq/GJ)]]/1000*3.6</f>
        <v>7.596E-2</v>
      </c>
      <c r="J34" t="s">
        <v>104</v>
      </c>
      <c r="K34" t="s">
        <v>109</v>
      </c>
    </row>
    <row r="35" spans="1:11" hidden="1" x14ac:dyDescent="0.3">
      <c r="A35" t="s">
        <v>8</v>
      </c>
      <c r="B35" t="s">
        <v>47</v>
      </c>
      <c r="C35" t="s">
        <v>69</v>
      </c>
      <c r="D35">
        <v>6.9</v>
      </c>
      <c r="E35">
        <f>Tableau2[[#This Row],[Potential (PJ)]]/3.6*1000</f>
        <v>1916.6666666666667</v>
      </c>
      <c r="F35">
        <v>4.8790869565217392</v>
      </c>
      <c r="G35">
        <f>Tableau2[[#This Row],[Cost (€/GJ)]]/1000000*3600</f>
        <v>1.7564713043478262E-2</v>
      </c>
      <c r="H35">
        <v>21.1</v>
      </c>
      <c r="I35">
        <f>Tableau2[[#This Row],[GHG (kgCO2eq/GJ)]]/1000*3.6</f>
        <v>7.596E-2</v>
      </c>
      <c r="J35" t="s">
        <v>104</v>
      </c>
      <c r="K35" t="s">
        <v>109</v>
      </c>
    </row>
    <row r="36" spans="1:11" hidden="1" x14ac:dyDescent="0.3">
      <c r="A36" t="s">
        <v>8</v>
      </c>
      <c r="B36" t="s">
        <v>57</v>
      </c>
      <c r="C36" t="s">
        <v>94</v>
      </c>
      <c r="D36">
        <v>1.9</v>
      </c>
      <c r="E36">
        <f>Tableau2[[#This Row],[Potential (PJ)]]/3.6*1000</f>
        <v>527.77777777777783</v>
      </c>
      <c r="F36">
        <v>10.686</v>
      </c>
      <c r="G36">
        <f>Tableau2[[#This Row],[Cost (€/GJ)]]/1000000*3600</f>
        <v>3.84696E-2</v>
      </c>
      <c r="H36">
        <v>14.9</v>
      </c>
      <c r="I36">
        <f>Tableau2[[#This Row],[GHG (kgCO2eq/GJ)]]/1000*3.6</f>
        <v>5.364E-2</v>
      </c>
      <c r="J36" t="s">
        <v>104</v>
      </c>
      <c r="K36" t="s">
        <v>109</v>
      </c>
    </row>
    <row r="37" spans="1:11" hidden="1" x14ac:dyDescent="0.3">
      <c r="A37" t="s">
        <v>8</v>
      </c>
      <c r="B37" t="s">
        <v>49</v>
      </c>
      <c r="C37" t="s">
        <v>71</v>
      </c>
      <c r="D37">
        <v>69.570229999999995</v>
      </c>
      <c r="E37">
        <f>Tableau2[[#This Row],[Potential (PJ)]]/3.6*1000</f>
        <v>19325.063888888886</v>
      </c>
      <c r="F37">
        <v>4.3251254096759499</v>
      </c>
      <c r="G37">
        <f>Tableau2[[#This Row],[Cost (€/GJ)]]/1000000*3600</f>
        <v>1.5570451474833418E-2</v>
      </c>
      <c r="H37">
        <v>3.86607608129234</v>
      </c>
      <c r="I37">
        <f>Tableau2[[#This Row],[GHG (kgCO2eq/GJ)]]/1000*3.6</f>
        <v>1.3917873892652425E-2</v>
      </c>
      <c r="J37" t="s">
        <v>104</v>
      </c>
      <c r="K37" t="s">
        <v>108</v>
      </c>
    </row>
    <row r="38" spans="1:11" hidden="1" x14ac:dyDescent="0.3">
      <c r="A38" t="s">
        <v>8</v>
      </c>
      <c r="B38" t="s">
        <v>49</v>
      </c>
      <c r="C38" t="s">
        <v>72</v>
      </c>
      <c r="D38">
        <v>8.4</v>
      </c>
      <c r="E38">
        <f>Tableau2[[#This Row],[Potential (PJ)]]/3.6*1000</f>
        <v>2333.3333333333335</v>
      </c>
      <c r="F38">
        <v>3.4612023809523809</v>
      </c>
      <c r="G38">
        <f>Tableau2[[#This Row],[Cost (€/GJ)]]/1000000*3600</f>
        <v>1.2460328571428571E-2</v>
      </c>
      <c r="H38">
        <v>3.86607608129234</v>
      </c>
      <c r="I38">
        <f>Tableau2[[#This Row],[GHG (kgCO2eq/GJ)]]/1000*3.6</f>
        <v>1.3917873892652425E-2</v>
      </c>
      <c r="J38" t="s">
        <v>104</v>
      </c>
      <c r="K38" t="s">
        <v>108</v>
      </c>
    </row>
    <row r="39" spans="1:11" hidden="1" x14ac:dyDescent="0.3">
      <c r="A39" t="s">
        <v>8</v>
      </c>
      <c r="B39" t="s">
        <v>58</v>
      </c>
      <c r="C39" t="s">
        <v>95</v>
      </c>
      <c r="D39">
        <v>3.0063800000000001</v>
      </c>
      <c r="E39">
        <f>Tableau2[[#This Row],[Potential (PJ)]]/3.6*1000</f>
        <v>835.1055555555555</v>
      </c>
      <c r="F39">
        <v>2.4378376785369782</v>
      </c>
      <c r="G39">
        <f>Tableau2[[#This Row],[Cost (€/GJ)]]/1000000*3600</f>
        <v>8.7762156427331206E-3</v>
      </c>
      <c r="H39">
        <v>2.9521711768407801</v>
      </c>
      <c r="I39">
        <f>Tableau2[[#This Row],[GHG (kgCO2eq/GJ)]]/1000*3.6</f>
        <v>1.0627816236626808E-2</v>
      </c>
      <c r="J39" t="s">
        <v>104</v>
      </c>
      <c r="K39" t="s">
        <v>108</v>
      </c>
    </row>
    <row r="40" spans="1:11" hidden="1" x14ac:dyDescent="0.3">
      <c r="A40" t="s">
        <v>8</v>
      </c>
      <c r="B40" t="s">
        <v>50</v>
      </c>
      <c r="C40" t="s">
        <v>73</v>
      </c>
      <c r="D40">
        <v>1</v>
      </c>
      <c r="E40">
        <f>Tableau2[[#This Row],[Potential (PJ)]]/3.6*1000</f>
        <v>277.77777777777777</v>
      </c>
      <c r="F40">
        <v>5.5198999999999998</v>
      </c>
      <c r="G40">
        <f>Tableau2[[#This Row],[Cost (€/GJ)]]/1000000*3600</f>
        <v>1.9871639999999999E-2</v>
      </c>
      <c r="H40">
        <v>20.723404255319149</v>
      </c>
      <c r="I40">
        <f>Tableau2[[#This Row],[GHG (kgCO2eq/GJ)]]/1000*3.6</f>
        <v>7.4604255319148938E-2</v>
      </c>
      <c r="J40" t="s">
        <v>105</v>
      </c>
      <c r="K40" t="s">
        <v>108</v>
      </c>
    </row>
    <row r="41" spans="1:11" hidden="1" x14ac:dyDescent="0.3">
      <c r="A41" t="s">
        <v>8</v>
      </c>
      <c r="B41" t="s">
        <v>50</v>
      </c>
      <c r="C41" t="s">
        <v>74</v>
      </c>
      <c r="D41">
        <v>3.9</v>
      </c>
      <c r="E41">
        <f>Tableau2[[#This Row],[Potential (PJ)]]/3.6*1000</f>
        <v>1083.3333333333333</v>
      </c>
      <c r="F41">
        <v>6.2696666666666676</v>
      </c>
      <c r="G41">
        <f>Tableau2[[#This Row],[Cost (€/GJ)]]/1000000*3600</f>
        <v>2.2570800000000005E-2</v>
      </c>
      <c r="H41">
        <v>2.0635593220338988</v>
      </c>
      <c r="I41">
        <f>Tableau2[[#This Row],[GHG (kgCO2eq/GJ)]]/1000*3.6</f>
        <v>7.4288135593220351E-3</v>
      </c>
      <c r="J41" t="s">
        <v>105</v>
      </c>
      <c r="K41" t="s">
        <v>108</v>
      </c>
    </row>
    <row r="42" spans="1:11" hidden="1" x14ac:dyDescent="0.3">
      <c r="A42" t="s">
        <v>8</v>
      </c>
      <c r="B42" t="s">
        <v>59</v>
      </c>
      <c r="C42" t="s">
        <v>96</v>
      </c>
      <c r="D42">
        <v>5.4100000000000002E-2</v>
      </c>
      <c r="E42">
        <f>Tableau2[[#This Row],[Potential (PJ)]]/3.6*1000</f>
        <v>15.027777777777779</v>
      </c>
      <c r="F42">
        <v>28.414000000000009</v>
      </c>
      <c r="G42">
        <f>Tableau2[[#This Row],[Cost (€/GJ)]]/1000000*3600</f>
        <v>0.10229040000000003</v>
      </c>
      <c r="H42">
        <v>16.899999999999999</v>
      </c>
      <c r="I42">
        <f>Tableau2[[#This Row],[GHG (kgCO2eq/GJ)]]/1000*3.6</f>
        <v>6.0839999999999998E-2</v>
      </c>
      <c r="J42" t="s">
        <v>107</v>
      </c>
      <c r="K42" t="s">
        <v>109</v>
      </c>
    </row>
    <row r="43" spans="1:11" hidden="1" x14ac:dyDescent="0.3">
      <c r="A43" t="s">
        <v>8</v>
      </c>
      <c r="B43" t="s">
        <v>59</v>
      </c>
      <c r="C43" t="s">
        <v>97</v>
      </c>
      <c r="D43">
        <v>1.5239</v>
      </c>
      <c r="E43">
        <f>Tableau2[[#This Row],[Potential (PJ)]]/3.6*1000</f>
        <v>423.30555555555554</v>
      </c>
      <c r="F43">
        <v>16.657623440043409</v>
      </c>
      <c r="G43">
        <f>Tableau2[[#This Row],[Cost (€/GJ)]]/1000000*3600</f>
        <v>5.9967444384156271E-2</v>
      </c>
      <c r="H43">
        <v>16.899999999999999</v>
      </c>
      <c r="I43">
        <f>Tableau2[[#This Row],[GHG (kgCO2eq/GJ)]]/1000*3.6</f>
        <v>6.0839999999999998E-2</v>
      </c>
      <c r="J43" t="s">
        <v>107</v>
      </c>
      <c r="K43" t="s">
        <v>109</v>
      </c>
    </row>
    <row r="44" spans="1:11" hidden="1" x14ac:dyDescent="0.3">
      <c r="A44" t="s">
        <v>8</v>
      </c>
      <c r="B44" t="s">
        <v>51</v>
      </c>
      <c r="C44" t="s">
        <v>75</v>
      </c>
      <c r="D44">
        <v>10.459339999999999</v>
      </c>
      <c r="E44">
        <f>Tableau2[[#This Row],[Potential (PJ)]]/3.6*1000</f>
        <v>2905.3722222222218</v>
      </c>
      <c r="F44">
        <v>0.117870100719024</v>
      </c>
      <c r="G44">
        <f>Tableau2[[#This Row],[Cost (€/GJ)]]/1000000*3600</f>
        <v>4.2433236258848639E-4</v>
      </c>
      <c r="H44">
        <v>11.74</v>
      </c>
      <c r="I44">
        <f>Tableau2[[#This Row],[GHG (kgCO2eq/GJ)]]/1000*3.6</f>
        <v>4.2264000000000003E-2</v>
      </c>
      <c r="J44" t="s">
        <v>104</v>
      </c>
      <c r="K44" t="s">
        <v>108</v>
      </c>
    </row>
    <row r="45" spans="1:11" hidden="1" x14ac:dyDescent="0.3">
      <c r="A45" t="s">
        <v>8</v>
      </c>
      <c r="B45" t="s">
        <v>60</v>
      </c>
      <c r="C45" t="s">
        <v>98</v>
      </c>
      <c r="D45">
        <v>2.7139600000000002</v>
      </c>
      <c r="E45">
        <f>Tableau2[[#This Row],[Potential (PJ)]]/3.6*1000</f>
        <v>753.87777777777774</v>
      </c>
      <c r="F45">
        <v>20.300751879699249</v>
      </c>
      <c r="G45">
        <f>Tableau2[[#This Row],[Cost (€/GJ)]]/1000000*3600</f>
        <v>7.3082706766917291E-2</v>
      </c>
      <c r="H45">
        <v>21</v>
      </c>
      <c r="I45">
        <f>Tableau2[[#This Row],[GHG (kgCO2eq/GJ)]]/1000*3.6</f>
        <v>7.5600000000000001E-2</v>
      </c>
      <c r="J45" t="s">
        <v>107</v>
      </c>
      <c r="K45" t="s">
        <v>109</v>
      </c>
    </row>
    <row r="46" spans="1:11" hidden="1" x14ac:dyDescent="0.3">
      <c r="A46" t="s">
        <v>8</v>
      </c>
      <c r="B46" t="s">
        <v>52</v>
      </c>
      <c r="C46" t="s">
        <v>76</v>
      </c>
      <c r="D46">
        <v>4.2370000000000001</v>
      </c>
      <c r="E46">
        <f>Tableau2[[#This Row],[Potential (PJ)]]/3.6*1000</f>
        <v>1176.9444444444443</v>
      </c>
      <c r="F46">
        <v>5.4702337500000002</v>
      </c>
      <c r="G46">
        <f>Tableau2[[#This Row],[Cost (€/GJ)]]/1000000*3600</f>
        <v>1.9692841500000002E-2</v>
      </c>
      <c r="H46">
        <v>12.68872359754714</v>
      </c>
      <c r="I46">
        <f>Tableau2[[#This Row],[GHG (kgCO2eq/GJ)]]/1000*3.6</f>
        <v>4.5679404951169705E-2</v>
      </c>
      <c r="J46" t="s">
        <v>105</v>
      </c>
      <c r="K46" t="s">
        <v>108</v>
      </c>
    </row>
    <row r="47" spans="1:11" hidden="1" x14ac:dyDescent="0.3">
      <c r="A47" t="s">
        <v>8</v>
      </c>
      <c r="B47" t="s">
        <v>53</v>
      </c>
      <c r="C47" t="s">
        <v>77</v>
      </c>
      <c r="D47">
        <v>13</v>
      </c>
      <c r="E47">
        <f>Tableau2[[#This Row],[Potential (PJ)]]/3.6*1000</f>
        <v>3611.1111111111113</v>
      </c>
      <c r="F47">
        <v>3.4607846153846151</v>
      </c>
      <c r="G47">
        <f>Tableau2[[#This Row],[Cost (€/GJ)]]/1000000*3600</f>
        <v>1.2458824615384613E-2</v>
      </c>
      <c r="H47">
        <v>3.86607608129234</v>
      </c>
      <c r="I47">
        <f>Tableau2[[#This Row],[GHG (kgCO2eq/GJ)]]/1000*3.6</f>
        <v>1.3917873892652425E-2</v>
      </c>
      <c r="J47" t="s">
        <v>104</v>
      </c>
      <c r="K47" t="s">
        <v>108</v>
      </c>
    </row>
    <row r="48" spans="1:11" hidden="1" x14ac:dyDescent="0.3">
      <c r="A48" t="s">
        <v>8</v>
      </c>
      <c r="B48" t="s">
        <v>61</v>
      </c>
      <c r="C48" t="s">
        <v>99</v>
      </c>
      <c r="D48">
        <v>16.8</v>
      </c>
      <c r="E48">
        <f>Tableau2[[#This Row],[Potential (PJ)]]/3.6*1000</f>
        <v>4666.666666666667</v>
      </c>
      <c r="F48">
        <v>1.8392142857142859</v>
      </c>
      <c r="G48">
        <f>Tableau2[[#This Row],[Cost (€/GJ)]]/1000000*3600</f>
        <v>6.6211714285714296E-3</v>
      </c>
      <c r="H48">
        <v>2.9245635910224439</v>
      </c>
      <c r="I48">
        <f>Tableau2[[#This Row],[GHG (kgCO2eq/GJ)]]/1000*3.6</f>
        <v>1.0528428927680798E-2</v>
      </c>
      <c r="J48" t="s">
        <v>104</v>
      </c>
      <c r="K48" t="s">
        <v>108</v>
      </c>
    </row>
    <row r="49" spans="1:11" hidden="1" x14ac:dyDescent="0.3">
      <c r="A49" t="s">
        <v>8</v>
      </c>
      <c r="B49" t="s">
        <v>62</v>
      </c>
      <c r="C49" t="s">
        <v>100</v>
      </c>
      <c r="D49">
        <v>6.2</v>
      </c>
      <c r="E49">
        <f>Tableau2[[#This Row],[Potential (PJ)]]/3.6*1000</f>
        <v>1722.2222222222224</v>
      </c>
      <c r="F49">
        <v>0.34032258064516119</v>
      </c>
      <c r="G49">
        <f>Tableau2[[#This Row],[Cost (€/GJ)]]/1000000*3600</f>
        <v>1.2251612903225802E-3</v>
      </c>
      <c r="H49">
        <v>2.6764106050305911</v>
      </c>
      <c r="I49">
        <f>Tableau2[[#This Row],[GHG (kgCO2eq/GJ)]]/1000*3.6</f>
        <v>9.6350781781101291E-3</v>
      </c>
      <c r="J49" t="s">
        <v>104</v>
      </c>
      <c r="K49" t="s">
        <v>108</v>
      </c>
    </row>
    <row r="50" spans="1:11" hidden="1" x14ac:dyDescent="0.3">
      <c r="A50" t="s">
        <v>8</v>
      </c>
      <c r="B50" t="s">
        <v>54</v>
      </c>
      <c r="C50" t="s">
        <v>78</v>
      </c>
      <c r="D50">
        <v>109.7</v>
      </c>
      <c r="E50">
        <f>Tableau2[[#This Row],[Potential (PJ)]]/3.6*1000</f>
        <v>30472.222222222223</v>
      </c>
      <c r="F50">
        <v>7.1386718322698268</v>
      </c>
      <c r="G50">
        <f>Tableau2[[#This Row],[Cost (€/GJ)]]/1000000*3600</f>
        <v>2.5699218596171376E-2</v>
      </c>
      <c r="H50">
        <v>3.86607608129234</v>
      </c>
      <c r="I50">
        <f>Tableau2[[#This Row],[GHG (kgCO2eq/GJ)]]/1000*3.6</f>
        <v>1.3917873892652425E-2</v>
      </c>
      <c r="J50" t="s">
        <v>104</v>
      </c>
      <c r="K50" t="s">
        <v>108</v>
      </c>
    </row>
    <row r="51" spans="1:11" hidden="1" x14ac:dyDescent="0.3">
      <c r="A51" t="s">
        <v>9</v>
      </c>
      <c r="B51" t="s">
        <v>46</v>
      </c>
      <c r="C51" t="s">
        <v>63</v>
      </c>
      <c r="D51">
        <v>5.9999999999999995E-4</v>
      </c>
      <c r="E51">
        <f>Tableau2[[#This Row],[Potential (PJ)]]/3.6*1000</f>
        <v>0.16666666666666666</v>
      </c>
      <c r="F51">
        <v>2.9286474973375931</v>
      </c>
      <c r="G51">
        <f>Tableau2[[#This Row],[Cost (€/GJ)]]/1000000*3600</f>
        <v>1.0543130990415334E-2</v>
      </c>
      <c r="H51">
        <v>3.950479233226837</v>
      </c>
      <c r="I51">
        <f>Tableau2[[#This Row],[GHG (kgCO2eq/GJ)]]/1000*3.6</f>
        <v>1.4221725239616614E-2</v>
      </c>
      <c r="J51" t="s">
        <v>104</v>
      </c>
      <c r="K51" t="s">
        <v>108</v>
      </c>
    </row>
    <row r="52" spans="1:11" hidden="1" x14ac:dyDescent="0.3">
      <c r="A52" t="s">
        <v>9</v>
      </c>
      <c r="B52" t="s">
        <v>46</v>
      </c>
      <c r="C52" t="s">
        <v>64</v>
      </c>
      <c r="D52">
        <v>0.71028000000000002</v>
      </c>
      <c r="E52">
        <f>Tableau2[[#This Row],[Potential (PJ)]]/3.6*1000</f>
        <v>197.3</v>
      </c>
      <c r="F52">
        <v>2.1850000000000001</v>
      </c>
      <c r="G52">
        <f>Tableau2[[#This Row],[Cost (€/GJ)]]/1000000*3600</f>
        <v>7.8660000000000015E-3</v>
      </c>
      <c r="H52">
        <v>2.9521711768407801</v>
      </c>
      <c r="I52">
        <f>Tableau2[[#This Row],[GHG (kgCO2eq/GJ)]]/1000*3.6</f>
        <v>1.0627816236626808E-2</v>
      </c>
      <c r="J52" t="s">
        <v>104</v>
      </c>
      <c r="K52" t="s">
        <v>108</v>
      </c>
    </row>
    <row r="53" spans="1:11" hidden="1" x14ac:dyDescent="0.3">
      <c r="A53" t="s">
        <v>9</v>
      </c>
      <c r="B53" t="s">
        <v>46</v>
      </c>
      <c r="C53" t="s">
        <v>65</v>
      </c>
      <c r="D53">
        <v>0.5</v>
      </c>
      <c r="E53">
        <f>Tableau2[[#This Row],[Potential (PJ)]]/3.6*1000</f>
        <v>138.88888888888889</v>
      </c>
      <c r="F53">
        <v>4.3609999999999998</v>
      </c>
      <c r="G53">
        <f>Tableau2[[#This Row],[Cost (€/GJ)]]/1000000*3600</f>
        <v>1.5699599999999998E-2</v>
      </c>
      <c r="H53">
        <v>2.9521711768407801</v>
      </c>
      <c r="I53">
        <f>Tableau2[[#This Row],[GHG (kgCO2eq/GJ)]]/1000*3.6</f>
        <v>1.0627816236626808E-2</v>
      </c>
      <c r="J53" t="s">
        <v>104</v>
      </c>
      <c r="K53" t="s">
        <v>108</v>
      </c>
    </row>
    <row r="54" spans="1:11" hidden="1" x14ac:dyDescent="0.3">
      <c r="A54" t="s">
        <v>9</v>
      </c>
      <c r="B54" t="s">
        <v>46</v>
      </c>
      <c r="C54" t="s">
        <v>66</v>
      </c>
      <c r="D54">
        <v>1.7</v>
      </c>
      <c r="E54">
        <f>Tableau2[[#This Row],[Potential (PJ)]]/3.6*1000</f>
        <v>472.22222222222223</v>
      </c>
      <c r="F54">
        <v>2.1539999999999999</v>
      </c>
      <c r="G54">
        <f>Tableau2[[#This Row],[Cost (€/GJ)]]/1000000*3600</f>
        <v>7.7543999999999998E-3</v>
      </c>
      <c r="H54">
        <v>6.8428961748633883</v>
      </c>
      <c r="I54">
        <f>Tableau2[[#This Row],[GHG (kgCO2eq/GJ)]]/1000*3.6</f>
        <v>2.4634426229508198E-2</v>
      </c>
      <c r="J54" t="s">
        <v>104</v>
      </c>
      <c r="K54" t="s">
        <v>108</v>
      </c>
    </row>
    <row r="55" spans="1:11" hidden="1" x14ac:dyDescent="0.3">
      <c r="A55" t="s">
        <v>9</v>
      </c>
      <c r="B55" t="s">
        <v>46</v>
      </c>
      <c r="C55" t="s">
        <v>85</v>
      </c>
      <c r="D55">
        <v>0.1</v>
      </c>
      <c r="E55">
        <f>Tableau2[[#This Row],[Potential (PJ)]]/3.6*1000</f>
        <v>27.777777777777779</v>
      </c>
      <c r="F55">
        <v>4.0759999999999996</v>
      </c>
      <c r="G55">
        <f>Tableau2[[#This Row],[Cost (€/GJ)]]/1000000*3600</f>
        <v>1.4673599999999998E-2</v>
      </c>
      <c r="H55">
        <v>2.9521711768407801</v>
      </c>
      <c r="I55">
        <f>Tableau2[[#This Row],[GHG (kgCO2eq/GJ)]]/1000*3.6</f>
        <v>1.0627816236626808E-2</v>
      </c>
      <c r="J55" t="s">
        <v>104</v>
      </c>
      <c r="K55" t="s">
        <v>108</v>
      </c>
    </row>
    <row r="56" spans="1:11" hidden="1" x14ac:dyDescent="0.3">
      <c r="A56" t="s">
        <v>9</v>
      </c>
      <c r="B56" t="s">
        <v>47</v>
      </c>
      <c r="C56" t="s">
        <v>68</v>
      </c>
      <c r="D56">
        <v>37.4</v>
      </c>
      <c r="E56">
        <f>Tableau2[[#This Row],[Potential (PJ)]]/3.6*1000</f>
        <v>10388.888888888887</v>
      </c>
      <c r="F56">
        <v>3.9260000000000002</v>
      </c>
      <c r="G56">
        <f>Tableau2[[#This Row],[Cost (€/GJ)]]/1000000*3600</f>
        <v>1.4133600000000001E-2</v>
      </c>
      <c r="I56">
        <f>Tableau2[[#This Row],[GHG (kgCO2eq/GJ)]]/1000*3.6</f>
        <v>0</v>
      </c>
      <c r="J56" t="s">
        <v>104</v>
      </c>
      <c r="K56" t="s">
        <v>109</v>
      </c>
    </row>
    <row r="57" spans="1:11" hidden="1" x14ac:dyDescent="0.3">
      <c r="A57" t="s">
        <v>9</v>
      </c>
      <c r="B57" t="s">
        <v>47</v>
      </c>
      <c r="C57" t="s">
        <v>69</v>
      </c>
      <c r="D57">
        <v>26.2</v>
      </c>
      <c r="E57">
        <f>Tableau2[[#This Row],[Potential (PJ)]]/3.6*1000</f>
        <v>7277.7777777777774</v>
      </c>
      <c r="F57">
        <v>3.9169999999999998</v>
      </c>
      <c r="G57">
        <f>Tableau2[[#This Row],[Cost (€/GJ)]]/1000000*3600</f>
        <v>1.4101199999999999E-2</v>
      </c>
      <c r="I57">
        <f>Tableau2[[#This Row],[GHG (kgCO2eq/GJ)]]/1000*3.6</f>
        <v>0</v>
      </c>
      <c r="J57" t="s">
        <v>104</v>
      </c>
      <c r="K57" t="s">
        <v>109</v>
      </c>
    </row>
    <row r="58" spans="1:11" hidden="1" x14ac:dyDescent="0.3">
      <c r="A58" t="s">
        <v>9</v>
      </c>
      <c r="B58" t="s">
        <v>48</v>
      </c>
      <c r="C58" t="s">
        <v>70</v>
      </c>
      <c r="D58">
        <v>13.8</v>
      </c>
      <c r="E58">
        <f>Tableau2[[#This Row],[Potential (PJ)]]/3.6*1000</f>
        <v>3833.3333333333335</v>
      </c>
      <c r="F58">
        <v>10.117000000000001</v>
      </c>
      <c r="G58">
        <f>Tableau2[[#This Row],[Cost (€/GJ)]]/1000000*3600</f>
        <v>3.6421200000000008E-2</v>
      </c>
      <c r="I58">
        <f>Tableau2[[#This Row],[GHG (kgCO2eq/GJ)]]/1000*3.6</f>
        <v>0</v>
      </c>
      <c r="J58" t="s">
        <v>104</v>
      </c>
      <c r="K58" t="s">
        <v>109</v>
      </c>
    </row>
    <row r="59" spans="1:11" hidden="1" x14ac:dyDescent="0.3">
      <c r="A59" t="s">
        <v>9</v>
      </c>
      <c r="B59" t="s">
        <v>49</v>
      </c>
      <c r="C59" t="s">
        <v>71</v>
      </c>
      <c r="D59">
        <v>4.2243399999999998</v>
      </c>
      <c r="E59">
        <f>Tableau2[[#This Row],[Potential (PJ)]]/3.6*1000</f>
        <v>1173.4277777777777</v>
      </c>
      <c r="F59">
        <v>0</v>
      </c>
      <c r="G59">
        <f>Tableau2[[#This Row],[Cost (€/GJ)]]/1000000*3600</f>
        <v>0</v>
      </c>
      <c r="H59">
        <v>3.86607608129234</v>
      </c>
      <c r="I59">
        <f>Tableau2[[#This Row],[GHG (kgCO2eq/GJ)]]/1000*3.6</f>
        <v>1.3917873892652425E-2</v>
      </c>
      <c r="J59" t="s">
        <v>104</v>
      </c>
      <c r="K59" t="s">
        <v>108</v>
      </c>
    </row>
    <row r="60" spans="1:11" hidden="1" x14ac:dyDescent="0.3">
      <c r="A60" t="s">
        <v>9</v>
      </c>
      <c r="B60" t="s">
        <v>49</v>
      </c>
      <c r="C60" t="s">
        <v>72</v>
      </c>
      <c r="D60">
        <v>1.7</v>
      </c>
      <c r="E60">
        <f>Tableau2[[#This Row],[Potential (PJ)]]/3.6*1000</f>
        <v>472.22222222222223</v>
      </c>
      <c r="F60">
        <v>0</v>
      </c>
      <c r="G60">
        <f>Tableau2[[#This Row],[Cost (€/GJ)]]/1000000*3600</f>
        <v>0</v>
      </c>
      <c r="H60">
        <v>3.86607608129234</v>
      </c>
      <c r="I60">
        <f>Tableau2[[#This Row],[GHG (kgCO2eq/GJ)]]/1000*3.6</f>
        <v>1.3917873892652425E-2</v>
      </c>
      <c r="J60" t="s">
        <v>104</v>
      </c>
      <c r="K60" t="s">
        <v>108</v>
      </c>
    </row>
    <row r="61" spans="1:11" hidden="1" x14ac:dyDescent="0.3">
      <c r="A61" t="s">
        <v>9</v>
      </c>
      <c r="B61" t="s">
        <v>50</v>
      </c>
      <c r="C61" t="s">
        <v>73</v>
      </c>
      <c r="D61">
        <v>0.4</v>
      </c>
      <c r="E61">
        <f>Tableau2[[#This Row],[Potential (PJ)]]/3.6*1000</f>
        <v>111.11111111111111</v>
      </c>
      <c r="F61">
        <v>5.4240000000000004</v>
      </c>
      <c r="G61">
        <f>Tableau2[[#This Row],[Cost (€/GJ)]]/1000000*3600</f>
        <v>1.9526399999999999E-2</v>
      </c>
      <c r="H61">
        <v>20.723404255319149</v>
      </c>
      <c r="I61">
        <f>Tableau2[[#This Row],[GHG (kgCO2eq/GJ)]]/1000*3.6</f>
        <v>7.4604255319148938E-2</v>
      </c>
      <c r="J61" t="s">
        <v>105</v>
      </c>
      <c r="K61" t="s">
        <v>108</v>
      </c>
    </row>
    <row r="62" spans="1:11" hidden="1" x14ac:dyDescent="0.3">
      <c r="A62" t="s">
        <v>9</v>
      </c>
      <c r="B62" t="s">
        <v>50</v>
      </c>
      <c r="C62" t="s">
        <v>74</v>
      </c>
      <c r="D62">
        <v>1.2</v>
      </c>
      <c r="E62">
        <f>Tableau2[[#This Row],[Potential (PJ)]]/3.6*1000</f>
        <v>333.33333333333331</v>
      </c>
      <c r="F62">
        <v>3.484</v>
      </c>
      <c r="G62">
        <f>Tableau2[[#This Row],[Cost (€/GJ)]]/1000000*3600</f>
        <v>1.25424E-2</v>
      </c>
      <c r="H62">
        <v>2.0635593220338988</v>
      </c>
      <c r="I62">
        <f>Tableau2[[#This Row],[GHG (kgCO2eq/GJ)]]/1000*3.6</f>
        <v>7.4288135593220351E-3</v>
      </c>
      <c r="J62" t="s">
        <v>105</v>
      </c>
      <c r="K62" t="s">
        <v>108</v>
      </c>
    </row>
    <row r="63" spans="1:11" hidden="1" x14ac:dyDescent="0.3">
      <c r="A63" t="s">
        <v>9</v>
      </c>
      <c r="B63" t="s">
        <v>51</v>
      </c>
      <c r="C63" t="s">
        <v>75</v>
      </c>
      <c r="D63">
        <v>0</v>
      </c>
      <c r="E63">
        <f>Tableau2[[#This Row],[Potential (PJ)]]/3.6*1000</f>
        <v>0</v>
      </c>
      <c r="F63">
        <v>0</v>
      </c>
      <c r="G63">
        <f>Tableau2[[#This Row],[Cost (€/GJ)]]/1000000*3600</f>
        <v>0</v>
      </c>
      <c r="H63">
        <v>11.74</v>
      </c>
      <c r="I63">
        <f>Tableau2[[#This Row],[GHG (kgCO2eq/GJ)]]/1000*3.6</f>
        <v>4.2264000000000003E-2</v>
      </c>
      <c r="J63" t="s">
        <v>104</v>
      </c>
      <c r="K63" t="s">
        <v>108</v>
      </c>
    </row>
    <row r="64" spans="1:11" hidden="1" x14ac:dyDescent="0.3">
      <c r="A64" t="s">
        <v>9</v>
      </c>
      <c r="B64" t="s">
        <v>52</v>
      </c>
      <c r="C64" t="s">
        <v>76</v>
      </c>
      <c r="D64">
        <v>0.215</v>
      </c>
      <c r="E64">
        <f>Tableau2[[#This Row],[Potential (PJ)]]/3.6*1000</f>
        <v>59.722222222222221</v>
      </c>
      <c r="F64">
        <v>0</v>
      </c>
      <c r="G64">
        <f>Tableau2[[#This Row],[Cost (€/GJ)]]/1000000*3600</f>
        <v>0</v>
      </c>
      <c r="H64">
        <v>12.68872359754714</v>
      </c>
      <c r="I64">
        <f>Tableau2[[#This Row],[GHG (kgCO2eq/GJ)]]/1000*3.6</f>
        <v>4.5679404951169705E-2</v>
      </c>
      <c r="J64" t="s">
        <v>105</v>
      </c>
      <c r="K64" t="s">
        <v>108</v>
      </c>
    </row>
    <row r="65" spans="1:11" hidden="1" x14ac:dyDescent="0.3">
      <c r="A65" t="s">
        <v>9</v>
      </c>
      <c r="B65" t="s">
        <v>53</v>
      </c>
      <c r="C65" t="s">
        <v>77</v>
      </c>
      <c r="D65">
        <v>5.7</v>
      </c>
      <c r="E65">
        <f>Tableau2[[#This Row],[Potential (PJ)]]/3.6*1000</f>
        <v>1583.3333333333333</v>
      </c>
      <c r="F65">
        <v>0</v>
      </c>
      <c r="G65">
        <f>Tableau2[[#This Row],[Cost (€/GJ)]]/1000000*3600</f>
        <v>0</v>
      </c>
      <c r="H65">
        <v>3.86607608129234</v>
      </c>
      <c r="I65">
        <f>Tableau2[[#This Row],[GHG (kgCO2eq/GJ)]]/1000*3.6</f>
        <v>1.3917873892652425E-2</v>
      </c>
      <c r="J65" t="s">
        <v>104</v>
      </c>
      <c r="K65" t="s">
        <v>108</v>
      </c>
    </row>
    <row r="66" spans="1:11" hidden="1" x14ac:dyDescent="0.3">
      <c r="A66" t="s">
        <v>9</v>
      </c>
      <c r="B66" t="s">
        <v>54</v>
      </c>
      <c r="C66" t="s">
        <v>78</v>
      </c>
      <c r="D66">
        <v>14</v>
      </c>
      <c r="E66">
        <f>Tableau2[[#This Row],[Potential (PJ)]]/3.6*1000</f>
        <v>3888.8888888888887</v>
      </c>
      <c r="F66">
        <v>0</v>
      </c>
      <c r="G66">
        <f>Tableau2[[#This Row],[Cost (€/GJ)]]/1000000*3600</f>
        <v>0</v>
      </c>
      <c r="H66">
        <v>3.86607608129234</v>
      </c>
      <c r="I66">
        <f>Tableau2[[#This Row],[GHG (kgCO2eq/GJ)]]/1000*3.6</f>
        <v>1.3917873892652425E-2</v>
      </c>
      <c r="J66" t="s">
        <v>104</v>
      </c>
      <c r="K66" t="s">
        <v>108</v>
      </c>
    </row>
    <row r="67" spans="1:11" hidden="1" x14ac:dyDescent="0.3">
      <c r="A67" t="s">
        <v>10</v>
      </c>
      <c r="B67" t="s">
        <v>46</v>
      </c>
      <c r="C67" t="s">
        <v>64</v>
      </c>
      <c r="D67">
        <v>0.1</v>
      </c>
      <c r="E67">
        <f>Tableau2[[#This Row],[Potential (PJ)]]/3.6*1000</f>
        <v>27.777777777777779</v>
      </c>
      <c r="F67">
        <v>5.0540000000000003</v>
      </c>
      <c r="G67">
        <f>Tableau2[[#This Row],[Cost (€/GJ)]]/1000000*3600</f>
        <v>1.8194399999999999E-2</v>
      </c>
      <c r="H67">
        <v>2.9521711768407801</v>
      </c>
      <c r="I67">
        <f>Tableau2[[#This Row],[GHG (kgCO2eq/GJ)]]/1000*3.6</f>
        <v>1.0627816236626808E-2</v>
      </c>
      <c r="J67" t="s">
        <v>104</v>
      </c>
      <c r="K67" t="s">
        <v>108</v>
      </c>
    </row>
    <row r="68" spans="1:11" hidden="1" x14ac:dyDescent="0.3">
      <c r="A68" t="s">
        <v>10</v>
      </c>
      <c r="B68" t="s">
        <v>46</v>
      </c>
      <c r="C68" t="s">
        <v>79</v>
      </c>
      <c r="D68">
        <v>3.4</v>
      </c>
      <c r="E68">
        <f>Tableau2[[#This Row],[Potential (PJ)]]/3.6*1000</f>
        <v>944.44444444444446</v>
      </c>
      <c r="F68">
        <v>3.9244117647058818</v>
      </c>
      <c r="G68">
        <f>Tableau2[[#This Row],[Cost (€/GJ)]]/1000000*3600</f>
        <v>1.4127882352941174E-2</v>
      </c>
      <c r="H68">
        <v>6.8428961748633883</v>
      </c>
      <c r="I68">
        <f>Tableau2[[#This Row],[GHG (kgCO2eq/GJ)]]/1000*3.6</f>
        <v>2.4634426229508198E-2</v>
      </c>
      <c r="J68" t="s">
        <v>104</v>
      </c>
      <c r="K68" t="s">
        <v>108</v>
      </c>
    </row>
    <row r="69" spans="1:11" hidden="1" x14ac:dyDescent="0.3">
      <c r="A69" t="s">
        <v>10</v>
      </c>
      <c r="B69" t="s">
        <v>46</v>
      </c>
      <c r="C69" t="s">
        <v>80</v>
      </c>
      <c r="D69">
        <v>0.57240000000000002</v>
      </c>
      <c r="E69">
        <f>Tableau2[[#This Row],[Potential (PJ)]]/3.6*1000</f>
        <v>159</v>
      </c>
      <c r="F69">
        <v>1.026972353337829</v>
      </c>
      <c r="G69">
        <f>Tableau2[[#This Row],[Cost (€/GJ)]]/1000000*3600</f>
        <v>3.6971004720161844E-3</v>
      </c>
      <c r="H69">
        <v>28.139870918023309</v>
      </c>
      <c r="I69">
        <f>Tableau2[[#This Row],[GHG (kgCO2eq/GJ)]]/1000*3.6</f>
        <v>0.10130353530488391</v>
      </c>
      <c r="J69" t="s">
        <v>105</v>
      </c>
      <c r="K69" t="s">
        <v>108</v>
      </c>
    </row>
    <row r="70" spans="1:11" hidden="1" x14ac:dyDescent="0.3">
      <c r="A70" t="s">
        <v>10</v>
      </c>
      <c r="B70" t="s">
        <v>46</v>
      </c>
      <c r="C70" t="s">
        <v>81</v>
      </c>
      <c r="D70">
        <v>1.1978</v>
      </c>
      <c r="E70">
        <f>Tableau2[[#This Row],[Potential (PJ)]]/3.6*1000</f>
        <v>332.72222222222217</v>
      </c>
      <c r="F70">
        <v>1.078730904817861</v>
      </c>
      <c r="G70">
        <f>Tableau2[[#This Row],[Cost (€/GJ)]]/1000000*3600</f>
        <v>3.8834312573442992E-3</v>
      </c>
      <c r="H70">
        <v>8.9647473560517046</v>
      </c>
      <c r="I70">
        <f>Tableau2[[#This Row],[GHG (kgCO2eq/GJ)]]/1000*3.6</f>
        <v>3.2273090481786136E-2</v>
      </c>
      <c r="J70" t="s">
        <v>105</v>
      </c>
      <c r="K70" t="s">
        <v>108</v>
      </c>
    </row>
    <row r="71" spans="1:11" hidden="1" x14ac:dyDescent="0.3">
      <c r="A71" t="s">
        <v>10</v>
      </c>
      <c r="B71" t="s">
        <v>46</v>
      </c>
      <c r="C71" t="s">
        <v>66</v>
      </c>
      <c r="D71">
        <v>1.1000000000000001</v>
      </c>
      <c r="E71">
        <f>Tableau2[[#This Row],[Potential (PJ)]]/3.6*1000</f>
        <v>305.5555555555556</v>
      </c>
      <c r="F71">
        <v>4.2138181818181817</v>
      </c>
      <c r="G71">
        <f>Tableau2[[#This Row],[Cost (€/GJ)]]/1000000*3600</f>
        <v>1.5169745454545453E-2</v>
      </c>
      <c r="H71">
        <v>6.8428961748633883</v>
      </c>
      <c r="I71">
        <f>Tableau2[[#This Row],[GHG (kgCO2eq/GJ)]]/1000*3.6</f>
        <v>2.4634426229508198E-2</v>
      </c>
      <c r="J71" t="s">
        <v>104</v>
      </c>
      <c r="K71" t="s">
        <v>108</v>
      </c>
    </row>
    <row r="72" spans="1:11" hidden="1" x14ac:dyDescent="0.3">
      <c r="A72" t="s">
        <v>10</v>
      </c>
      <c r="B72" t="s">
        <v>46</v>
      </c>
      <c r="C72" t="s">
        <v>83</v>
      </c>
      <c r="D72">
        <v>0.60000000000000009</v>
      </c>
      <c r="E72">
        <f>Tableau2[[#This Row],[Potential (PJ)]]/3.6*1000</f>
        <v>166.66666666666669</v>
      </c>
      <c r="F72">
        <v>0</v>
      </c>
      <c r="G72">
        <f>Tableau2[[#This Row],[Cost (€/GJ)]]/1000000*3600</f>
        <v>0</v>
      </c>
      <c r="H72">
        <v>6.8428961748633883</v>
      </c>
      <c r="I72">
        <f>Tableau2[[#This Row],[GHG (kgCO2eq/GJ)]]/1000*3.6</f>
        <v>2.4634426229508198E-2</v>
      </c>
      <c r="J72" t="s">
        <v>104</v>
      </c>
      <c r="K72" t="s">
        <v>108</v>
      </c>
    </row>
    <row r="73" spans="1:11" hidden="1" x14ac:dyDescent="0.3">
      <c r="A73" t="s">
        <v>10</v>
      </c>
      <c r="B73" t="s">
        <v>46</v>
      </c>
      <c r="C73" t="s">
        <v>84</v>
      </c>
      <c r="D73">
        <v>0.60000000000000009</v>
      </c>
      <c r="E73">
        <f>Tableau2[[#This Row],[Potential (PJ)]]/3.6*1000</f>
        <v>166.66666666666669</v>
      </c>
      <c r="F73">
        <v>2.4186666666666659</v>
      </c>
      <c r="G73">
        <f>Tableau2[[#This Row],[Cost (€/GJ)]]/1000000*3600</f>
        <v>8.7071999999999983E-3</v>
      </c>
      <c r="H73">
        <v>28.139870918023309</v>
      </c>
      <c r="I73">
        <f>Tableau2[[#This Row],[GHG (kgCO2eq/GJ)]]/1000*3.6</f>
        <v>0.10130353530488391</v>
      </c>
      <c r="J73" t="s">
        <v>105</v>
      </c>
      <c r="K73" t="s">
        <v>108</v>
      </c>
    </row>
    <row r="74" spans="1:11" hidden="1" x14ac:dyDescent="0.3">
      <c r="A74" t="s">
        <v>10</v>
      </c>
      <c r="B74" t="s">
        <v>55</v>
      </c>
      <c r="C74" t="s">
        <v>86</v>
      </c>
      <c r="D74">
        <v>1.1568000000000001</v>
      </c>
      <c r="E74">
        <f>Tableau2[[#This Row],[Potential (PJ)]]/3.6*1000</f>
        <v>321.33333333333337</v>
      </c>
      <c r="F74">
        <v>16.411999999999999</v>
      </c>
      <c r="G74">
        <f>Tableau2[[#This Row],[Cost (€/GJ)]]/1000000*3600</f>
        <v>5.9083199999999995E-2</v>
      </c>
      <c r="H74">
        <v>26.3</v>
      </c>
      <c r="I74">
        <f>Tableau2[[#This Row],[GHG (kgCO2eq/GJ)]]/1000*3.6</f>
        <v>9.468E-2</v>
      </c>
      <c r="J74" t="s">
        <v>106</v>
      </c>
      <c r="K74" t="s">
        <v>109</v>
      </c>
    </row>
    <row r="75" spans="1:11" hidden="1" x14ac:dyDescent="0.3">
      <c r="A75" t="s">
        <v>10</v>
      </c>
      <c r="B75" t="s">
        <v>55</v>
      </c>
      <c r="C75" t="s">
        <v>88</v>
      </c>
      <c r="D75">
        <v>1.1521999999999999</v>
      </c>
      <c r="E75">
        <f>Tableau2[[#This Row],[Potential (PJ)]]/3.6*1000</f>
        <v>320.05555555555554</v>
      </c>
      <c r="F75">
        <v>10.111000000000001</v>
      </c>
      <c r="G75">
        <f>Tableau2[[#This Row],[Cost (€/GJ)]]/1000000*3600</f>
        <v>3.6399600000000004E-2</v>
      </c>
      <c r="H75">
        <v>26.3</v>
      </c>
      <c r="I75">
        <f>Tableau2[[#This Row],[GHG (kgCO2eq/GJ)]]/1000*3.6</f>
        <v>9.468E-2</v>
      </c>
      <c r="J75" t="s">
        <v>106</v>
      </c>
      <c r="K75" t="s">
        <v>109</v>
      </c>
    </row>
    <row r="76" spans="1:11" hidden="1" x14ac:dyDescent="0.3">
      <c r="A76" t="s">
        <v>10</v>
      </c>
      <c r="B76" t="s">
        <v>55</v>
      </c>
      <c r="C76" t="s">
        <v>92</v>
      </c>
      <c r="D76">
        <v>3.2894999999999999</v>
      </c>
      <c r="E76">
        <f>Tableau2[[#This Row],[Potential (PJ)]]/3.6*1000</f>
        <v>913.75</v>
      </c>
      <c r="F76">
        <v>17.815999999999999</v>
      </c>
      <c r="G76">
        <f>Tableau2[[#This Row],[Cost (€/GJ)]]/1000000*3600</f>
        <v>6.4137600000000003E-2</v>
      </c>
      <c r="H76">
        <v>26.3</v>
      </c>
      <c r="I76">
        <f>Tableau2[[#This Row],[GHG (kgCO2eq/GJ)]]/1000*3.6</f>
        <v>9.468E-2</v>
      </c>
      <c r="J76" t="s">
        <v>106</v>
      </c>
      <c r="K76" t="s">
        <v>109</v>
      </c>
    </row>
    <row r="77" spans="1:11" hidden="1" x14ac:dyDescent="0.3">
      <c r="A77" t="s">
        <v>10</v>
      </c>
      <c r="B77" t="s">
        <v>56</v>
      </c>
      <c r="C77" t="s">
        <v>93</v>
      </c>
      <c r="D77">
        <v>36.4009</v>
      </c>
      <c r="E77">
        <f>Tableau2[[#This Row],[Potential (PJ)]]/3.6*1000</f>
        <v>10111.361111111109</v>
      </c>
      <c r="F77">
        <v>2.939759036144578</v>
      </c>
      <c r="G77">
        <f>Tableau2[[#This Row],[Cost (€/GJ)]]/1000000*3600</f>
        <v>1.0583132530120481E-2</v>
      </c>
      <c r="H77">
        <v>31.2</v>
      </c>
      <c r="I77">
        <f>Tableau2[[#This Row],[GHG (kgCO2eq/GJ)]]/1000*3.6</f>
        <v>0.11232</v>
      </c>
      <c r="J77" t="s">
        <v>106</v>
      </c>
      <c r="K77" t="s">
        <v>109</v>
      </c>
    </row>
    <row r="78" spans="1:11" hidden="1" x14ac:dyDescent="0.3">
      <c r="A78" t="s">
        <v>10</v>
      </c>
      <c r="B78" t="s">
        <v>47</v>
      </c>
      <c r="C78" t="s">
        <v>68</v>
      </c>
      <c r="D78">
        <v>0.9</v>
      </c>
      <c r="E78">
        <f>Tableau2[[#This Row],[Potential (PJ)]]/3.6*1000</f>
        <v>250</v>
      </c>
      <c r="F78">
        <v>6.386000000000001</v>
      </c>
      <c r="G78">
        <f>Tableau2[[#This Row],[Cost (€/GJ)]]/1000000*3600</f>
        <v>2.2989600000000006E-2</v>
      </c>
      <c r="H78">
        <v>20.5</v>
      </c>
      <c r="I78">
        <f>Tableau2[[#This Row],[GHG (kgCO2eq/GJ)]]/1000*3.6</f>
        <v>7.3800000000000004E-2</v>
      </c>
      <c r="J78" t="s">
        <v>104</v>
      </c>
      <c r="K78" t="s">
        <v>109</v>
      </c>
    </row>
    <row r="79" spans="1:11" hidden="1" x14ac:dyDescent="0.3">
      <c r="A79" t="s">
        <v>10</v>
      </c>
      <c r="B79" t="s">
        <v>47</v>
      </c>
      <c r="C79" t="s">
        <v>69</v>
      </c>
      <c r="D79">
        <v>2.1</v>
      </c>
      <c r="E79">
        <f>Tableau2[[#This Row],[Potential (PJ)]]/3.6*1000</f>
        <v>583.33333333333337</v>
      </c>
      <c r="F79">
        <v>5.4963333333333333</v>
      </c>
      <c r="G79">
        <f>Tableau2[[#This Row],[Cost (€/GJ)]]/1000000*3600</f>
        <v>1.97868E-2</v>
      </c>
      <c r="H79">
        <v>20.5</v>
      </c>
      <c r="I79">
        <f>Tableau2[[#This Row],[GHG (kgCO2eq/GJ)]]/1000*3.6</f>
        <v>7.3800000000000004E-2</v>
      </c>
      <c r="J79" t="s">
        <v>104</v>
      </c>
      <c r="K79" t="s">
        <v>109</v>
      </c>
    </row>
    <row r="80" spans="1:11" hidden="1" x14ac:dyDescent="0.3">
      <c r="A80" t="s">
        <v>10</v>
      </c>
      <c r="B80" t="s">
        <v>57</v>
      </c>
      <c r="C80" t="s">
        <v>94</v>
      </c>
      <c r="D80">
        <v>0.70000000000000007</v>
      </c>
      <c r="E80">
        <f>Tableau2[[#This Row],[Potential (PJ)]]/3.6*1000</f>
        <v>194.44444444444446</v>
      </c>
      <c r="F80">
        <v>10.420999999999999</v>
      </c>
      <c r="G80">
        <f>Tableau2[[#This Row],[Cost (€/GJ)]]/1000000*3600</f>
        <v>3.7515599999999996E-2</v>
      </c>
      <c r="H80">
        <v>16.399999999999999</v>
      </c>
      <c r="I80">
        <f>Tableau2[[#This Row],[GHG (kgCO2eq/GJ)]]/1000*3.6</f>
        <v>5.9039999999999995E-2</v>
      </c>
      <c r="J80" t="s">
        <v>104</v>
      </c>
      <c r="K80" t="s">
        <v>109</v>
      </c>
    </row>
    <row r="81" spans="1:11" hidden="1" x14ac:dyDescent="0.3">
      <c r="A81" t="s">
        <v>10</v>
      </c>
      <c r="B81" t="s">
        <v>49</v>
      </c>
      <c r="C81" t="s">
        <v>71</v>
      </c>
      <c r="D81">
        <v>14.726699999999999</v>
      </c>
      <c r="E81">
        <f>Tableau2[[#This Row],[Potential (PJ)]]/3.6*1000</f>
        <v>4090.75</v>
      </c>
      <c r="F81">
        <v>4.4082231090468333</v>
      </c>
      <c r="G81">
        <f>Tableau2[[#This Row],[Cost (€/GJ)]]/1000000*3600</f>
        <v>1.5869603192568599E-2</v>
      </c>
      <c r="H81">
        <v>3.86607608129234</v>
      </c>
      <c r="I81">
        <f>Tableau2[[#This Row],[GHG (kgCO2eq/GJ)]]/1000*3.6</f>
        <v>1.3917873892652425E-2</v>
      </c>
      <c r="J81" t="s">
        <v>104</v>
      </c>
      <c r="K81" t="s">
        <v>108</v>
      </c>
    </row>
    <row r="82" spans="1:11" hidden="1" x14ac:dyDescent="0.3">
      <c r="A82" t="s">
        <v>10</v>
      </c>
      <c r="B82" t="s">
        <v>49</v>
      </c>
      <c r="C82" t="s">
        <v>72</v>
      </c>
      <c r="D82">
        <v>1.6</v>
      </c>
      <c r="E82">
        <f>Tableau2[[#This Row],[Potential (PJ)]]/3.6*1000</f>
        <v>444.44444444444446</v>
      </c>
      <c r="F82">
        <v>3.5334999999999992</v>
      </c>
      <c r="G82">
        <f>Tableau2[[#This Row],[Cost (€/GJ)]]/1000000*3600</f>
        <v>1.2720599999999997E-2</v>
      </c>
      <c r="H82">
        <v>3.86607608129234</v>
      </c>
      <c r="I82">
        <f>Tableau2[[#This Row],[GHG (kgCO2eq/GJ)]]/1000*3.6</f>
        <v>1.3917873892652425E-2</v>
      </c>
      <c r="J82" t="s">
        <v>104</v>
      </c>
      <c r="K82" t="s">
        <v>108</v>
      </c>
    </row>
    <row r="83" spans="1:11" hidden="1" x14ac:dyDescent="0.3">
      <c r="A83" t="s">
        <v>10</v>
      </c>
      <c r="B83" t="s">
        <v>58</v>
      </c>
      <c r="C83" t="s">
        <v>95</v>
      </c>
      <c r="D83">
        <v>5.73644</v>
      </c>
      <c r="E83">
        <f>Tableau2[[#This Row],[Potential (PJ)]]/3.6*1000</f>
        <v>1593.4555555555553</v>
      </c>
      <c r="F83">
        <v>2.7166789524513462</v>
      </c>
      <c r="G83">
        <f>Tableau2[[#This Row],[Cost (€/GJ)]]/1000000*3600</f>
        <v>9.7800442288248461E-3</v>
      </c>
      <c r="H83">
        <v>2.9521711768407801</v>
      </c>
      <c r="I83">
        <f>Tableau2[[#This Row],[GHG (kgCO2eq/GJ)]]/1000*3.6</f>
        <v>1.0627816236626808E-2</v>
      </c>
      <c r="J83" t="s">
        <v>104</v>
      </c>
      <c r="K83" t="s">
        <v>108</v>
      </c>
    </row>
    <row r="84" spans="1:11" hidden="1" x14ac:dyDescent="0.3">
      <c r="A84" t="s">
        <v>10</v>
      </c>
      <c r="B84" t="s">
        <v>50</v>
      </c>
      <c r="C84" t="s">
        <v>73</v>
      </c>
      <c r="D84">
        <v>8</v>
      </c>
      <c r="E84">
        <f>Tableau2[[#This Row],[Potential (PJ)]]/3.6*1000</f>
        <v>2222.2222222222222</v>
      </c>
      <c r="F84">
        <v>5.6698500000000003</v>
      </c>
      <c r="G84">
        <f>Tableau2[[#This Row],[Cost (€/GJ)]]/1000000*3600</f>
        <v>2.0411460000000003E-2</v>
      </c>
      <c r="H84">
        <v>20.723404255319149</v>
      </c>
      <c r="I84">
        <f>Tableau2[[#This Row],[GHG (kgCO2eq/GJ)]]/1000*3.6</f>
        <v>7.4604255319148938E-2</v>
      </c>
      <c r="J84" t="s">
        <v>105</v>
      </c>
      <c r="K84" t="s">
        <v>108</v>
      </c>
    </row>
    <row r="85" spans="1:11" hidden="1" x14ac:dyDescent="0.3">
      <c r="A85" t="s">
        <v>10</v>
      </c>
      <c r="B85" t="s">
        <v>50</v>
      </c>
      <c r="C85" t="s">
        <v>74</v>
      </c>
      <c r="D85">
        <v>30.7</v>
      </c>
      <c r="E85">
        <f>Tableau2[[#This Row],[Potential (PJ)]]/3.6*1000</f>
        <v>8527.7777777777774</v>
      </c>
      <c r="F85">
        <v>6.3553973941368076</v>
      </c>
      <c r="G85">
        <f>Tableau2[[#This Row],[Cost (€/GJ)]]/1000000*3600</f>
        <v>2.2879430618892506E-2</v>
      </c>
      <c r="H85">
        <v>2.0635593220338988</v>
      </c>
      <c r="I85">
        <f>Tableau2[[#This Row],[GHG (kgCO2eq/GJ)]]/1000*3.6</f>
        <v>7.4288135593220351E-3</v>
      </c>
      <c r="J85" t="s">
        <v>105</v>
      </c>
      <c r="K85" t="s">
        <v>108</v>
      </c>
    </row>
    <row r="86" spans="1:11" hidden="1" x14ac:dyDescent="0.3">
      <c r="A86" t="s">
        <v>10</v>
      </c>
      <c r="B86" t="s">
        <v>51</v>
      </c>
      <c r="C86" t="s">
        <v>75</v>
      </c>
      <c r="D86">
        <v>53.82967</v>
      </c>
      <c r="E86">
        <f>Tableau2[[#This Row],[Potential (PJ)]]/3.6*1000</f>
        <v>14952.686111111112</v>
      </c>
      <c r="F86">
        <v>3.38695378252689E-2</v>
      </c>
      <c r="G86">
        <f>Tableau2[[#This Row],[Cost (€/GJ)]]/1000000*3600</f>
        <v>1.2193033617096804E-4</v>
      </c>
      <c r="H86">
        <v>11.74</v>
      </c>
      <c r="I86">
        <f>Tableau2[[#This Row],[GHG (kgCO2eq/GJ)]]/1000*3.6</f>
        <v>4.2264000000000003E-2</v>
      </c>
      <c r="J86" t="s">
        <v>104</v>
      </c>
      <c r="K86" t="s">
        <v>108</v>
      </c>
    </row>
    <row r="87" spans="1:11" hidden="1" x14ac:dyDescent="0.3">
      <c r="A87" t="s">
        <v>10</v>
      </c>
      <c r="B87" t="s">
        <v>60</v>
      </c>
      <c r="C87" t="s">
        <v>98</v>
      </c>
      <c r="D87">
        <v>8.5169999999999996E-2</v>
      </c>
      <c r="E87">
        <f>Tableau2[[#This Row],[Potential (PJ)]]/3.6*1000</f>
        <v>23.658333333333331</v>
      </c>
      <c r="F87">
        <v>24.86573576799141</v>
      </c>
      <c r="G87">
        <f>Tableau2[[#This Row],[Cost (€/GJ)]]/1000000*3600</f>
        <v>8.9516648764769086E-2</v>
      </c>
      <c r="H87">
        <v>37.799999999999997</v>
      </c>
      <c r="I87">
        <f>Tableau2[[#This Row],[GHG (kgCO2eq/GJ)]]/1000*3.6</f>
        <v>0.13608000000000001</v>
      </c>
      <c r="J87" t="s">
        <v>107</v>
      </c>
      <c r="K87" t="s">
        <v>109</v>
      </c>
    </row>
    <row r="88" spans="1:11" hidden="1" x14ac:dyDescent="0.3">
      <c r="A88" t="s">
        <v>10</v>
      </c>
      <c r="B88" t="s">
        <v>52</v>
      </c>
      <c r="C88" t="s">
        <v>76</v>
      </c>
      <c r="D88">
        <v>19.471</v>
      </c>
      <c r="E88">
        <f>Tableau2[[#This Row],[Potential (PJ)]]/3.6*1000</f>
        <v>5408.6111111111113</v>
      </c>
      <c r="F88">
        <v>5.4702337500000002</v>
      </c>
      <c r="G88">
        <f>Tableau2[[#This Row],[Cost (€/GJ)]]/1000000*3600</f>
        <v>1.9692841500000002E-2</v>
      </c>
      <c r="H88">
        <v>12.68872359754714</v>
      </c>
      <c r="I88">
        <f>Tableau2[[#This Row],[GHG (kgCO2eq/GJ)]]/1000*3.6</f>
        <v>4.5679404951169705E-2</v>
      </c>
      <c r="J88" t="s">
        <v>105</v>
      </c>
      <c r="K88" t="s">
        <v>108</v>
      </c>
    </row>
    <row r="89" spans="1:11" hidden="1" x14ac:dyDescent="0.3">
      <c r="A89" t="s">
        <v>10</v>
      </c>
      <c r="B89" t="s">
        <v>53</v>
      </c>
      <c r="C89" t="s">
        <v>77</v>
      </c>
      <c r="D89">
        <v>1.9</v>
      </c>
      <c r="E89">
        <f>Tableau2[[#This Row],[Potential (PJ)]]/3.6*1000</f>
        <v>527.77777777777783</v>
      </c>
      <c r="F89">
        <v>3.533526315789473</v>
      </c>
      <c r="G89">
        <f>Tableau2[[#This Row],[Cost (€/GJ)]]/1000000*3600</f>
        <v>1.2720694736842102E-2</v>
      </c>
      <c r="H89">
        <v>3.86607608129234</v>
      </c>
      <c r="I89">
        <f>Tableau2[[#This Row],[GHG (kgCO2eq/GJ)]]/1000*3.6</f>
        <v>1.3917873892652425E-2</v>
      </c>
      <c r="J89" t="s">
        <v>104</v>
      </c>
      <c r="K89" t="s">
        <v>108</v>
      </c>
    </row>
    <row r="90" spans="1:11" hidden="1" x14ac:dyDescent="0.3">
      <c r="A90" t="s">
        <v>10</v>
      </c>
      <c r="B90" t="s">
        <v>61</v>
      </c>
      <c r="C90" t="s">
        <v>99</v>
      </c>
      <c r="D90">
        <v>10.8</v>
      </c>
      <c r="E90">
        <f>Tableau2[[#This Row],[Potential (PJ)]]/3.6*1000</f>
        <v>3000</v>
      </c>
      <c r="F90">
        <v>1.857099099099099</v>
      </c>
      <c r="G90">
        <f>Tableau2[[#This Row],[Cost (€/GJ)]]/1000000*3600</f>
        <v>6.6855567567567567E-3</v>
      </c>
      <c r="H90">
        <v>2.9245635910224439</v>
      </c>
      <c r="I90">
        <f>Tableau2[[#This Row],[GHG (kgCO2eq/GJ)]]/1000*3.6</f>
        <v>1.0528428927680798E-2</v>
      </c>
      <c r="J90" t="s">
        <v>104</v>
      </c>
      <c r="K90" t="s">
        <v>108</v>
      </c>
    </row>
    <row r="91" spans="1:11" hidden="1" x14ac:dyDescent="0.3">
      <c r="A91" t="s">
        <v>10</v>
      </c>
      <c r="B91" t="s">
        <v>62</v>
      </c>
      <c r="C91" t="s">
        <v>100</v>
      </c>
      <c r="D91">
        <v>5.3</v>
      </c>
      <c r="E91">
        <f>Tableau2[[#This Row],[Potential (PJ)]]/3.6*1000</f>
        <v>1472.2222222222222</v>
      </c>
      <c r="F91">
        <v>0.44905660377358492</v>
      </c>
      <c r="G91">
        <f>Tableau2[[#This Row],[Cost (€/GJ)]]/1000000*3600</f>
        <v>1.6166037735849056E-3</v>
      </c>
      <c r="H91">
        <v>2.6764106050305911</v>
      </c>
      <c r="I91">
        <f>Tableau2[[#This Row],[GHG (kgCO2eq/GJ)]]/1000*3.6</f>
        <v>9.6350781781101291E-3</v>
      </c>
      <c r="J91" t="s">
        <v>104</v>
      </c>
      <c r="K91" t="s">
        <v>108</v>
      </c>
    </row>
    <row r="92" spans="1:11" hidden="1" x14ac:dyDescent="0.3">
      <c r="A92" t="s">
        <v>10</v>
      </c>
      <c r="B92" t="s">
        <v>54</v>
      </c>
      <c r="C92" t="s">
        <v>78</v>
      </c>
      <c r="D92">
        <v>18.100000000000001</v>
      </c>
      <c r="E92">
        <f>Tableau2[[#This Row],[Potential (PJ)]]/3.6*1000</f>
        <v>5027.7777777777774</v>
      </c>
      <c r="F92">
        <v>7.2833867403314922</v>
      </c>
      <c r="G92">
        <f>Tableau2[[#This Row],[Cost (€/GJ)]]/1000000*3600</f>
        <v>2.6220192265193374E-2</v>
      </c>
      <c r="H92">
        <v>3.86607608129234</v>
      </c>
      <c r="I92">
        <f>Tableau2[[#This Row],[GHG (kgCO2eq/GJ)]]/1000*3.6</f>
        <v>1.3917873892652425E-2</v>
      </c>
      <c r="J92" t="s">
        <v>104</v>
      </c>
      <c r="K92" t="s">
        <v>108</v>
      </c>
    </row>
    <row r="93" spans="1:11" hidden="1" x14ac:dyDescent="0.3">
      <c r="A93" t="s">
        <v>11</v>
      </c>
      <c r="B93" t="s">
        <v>46</v>
      </c>
      <c r="C93" t="s">
        <v>64</v>
      </c>
      <c r="D93">
        <v>5.1069999999999997E-2</v>
      </c>
      <c r="E93">
        <f>Tableau2[[#This Row],[Potential (PJ)]]/3.6*1000</f>
        <v>14.18611111111111</v>
      </c>
      <c r="F93">
        <v>5.3626906207166627</v>
      </c>
      <c r="G93">
        <f>Tableau2[[#This Row],[Cost (€/GJ)]]/1000000*3600</f>
        <v>1.9305686234579986E-2</v>
      </c>
      <c r="H93">
        <v>2.9521711768407801</v>
      </c>
      <c r="I93">
        <f>Tableau2[[#This Row],[GHG (kgCO2eq/GJ)]]/1000*3.6</f>
        <v>1.0627816236626808E-2</v>
      </c>
      <c r="J93" t="s">
        <v>104</v>
      </c>
      <c r="K93" t="s">
        <v>108</v>
      </c>
    </row>
    <row r="94" spans="1:11" hidden="1" x14ac:dyDescent="0.3">
      <c r="A94" t="s">
        <v>11</v>
      </c>
      <c r="B94" t="s">
        <v>46</v>
      </c>
      <c r="C94" t="s">
        <v>79</v>
      </c>
      <c r="D94">
        <v>14.5</v>
      </c>
      <c r="E94">
        <f>Tableau2[[#This Row],[Potential (PJ)]]/3.6*1000</f>
        <v>4027.7777777777778</v>
      </c>
      <c r="F94">
        <v>2.3158482758620691</v>
      </c>
      <c r="G94">
        <f>Tableau2[[#This Row],[Cost (€/GJ)]]/1000000*3600</f>
        <v>8.3370537931034498E-3</v>
      </c>
      <c r="H94">
        <v>6.8428961748633883</v>
      </c>
      <c r="I94">
        <f>Tableau2[[#This Row],[GHG (kgCO2eq/GJ)]]/1000*3.6</f>
        <v>2.4634426229508198E-2</v>
      </c>
      <c r="J94" t="s">
        <v>104</v>
      </c>
      <c r="K94" t="s">
        <v>108</v>
      </c>
    </row>
    <row r="95" spans="1:11" hidden="1" x14ac:dyDescent="0.3">
      <c r="A95" t="s">
        <v>11</v>
      </c>
      <c r="B95" t="s">
        <v>46</v>
      </c>
      <c r="C95" t="s">
        <v>65</v>
      </c>
      <c r="D95">
        <v>0.4</v>
      </c>
      <c r="E95">
        <f>Tableau2[[#This Row],[Potential (PJ)]]/3.6*1000</f>
        <v>111.11111111111111</v>
      </c>
      <c r="F95">
        <v>3.5242499999999999</v>
      </c>
      <c r="G95">
        <f>Tableau2[[#This Row],[Cost (€/GJ)]]/1000000*3600</f>
        <v>1.2687299999999999E-2</v>
      </c>
      <c r="H95">
        <v>2.9521711768407801</v>
      </c>
      <c r="I95">
        <f>Tableau2[[#This Row],[GHG (kgCO2eq/GJ)]]/1000*3.6</f>
        <v>1.0627816236626808E-2</v>
      </c>
      <c r="J95" t="s">
        <v>104</v>
      </c>
      <c r="K95" t="s">
        <v>108</v>
      </c>
    </row>
    <row r="96" spans="1:11" hidden="1" x14ac:dyDescent="0.3">
      <c r="A96" t="s">
        <v>11</v>
      </c>
      <c r="B96" t="s">
        <v>46</v>
      </c>
      <c r="C96" t="s">
        <v>80</v>
      </c>
      <c r="D96">
        <v>0.39470000000000011</v>
      </c>
      <c r="E96">
        <f>Tableau2[[#This Row],[Potential (PJ)]]/3.6*1000</f>
        <v>109.63888888888891</v>
      </c>
      <c r="F96">
        <v>0.44234659474039112</v>
      </c>
      <c r="G96">
        <f>Tableau2[[#This Row],[Cost (€/GJ)]]/1000000*3600</f>
        <v>1.5924477410654079E-3</v>
      </c>
      <c r="H96">
        <v>28.139870918023309</v>
      </c>
      <c r="I96">
        <f>Tableau2[[#This Row],[GHG (kgCO2eq/GJ)]]/1000*3.6</f>
        <v>0.10130353530488391</v>
      </c>
      <c r="J96" t="s">
        <v>105</v>
      </c>
      <c r="K96" t="s">
        <v>108</v>
      </c>
    </row>
    <row r="97" spans="1:11" hidden="1" x14ac:dyDescent="0.3">
      <c r="A97" t="s">
        <v>11</v>
      </c>
      <c r="B97" t="s">
        <v>46</v>
      </c>
      <c r="C97" t="s">
        <v>81</v>
      </c>
      <c r="D97">
        <v>1.24E-2</v>
      </c>
      <c r="E97">
        <f>Tableau2[[#This Row],[Potential (PJ)]]/3.6*1000</f>
        <v>3.4444444444444446</v>
      </c>
      <c r="F97">
        <v>2.839600470035252</v>
      </c>
      <c r="G97">
        <f>Tableau2[[#This Row],[Cost (€/GJ)]]/1000000*3600</f>
        <v>1.0222561692126908E-2</v>
      </c>
      <c r="H97">
        <v>8.9647473560517046</v>
      </c>
      <c r="I97">
        <f>Tableau2[[#This Row],[GHG (kgCO2eq/GJ)]]/1000*3.6</f>
        <v>3.2273090481786136E-2</v>
      </c>
      <c r="J97" t="s">
        <v>105</v>
      </c>
      <c r="K97" t="s">
        <v>108</v>
      </c>
    </row>
    <row r="98" spans="1:11" hidden="1" x14ac:dyDescent="0.3">
      <c r="A98" t="s">
        <v>11</v>
      </c>
      <c r="B98" t="s">
        <v>46</v>
      </c>
      <c r="C98" t="s">
        <v>66</v>
      </c>
      <c r="D98">
        <v>2.6</v>
      </c>
      <c r="E98">
        <f>Tableau2[[#This Row],[Potential (PJ)]]/3.6*1000</f>
        <v>722.22222222222217</v>
      </c>
      <c r="F98">
        <v>2.425730769230769</v>
      </c>
      <c r="G98">
        <f>Tableau2[[#This Row],[Cost (€/GJ)]]/1000000*3600</f>
        <v>8.7326307692307693E-3</v>
      </c>
      <c r="H98">
        <v>6.8428961748633883</v>
      </c>
      <c r="I98">
        <f>Tableau2[[#This Row],[GHG (kgCO2eq/GJ)]]/1000*3.6</f>
        <v>2.4634426229508198E-2</v>
      </c>
      <c r="J98" t="s">
        <v>104</v>
      </c>
      <c r="K98" t="s">
        <v>108</v>
      </c>
    </row>
    <row r="99" spans="1:11" hidden="1" x14ac:dyDescent="0.3">
      <c r="A99" t="s">
        <v>11</v>
      </c>
      <c r="B99" t="s">
        <v>46</v>
      </c>
      <c r="C99" t="s">
        <v>82</v>
      </c>
      <c r="D99">
        <v>7.2</v>
      </c>
      <c r="E99">
        <f>Tableau2[[#This Row],[Potential (PJ)]]/3.6*1000</f>
        <v>2000</v>
      </c>
      <c r="F99">
        <v>1.4673888888888891</v>
      </c>
      <c r="G99">
        <f>Tableau2[[#This Row],[Cost (€/GJ)]]/1000000*3600</f>
        <v>5.282600000000001E-3</v>
      </c>
      <c r="H99">
        <v>6.8428961748633883</v>
      </c>
      <c r="I99">
        <f>Tableau2[[#This Row],[GHG (kgCO2eq/GJ)]]/1000*3.6</f>
        <v>2.4634426229508198E-2</v>
      </c>
      <c r="J99" t="s">
        <v>104</v>
      </c>
      <c r="K99" t="s">
        <v>108</v>
      </c>
    </row>
    <row r="100" spans="1:11" hidden="1" x14ac:dyDescent="0.3">
      <c r="A100" t="s">
        <v>11</v>
      </c>
      <c r="B100" t="s">
        <v>46</v>
      </c>
      <c r="C100" t="s">
        <v>83</v>
      </c>
      <c r="D100">
        <v>4.4900000000000001E-3</v>
      </c>
      <c r="E100">
        <f>Tableau2[[#This Row],[Potential (PJ)]]/3.6*1000</f>
        <v>1.2472222222222222</v>
      </c>
      <c r="F100">
        <v>2.3039999999999998</v>
      </c>
      <c r="G100">
        <f>Tableau2[[#This Row],[Cost (€/GJ)]]/1000000*3600</f>
        <v>8.2944000000000004E-3</v>
      </c>
      <c r="H100">
        <v>6.8428961748633883</v>
      </c>
      <c r="I100">
        <f>Tableau2[[#This Row],[GHG (kgCO2eq/GJ)]]/1000*3.6</f>
        <v>2.4634426229508198E-2</v>
      </c>
      <c r="J100" t="s">
        <v>104</v>
      </c>
      <c r="K100" t="s">
        <v>108</v>
      </c>
    </row>
    <row r="101" spans="1:11" hidden="1" x14ac:dyDescent="0.3">
      <c r="A101" t="s">
        <v>11</v>
      </c>
      <c r="B101" t="s">
        <v>46</v>
      </c>
      <c r="C101" t="s">
        <v>85</v>
      </c>
      <c r="D101">
        <v>0.2</v>
      </c>
      <c r="E101">
        <f>Tableau2[[#This Row],[Potential (PJ)]]/3.6*1000</f>
        <v>55.555555555555557</v>
      </c>
      <c r="F101">
        <v>2.9104999999999999</v>
      </c>
      <c r="G101">
        <f>Tableau2[[#This Row],[Cost (€/GJ)]]/1000000*3600</f>
        <v>1.0477799999999999E-2</v>
      </c>
      <c r="H101">
        <v>2.9521711768407801</v>
      </c>
      <c r="I101">
        <f>Tableau2[[#This Row],[GHG (kgCO2eq/GJ)]]/1000*3.6</f>
        <v>1.0627816236626808E-2</v>
      </c>
      <c r="J101" t="s">
        <v>104</v>
      </c>
      <c r="K101" t="s">
        <v>108</v>
      </c>
    </row>
    <row r="102" spans="1:11" hidden="1" x14ac:dyDescent="0.3">
      <c r="A102" t="s">
        <v>11</v>
      </c>
      <c r="B102" t="s">
        <v>55</v>
      </c>
      <c r="C102" t="s">
        <v>86</v>
      </c>
      <c r="D102">
        <v>2.4451999999999998</v>
      </c>
      <c r="E102">
        <f>Tableau2[[#This Row],[Potential (PJ)]]/3.6*1000</f>
        <v>679.22222222222217</v>
      </c>
      <c r="F102">
        <v>15.287000000000001</v>
      </c>
      <c r="G102">
        <f>Tableau2[[#This Row],[Cost (€/GJ)]]/1000000*3600</f>
        <v>5.5033200000000004E-2</v>
      </c>
      <c r="H102">
        <v>9.1999999999999993</v>
      </c>
      <c r="I102">
        <f>Tableau2[[#This Row],[GHG (kgCO2eq/GJ)]]/1000*3.6</f>
        <v>3.3120000000000004E-2</v>
      </c>
      <c r="J102" t="s">
        <v>106</v>
      </c>
      <c r="K102" t="s">
        <v>109</v>
      </c>
    </row>
    <row r="103" spans="1:11" hidden="1" x14ac:dyDescent="0.3">
      <c r="A103" t="s">
        <v>11</v>
      </c>
      <c r="B103" t="s">
        <v>55</v>
      </c>
      <c r="C103" t="s">
        <v>87</v>
      </c>
      <c r="D103">
        <v>2.1019999999999999</v>
      </c>
      <c r="E103">
        <f>Tableau2[[#This Row],[Potential (PJ)]]/3.6*1000</f>
        <v>583.8888888888888</v>
      </c>
      <c r="F103">
        <v>15.510999999999999</v>
      </c>
      <c r="G103">
        <f>Tableau2[[#This Row],[Cost (€/GJ)]]/1000000*3600</f>
        <v>5.5839599999999989E-2</v>
      </c>
      <c r="H103">
        <v>9.1999999999999993</v>
      </c>
      <c r="I103">
        <f>Tableau2[[#This Row],[GHG (kgCO2eq/GJ)]]/1000*3.6</f>
        <v>3.3120000000000004E-2</v>
      </c>
      <c r="J103" t="s">
        <v>106</v>
      </c>
      <c r="K103" t="s">
        <v>109</v>
      </c>
    </row>
    <row r="104" spans="1:11" hidden="1" x14ac:dyDescent="0.3">
      <c r="A104" t="s">
        <v>11</v>
      </c>
      <c r="B104" t="s">
        <v>55</v>
      </c>
      <c r="C104" t="s">
        <v>88</v>
      </c>
      <c r="D104">
        <v>2.8576999999999999</v>
      </c>
      <c r="E104">
        <f>Tableau2[[#This Row],[Potential (PJ)]]/3.6*1000</f>
        <v>793.80555555555554</v>
      </c>
      <c r="F104">
        <v>16.786000000000001</v>
      </c>
      <c r="G104">
        <f>Tableau2[[#This Row],[Cost (€/GJ)]]/1000000*3600</f>
        <v>6.0429600000000007E-2</v>
      </c>
      <c r="H104">
        <v>9.1999999999999993</v>
      </c>
      <c r="I104">
        <f>Tableau2[[#This Row],[GHG (kgCO2eq/GJ)]]/1000*3.6</f>
        <v>3.3120000000000004E-2</v>
      </c>
      <c r="J104" t="s">
        <v>106</v>
      </c>
      <c r="K104" t="s">
        <v>109</v>
      </c>
    </row>
    <row r="105" spans="1:11" hidden="1" x14ac:dyDescent="0.3">
      <c r="A105" t="s">
        <v>11</v>
      </c>
      <c r="B105" t="s">
        <v>55</v>
      </c>
      <c r="C105" t="s">
        <v>89</v>
      </c>
      <c r="D105">
        <v>8.9999999999999998E-4</v>
      </c>
      <c r="E105">
        <f>Tableau2[[#This Row],[Potential (PJ)]]/3.6*1000</f>
        <v>0.25</v>
      </c>
      <c r="F105">
        <v>0</v>
      </c>
      <c r="G105">
        <f>Tableau2[[#This Row],[Cost (€/GJ)]]/1000000*3600</f>
        <v>0</v>
      </c>
      <c r="H105">
        <v>9.1999999999999993</v>
      </c>
      <c r="I105">
        <f>Tableau2[[#This Row],[GHG (kgCO2eq/GJ)]]/1000*3.6</f>
        <v>3.3120000000000004E-2</v>
      </c>
      <c r="J105" t="s">
        <v>106</v>
      </c>
      <c r="K105" t="s">
        <v>109</v>
      </c>
    </row>
    <row r="106" spans="1:11" hidden="1" x14ac:dyDescent="0.3">
      <c r="A106" t="s">
        <v>11</v>
      </c>
      <c r="B106" t="s">
        <v>55</v>
      </c>
      <c r="C106" t="s">
        <v>92</v>
      </c>
      <c r="D106">
        <v>2.2937500000000002</v>
      </c>
      <c r="E106">
        <f>Tableau2[[#This Row],[Potential (PJ)]]/3.6*1000</f>
        <v>637.15277777777783</v>
      </c>
      <c r="F106">
        <v>15.510999999999999</v>
      </c>
      <c r="G106">
        <f>Tableau2[[#This Row],[Cost (€/GJ)]]/1000000*3600</f>
        <v>5.5839599999999989E-2</v>
      </c>
      <c r="H106">
        <v>9.1999999999999993</v>
      </c>
      <c r="I106">
        <f>Tableau2[[#This Row],[GHG (kgCO2eq/GJ)]]/1000*3.6</f>
        <v>3.3120000000000004E-2</v>
      </c>
      <c r="J106" t="s">
        <v>106</v>
      </c>
      <c r="K106" t="s">
        <v>109</v>
      </c>
    </row>
    <row r="107" spans="1:11" hidden="1" x14ac:dyDescent="0.3">
      <c r="A107" t="s">
        <v>11</v>
      </c>
      <c r="B107" t="s">
        <v>56</v>
      </c>
      <c r="C107" t="s">
        <v>93</v>
      </c>
      <c r="D107">
        <v>11.674799999999999</v>
      </c>
      <c r="E107">
        <f>Tableau2[[#This Row],[Potential (PJ)]]/3.6*1000</f>
        <v>3243</v>
      </c>
      <c r="F107">
        <v>6.7759036144578308</v>
      </c>
      <c r="G107">
        <f>Tableau2[[#This Row],[Cost (€/GJ)]]/1000000*3600</f>
        <v>2.4393253012048192E-2</v>
      </c>
      <c r="H107">
        <v>22.9</v>
      </c>
      <c r="I107">
        <f>Tableau2[[#This Row],[GHG (kgCO2eq/GJ)]]/1000*3.6</f>
        <v>8.2439999999999999E-2</v>
      </c>
      <c r="J107" t="s">
        <v>106</v>
      </c>
      <c r="K107" t="s">
        <v>109</v>
      </c>
    </row>
    <row r="108" spans="1:11" hidden="1" x14ac:dyDescent="0.3">
      <c r="A108" t="s">
        <v>11</v>
      </c>
      <c r="B108" t="s">
        <v>47</v>
      </c>
      <c r="C108" t="s">
        <v>68</v>
      </c>
      <c r="D108">
        <v>29.5</v>
      </c>
      <c r="E108">
        <f>Tableau2[[#This Row],[Potential (PJ)]]/3.6*1000</f>
        <v>8194.4444444444453</v>
      </c>
      <c r="F108">
        <v>2.8974745762711862</v>
      </c>
      <c r="G108">
        <f>Tableau2[[#This Row],[Cost (€/GJ)]]/1000000*3600</f>
        <v>1.0430908474576272E-2</v>
      </c>
      <c r="H108">
        <v>15</v>
      </c>
      <c r="I108">
        <f>Tableau2[[#This Row],[GHG (kgCO2eq/GJ)]]/1000*3.6</f>
        <v>5.3999999999999999E-2</v>
      </c>
      <c r="J108" t="s">
        <v>104</v>
      </c>
      <c r="K108" t="s">
        <v>109</v>
      </c>
    </row>
    <row r="109" spans="1:11" hidden="1" x14ac:dyDescent="0.3">
      <c r="A109" t="s">
        <v>11</v>
      </c>
      <c r="B109" t="s">
        <v>47</v>
      </c>
      <c r="C109" t="s">
        <v>69</v>
      </c>
      <c r="D109">
        <v>22.5</v>
      </c>
      <c r="E109">
        <f>Tableau2[[#This Row],[Potential (PJ)]]/3.6*1000</f>
        <v>6250</v>
      </c>
      <c r="F109">
        <v>2.707177777777777</v>
      </c>
      <c r="G109">
        <f>Tableau2[[#This Row],[Cost (€/GJ)]]/1000000*3600</f>
        <v>9.7458399999999969E-3</v>
      </c>
      <c r="H109">
        <v>15</v>
      </c>
      <c r="I109">
        <f>Tableau2[[#This Row],[GHG (kgCO2eq/GJ)]]/1000*3.6</f>
        <v>5.3999999999999999E-2</v>
      </c>
      <c r="J109" t="s">
        <v>104</v>
      </c>
      <c r="K109" t="s">
        <v>109</v>
      </c>
    </row>
    <row r="110" spans="1:11" hidden="1" x14ac:dyDescent="0.3">
      <c r="A110" t="s">
        <v>11</v>
      </c>
      <c r="B110" t="s">
        <v>57</v>
      </c>
      <c r="C110" t="s">
        <v>94</v>
      </c>
      <c r="D110">
        <v>6.5</v>
      </c>
      <c r="E110">
        <f>Tableau2[[#This Row],[Potential (PJ)]]/3.6*1000</f>
        <v>1805.5555555555557</v>
      </c>
      <c r="F110">
        <v>7.5216769230769236</v>
      </c>
      <c r="G110">
        <f>Tableau2[[#This Row],[Cost (€/GJ)]]/1000000*3600</f>
        <v>2.7078036923076927E-2</v>
      </c>
      <c r="H110">
        <v>15.6</v>
      </c>
      <c r="I110">
        <f>Tableau2[[#This Row],[GHG (kgCO2eq/GJ)]]/1000*3.6</f>
        <v>5.6160000000000002E-2</v>
      </c>
      <c r="J110" t="s">
        <v>104</v>
      </c>
      <c r="K110" t="s">
        <v>109</v>
      </c>
    </row>
    <row r="111" spans="1:11" hidden="1" x14ac:dyDescent="0.3">
      <c r="A111" t="s">
        <v>11</v>
      </c>
      <c r="B111" t="s">
        <v>49</v>
      </c>
      <c r="C111" t="s">
        <v>71</v>
      </c>
      <c r="D111">
        <v>32.658839999999998</v>
      </c>
      <c r="E111">
        <f>Tableau2[[#This Row],[Potential (PJ)]]/3.6*1000</f>
        <v>9071.9</v>
      </c>
      <c r="F111">
        <v>2.1519086033061798</v>
      </c>
      <c r="G111">
        <f>Tableau2[[#This Row],[Cost (€/GJ)]]/1000000*3600</f>
        <v>7.7468709719022482E-3</v>
      </c>
      <c r="H111">
        <v>3.86607608129234</v>
      </c>
      <c r="I111">
        <f>Tableau2[[#This Row],[GHG (kgCO2eq/GJ)]]/1000*3.6</f>
        <v>1.3917873892652425E-2</v>
      </c>
      <c r="J111" t="s">
        <v>104</v>
      </c>
      <c r="K111" t="s">
        <v>108</v>
      </c>
    </row>
    <row r="112" spans="1:11" hidden="1" x14ac:dyDescent="0.3">
      <c r="A112" t="s">
        <v>11</v>
      </c>
      <c r="B112" t="s">
        <v>49</v>
      </c>
      <c r="C112" t="s">
        <v>72</v>
      </c>
      <c r="D112">
        <v>4.5</v>
      </c>
      <c r="E112">
        <f>Tableau2[[#This Row],[Potential (PJ)]]/3.6*1000</f>
        <v>1250</v>
      </c>
      <c r="F112">
        <v>2.9020000000000001</v>
      </c>
      <c r="G112">
        <f>Tableau2[[#This Row],[Cost (€/GJ)]]/1000000*3600</f>
        <v>1.0447200000000002E-2</v>
      </c>
      <c r="H112">
        <v>3.86607608129234</v>
      </c>
      <c r="I112">
        <f>Tableau2[[#This Row],[GHG (kgCO2eq/GJ)]]/1000*3.6</f>
        <v>1.3917873892652425E-2</v>
      </c>
      <c r="J112" t="s">
        <v>104</v>
      </c>
      <c r="K112" t="s">
        <v>108</v>
      </c>
    </row>
    <row r="113" spans="1:11" hidden="1" x14ac:dyDescent="0.3">
      <c r="A113" t="s">
        <v>11</v>
      </c>
      <c r="B113" t="s">
        <v>58</v>
      </c>
      <c r="C113" t="s">
        <v>95</v>
      </c>
      <c r="D113">
        <v>3.5530200000000001</v>
      </c>
      <c r="E113">
        <f>Tableau2[[#This Row],[Potential (PJ)]]/3.6*1000</f>
        <v>986.95</v>
      </c>
      <c r="F113">
        <v>2.7170000000000001</v>
      </c>
      <c r="G113">
        <f>Tableau2[[#This Row],[Cost (€/GJ)]]/1000000*3600</f>
        <v>9.7812000000000003E-3</v>
      </c>
      <c r="H113">
        <v>2.9521711768407801</v>
      </c>
      <c r="I113">
        <f>Tableau2[[#This Row],[GHG (kgCO2eq/GJ)]]/1000*3.6</f>
        <v>1.0627816236626808E-2</v>
      </c>
      <c r="J113" t="s">
        <v>104</v>
      </c>
      <c r="K113" t="s">
        <v>108</v>
      </c>
    </row>
    <row r="114" spans="1:11" hidden="1" x14ac:dyDescent="0.3">
      <c r="A114" t="s">
        <v>11</v>
      </c>
      <c r="B114" t="s">
        <v>50</v>
      </c>
      <c r="C114" t="s">
        <v>73</v>
      </c>
      <c r="D114">
        <v>0.2</v>
      </c>
      <c r="E114">
        <f>Tableau2[[#This Row],[Potential (PJ)]]/3.6*1000</f>
        <v>55.555555555555557</v>
      </c>
      <c r="F114">
        <v>5.1019999999999994</v>
      </c>
      <c r="G114">
        <f>Tableau2[[#This Row],[Cost (€/GJ)]]/1000000*3600</f>
        <v>1.83672E-2</v>
      </c>
      <c r="H114">
        <v>20.723404255319149</v>
      </c>
      <c r="I114">
        <f>Tableau2[[#This Row],[GHG (kgCO2eq/GJ)]]/1000*3.6</f>
        <v>7.4604255319148938E-2</v>
      </c>
      <c r="J114" t="s">
        <v>105</v>
      </c>
      <c r="K114" t="s">
        <v>108</v>
      </c>
    </row>
    <row r="115" spans="1:11" hidden="1" x14ac:dyDescent="0.3">
      <c r="A115" t="s">
        <v>11</v>
      </c>
      <c r="B115" t="s">
        <v>50</v>
      </c>
      <c r="C115" t="s">
        <v>74</v>
      </c>
      <c r="D115">
        <v>5.4</v>
      </c>
      <c r="E115">
        <f>Tableau2[[#This Row],[Potential (PJ)]]/3.6*1000</f>
        <v>1500</v>
      </c>
      <c r="F115">
        <v>3.359962962962963</v>
      </c>
      <c r="G115">
        <f>Tableau2[[#This Row],[Cost (€/GJ)]]/1000000*3600</f>
        <v>1.2095866666666667E-2</v>
      </c>
      <c r="H115">
        <v>2.0635593220338988</v>
      </c>
      <c r="I115">
        <f>Tableau2[[#This Row],[GHG (kgCO2eq/GJ)]]/1000*3.6</f>
        <v>7.4288135593220351E-3</v>
      </c>
      <c r="J115" t="s">
        <v>105</v>
      </c>
      <c r="K115" t="s">
        <v>108</v>
      </c>
    </row>
    <row r="116" spans="1:11" hidden="1" x14ac:dyDescent="0.3">
      <c r="A116" t="s">
        <v>11</v>
      </c>
      <c r="B116" t="s">
        <v>59</v>
      </c>
      <c r="C116" t="s">
        <v>96</v>
      </c>
      <c r="D116">
        <v>0.1832</v>
      </c>
      <c r="E116">
        <f>Tableau2[[#This Row],[Potential (PJ)]]/3.6*1000</f>
        <v>50.888888888888886</v>
      </c>
      <c r="F116">
        <v>31.494</v>
      </c>
      <c r="G116">
        <f>Tableau2[[#This Row],[Cost (€/GJ)]]/1000000*3600</f>
        <v>0.1133784</v>
      </c>
      <c r="H116">
        <v>15.4</v>
      </c>
      <c r="I116">
        <f>Tableau2[[#This Row],[GHG (kgCO2eq/GJ)]]/1000*3.6</f>
        <v>5.5440000000000003E-2</v>
      </c>
      <c r="J116" t="s">
        <v>107</v>
      </c>
      <c r="K116" t="s">
        <v>109</v>
      </c>
    </row>
    <row r="117" spans="1:11" hidden="1" x14ac:dyDescent="0.3">
      <c r="A117" t="s">
        <v>11</v>
      </c>
      <c r="B117" t="s">
        <v>59</v>
      </c>
      <c r="C117" t="s">
        <v>97</v>
      </c>
      <c r="D117">
        <v>5.2123999999999997</v>
      </c>
      <c r="E117">
        <f>Tableau2[[#This Row],[Potential (PJ)]]/3.6*1000</f>
        <v>1447.8888888888887</v>
      </c>
      <c r="F117">
        <v>13.4020618556701</v>
      </c>
      <c r="G117">
        <f>Tableau2[[#This Row],[Cost (€/GJ)]]/1000000*3600</f>
        <v>4.8247422680412357E-2</v>
      </c>
      <c r="H117">
        <v>15.4</v>
      </c>
      <c r="I117">
        <f>Tableau2[[#This Row],[GHG (kgCO2eq/GJ)]]/1000*3.6</f>
        <v>5.5440000000000003E-2</v>
      </c>
      <c r="J117" t="s">
        <v>107</v>
      </c>
      <c r="K117" t="s">
        <v>109</v>
      </c>
    </row>
    <row r="118" spans="1:11" hidden="1" x14ac:dyDescent="0.3">
      <c r="A118" t="s">
        <v>11</v>
      </c>
      <c r="B118" t="s">
        <v>51</v>
      </c>
      <c r="C118" t="s">
        <v>75</v>
      </c>
      <c r="D118">
        <v>3.7521719999999998</v>
      </c>
      <c r="E118">
        <f>Tableau2[[#This Row],[Potential (PJ)]]/3.6*1000</f>
        <v>1042.27</v>
      </c>
      <c r="F118">
        <v>5.5565822569739401E-5</v>
      </c>
      <c r="G118">
        <f>Tableau2[[#This Row],[Cost (€/GJ)]]/1000000*3600</f>
        <v>2.0003696125106183E-7</v>
      </c>
      <c r="H118">
        <v>11.74</v>
      </c>
      <c r="I118">
        <f>Tableau2[[#This Row],[GHG (kgCO2eq/GJ)]]/1000*3.6</f>
        <v>4.2264000000000003E-2</v>
      </c>
      <c r="J118" t="s">
        <v>104</v>
      </c>
      <c r="K118" t="s">
        <v>108</v>
      </c>
    </row>
    <row r="119" spans="1:11" hidden="1" x14ac:dyDescent="0.3">
      <c r="A119" t="s">
        <v>11</v>
      </c>
      <c r="B119" t="s">
        <v>60</v>
      </c>
      <c r="C119" t="s">
        <v>98</v>
      </c>
      <c r="D119">
        <v>23.229559999999999</v>
      </c>
      <c r="E119">
        <f>Tableau2[[#This Row],[Potential (PJ)]]/3.6*1000</f>
        <v>6452.6555555555551</v>
      </c>
      <c r="F119">
        <v>15.789473684210529</v>
      </c>
      <c r="G119">
        <f>Tableau2[[#This Row],[Cost (€/GJ)]]/1000000*3600</f>
        <v>5.6842105263157902E-2</v>
      </c>
      <c r="H119">
        <v>1.5</v>
      </c>
      <c r="I119">
        <f>Tableau2[[#This Row],[GHG (kgCO2eq/GJ)]]/1000*3.6</f>
        <v>5.4000000000000003E-3</v>
      </c>
      <c r="J119" t="s">
        <v>107</v>
      </c>
      <c r="K119" t="s">
        <v>109</v>
      </c>
    </row>
    <row r="120" spans="1:11" hidden="1" x14ac:dyDescent="0.3">
      <c r="A120" t="s">
        <v>11</v>
      </c>
      <c r="B120" t="s">
        <v>53</v>
      </c>
      <c r="C120" t="s">
        <v>77</v>
      </c>
      <c r="D120">
        <v>4</v>
      </c>
      <c r="E120">
        <f>Tableau2[[#This Row],[Potential (PJ)]]/3.6*1000</f>
        <v>1111.1111111111111</v>
      </c>
      <c r="F120">
        <v>2.902075</v>
      </c>
      <c r="G120">
        <f>Tableau2[[#This Row],[Cost (€/GJ)]]/1000000*3600</f>
        <v>1.044747E-2</v>
      </c>
      <c r="H120">
        <v>3.86607608129234</v>
      </c>
      <c r="I120">
        <f>Tableau2[[#This Row],[GHG (kgCO2eq/GJ)]]/1000*3.6</f>
        <v>1.3917873892652425E-2</v>
      </c>
      <c r="J120" t="s">
        <v>104</v>
      </c>
      <c r="K120" t="s">
        <v>108</v>
      </c>
    </row>
    <row r="121" spans="1:11" hidden="1" x14ac:dyDescent="0.3">
      <c r="A121" t="s">
        <v>11</v>
      </c>
      <c r="B121" t="s">
        <v>61</v>
      </c>
      <c r="C121" t="s">
        <v>99</v>
      </c>
      <c r="D121">
        <v>1.6</v>
      </c>
      <c r="E121">
        <f>Tableau2[[#This Row],[Potential (PJ)]]/3.6*1000</f>
        <v>444.44444444444446</v>
      </c>
      <c r="F121">
        <v>1.324125</v>
      </c>
      <c r="G121">
        <f>Tableau2[[#This Row],[Cost (€/GJ)]]/1000000*3600</f>
        <v>4.7668500000000004E-3</v>
      </c>
      <c r="H121">
        <v>2.9245635910224439</v>
      </c>
      <c r="I121">
        <f>Tableau2[[#This Row],[GHG (kgCO2eq/GJ)]]/1000*3.6</f>
        <v>1.0528428927680798E-2</v>
      </c>
      <c r="J121" t="s">
        <v>104</v>
      </c>
      <c r="K121" t="s">
        <v>108</v>
      </c>
    </row>
    <row r="122" spans="1:11" hidden="1" x14ac:dyDescent="0.3">
      <c r="A122" t="s">
        <v>11</v>
      </c>
      <c r="B122" t="s">
        <v>62</v>
      </c>
      <c r="C122" t="s">
        <v>100</v>
      </c>
      <c r="D122">
        <v>0.3</v>
      </c>
      <c r="E122">
        <f>Tableau2[[#This Row],[Potential (PJ)]]/3.6*1000</f>
        <v>83.333333333333329</v>
      </c>
      <c r="F122">
        <v>0.33333333333333331</v>
      </c>
      <c r="G122">
        <f>Tableau2[[#This Row],[Cost (€/GJ)]]/1000000*3600</f>
        <v>1.1999999999999999E-3</v>
      </c>
      <c r="H122">
        <v>2.6764106050305911</v>
      </c>
      <c r="I122">
        <f>Tableau2[[#This Row],[GHG (kgCO2eq/GJ)]]/1000*3.6</f>
        <v>9.6350781781101291E-3</v>
      </c>
      <c r="J122" t="s">
        <v>104</v>
      </c>
      <c r="K122" t="s">
        <v>108</v>
      </c>
    </row>
    <row r="123" spans="1:11" hidden="1" x14ac:dyDescent="0.3">
      <c r="A123" t="s">
        <v>11</v>
      </c>
      <c r="B123" t="s">
        <v>54</v>
      </c>
      <c r="C123" t="s">
        <v>78</v>
      </c>
      <c r="D123">
        <v>29.3</v>
      </c>
      <c r="E123">
        <f>Tableau2[[#This Row],[Potential (PJ)]]/3.6*1000</f>
        <v>8138.8888888888896</v>
      </c>
      <c r="F123">
        <v>2.8618327645051189</v>
      </c>
      <c r="G123">
        <f>Tableau2[[#This Row],[Cost (€/GJ)]]/1000000*3600</f>
        <v>1.0302597952218428E-2</v>
      </c>
      <c r="H123">
        <v>3.86607608129234</v>
      </c>
      <c r="I123">
        <f>Tableau2[[#This Row],[GHG (kgCO2eq/GJ)]]/1000*3.6</f>
        <v>1.3917873892652425E-2</v>
      </c>
      <c r="J123" t="s">
        <v>104</v>
      </c>
      <c r="K123" t="s">
        <v>108</v>
      </c>
    </row>
    <row r="124" spans="1:11" hidden="1" x14ac:dyDescent="0.3">
      <c r="A124" t="s">
        <v>12</v>
      </c>
      <c r="B124" t="s">
        <v>49</v>
      </c>
      <c r="C124" t="s">
        <v>71</v>
      </c>
      <c r="D124">
        <v>37.254899999999999</v>
      </c>
      <c r="E124">
        <f>Tableau2[[#This Row],[Potential (PJ)]]/3.6*1000</f>
        <v>10348.583333333332</v>
      </c>
      <c r="F124">
        <v>0</v>
      </c>
      <c r="G124">
        <f>Tableau2[[#This Row],[Cost (€/GJ)]]/1000000*3600</f>
        <v>0</v>
      </c>
      <c r="H124">
        <v>3.86607608129234</v>
      </c>
      <c r="I124">
        <f>Tableau2[[#This Row],[GHG (kgCO2eq/GJ)]]/1000*3.6</f>
        <v>1.3917873892652425E-2</v>
      </c>
      <c r="J124" t="s">
        <v>104</v>
      </c>
      <c r="K124" t="s">
        <v>108</v>
      </c>
    </row>
    <row r="125" spans="1:11" hidden="1" x14ac:dyDescent="0.3">
      <c r="A125" t="s">
        <v>12</v>
      </c>
      <c r="B125" t="s">
        <v>49</v>
      </c>
      <c r="C125" t="s">
        <v>72</v>
      </c>
      <c r="D125">
        <v>3</v>
      </c>
      <c r="E125">
        <f>Tableau2[[#This Row],[Potential (PJ)]]/3.6*1000</f>
        <v>833.33333333333326</v>
      </c>
      <c r="F125">
        <v>0</v>
      </c>
      <c r="G125">
        <f>Tableau2[[#This Row],[Cost (€/GJ)]]/1000000*3600</f>
        <v>0</v>
      </c>
      <c r="H125">
        <v>3.86607608129234</v>
      </c>
      <c r="I125">
        <f>Tableau2[[#This Row],[GHG (kgCO2eq/GJ)]]/1000*3.6</f>
        <v>1.3917873892652425E-2</v>
      </c>
      <c r="J125" t="s">
        <v>104</v>
      </c>
      <c r="K125" t="s">
        <v>108</v>
      </c>
    </row>
    <row r="126" spans="1:11" hidden="1" x14ac:dyDescent="0.3">
      <c r="A126" t="s">
        <v>12</v>
      </c>
      <c r="B126" t="s">
        <v>51</v>
      </c>
      <c r="C126" t="s">
        <v>75</v>
      </c>
      <c r="D126">
        <v>31.90427</v>
      </c>
      <c r="E126">
        <f>Tableau2[[#This Row],[Potential (PJ)]]/3.6*1000</f>
        <v>8862.2972222222234</v>
      </c>
      <c r="F126">
        <v>0.117870100719024</v>
      </c>
      <c r="G126">
        <f>Tableau2[[#This Row],[Cost (€/GJ)]]/1000000*3600</f>
        <v>4.2433236258848639E-4</v>
      </c>
      <c r="H126">
        <v>11.74</v>
      </c>
      <c r="I126">
        <f>Tableau2[[#This Row],[GHG (kgCO2eq/GJ)]]/1000*3.6</f>
        <v>4.2264000000000003E-2</v>
      </c>
      <c r="J126" t="s">
        <v>104</v>
      </c>
      <c r="K126" t="s">
        <v>108</v>
      </c>
    </row>
    <row r="127" spans="1:11" hidden="1" x14ac:dyDescent="0.3">
      <c r="A127" t="s">
        <v>12</v>
      </c>
      <c r="B127" t="s">
        <v>53</v>
      </c>
      <c r="C127" t="s">
        <v>77</v>
      </c>
      <c r="D127">
        <v>3.1</v>
      </c>
      <c r="E127">
        <f>Tableau2[[#This Row],[Potential (PJ)]]/3.6*1000</f>
        <v>861.1111111111112</v>
      </c>
      <c r="F127">
        <v>0</v>
      </c>
      <c r="G127">
        <f>Tableau2[[#This Row],[Cost (€/GJ)]]/1000000*3600</f>
        <v>0</v>
      </c>
      <c r="H127">
        <v>3.86607608129234</v>
      </c>
      <c r="I127">
        <f>Tableau2[[#This Row],[GHG (kgCO2eq/GJ)]]/1000*3.6</f>
        <v>1.3917873892652425E-2</v>
      </c>
      <c r="J127" t="s">
        <v>104</v>
      </c>
      <c r="K127" t="s">
        <v>108</v>
      </c>
    </row>
    <row r="128" spans="1:11" hidden="1" x14ac:dyDescent="0.3">
      <c r="A128" t="s">
        <v>12</v>
      </c>
      <c r="B128" t="s">
        <v>54</v>
      </c>
      <c r="C128" t="s">
        <v>78</v>
      </c>
      <c r="D128">
        <v>39.4</v>
      </c>
      <c r="E128">
        <f>Tableau2[[#This Row],[Potential (PJ)]]/3.6*1000</f>
        <v>10944.444444444445</v>
      </c>
      <c r="F128">
        <v>0</v>
      </c>
      <c r="G128">
        <f>Tableau2[[#This Row],[Cost (€/GJ)]]/1000000*3600</f>
        <v>0</v>
      </c>
      <c r="H128">
        <v>3.86607608129234</v>
      </c>
      <c r="I128">
        <f>Tableau2[[#This Row],[GHG (kgCO2eq/GJ)]]/1000*3.6</f>
        <v>1.3917873892652425E-2</v>
      </c>
      <c r="J128" t="s">
        <v>104</v>
      </c>
      <c r="K128" t="s">
        <v>108</v>
      </c>
    </row>
    <row r="129" spans="1:11" hidden="1" x14ac:dyDescent="0.3">
      <c r="A129" t="s">
        <v>13</v>
      </c>
      <c r="B129" t="s">
        <v>46</v>
      </c>
      <c r="C129" t="s">
        <v>63</v>
      </c>
      <c r="D129">
        <v>3.4500000000000003E-2</v>
      </c>
      <c r="E129">
        <f>Tableau2[[#This Row],[Potential (PJ)]]/3.6*1000</f>
        <v>9.5833333333333339</v>
      </c>
      <c r="F129">
        <v>2.9286474973375931</v>
      </c>
      <c r="G129">
        <f>Tableau2[[#This Row],[Cost (€/GJ)]]/1000000*3600</f>
        <v>1.0543130990415334E-2</v>
      </c>
      <c r="H129">
        <v>3.950479233226837</v>
      </c>
      <c r="I129">
        <f>Tableau2[[#This Row],[GHG (kgCO2eq/GJ)]]/1000*3.6</f>
        <v>1.4221725239616614E-2</v>
      </c>
      <c r="J129" t="s">
        <v>104</v>
      </c>
      <c r="K129" t="s">
        <v>108</v>
      </c>
    </row>
    <row r="130" spans="1:11" hidden="1" x14ac:dyDescent="0.3">
      <c r="A130" t="s">
        <v>13</v>
      </c>
      <c r="B130" t="s">
        <v>46</v>
      </c>
      <c r="C130" t="s">
        <v>64</v>
      </c>
      <c r="D130">
        <v>8.43E-3</v>
      </c>
      <c r="E130">
        <f>Tableau2[[#This Row],[Potential (PJ)]]/3.6*1000</f>
        <v>2.3416666666666668</v>
      </c>
      <c r="F130">
        <v>5.0540000000000003</v>
      </c>
      <c r="G130">
        <f>Tableau2[[#This Row],[Cost (€/GJ)]]/1000000*3600</f>
        <v>1.8194399999999999E-2</v>
      </c>
      <c r="H130">
        <v>2.9521711768407801</v>
      </c>
      <c r="I130">
        <f>Tableau2[[#This Row],[GHG (kgCO2eq/GJ)]]/1000*3.6</f>
        <v>1.0627816236626808E-2</v>
      </c>
      <c r="J130" t="s">
        <v>104</v>
      </c>
      <c r="K130" t="s">
        <v>108</v>
      </c>
    </row>
    <row r="131" spans="1:11" hidden="1" x14ac:dyDescent="0.3">
      <c r="A131" t="s">
        <v>13</v>
      </c>
      <c r="B131" t="s">
        <v>46</v>
      </c>
      <c r="C131" t="s">
        <v>65</v>
      </c>
      <c r="D131">
        <v>0.1</v>
      </c>
      <c r="E131">
        <f>Tableau2[[#This Row],[Potential (PJ)]]/3.6*1000</f>
        <v>27.777777777777779</v>
      </c>
      <c r="F131">
        <v>4.4660000000000002</v>
      </c>
      <c r="G131">
        <f>Tableau2[[#This Row],[Cost (€/GJ)]]/1000000*3600</f>
        <v>1.6077600000000001E-2</v>
      </c>
      <c r="H131">
        <v>2.9521711768407801</v>
      </c>
      <c r="I131">
        <f>Tableau2[[#This Row],[GHG (kgCO2eq/GJ)]]/1000*3.6</f>
        <v>1.0627816236626808E-2</v>
      </c>
      <c r="J131" t="s">
        <v>104</v>
      </c>
      <c r="K131" t="s">
        <v>108</v>
      </c>
    </row>
    <row r="132" spans="1:11" hidden="1" x14ac:dyDescent="0.3">
      <c r="A132" t="s">
        <v>13</v>
      </c>
      <c r="B132" t="s">
        <v>46</v>
      </c>
      <c r="C132" t="s">
        <v>102</v>
      </c>
      <c r="D132">
        <v>0.1</v>
      </c>
      <c r="E132">
        <f>Tableau2[[#This Row],[Potential (PJ)]]/3.6*1000</f>
        <v>27.777777777777779</v>
      </c>
      <c r="F132">
        <v>3.9340000000000002</v>
      </c>
      <c r="G132">
        <f>Tableau2[[#This Row],[Cost (€/GJ)]]/1000000*3600</f>
        <v>1.41624E-2</v>
      </c>
      <c r="H132">
        <v>2.9521711768407801</v>
      </c>
      <c r="I132">
        <f>Tableau2[[#This Row],[GHG (kgCO2eq/GJ)]]/1000*3.6</f>
        <v>1.0627816236626808E-2</v>
      </c>
      <c r="J132" t="s">
        <v>104</v>
      </c>
      <c r="K132" t="s">
        <v>108</v>
      </c>
    </row>
    <row r="133" spans="1:11" hidden="1" x14ac:dyDescent="0.3">
      <c r="A133" t="s">
        <v>13</v>
      </c>
      <c r="B133" t="s">
        <v>46</v>
      </c>
      <c r="C133" t="s">
        <v>80</v>
      </c>
      <c r="D133">
        <v>0.12330000000000001</v>
      </c>
      <c r="E133">
        <f>Tableau2[[#This Row],[Potential (PJ)]]/3.6*1000</f>
        <v>34.25</v>
      </c>
      <c r="F133">
        <v>1.2157788267026299</v>
      </c>
      <c r="G133">
        <f>Tableau2[[#This Row],[Cost (€/GJ)]]/1000000*3600</f>
        <v>4.3768037761294674E-3</v>
      </c>
      <c r="H133">
        <v>28.139870918023309</v>
      </c>
      <c r="I133">
        <f>Tableau2[[#This Row],[GHG (kgCO2eq/GJ)]]/1000*3.6</f>
        <v>0.10130353530488391</v>
      </c>
      <c r="J133" t="s">
        <v>105</v>
      </c>
      <c r="K133" t="s">
        <v>108</v>
      </c>
    </row>
    <row r="134" spans="1:11" hidden="1" x14ac:dyDescent="0.3">
      <c r="A134" t="s">
        <v>13</v>
      </c>
      <c r="B134" t="s">
        <v>46</v>
      </c>
      <c r="C134" t="s">
        <v>81</v>
      </c>
      <c r="D134">
        <v>3.0999999999999999E-3</v>
      </c>
      <c r="E134">
        <f>Tableau2[[#This Row],[Potential (PJ)]]/3.6*1000</f>
        <v>0.86111111111111116</v>
      </c>
      <c r="F134">
        <v>3.252643948296122</v>
      </c>
      <c r="G134">
        <f>Tableau2[[#This Row],[Cost (€/GJ)]]/1000000*3600</f>
        <v>1.170951821386604E-2</v>
      </c>
      <c r="H134">
        <v>8.9647473560517046</v>
      </c>
      <c r="I134">
        <f>Tableau2[[#This Row],[GHG (kgCO2eq/GJ)]]/1000*3.6</f>
        <v>3.2273090481786136E-2</v>
      </c>
      <c r="J134" t="s">
        <v>105</v>
      </c>
      <c r="K134" t="s">
        <v>108</v>
      </c>
    </row>
    <row r="135" spans="1:11" hidden="1" x14ac:dyDescent="0.3">
      <c r="A135" t="s">
        <v>13</v>
      </c>
      <c r="B135" t="s">
        <v>46</v>
      </c>
      <c r="C135" t="s">
        <v>67</v>
      </c>
      <c r="D135">
        <v>0.1</v>
      </c>
      <c r="E135">
        <f>Tableau2[[#This Row],[Potential (PJ)]]/3.6*1000</f>
        <v>27.777777777777779</v>
      </c>
      <c r="F135">
        <v>6.21</v>
      </c>
      <c r="G135">
        <f>Tableau2[[#This Row],[Cost (€/GJ)]]/1000000*3600</f>
        <v>2.2356000000000001E-2</v>
      </c>
      <c r="H135">
        <v>2.9521711768407801</v>
      </c>
      <c r="I135">
        <f>Tableau2[[#This Row],[GHG (kgCO2eq/GJ)]]/1000*3.6</f>
        <v>1.0627816236626808E-2</v>
      </c>
      <c r="J135" t="s">
        <v>104</v>
      </c>
      <c r="K135" t="s">
        <v>108</v>
      </c>
    </row>
    <row r="136" spans="1:11" hidden="1" x14ac:dyDescent="0.3">
      <c r="A136" t="s">
        <v>13</v>
      </c>
      <c r="B136" t="s">
        <v>47</v>
      </c>
      <c r="C136" t="s">
        <v>68</v>
      </c>
      <c r="D136">
        <v>0.6</v>
      </c>
      <c r="E136">
        <f>Tableau2[[#This Row],[Potential (PJ)]]/3.6*1000</f>
        <v>166.66666666666666</v>
      </c>
      <c r="F136">
        <v>5.2709999999999999</v>
      </c>
      <c r="G136">
        <f>Tableau2[[#This Row],[Cost (€/GJ)]]/1000000*3600</f>
        <v>1.8975599999999999E-2</v>
      </c>
      <c r="H136">
        <v>13.5</v>
      </c>
      <c r="I136">
        <f>Tableau2[[#This Row],[GHG (kgCO2eq/GJ)]]/1000*3.6</f>
        <v>4.8599999999999997E-2</v>
      </c>
      <c r="J136" t="s">
        <v>104</v>
      </c>
      <c r="K136" t="s">
        <v>109</v>
      </c>
    </row>
    <row r="137" spans="1:11" hidden="1" x14ac:dyDescent="0.3">
      <c r="A137" t="s">
        <v>13</v>
      </c>
      <c r="B137" t="s">
        <v>48</v>
      </c>
      <c r="C137" t="s">
        <v>70</v>
      </c>
      <c r="D137">
        <v>0.3</v>
      </c>
      <c r="E137">
        <f>Tableau2[[#This Row],[Potential (PJ)]]/3.6*1000</f>
        <v>83.333333333333329</v>
      </c>
      <c r="F137">
        <v>12.675000000000001</v>
      </c>
      <c r="G137">
        <f>Tableau2[[#This Row],[Cost (€/GJ)]]/1000000*3600</f>
        <v>4.5630000000000004E-2</v>
      </c>
      <c r="H137">
        <v>0</v>
      </c>
      <c r="I137">
        <f>Tableau2[[#This Row],[GHG (kgCO2eq/GJ)]]/1000*3.6</f>
        <v>0</v>
      </c>
      <c r="J137" t="s">
        <v>104</v>
      </c>
      <c r="K137" t="s">
        <v>109</v>
      </c>
    </row>
    <row r="138" spans="1:11" hidden="1" x14ac:dyDescent="0.3">
      <c r="A138" t="s">
        <v>13</v>
      </c>
      <c r="B138" t="s">
        <v>50</v>
      </c>
      <c r="C138" t="s">
        <v>73</v>
      </c>
      <c r="D138">
        <v>0.7</v>
      </c>
      <c r="E138">
        <f>Tableau2[[#This Row],[Potential (PJ)]]/3.6*1000</f>
        <v>194.44444444444443</v>
      </c>
      <c r="F138">
        <v>5.37</v>
      </c>
      <c r="G138">
        <f>Tableau2[[#This Row],[Cost (€/GJ)]]/1000000*3600</f>
        <v>1.9332000000000002E-2</v>
      </c>
      <c r="H138">
        <v>20.723404255319149</v>
      </c>
      <c r="I138">
        <f>Tableau2[[#This Row],[GHG (kgCO2eq/GJ)]]/1000*3.6</f>
        <v>7.4604255319148938E-2</v>
      </c>
      <c r="J138" t="s">
        <v>105</v>
      </c>
      <c r="K138" t="s">
        <v>108</v>
      </c>
    </row>
    <row r="139" spans="1:11" hidden="1" x14ac:dyDescent="0.3">
      <c r="A139" t="s">
        <v>13</v>
      </c>
      <c r="B139" t="s">
        <v>50</v>
      </c>
      <c r="C139" t="s">
        <v>74</v>
      </c>
      <c r="D139">
        <v>3.8</v>
      </c>
      <c r="E139">
        <f>Tableau2[[#This Row],[Potential (PJ)]]/3.6*1000</f>
        <v>1055.5555555555557</v>
      </c>
      <c r="F139">
        <v>4.3220000000000001</v>
      </c>
      <c r="G139">
        <f>Tableau2[[#This Row],[Cost (€/GJ)]]/1000000*3600</f>
        <v>1.55592E-2</v>
      </c>
      <c r="H139">
        <v>2.0635593220338988</v>
      </c>
      <c r="I139">
        <f>Tableau2[[#This Row],[GHG (kgCO2eq/GJ)]]/1000*3.6</f>
        <v>7.4288135593220351E-3</v>
      </c>
      <c r="J139" t="s">
        <v>105</v>
      </c>
      <c r="K139" t="s">
        <v>108</v>
      </c>
    </row>
    <row r="140" spans="1:11" hidden="1" x14ac:dyDescent="0.3">
      <c r="A140" t="s">
        <v>13</v>
      </c>
      <c r="B140" t="s">
        <v>51</v>
      </c>
      <c r="C140" t="s">
        <v>75</v>
      </c>
      <c r="D140">
        <v>2.6793640000000001</v>
      </c>
      <c r="E140">
        <f>Tableau2[[#This Row],[Potential (PJ)]]/3.6*1000</f>
        <v>744.26777777777772</v>
      </c>
      <c r="F140">
        <v>4.3221731549732299E-3</v>
      </c>
      <c r="G140">
        <f>Tableau2[[#This Row],[Cost (€/GJ)]]/1000000*3600</f>
        <v>1.555982335790363E-5</v>
      </c>
      <c r="H140">
        <v>11.74</v>
      </c>
      <c r="I140">
        <f>Tableau2[[#This Row],[GHG (kgCO2eq/GJ)]]/1000*3.6</f>
        <v>4.2264000000000003E-2</v>
      </c>
      <c r="J140" t="s">
        <v>104</v>
      </c>
      <c r="K140" t="s">
        <v>108</v>
      </c>
    </row>
    <row r="141" spans="1:11" hidden="1" x14ac:dyDescent="0.3">
      <c r="A141" t="s">
        <v>13</v>
      </c>
      <c r="B141" t="s">
        <v>52</v>
      </c>
      <c r="C141" t="s">
        <v>76</v>
      </c>
      <c r="D141">
        <v>3.0000000000000001E-3</v>
      </c>
      <c r="E141">
        <f>Tableau2[[#This Row],[Potential (PJ)]]/3.6*1000</f>
        <v>0.83333333333333326</v>
      </c>
      <c r="F141">
        <v>5.4702337500000002</v>
      </c>
      <c r="G141">
        <f>Tableau2[[#This Row],[Cost (€/GJ)]]/1000000*3600</f>
        <v>1.9692841500000002E-2</v>
      </c>
      <c r="H141">
        <v>12.68872359754714</v>
      </c>
      <c r="I141">
        <f>Tableau2[[#This Row],[GHG (kgCO2eq/GJ)]]/1000*3.6</f>
        <v>4.5679404951169705E-2</v>
      </c>
      <c r="J141" t="s">
        <v>105</v>
      </c>
      <c r="K141" t="s">
        <v>108</v>
      </c>
    </row>
    <row r="142" spans="1:11" hidden="1" x14ac:dyDescent="0.3">
      <c r="A142" t="s">
        <v>14</v>
      </c>
      <c r="B142" t="s">
        <v>46</v>
      </c>
      <c r="C142" t="s">
        <v>64</v>
      </c>
      <c r="D142">
        <v>0.1111</v>
      </c>
      <c r="E142">
        <f>Tableau2[[#This Row],[Potential (PJ)]]/3.6*1000</f>
        <v>30.861111111111111</v>
      </c>
      <c r="F142">
        <v>4.9866307830783079</v>
      </c>
      <c r="G142">
        <f>Tableau2[[#This Row],[Cost (€/GJ)]]/1000000*3600</f>
        <v>1.7951870819081908E-2</v>
      </c>
      <c r="H142">
        <v>2.9521711768407801</v>
      </c>
      <c r="I142">
        <f>Tableau2[[#This Row],[GHG (kgCO2eq/GJ)]]/1000*3.6</f>
        <v>1.0627816236626808E-2</v>
      </c>
      <c r="J142" t="s">
        <v>104</v>
      </c>
      <c r="K142" t="s">
        <v>108</v>
      </c>
    </row>
    <row r="143" spans="1:11" hidden="1" x14ac:dyDescent="0.3">
      <c r="A143" t="s">
        <v>14</v>
      </c>
      <c r="B143" t="s">
        <v>46</v>
      </c>
      <c r="C143" t="s">
        <v>79</v>
      </c>
      <c r="D143">
        <v>29.4</v>
      </c>
      <c r="E143">
        <f>Tableau2[[#This Row],[Potential (PJ)]]/3.6*1000</f>
        <v>8166.6666666666661</v>
      </c>
      <c r="F143">
        <v>3.4848843537414971</v>
      </c>
      <c r="G143">
        <f>Tableau2[[#This Row],[Cost (€/GJ)]]/1000000*3600</f>
        <v>1.2545583673469389E-2</v>
      </c>
      <c r="H143">
        <v>6.8428961748633883</v>
      </c>
      <c r="I143">
        <f>Tableau2[[#This Row],[GHG (kgCO2eq/GJ)]]/1000*3.6</f>
        <v>2.4634426229508198E-2</v>
      </c>
      <c r="J143" t="s">
        <v>104</v>
      </c>
      <c r="K143" t="s">
        <v>108</v>
      </c>
    </row>
    <row r="144" spans="1:11" hidden="1" x14ac:dyDescent="0.3">
      <c r="A144" t="s">
        <v>14</v>
      </c>
      <c r="B144" t="s">
        <v>46</v>
      </c>
      <c r="C144" t="s">
        <v>80</v>
      </c>
      <c r="D144">
        <v>0.505</v>
      </c>
      <c r="E144">
        <f>Tableau2[[#This Row],[Potential (PJ)]]/3.6*1000</f>
        <v>140.27777777777777</v>
      </c>
      <c r="F144">
        <v>0.48482805124747141</v>
      </c>
      <c r="G144">
        <f>Tableau2[[#This Row],[Cost (€/GJ)]]/1000000*3600</f>
        <v>1.7453809844908969E-3</v>
      </c>
      <c r="H144">
        <v>28.139870918023309</v>
      </c>
      <c r="I144">
        <f>Tableau2[[#This Row],[GHG (kgCO2eq/GJ)]]/1000*3.6</f>
        <v>0.10130353530488391</v>
      </c>
      <c r="J144" t="s">
        <v>105</v>
      </c>
      <c r="K144" t="s">
        <v>108</v>
      </c>
    </row>
    <row r="145" spans="1:11" hidden="1" x14ac:dyDescent="0.3">
      <c r="A145" t="s">
        <v>14</v>
      </c>
      <c r="B145" t="s">
        <v>46</v>
      </c>
      <c r="C145" t="s">
        <v>81</v>
      </c>
      <c r="D145">
        <v>0.32229999999999998</v>
      </c>
      <c r="E145">
        <f>Tableau2[[#This Row],[Potential (PJ)]]/3.6*1000</f>
        <v>89.527777777777771</v>
      </c>
      <c r="F145">
        <v>1.2338425381903639</v>
      </c>
      <c r="G145">
        <f>Tableau2[[#This Row],[Cost (€/GJ)]]/1000000*3600</f>
        <v>4.4418331374853105E-3</v>
      </c>
      <c r="H145">
        <v>8.9647473560517046</v>
      </c>
      <c r="I145">
        <f>Tableau2[[#This Row],[GHG (kgCO2eq/GJ)]]/1000*3.6</f>
        <v>3.2273090481786136E-2</v>
      </c>
      <c r="J145" t="s">
        <v>105</v>
      </c>
      <c r="K145" t="s">
        <v>108</v>
      </c>
    </row>
    <row r="146" spans="1:11" hidden="1" x14ac:dyDescent="0.3">
      <c r="A146" t="s">
        <v>14</v>
      </c>
      <c r="B146" t="s">
        <v>46</v>
      </c>
      <c r="C146" t="s">
        <v>66</v>
      </c>
      <c r="D146">
        <v>0.89999999999999991</v>
      </c>
      <c r="E146">
        <f>Tableau2[[#This Row],[Potential (PJ)]]/3.6*1000</f>
        <v>249.99999999999997</v>
      </c>
      <c r="F146">
        <v>3.746</v>
      </c>
      <c r="G146">
        <f>Tableau2[[#This Row],[Cost (€/GJ)]]/1000000*3600</f>
        <v>1.3485599999999999E-2</v>
      </c>
      <c r="H146">
        <v>6.8428961748633883</v>
      </c>
      <c r="I146">
        <f>Tableau2[[#This Row],[GHG (kgCO2eq/GJ)]]/1000*3.6</f>
        <v>2.4634426229508198E-2</v>
      </c>
      <c r="J146" t="s">
        <v>104</v>
      </c>
      <c r="K146" t="s">
        <v>108</v>
      </c>
    </row>
    <row r="147" spans="1:11" hidden="1" x14ac:dyDescent="0.3">
      <c r="A147" t="s">
        <v>14</v>
      </c>
      <c r="B147" t="s">
        <v>46</v>
      </c>
      <c r="C147" t="s">
        <v>82</v>
      </c>
      <c r="D147">
        <v>3.8</v>
      </c>
      <c r="E147">
        <f>Tableau2[[#This Row],[Potential (PJ)]]/3.6*1000</f>
        <v>1055.5555555555557</v>
      </c>
      <c r="F147">
        <v>2.1908157894736839</v>
      </c>
      <c r="G147">
        <f>Tableau2[[#This Row],[Cost (€/GJ)]]/1000000*3600</f>
        <v>7.8869368421052629E-3</v>
      </c>
      <c r="H147">
        <v>6.8428961748633883</v>
      </c>
      <c r="I147">
        <f>Tableau2[[#This Row],[GHG (kgCO2eq/GJ)]]/1000*3.6</f>
        <v>2.4634426229508198E-2</v>
      </c>
      <c r="J147" t="s">
        <v>104</v>
      </c>
      <c r="K147" t="s">
        <v>108</v>
      </c>
    </row>
    <row r="148" spans="1:11" hidden="1" x14ac:dyDescent="0.3">
      <c r="A148" t="s">
        <v>14</v>
      </c>
      <c r="B148" t="s">
        <v>46</v>
      </c>
      <c r="C148" t="s">
        <v>84</v>
      </c>
      <c r="D148">
        <v>0.5</v>
      </c>
      <c r="E148">
        <f>Tableau2[[#This Row],[Potential (PJ)]]/3.6*1000</f>
        <v>138.88888888888889</v>
      </c>
      <c r="F148">
        <v>2.0539999999999998</v>
      </c>
      <c r="G148">
        <f>Tableau2[[#This Row],[Cost (€/GJ)]]/1000000*3600</f>
        <v>7.3943999999999989E-3</v>
      </c>
      <c r="H148">
        <v>28.139870918023309</v>
      </c>
      <c r="I148">
        <f>Tableau2[[#This Row],[GHG (kgCO2eq/GJ)]]/1000*3.6</f>
        <v>0.10130353530488391</v>
      </c>
      <c r="J148" t="s">
        <v>105</v>
      </c>
      <c r="K148" t="s">
        <v>108</v>
      </c>
    </row>
    <row r="149" spans="1:11" hidden="1" x14ac:dyDescent="0.3">
      <c r="A149" t="s">
        <v>14</v>
      </c>
      <c r="B149" t="s">
        <v>46</v>
      </c>
      <c r="C149" t="s">
        <v>85</v>
      </c>
      <c r="D149">
        <v>0.2</v>
      </c>
      <c r="E149">
        <f>Tableau2[[#This Row],[Potential (PJ)]]/3.6*1000</f>
        <v>55.555555555555557</v>
      </c>
      <c r="F149">
        <v>3.0960000000000001</v>
      </c>
      <c r="G149">
        <f>Tableau2[[#This Row],[Cost (€/GJ)]]/1000000*3600</f>
        <v>1.11456E-2</v>
      </c>
      <c r="H149">
        <v>2.9521711768407801</v>
      </c>
      <c r="I149">
        <f>Tableau2[[#This Row],[GHG (kgCO2eq/GJ)]]/1000*3.6</f>
        <v>1.0627816236626808E-2</v>
      </c>
      <c r="J149" t="s">
        <v>104</v>
      </c>
      <c r="K149" t="s">
        <v>108</v>
      </c>
    </row>
    <row r="150" spans="1:11" hidden="1" x14ac:dyDescent="0.3">
      <c r="A150" t="s">
        <v>14</v>
      </c>
      <c r="B150" t="s">
        <v>55</v>
      </c>
      <c r="C150" t="s">
        <v>86</v>
      </c>
      <c r="D150">
        <v>0.8508</v>
      </c>
      <c r="E150">
        <f>Tableau2[[#This Row],[Potential (PJ)]]/3.6*1000</f>
        <v>236.33333333333334</v>
      </c>
      <c r="F150">
        <v>16.027000000000001</v>
      </c>
      <c r="G150">
        <f>Tableau2[[#This Row],[Cost (€/GJ)]]/1000000*3600</f>
        <v>5.7697200000000004E-2</v>
      </c>
      <c r="H150">
        <v>11.7</v>
      </c>
      <c r="I150">
        <f>Tableau2[[#This Row],[GHG (kgCO2eq/GJ)]]/1000*3.6</f>
        <v>4.2119999999999998E-2</v>
      </c>
      <c r="J150" t="s">
        <v>106</v>
      </c>
      <c r="K150" t="s">
        <v>109</v>
      </c>
    </row>
    <row r="151" spans="1:11" hidden="1" x14ac:dyDescent="0.3">
      <c r="A151" t="s">
        <v>14</v>
      </c>
      <c r="B151" t="s">
        <v>55</v>
      </c>
      <c r="C151" t="s">
        <v>88</v>
      </c>
      <c r="D151">
        <v>0.79759999999999998</v>
      </c>
      <c r="E151">
        <f>Tableau2[[#This Row],[Potential (PJ)]]/3.6*1000</f>
        <v>221.55555555555554</v>
      </c>
      <c r="F151">
        <v>16.309999999999999</v>
      </c>
      <c r="G151">
        <f>Tableau2[[#This Row],[Cost (€/GJ)]]/1000000*3600</f>
        <v>5.871599999999999E-2</v>
      </c>
      <c r="H151">
        <v>11.7</v>
      </c>
      <c r="I151">
        <f>Tableau2[[#This Row],[GHG (kgCO2eq/GJ)]]/1000*3.6</f>
        <v>4.2119999999999998E-2</v>
      </c>
      <c r="J151" t="s">
        <v>106</v>
      </c>
      <c r="K151" t="s">
        <v>109</v>
      </c>
    </row>
    <row r="152" spans="1:11" hidden="1" x14ac:dyDescent="0.3">
      <c r="A152" t="s">
        <v>14</v>
      </c>
      <c r="B152" t="s">
        <v>55</v>
      </c>
      <c r="C152" t="s">
        <v>89</v>
      </c>
      <c r="D152">
        <v>0.1061</v>
      </c>
      <c r="E152">
        <f>Tableau2[[#This Row],[Potential (PJ)]]/3.6*1000</f>
        <v>29.472222222222221</v>
      </c>
      <c r="F152">
        <v>0</v>
      </c>
      <c r="G152">
        <f>Tableau2[[#This Row],[Cost (€/GJ)]]/1000000*3600</f>
        <v>0</v>
      </c>
      <c r="H152">
        <v>11.7</v>
      </c>
      <c r="I152">
        <f>Tableau2[[#This Row],[GHG (kgCO2eq/GJ)]]/1000*3.6</f>
        <v>4.2119999999999998E-2</v>
      </c>
      <c r="J152" t="s">
        <v>106</v>
      </c>
      <c r="K152" t="s">
        <v>109</v>
      </c>
    </row>
    <row r="153" spans="1:11" hidden="1" x14ac:dyDescent="0.3">
      <c r="A153" t="s">
        <v>14</v>
      </c>
      <c r="B153" t="s">
        <v>55</v>
      </c>
      <c r="C153" t="s">
        <v>90</v>
      </c>
      <c r="D153">
        <v>7.1999999999999998E-3</v>
      </c>
      <c r="E153">
        <f>Tableau2[[#This Row],[Potential (PJ)]]/3.6*1000</f>
        <v>2</v>
      </c>
      <c r="F153">
        <v>13.617000000000001</v>
      </c>
      <c r="G153">
        <f>Tableau2[[#This Row],[Cost (€/GJ)]]/1000000*3600</f>
        <v>4.9021200000000001E-2</v>
      </c>
      <c r="H153">
        <v>11.7</v>
      </c>
      <c r="I153">
        <f>Tableau2[[#This Row],[GHG (kgCO2eq/GJ)]]/1000*3.6</f>
        <v>4.2119999999999998E-2</v>
      </c>
      <c r="J153" t="s">
        <v>106</v>
      </c>
      <c r="K153" t="s">
        <v>109</v>
      </c>
    </row>
    <row r="154" spans="1:11" hidden="1" x14ac:dyDescent="0.3">
      <c r="A154" t="s">
        <v>14</v>
      </c>
      <c r="B154" t="s">
        <v>55</v>
      </c>
      <c r="C154" t="s">
        <v>91</v>
      </c>
      <c r="D154">
        <v>0.33069999999999999</v>
      </c>
      <c r="E154">
        <f>Tableau2[[#This Row],[Potential (PJ)]]/3.6*1000</f>
        <v>91.8611111111111</v>
      </c>
      <c r="F154">
        <v>14.637</v>
      </c>
      <c r="G154">
        <f>Tableau2[[#This Row],[Cost (€/GJ)]]/1000000*3600</f>
        <v>5.2693200000000003E-2</v>
      </c>
      <c r="H154">
        <v>11.7</v>
      </c>
      <c r="I154">
        <f>Tableau2[[#This Row],[GHG (kgCO2eq/GJ)]]/1000*3.6</f>
        <v>4.2119999999999998E-2</v>
      </c>
      <c r="J154" t="s">
        <v>106</v>
      </c>
      <c r="K154" t="s">
        <v>109</v>
      </c>
    </row>
    <row r="155" spans="1:11" hidden="1" x14ac:dyDescent="0.3">
      <c r="A155" t="s">
        <v>14</v>
      </c>
      <c r="B155" t="s">
        <v>55</v>
      </c>
      <c r="C155" t="s">
        <v>92</v>
      </c>
      <c r="D155">
        <v>0.87702000000000002</v>
      </c>
      <c r="E155">
        <f>Tableau2[[#This Row],[Potential (PJ)]]/3.6*1000</f>
        <v>243.61666666666667</v>
      </c>
      <c r="F155">
        <v>14.288</v>
      </c>
      <c r="G155">
        <f>Tableau2[[#This Row],[Cost (€/GJ)]]/1000000*3600</f>
        <v>5.1436800000000005E-2</v>
      </c>
      <c r="H155">
        <v>11.7</v>
      </c>
      <c r="I155">
        <f>Tableau2[[#This Row],[GHG (kgCO2eq/GJ)]]/1000*3.6</f>
        <v>4.2119999999999998E-2</v>
      </c>
      <c r="J155" t="s">
        <v>106</v>
      </c>
      <c r="K155" t="s">
        <v>109</v>
      </c>
    </row>
    <row r="156" spans="1:11" hidden="1" x14ac:dyDescent="0.3">
      <c r="A156" t="s">
        <v>14</v>
      </c>
      <c r="B156" t="s">
        <v>56</v>
      </c>
      <c r="C156" t="s">
        <v>93</v>
      </c>
      <c r="D156">
        <v>34.388100000000001</v>
      </c>
      <c r="E156">
        <f>Tableau2[[#This Row],[Potential (PJ)]]/3.6*1000</f>
        <v>9552.25</v>
      </c>
      <c r="F156">
        <v>2.9493975903614462</v>
      </c>
      <c r="G156">
        <f>Tableau2[[#This Row],[Cost (€/GJ)]]/1000000*3600</f>
        <v>1.0617831325301207E-2</v>
      </c>
      <c r="H156">
        <v>20.3</v>
      </c>
      <c r="I156">
        <f>Tableau2[[#This Row],[GHG (kgCO2eq/GJ)]]/1000*3.6</f>
        <v>7.3080000000000006E-2</v>
      </c>
      <c r="J156" t="s">
        <v>106</v>
      </c>
      <c r="K156" t="s">
        <v>109</v>
      </c>
    </row>
    <row r="157" spans="1:11" hidden="1" x14ac:dyDescent="0.3">
      <c r="A157" t="s">
        <v>14</v>
      </c>
      <c r="B157" t="s">
        <v>47</v>
      </c>
      <c r="C157" t="s">
        <v>68</v>
      </c>
      <c r="D157">
        <v>14.3</v>
      </c>
      <c r="E157">
        <f>Tableau2[[#This Row],[Potential (PJ)]]/3.6*1000</f>
        <v>3972.2222222222222</v>
      </c>
      <c r="F157">
        <v>3.0502027972027981</v>
      </c>
      <c r="G157">
        <f>Tableau2[[#This Row],[Cost (€/GJ)]]/1000000*3600</f>
        <v>1.0980730069930073E-2</v>
      </c>
      <c r="H157">
        <v>18.100000000000001</v>
      </c>
      <c r="I157">
        <f>Tableau2[[#This Row],[GHG (kgCO2eq/GJ)]]/1000*3.6</f>
        <v>6.516000000000001E-2</v>
      </c>
      <c r="J157" t="s">
        <v>104</v>
      </c>
      <c r="K157" t="s">
        <v>109</v>
      </c>
    </row>
    <row r="158" spans="1:11" hidden="1" x14ac:dyDescent="0.3">
      <c r="A158" t="s">
        <v>14</v>
      </c>
      <c r="B158" t="s">
        <v>47</v>
      </c>
      <c r="C158" t="s">
        <v>69</v>
      </c>
      <c r="D158">
        <v>13.8</v>
      </c>
      <c r="E158">
        <f>Tableau2[[#This Row],[Potential (PJ)]]/3.6*1000</f>
        <v>3833.3333333333335</v>
      </c>
      <c r="F158">
        <v>2.685021739130435</v>
      </c>
      <c r="G158">
        <f>Tableau2[[#This Row],[Cost (€/GJ)]]/1000000*3600</f>
        <v>9.6660782608695654E-3</v>
      </c>
      <c r="H158">
        <v>18.100000000000001</v>
      </c>
      <c r="I158">
        <f>Tableau2[[#This Row],[GHG (kgCO2eq/GJ)]]/1000*3.6</f>
        <v>6.516000000000001E-2</v>
      </c>
      <c r="J158" t="s">
        <v>104</v>
      </c>
      <c r="K158" t="s">
        <v>109</v>
      </c>
    </row>
    <row r="159" spans="1:11" hidden="1" x14ac:dyDescent="0.3">
      <c r="A159" t="s">
        <v>14</v>
      </c>
      <c r="B159" t="s">
        <v>57</v>
      </c>
      <c r="C159" t="s">
        <v>94</v>
      </c>
      <c r="D159">
        <v>10.3</v>
      </c>
      <c r="E159">
        <f>Tableau2[[#This Row],[Potential (PJ)]]/3.6*1000</f>
        <v>2861.1111111111113</v>
      </c>
      <c r="F159">
        <v>6.3836116504854363</v>
      </c>
      <c r="G159">
        <f>Tableau2[[#This Row],[Cost (€/GJ)]]/1000000*3600</f>
        <v>2.298100194174757E-2</v>
      </c>
      <c r="H159">
        <v>14.2</v>
      </c>
      <c r="I159">
        <f>Tableau2[[#This Row],[GHG (kgCO2eq/GJ)]]/1000*3.6</f>
        <v>5.1119999999999999E-2</v>
      </c>
      <c r="J159" t="s">
        <v>104</v>
      </c>
      <c r="K159" t="s">
        <v>109</v>
      </c>
    </row>
    <row r="160" spans="1:11" hidden="1" x14ac:dyDescent="0.3">
      <c r="A160" t="s">
        <v>14</v>
      </c>
      <c r="B160" t="s">
        <v>49</v>
      </c>
      <c r="C160" t="s">
        <v>71</v>
      </c>
      <c r="D160">
        <v>46.739330000000002</v>
      </c>
      <c r="E160">
        <f>Tableau2[[#This Row],[Potential (PJ)]]/3.6*1000</f>
        <v>12983.147222222222</v>
      </c>
      <c r="F160">
        <v>4.0940699883802374</v>
      </c>
      <c r="G160">
        <f>Tableau2[[#This Row],[Cost (€/GJ)]]/1000000*3600</f>
        <v>1.4738651958168855E-2</v>
      </c>
      <c r="H160">
        <v>3.86607608129234</v>
      </c>
      <c r="I160">
        <f>Tableau2[[#This Row],[GHG (kgCO2eq/GJ)]]/1000*3.6</f>
        <v>1.3917873892652425E-2</v>
      </c>
      <c r="J160" t="s">
        <v>104</v>
      </c>
      <c r="K160" t="s">
        <v>108</v>
      </c>
    </row>
    <row r="161" spans="1:11" hidden="1" x14ac:dyDescent="0.3">
      <c r="A161" t="s">
        <v>14</v>
      </c>
      <c r="B161" t="s">
        <v>49</v>
      </c>
      <c r="C161" t="s">
        <v>72</v>
      </c>
      <c r="D161">
        <v>3.1</v>
      </c>
      <c r="E161">
        <f>Tableau2[[#This Row],[Potential (PJ)]]/3.6*1000</f>
        <v>861.1111111111112</v>
      </c>
      <c r="F161">
        <v>3.286</v>
      </c>
      <c r="G161">
        <f>Tableau2[[#This Row],[Cost (€/GJ)]]/1000000*3600</f>
        <v>1.1829599999999999E-2</v>
      </c>
      <c r="H161">
        <v>3.86607608129234</v>
      </c>
      <c r="I161">
        <f>Tableau2[[#This Row],[GHG (kgCO2eq/GJ)]]/1000*3.6</f>
        <v>1.3917873892652425E-2</v>
      </c>
      <c r="J161" t="s">
        <v>104</v>
      </c>
      <c r="K161" t="s">
        <v>108</v>
      </c>
    </row>
    <row r="162" spans="1:11" hidden="1" x14ac:dyDescent="0.3">
      <c r="A162" t="s">
        <v>14</v>
      </c>
      <c r="B162" t="s">
        <v>58</v>
      </c>
      <c r="C162" t="s">
        <v>95</v>
      </c>
      <c r="D162">
        <v>7.0968400000000003</v>
      </c>
      <c r="E162">
        <f>Tableau2[[#This Row],[Potential (PJ)]]/3.6*1000</f>
        <v>1971.3444444444447</v>
      </c>
      <c r="F162">
        <v>2.6438038450916181</v>
      </c>
      <c r="G162">
        <f>Tableau2[[#This Row],[Cost (€/GJ)]]/1000000*3600</f>
        <v>9.5176938423298264E-3</v>
      </c>
      <c r="H162">
        <v>2.9521711768407801</v>
      </c>
      <c r="I162">
        <f>Tableau2[[#This Row],[GHG (kgCO2eq/GJ)]]/1000*3.6</f>
        <v>1.0627816236626808E-2</v>
      </c>
      <c r="J162" t="s">
        <v>104</v>
      </c>
      <c r="K162" t="s">
        <v>108</v>
      </c>
    </row>
    <row r="163" spans="1:11" hidden="1" x14ac:dyDescent="0.3">
      <c r="A163" t="s">
        <v>14</v>
      </c>
      <c r="B163" t="s">
        <v>50</v>
      </c>
      <c r="C163" t="s">
        <v>73</v>
      </c>
      <c r="D163">
        <v>3.8</v>
      </c>
      <c r="E163">
        <f>Tableau2[[#This Row],[Potential (PJ)]]/3.6*1000</f>
        <v>1055.5555555555557</v>
      </c>
      <c r="F163">
        <v>5.0978157894736844</v>
      </c>
      <c r="G163">
        <f>Tableau2[[#This Row],[Cost (€/GJ)]]/1000000*3600</f>
        <v>1.8352136842105266E-2</v>
      </c>
      <c r="H163">
        <v>20.723404255319149</v>
      </c>
      <c r="I163">
        <f>Tableau2[[#This Row],[GHG (kgCO2eq/GJ)]]/1000*3.6</f>
        <v>7.4604255319148938E-2</v>
      </c>
      <c r="J163" t="s">
        <v>105</v>
      </c>
      <c r="K163" t="s">
        <v>108</v>
      </c>
    </row>
    <row r="164" spans="1:11" hidden="1" x14ac:dyDescent="0.3">
      <c r="A164" t="s">
        <v>14</v>
      </c>
      <c r="B164" t="s">
        <v>50</v>
      </c>
      <c r="C164" t="s">
        <v>74</v>
      </c>
      <c r="D164">
        <v>38.299999999999997</v>
      </c>
      <c r="E164">
        <f>Tableau2[[#This Row],[Potential (PJ)]]/3.6*1000</f>
        <v>10638.888888888887</v>
      </c>
      <c r="F164">
        <v>3.511208877284596</v>
      </c>
      <c r="G164">
        <f>Tableau2[[#This Row],[Cost (€/GJ)]]/1000000*3600</f>
        <v>1.2640351958224546E-2</v>
      </c>
      <c r="H164">
        <v>2.0635593220338988</v>
      </c>
      <c r="I164">
        <f>Tableau2[[#This Row],[GHG (kgCO2eq/GJ)]]/1000*3.6</f>
        <v>7.4288135593220351E-3</v>
      </c>
      <c r="J164" t="s">
        <v>105</v>
      </c>
      <c r="K164" t="s">
        <v>108</v>
      </c>
    </row>
    <row r="165" spans="1:11" hidden="1" x14ac:dyDescent="0.3">
      <c r="A165" t="s">
        <v>14</v>
      </c>
      <c r="B165" t="s">
        <v>59</v>
      </c>
      <c r="C165" t="s">
        <v>96</v>
      </c>
      <c r="D165">
        <v>0.19889999999999999</v>
      </c>
      <c r="E165">
        <f>Tableau2[[#This Row],[Potential (PJ)]]/3.6*1000</f>
        <v>55.249999999999993</v>
      </c>
      <c r="F165">
        <v>30.024000000000001</v>
      </c>
      <c r="G165">
        <f>Tableau2[[#This Row],[Cost (€/GJ)]]/1000000*3600</f>
        <v>0.10808640000000001</v>
      </c>
      <c r="H165">
        <v>8.4</v>
      </c>
      <c r="I165">
        <f>Tableau2[[#This Row],[GHG (kgCO2eq/GJ)]]/1000*3.6</f>
        <v>3.0240000000000006E-2</v>
      </c>
      <c r="J165" t="s">
        <v>107</v>
      </c>
      <c r="K165" t="s">
        <v>109</v>
      </c>
    </row>
    <row r="166" spans="1:11" hidden="1" x14ac:dyDescent="0.3">
      <c r="A166" t="s">
        <v>14</v>
      </c>
      <c r="B166" t="s">
        <v>59</v>
      </c>
      <c r="C166" t="s">
        <v>97</v>
      </c>
      <c r="D166">
        <v>0.1095</v>
      </c>
      <c r="E166">
        <f>Tableau2[[#This Row],[Potential (PJ)]]/3.6*1000</f>
        <v>30.416666666666664</v>
      </c>
      <c r="F166">
        <v>14.81280520889853</v>
      </c>
      <c r="G166">
        <f>Tableau2[[#This Row],[Cost (€/GJ)]]/1000000*3600</f>
        <v>5.3326098752034708E-2</v>
      </c>
      <c r="H166">
        <v>8.4</v>
      </c>
      <c r="I166">
        <f>Tableau2[[#This Row],[GHG (kgCO2eq/GJ)]]/1000*3.6</f>
        <v>3.0240000000000006E-2</v>
      </c>
      <c r="J166" t="s">
        <v>107</v>
      </c>
      <c r="K166" t="s">
        <v>109</v>
      </c>
    </row>
    <row r="167" spans="1:11" hidden="1" x14ac:dyDescent="0.3">
      <c r="A167" t="s">
        <v>14</v>
      </c>
      <c r="B167" t="s">
        <v>51</v>
      </c>
      <c r="C167" t="s">
        <v>75</v>
      </c>
      <c r="D167">
        <v>4.040235</v>
      </c>
      <c r="E167">
        <f>Tableau2[[#This Row],[Potential (PJ)]]/3.6*1000</f>
        <v>1122.2874999999999</v>
      </c>
      <c r="F167">
        <v>2.0484447085495201E-4</v>
      </c>
      <c r="G167">
        <f>Tableau2[[#This Row],[Cost (€/GJ)]]/1000000*3600</f>
        <v>7.3744009507782718E-7</v>
      </c>
      <c r="H167">
        <v>11.74</v>
      </c>
      <c r="I167">
        <f>Tableau2[[#This Row],[GHG (kgCO2eq/GJ)]]/1000*3.6</f>
        <v>4.2264000000000003E-2</v>
      </c>
      <c r="J167" t="s">
        <v>104</v>
      </c>
      <c r="K167" t="s">
        <v>108</v>
      </c>
    </row>
    <row r="168" spans="1:11" hidden="1" x14ac:dyDescent="0.3">
      <c r="A168" t="s">
        <v>14</v>
      </c>
      <c r="B168" t="s">
        <v>60</v>
      </c>
      <c r="C168" t="s">
        <v>98</v>
      </c>
      <c r="D168">
        <v>2.9122499999999998</v>
      </c>
      <c r="E168">
        <f>Tableau2[[#This Row],[Potential (PJ)]]/3.6*1000</f>
        <v>808.95833333333326</v>
      </c>
      <c r="F168">
        <v>16.380236305048339</v>
      </c>
      <c r="G168">
        <f>Tableau2[[#This Row],[Cost (€/GJ)]]/1000000*3600</f>
        <v>5.8968850698174022E-2</v>
      </c>
      <c r="H168">
        <v>27.8</v>
      </c>
      <c r="I168">
        <f>Tableau2[[#This Row],[GHG (kgCO2eq/GJ)]]/1000*3.6</f>
        <v>0.10008</v>
      </c>
      <c r="J168" t="s">
        <v>107</v>
      </c>
      <c r="K168" t="s">
        <v>109</v>
      </c>
    </row>
    <row r="169" spans="1:11" hidden="1" x14ac:dyDescent="0.3">
      <c r="A169" t="s">
        <v>14</v>
      </c>
      <c r="B169" t="s">
        <v>52</v>
      </c>
      <c r="C169" t="s">
        <v>76</v>
      </c>
      <c r="D169">
        <v>0.67700000000000005</v>
      </c>
      <c r="E169">
        <f>Tableau2[[#This Row],[Potential (PJ)]]/3.6*1000</f>
        <v>188.05555555555557</v>
      </c>
      <c r="F169">
        <v>5.4702337500000002</v>
      </c>
      <c r="G169">
        <f>Tableau2[[#This Row],[Cost (€/GJ)]]/1000000*3600</f>
        <v>1.9692841500000002E-2</v>
      </c>
      <c r="H169">
        <v>12.68872359754714</v>
      </c>
      <c r="I169">
        <f>Tableau2[[#This Row],[GHG (kgCO2eq/GJ)]]/1000*3.6</f>
        <v>4.5679404951169705E-2</v>
      </c>
      <c r="J169" t="s">
        <v>105</v>
      </c>
      <c r="K169" t="s">
        <v>108</v>
      </c>
    </row>
    <row r="170" spans="1:11" hidden="1" x14ac:dyDescent="0.3">
      <c r="A170" t="s">
        <v>14</v>
      </c>
      <c r="B170" t="s">
        <v>53</v>
      </c>
      <c r="C170" t="s">
        <v>77</v>
      </c>
      <c r="D170">
        <v>4.9000000000000004</v>
      </c>
      <c r="E170">
        <f>Tableau2[[#This Row],[Potential (PJ)]]/3.6*1000</f>
        <v>1361.1111111111111</v>
      </c>
      <c r="F170">
        <v>3.2858775510204081</v>
      </c>
      <c r="G170">
        <f>Tableau2[[#This Row],[Cost (€/GJ)]]/1000000*3600</f>
        <v>1.1829159183673469E-2</v>
      </c>
      <c r="H170">
        <v>3.86607608129234</v>
      </c>
      <c r="I170">
        <f>Tableau2[[#This Row],[GHG (kgCO2eq/GJ)]]/1000*3.6</f>
        <v>1.3917873892652425E-2</v>
      </c>
      <c r="J170" t="s">
        <v>104</v>
      </c>
      <c r="K170" t="s">
        <v>108</v>
      </c>
    </row>
    <row r="171" spans="1:11" hidden="1" x14ac:dyDescent="0.3">
      <c r="A171" t="s">
        <v>14</v>
      </c>
      <c r="B171" t="s">
        <v>61</v>
      </c>
      <c r="C171" t="s">
        <v>99</v>
      </c>
      <c r="D171">
        <v>14.6</v>
      </c>
      <c r="E171">
        <f>Tableau2[[#This Row],[Potential (PJ)]]/3.6*1000</f>
        <v>4055.5555555555552</v>
      </c>
      <c r="F171">
        <v>1.439520547945206</v>
      </c>
      <c r="G171">
        <f>Tableau2[[#This Row],[Cost (€/GJ)]]/1000000*3600</f>
        <v>5.1822739726027417E-3</v>
      </c>
      <c r="H171">
        <v>2.9245635910224439</v>
      </c>
      <c r="I171">
        <f>Tableau2[[#This Row],[GHG (kgCO2eq/GJ)]]/1000*3.6</f>
        <v>1.0528428927680798E-2</v>
      </c>
      <c r="J171" t="s">
        <v>104</v>
      </c>
      <c r="K171" t="s">
        <v>108</v>
      </c>
    </row>
    <row r="172" spans="1:11" hidden="1" x14ac:dyDescent="0.3">
      <c r="A172" t="s">
        <v>14</v>
      </c>
      <c r="B172" t="s">
        <v>62</v>
      </c>
      <c r="C172" t="s">
        <v>100</v>
      </c>
      <c r="D172">
        <v>5.2</v>
      </c>
      <c r="E172">
        <f>Tableau2[[#This Row],[Potential (PJ)]]/3.6*1000</f>
        <v>1444.4444444444443</v>
      </c>
      <c r="F172">
        <v>0.41346153846153838</v>
      </c>
      <c r="G172">
        <f>Tableau2[[#This Row],[Cost (€/GJ)]]/1000000*3600</f>
        <v>1.4884615384615381E-3</v>
      </c>
      <c r="H172">
        <v>2.6764106050305911</v>
      </c>
      <c r="I172">
        <f>Tableau2[[#This Row],[GHG (kgCO2eq/GJ)]]/1000*3.6</f>
        <v>9.6350781781101291E-3</v>
      </c>
      <c r="J172" t="s">
        <v>104</v>
      </c>
      <c r="K172" t="s">
        <v>108</v>
      </c>
    </row>
    <row r="173" spans="1:11" hidden="1" x14ac:dyDescent="0.3">
      <c r="A173" t="s">
        <v>14</v>
      </c>
      <c r="B173" t="s">
        <v>54</v>
      </c>
      <c r="C173" t="s">
        <v>78</v>
      </c>
      <c r="D173">
        <v>70.5</v>
      </c>
      <c r="E173">
        <f>Tableau2[[#This Row],[Potential (PJ)]]/3.6*1000</f>
        <v>19583.333333333332</v>
      </c>
      <c r="F173">
        <v>6.8473304964539006</v>
      </c>
      <c r="G173">
        <f>Tableau2[[#This Row],[Cost (€/GJ)]]/1000000*3600</f>
        <v>2.4650389787234044E-2</v>
      </c>
      <c r="H173">
        <v>3.86607608129234</v>
      </c>
      <c r="I173">
        <f>Tableau2[[#This Row],[GHG (kgCO2eq/GJ)]]/1000*3.6</f>
        <v>1.3917873892652425E-2</v>
      </c>
      <c r="J173" t="s">
        <v>104</v>
      </c>
      <c r="K173" t="s">
        <v>108</v>
      </c>
    </row>
    <row r="174" spans="1:11" hidden="1" x14ac:dyDescent="0.3">
      <c r="A174" t="s">
        <v>15</v>
      </c>
      <c r="B174" t="s">
        <v>46</v>
      </c>
      <c r="C174" t="s">
        <v>64</v>
      </c>
      <c r="D174">
        <v>0.21625</v>
      </c>
      <c r="E174">
        <f>Tableau2[[#This Row],[Potential (PJ)]]/3.6*1000</f>
        <v>60.069444444444436</v>
      </c>
      <c r="F174">
        <v>5.311610682080925</v>
      </c>
      <c r="G174">
        <f>Tableau2[[#This Row],[Cost (€/GJ)]]/1000000*3600</f>
        <v>1.9121798455491331E-2</v>
      </c>
      <c r="H174">
        <v>2.9521711768407801</v>
      </c>
      <c r="I174">
        <f>Tableau2[[#This Row],[GHG (kgCO2eq/GJ)]]/1000*3.6</f>
        <v>1.0627816236626808E-2</v>
      </c>
      <c r="J174" t="s">
        <v>104</v>
      </c>
      <c r="K174" t="s">
        <v>108</v>
      </c>
    </row>
    <row r="175" spans="1:11" hidden="1" x14ac:dyDescent="0.3">
      <c r="A175" t="s">
        <v>15</v>
      </c>
      <c r="B175" t="s">
        <v>46</v>
      </c>
      <c r="C175" t="s">
        <v>79</v>
      </c>
      <c r="D175">
        <v>85.8</v>
      </c>
      <c r="E175">
        <f>Tableau2[[#This Row],[Potential (PJ)]]/3.6*1000</f>
        <v>23833.333333333332</v>
      </c>
      <c r="F175">
        <v>4.5702587412587414</v>
      </c>
      <c r="G175">
        <f>Tableau2[[#This Row],[Cost (€/GJ)]]/1000000*3600</f>
        <v>1.6452931468531471E-2</v>
      </c>
      <c r="H175">
        <v>6.8428961748633883</v>
      </c>
      <c r="I175">
        <f>Tableau2[[#This Row],[GHG (kgCO2eq/GJ)]]/1000*3.6</f>
        <v>2.4634426229508198E-2</v>
      </c>
      <c r="J175" t="s">
        <v>104</v>
      </c>
      <c r="K175" t="s">
        <v>108</v>
      </c>
    </row>
    <row r="176" spans="1:11" hidden="1" x14ac:dyDescent="0.3">
      <c r="A176" t="s">
        <v>15</v>
      </c>
      <c r="B176" t="s">
        <v>46</v>
      </c>
      <c r="C176" t="s">
        <v>65</v>
      </c>
      <c r="D176">
        <v>0.1</v>
      </c>
      <c r="E176">
        <f>Tableau2[[#This Row],[Potential (PJ)]]/3.6*1000</f>
        <v>27.777777777777779</v>
      </c>
      <c r="F176">
        <v>5.4180000000000001</v>
      </c>
      <c r="G176">
        <f>Tableau2[[#This Row],[Cost (€/GJ)]]/1000000*3600</f>
        <v>1.9504800000000003E-2</v>
      </c>
      <c r="H176">
        <v>2.9521711768407801</v>
      </c>
      <c r="I176">
        <f>Tableau2[[#This Row],[GHG (kgCO2eq/GJ)]]/1000*3.6</f>
        <v>1.0627816236626808E-2</v>
      </c>
      <c r="J176" t="s">
        <v>104</v>
      </c>
      <c r="K176" t="s">
        <v>108</v>
      </c>
    </row>
    <row r="177" spans="1:11" hidden="1" x14ac:dyDescent="0.3">
      <c r="A177" t="s">
        <v>15</v>
      </c>
      <c r="B177" t="s">
        <v>46</v>
      </c>
      <c r="C177" t="s">
        <v>80</v>
      </c>
      <c r="D177">
        <v>28.793500000000002</v>
      </c>
      <c r="E177">
        <f>Tableau2[[#This Row],[Potential (PJ)]]/3.6*1000</f>
        <v>7998.1944444444443</v>
      </c>
      <c r="F177">
        <v>1.21105866486851</v>
      </c>
      <c r="G177">
        <f>Tableau2[[#This Row],[Cost (€/GJ)]]/1000000*3600</f>
        <v>4.3598111935266365E-3</v>
      </c>
      <c r="H177">
        <v>28.139870918023309</v>
      </c>
      <c r="I177">
        <f>Tableau2[[#This Row],[GHG (kgCO2eq/GJ)]]/1000*3.6</f>
        <v>0.10130353530488391</v>
      </c>
      <c r="J177" t="s">
        <v>105</v>
      </c>
      <c r="K177" t="s">
        <v>108</v>
      </c>
    </row>
    <row r="178" spans="1:11" hidden="1" x14ac:dyDescent="0.3">
      <c r="A178" t="s">
        <v>15</v>
      </c>
      <c r="B178" t="s">
        <v>46</v>
      </c>
      <c r="C178" t="s">
        <v>81</v>
      </c>
      <c r="D178">
        <v>61.525700000000001</v>
      </c>
      <c r="E178">
        <f>Tableau2[[#This Row],[Potential (PJ)]]/3.6*1000</f>
        <v>17090.472222222223</v>
      </c>
      <c r="F178">
        <v>1.7549941245593419</v>
      </c>
      <c r="G178">
        <f>Tableau2[[#This Row],[Cost (€/GJ)]]/1000000*3600</f>
        <v>6.3179788484136303E-3</v>
      </c>
      <c r="H178">
        <v>8.9647473560517046</v>
      </c>
      <c r="I178">
        <f>Tableau2[[#This Row],[GHG (kgCO2eq/GJ)]]/1000*3.6</f>
        <v>3.2273090481786136E-2</v>
      </c>
      <c r="J178" t="s">
        <v>105</v>
      </c>
      <c r="K178" t="s">
        <v>108</v>
      </c>
    </row>
    <row r="179" spans="1:11" hidden="1" x14ac:dyDescent="0.3">
      <c r="A179" t="s">
        <v>15</v>
      </c>
      <c r="B179" t="s">
        <v>46</v>
      </c>
      <c r="C179" t="s">
        <v>66</v>
      </c>
      <c r="D179">
        <v>7.5</v>
      </c>
      <c r="E179">
        <f>Tableau2[[#This Row],[Potential (PJ)]]/3.6*1000</f>
        <v>2083.3333333333335</v>
      </c>
      <c r="F179">
        <v>4.7517733333333334</v>
      </c>
      <c r="G179">
        <f>Tableau2[[#This Row],[Cost (€/GJ)]]/1000000*3600</f>
        <v>1.7106383999999999E-2</v>
      </c>
      <c r="H179">
        <v>6.8428961748633883</v>
      </c>
      <c r="I179">
        <f>Tableau2[[#This Row],[GHG (kgCO2eq/GJ)]]/1000*3.6</f>
        <v>2.4634426229508198E-2</v>
      </c>
      <c r="J179" t="s">
        <v>104</v>
      </c>
      <c r="K179" t="s">
        <v>108</v>
      </c>
    </row>
    <row r="180" spans="1:11" hidden="1" x14ac:dyDescent="0.3">
      <c r="A180" t="s">
        <v>15</v>
      </c>
      <c r="B180" t="s">
        <v>46</v>
      </c>
      <c r="C180" t="s">
        <v>82</v>
      </c>
      <c r="D180">
        <v>8.5</v>
      </c>
      <c r="E180">
        <f>Tableau2[[#This Row],[Potential (PJ)]]/3.6*1000</f>
        <v>2361.1111111111113</v>
      </c>
      <c r="F180">
        <v>2.8982352941176468</v>
      </c>
      <c r="G180">
        <f>Tableau2[[#This Row],[Cost (€/GJ)]]/1000000*3600</f>
        <v>1.0433647058823528E-2</v>
      </c>
      <c r="H180">
        <v>6.8428961748633883</v>
      </c>
      <c r="I180">
        <f>Tableau2[[#This Row],[GHG (kgCO2eq/GJ)]]/1000*3.6</f>
        <v>2.4634426229508198E-2</v>
      </c>
      <c r="J180" t="s">
        <v>104</v>
      </c>
      <c r="K180" t="s">
        <v>108</v>
      </c>
    </row>
    <row r="181" spans="1:11" hidden="1" x14ac:dyDescent="0.3">
      <c r="A181" t="s">
        <v>15</v>
      </c>
      <c r="B181" t="s">
        <v>46</v>
      </c>
      <c r="C181" t="s">
        <v>84</v>
      </c>
      <c r="D181">
        <v>1.2</v>
      </c>
      <c r="E181">
        <f>Tableau2[[#This Row],[Potential (PJ)]]/3.6*1000</f>
        <v>333.33333333333331</v>
      </c>
      <c r="F181">
        <v>2.7862499999999999</v>
      </c>
      <c r="G181">
        <f>Tableau2[[#This Row],[Cost (€/GJ)]]/1000000*3600</f>
        <v>1.0030499999999999E-2</v>
      </c>
      <c r="H181">
        <v>28.139870918023309</v>
      </c>
      <c r="I181">
        <f>Tableau2[[#This Row],[GHG (kgCO2eq/GJ)]]/1000*3.6</f>
        <v>0.10130353530488391</v>
      </c>
      <c r="J181" t="s">
        <v>105</v>
      </c>
      <c r="K181" t="s">
        <v>108</v>
      </c>
    </row>
    <row r="182" spans="1:11" hidden="1" x14ac:dyDescent="0.3">
      <c r="A182" t="s">
        <v>15</v>
      </c>
      <c r="B182" t="s">
        <v>46</v>
      </c>
      <c r="C182" t="s">
        <v>85</v>
      </c>
      <c r="D182">
        <v>0.70000000000000007</v>
      </c>
      <c r="E182">
        <f>Tableau2[[#This Row],[Potential (PJ)]]/3.6*1000</f>
        <v>194.44444444444446</v>
      </c>
      <c r="F182">
        <v>3.7797142857142849</v>
      </c>
      <c r="G182">
        <f>Tableau2[[#This Row],[Cost (€/GJ)]]/1000000*3600</f>
        <v>1.3606971428571426E-2</v>
      </c>
      <c r="H182">
        <v>2.9521711768407801</v>
      </c>
      <c r="I182">
        <f>Tableau2[[#This Row],[GHG (kgCO2eq/GJ)]]/1000*3.6</f>
        <v>1.0627816236626808E-2</v>
      </c>
      <c r="J182" t="s">
        <v>104</v>
      </c>
      <c r="K182" t="s">
        <v>108</v>
      </c>
    </row>
    <row r="183" spans="1:11" hidden="1" x14ac:dyDescent="0.3">
      <c r="A183" t="s">
        <v>15</v>
      </c>
      <c r="B183" t="s">
        <v>55</v>
      </c>
      <c r="C183" t="s">
        <v>86</v>
      </c>
      <c r="D183">
        <v>0.19040000000000001</v>
      </c>
      <c r="E183">
        <f>Tableau2[[#This Row],[Potential (PJ)]]/3.6*1000</f>
        <v>52.888888888888886</v>
      </c>
      <c r="F183">
        <v>17.73800000000001</v>
      </c>
      <c r="G183">
        <f>Tableau2[[#This Row],[Cost (€/GJ)]]/1000000*3600</f>
        <v>6.3856800000000033E-2</v>
      </c>
      <c r="H183">
        <v>6.7</v>
      </c>
      <c r="I183">
        <f>Tableau2[[#This Row],[GHG (kgCO2eq/GJ)]]/1000*3.6</f>
        <v>2.4120000000000003E-2</v>
      </c>
      <c r="J183" t="s">
        <v>106</v>
      </c>
      <c r="K183" t="s">
        <v>109</v>
      </c>
    </row>
    <row r="184" spans="1:11" hidden="1" x14ac:dyDescent="0.3">
      <c r="A184" t="s">
        <v>15</v>
      </c>
      <c r="B184" t="s">
        <v>55</v>
      </c>
      <c r="C184" t="s">
        <v>87</v>
      </c>
      <c r="D184">
        <v>0.1348</v>
      </c>
      <c r="E184">
        <f>Tableau2[[#This Row],[Potential (PJ)]]/3.6*1000</f>
        <v>37.44444444444445</v>
      </c>
      <c r="F184">
        <v>18.88999999999999</v>
      </c>
      <c r="G184">
        <f>Tableau2[[#This Row],[Cost (€/GJ)]]/1000000*3600</f>
        <v>6.8003999999999967E-2</v>
      </c>
      <c r="H184">
        <v>6.7</v>
      </c>
      <c r="I184">
        <f>Tableau2[[#This Row],[GHG (kgCO2eq/GJ)]]/1000*3.6</f>
        <v>2.4120000000000003E-2</v>
      </c>
      <c r="J184" t="s">
        <v>106</v>
      </c>
      <c r="K184" t="s">
        <v>109</v>
      </c>
    </row>
    <row r="185" spans="1:11" hidden="1" x14ac:dyDescent="0.3">
      <c r="A185" t="s">
        <v>15</v>
      </c>
      <c r="B185" t="s">
        <v>55</v>
      </c>
      <c r="C185" t="s">
        <v>88</v>
      </c>
      <c r="D185">
        <v>0.77980000000000005</v>
      </c>
      <c r="E185">
        <f>Tableau2[[#This Row],[Potential (PJ)]]/3.6*1000</f>
        <v>216.61111111111111</v>
      </c>
      <c r="F185">
        <v>18.000999999999991</v>
      </c>
      <c r="G185">
        <f>Tableau2[[#This Row],[Cost (€/GJ)]]/1000000*3600</f>
        <v>6.4803599999999961E-2</v>
      </c>
      <c r="H185">
        <v>6.7</v>
      </c>
      <c r="I185">
        <f>Tableau2[[#This Row],[GHG (kgCO2eq/GJ)]]/1000*3.6</f>
        <v>2.4120000000000003E-2</v>
      </c>
      <c r="J185" t="s">
        <v>106</v>
      </c>
      <c r="K185" t="s">
        <v>109</v>
      </c>
    </row>
    <row r="186" spans="1:11" hidden="1" x14ac:dyDescent="0.3">
      <c r="A186" t="s">
        <v>15</v>
      </c>
      <c r="B186" t="s">
        <v>55</v>
      </c>
      <c r="C186" t="s">
        <v>89</v>
      </c>
      <c r="D186">
        <v>0.24660000000000001</v>
      </c>
      <c r="E186">
        <f>Tableau2[[#This Row],[Potential (PJ)]]/3.6*1000</f>
        <v>68.5</v>
      </c>
      <c r="F186">
        <v>0</v>
      </c>
      <c r="G186">
        <f>Tableau2[[#This Row],[Cost (€/GJ)]]/1000000*3600</f>
        <v>0</v>
      </c>
      <c r="H186">
        <v>6.7</v>
      </c>
      <c r="I186">
        <f>Tableau2[[#This Row],[GHG (kgCO2eq/GJ)]]/1000*3.6</f>
        <v>2.4120000000000003E-2</v>
      </c>
      <c r="J186" t="s">
        <v>106</v>
      </c>
      <c r="K186" t="s">
        <v>109</v>
      </c>
    </row>
    <row r="187" spans="1:11" hidden="1" x14ac:dyDescent="0.3">
      <c r="A187" t="s">
        <v>15</v>
      </c>
      <c r="B187" t="s">
        <v>55</v>
      </c>
      <c r="C187" t="s">
        <v>90</v>
      </c>
      <c r="D187">
        <v>0.1022</v>
      </c>
      <c r="E187">
        <f>Tableau2[[#This Row],[Potential (PJ)]]/3.6*1000</f>
        <v>28.388888888888886</v>
      </c>
      <c r="F187">
        <v>19.126999999999988</v>
      </c>
      <c r="G187">
        <f>Tableau2[[#This Row],[Cost (€/GJ)]]/1000000*3600</f>
        <v>6.8857199999999952E-2</v>
      </c>
      <c r="H187">
        <v>6.7</v>
      </c>
      <c r="I187">
        <f>Tableau2[[#This Row],[GHG (kgCO2eq/GJ)]]/1000*3.6</f>
        <v>2.4120000000000003E-2</v>
      </c>
      <c r="J187" t="s">
        <v>106</v>
      </c>
      <c r="K187" t="s">
        <v>109</v>
      </c>
    </row>
    <row r="188" spans="1:11" hidden="1" x14ac:dyDescent="0.3">
      <c r="A188" t="s">
        <v>15</v>
      </c>
      <c r="B188" t="s">
        <v>55</v>
      </c>
      <c r="C188" t="s">
        <v>91</v>
      </c>
      <c r="D188">
        <v>4.5792999999999999</v>
      </c>
      <c r="E188">
        <f>Tableau2[[#This Row],[Potential (PJ)]]/3.6*1000</f>
        <v>1272.0277777777778</v>
      </c>
      <c r="F188">
        <v>16.501999999999999</v>
      </c>
      <c r="G188">
        <f>Tableau2[[#This Row],[Cost (€/GJ)]]/1000000*3600</f>
        <v>5.9407199999999993E-2</v>
      </c>
      <c r="H188">
        <v>6.7</v>
      </c>
      <c r="I188">
        <f>Tableau2[[#This Row],[GHG (kgCO2eq/GJ)]]/1000*3.6</f>
        <v>2.4120000000000003E-2</v>
      </c>
      <c r="J188" t="s">
        <v>106</v>
      </c>
      <c r="K188" t="s">
        <v>109</v>
      </c>
    </row>
    <row r="189" spans="1:11" hidden="1" x14ac:dyDescent="0.3">
      <c r="A189" t="s">
        <v>15</v>
      </c>
      <c r="B189" t="s">
        <v>55</v>
      </c>
      <c r="C189" t="s">
        <v>92</v>
      </c>
      <c r="D189">
        <v>2.2654000000000001</v>
      </c>
      <c r="E189">
        <f>Tableau2[[#This Row],[Potential (PJ)]]/3.6*1000</f>
        <v>629.27777777777783</v>
      </c>
      <c r="F189">
        <v>18.88999999999999</v>
      </c>
      <c r="G189">
        <f>Tableau2[[#This Row],[Cost (€/GJ)]]/1000000*3600</f>
        <v>6.8003999999999967E-2</v>
      </c>
      <c r="H189">
        <v>6.7</v>
      </c>
      <c r="I189">
        <f>Tableau2[[#This Row],[GHG (kgCO2eq/GJ)]]/1000*3.6</f>
        <v>2.4120000000000003E-2</v>
      </c>
      <c r="J189" t="s">
        <v>106</v>
      </c>
      <c r="K189" t="s">
        <v>109</v>
      </c>
    </row>
    <row r="190" spans="1:11" hidden="1" x14ac:dyDescent="0.3">
      <c r="A190" t="s">
        <v>15</v>
      </c>
      <c r="B190" t="s">
        <v>56</v>
      </c>
      <c r="C190" t="s">
        <v>93</v>
      </c>
      <c r="D190">
        <v>43.513800000000003</v>
      </c>
      <c r="E190">
        <f>Tableau2[[#This Row],[Potential (PJ)]]/3.6*1000</f>
        <v>12087.166666666666</v>
      </c>
      <c r="F190">
        <v>2.939759036144578</v>
      </c>
      <c r="G190">
        <f>Tableau2[[#This Row],[Cost (€/GJ)]]/1000000*3600</f>
        <v>1.0583132530120481E-2</v>
      </c>
      <c r="H190">
        <v>22.3</v>
      </c>
      <c r="I190">
        <f>Tableau2[[#This Row],[GHG (kgCO2eq/GJ)]]/1000*3.6</f>
        <v>8.0280000000000004E-2</v>
      </c>
      <c r="J190" t="s">
        <v>106</v>
      </c>
      <c r="K190" t="s">
        <v>109</v>
      </c>
    </row>
    <row r="191" spans="1:11" hidden="1" x14ac:dyDescent="0.3">
      <c r="A191" t="s">
        <v>15</v>
      </c>
      <c r="B191" t="s">
        <v>47</v>
      </c>
      <c r="C191" t="s">
        <v>68</v>
      </c>
      <c r="D191">
        <v>56.7</v>
      </c>
      <c r="E191">
        <f>Tableau2[[#This Row],[Potential (PJ)]]/3.6*1000</f>
        <v>15750</v>
      </c>
      <c r="F191">
        <v>5.5945396825396818</v>
      </c>
      <c r="G191">
        <f>Tableau2[[#This Row],[Cost (€/GJ)]]/1000000*3600</f>
        <v>2.0140342857142855E-2</v>
      </c>
      <c r="H191">
        <v>25.4</v>
      </c>
      <c r="I191">
        <f>Tableau2[[#This Row],[GHG (kgCO2eq/GJ)]]/1000*3.6</f>
        <v>9.1439999999999994E-2</v>
      </c>
      <c r="J191" t="s">
        <v>104</v>
      </c>
      <c r="K191" t="s">
        <v>109</v>
      </c>
    </row>
    <row r="192" spans="1:11" hidden="1" x14ac:dyDescent="0.3">
      <c r="A192" t="s">
        <v>15</v>
      </c>
      <c r="B192" t="s">
        <v>47</v>
      </c>
      <c r="C192" t="s">
        <v>69</v>
      </c>
      <c r="D192">
        <v>101.2</v>
      </c>
      <c r="E192">
        <f>Tableau2[[#This Row],[Potential (PJ)]]/3.6*1000</f>
        <v>28111.111111111109</v>
      </c>
      <c r="F192">
        <v>4.8317796442687753</v>
      </c>
      <c r="G192">
        <f>Tableau2[[#This Row],[Cost (€/GJ)]]/1000000*3600</f>
        <v>1.7394406719367591E-2</v>
      </c>
      <c r="H192">
        <v>25.4</v>
      </c>
      <c r="I192">
        <f>Tableau2[[#This Row],[GHG (kgCO2eq/GJ)]]/1000*3.6</f>
        <v>9.1439999999999994E-2</v>
      </c>
      <c r="J192" t="s">
        <v>104</v>
      </c>
      <c r="K192" t="s">
        <v>109</v>
      </c>
    </row>
    <row r="193" spans="1:11" hidden="1" x14ac:dyDescent="0.3">
      <c r="A193" t="s">
        <v>15</v>
      </c>
      <c r="B193" t="s">
        <v>57</v>
      </c>
      <c r="C193" t="s">
        <v>94</v>
      </c>
      <c r="D193">
        <v>20.100000000000001</v>
      </c>
      <c r="E193">
        <f>Tableau2[[#This Row],[Potential (PJ)]]/3.6*1000</f>
        <v>5583.3333333333339</v>
      </c>
      <c r="F193">
        <v>9.9587960199004986</v>
      </c>
      <c r="G193">
        <f>Tableau2[[#This Row],[Cost (€/GJ)]]/1000000*3600</f>
        <v>3.5851665671641796E-2</v>
      </c>
      <c r="H193">
        <v>23.7</v>
      </c>
      <c r="I193">
        <f>Tableau2[[#This Row],[GHG (kgCO2eq/GJ)]]/1000*3.6</f>
        <v>8.5319999999999993E-2</v>
      </c>
      <c r="J193" t="s">
        <v>104</v>
      </c>
      <c r="K193" t="s">
        <v>109</v>
      </c>
    </row>
    <row r="194" spans="1:11" hidden="1" x14ac:dyDescent="0.3">
      <c r="A194" t="s">
        <v>15</v>
      </c>
      <c r="B194" t="s">
        <v>49</v>
      </c>
      <c r="C194" t="s">
        <v>71</v>
      </c>
      <c r="D194">
        <v>285.12554</v>
      </c>
      <c r="E194">
        <f>Tableau2[[#This Row],[Potential (PJ)]]/3.6*1000</f>
        <v>79201.538888888885</v>
      </c>
      <c r="F194">
        <v>4.374971311584364</v>
      </c>
      <c r="G194">
        <f>Tableau2[[#This Row],[Cost (€/GJ)]]/1000000*3600</f>
        <v>1.574989672170371E-2</v>
      </c>
      <c r="H194">
        <v>3.86607608129234</v>
      </c>
      <c r="I194">
        <f>Tableau2[[#This Row],[GHG (kgCO2eq/GJ)]]/1000*3.6</f>
        <v>1.3917873892652425E-2</v>
      </c>
      <c r="J194" t="s">
        <v>104</v>
      </c>
      <c r="K194" t="s">
        <v>108</v>
      </c>
    </row>
    <row r="195" spans="1:11" hidden="1" x14ac:dyDescent="0.3">
      <c r="A195" t="s">
        <v>15</v>
      </c>
      <c r="B195" t="s">
        <v>49</v>
      </c>
      <c r="C195" t="s">
        <v>72</v>
      </c>
      <c r="D195">
        <v>18.100000000000001</v>
      </c>
      <c r="E195">
        <f>Tableau2[[#This Row],[Potential (PJ)]]/3.6*1000</f>
        <v>5027.7777777777774</v>
      </c>
      <c r="F195">
        <v>3.5077237569060769</v>
      </c>
      <c r="G195">
        <f>Tableau2[[#This Row],[Cost (€/GJ)]]/1000000*3600</f>
        <v>1.2627805524861877E-2</v>
      </c>
      <c r="H195">
        <v>3.86607608129234</v>
      </c>
      <c r="I195">
        <f>Tableau2[[#This Row],[GHG (kgCO2eq/GJ)]]/1000*3.6</f>
        <v>1.3917873892652425E-2</v>
      </c>
      <c r="J195" t="s">
        <v>104</v>
      </c>
      <c r="K195" t="s">
        <v>108</v>
      </c>
    </row>
    <row r="196" spans="1:11" hidden="1" x14ac:dyDescent="0.3">
      <c r="A196" t="s">
        <v>15</v>
      </c>
      <c r="B196" t="s">
        <v>58</v>
      </c>
      <c r="C196" t="s">
        <v>95</v>
      </c>
      <c r="D196">
        <v>13.39207</v>
      </c>
      <c r="E196">
        <f>Tableau2[[#This Row],[Potential (PJ)]]/3.6*1000</f>
        <v>3720.0194444444446</v>
      </c>
      <c r="F196">
        <v>2.4279169493588371</v>
      </c>
      <c r="G196">
        <f>Tableau2[[#This Row],[Cost (€/GJ)]]/1000000*3600</f>
        <v>8.7405010176918128E-3</v>
      </c>
      <c r="H196">
        <v>2.9521711768407801</v>
      </c>
      <c r="I196">
        <f>Tableau2[[#This Row],[GHG (kgCO2eq/GJ)]]/1000*3.6</f>
        <v>1.0627816236626808E-2</v>
      </c>
      <c r="J196" t="s">
        <v>104</v>
      </c>
      <c r="K196" t="s">
        <v>108</v>
      </c>
    </row>
    <row r="197" spans="1:11" hidden="1" x14ac:dyDescent="0.3">
      <c r="A197" t="s">
        <v>15</v>
      </c>
      <c r="B197" t="s">
        <v>50</v>
      </c>
      <c r="C197" t="s">
        <v>73</v>
      </c>
      <c r="D197">
        <v>50.9</v>
      </c>
      <c r="E197">
        <f>Tableau2[[#This Row],[Potential (PJ)]]/3.6*1000</f>
        <v>14138.888888888887</v>
      </c>
      <c r="F197">
        <v>5.6664165029469542</v>
      </c>
      <c r="G197">
        <f>Tableau2[[#This Row],[Cost (€/GJ)]]/1000000*3600</f>
        <v>2.0399099410609037E-2</v>
      </c>
      <c r="H197">
        <v>20.723404255319149</v>
      </c>
      <c r="I197">
        <f>Tableau2[[#This Row],[GHG (kgCO2eq/GJ)]]/1000*3.6</f>
        <v>7.4604255319148938E-2</v>
      </c>
      <c r="J197" t="s">
        <v>105</v>
      </c>
      <c r="K197" t="s">
        <v>108</v>
      </c>
    </row>
    <row r="198" spans="1:11" hidden="1" x14ac:dyDescent="0.3">
      <c r="A198" t="s">
        <v>15</v>
      </c>
      <c r="B198" t="s">
        <v>50</v>
      </c>
      <c r="C198" t="s">
        <v>74</v>
      </c>
      <c r="D198">
        <v>54.4</v>
      </c>
      <c r="E198">
        <f>Tableau2[[#This Row],[Potential (PJ)]]/3.6*1000</f>
        <v>15111.111111111111</v>
      </c>
      <c r="F198">
        <v>6.3633860294117648</v>
      </c>
      <c r="G198">
        <f>Tableau2[[#This Row],[Cost (€/GJ)]]/1000000*3600</f>
        <v>2.2908189705882352E-2</v>
      </c>
      <c r="H198">
        <v>2.0635593220338988</v>
      </c>
      <c r="I198">
        <f>Tableau2[[#This Row],[GHG (kgCO2eq/GJ)]]/1000*3.6</f>
        <v>7.4288135593220351E-3</v>
      </c>
      <c r="J198" t="s">
        <v>105</v>
      </c>
      <c r="K198" t="s">
        <v>108</v>
      </c>
    </row>
    <row r="199" spans="1:11" hidden="1" x14ac:dyDescent="0.3">
      <c r="A199" t="s">
        <v>15</v>
      </c>
      <c r="B199" t="s">
        <v>51</v>
      </c>
      <c r="C199" t="s">
        <v>75</v>
      </c>
      <c r="D199">
        <v>131.71129999999999</v>
      </c>
      <c r="E199">
        <f>Tableau2[[#This Row],[Potential (PJ)]]/3.6*1000</f>
        <v>36586.472222222219</v>
      </c>
      <c r="F199">
        <v>5.0245743560679297E-2</v>
      </c>
      <c r="G199">
        <f>Tableau2[[#This Row],[Cost (€/GJ)]]/1000000*3600</f>
        <v>1.8088467681844547E-4</v>
      </c>
      <c r="H199">
        <v>11.74</v>
      </c>
      <c r="I199">
        <f>Tableau2[[#This Row],[GHG (kgCO2eq/GJ)]]/1000*3.6</f>
        <v>4.2264000000000003E-2</v>
      </c>
      <c r="J199" t="s">
        <v>104</v>
      </c>
      <c r="K199" t="s">
        <v>108</v>
      </c>
    </row>
    <row r="200" spans="1:11" hidden="1" x14ac:dyDescent="0.3">
      <c r="A200" t="s">
        <v>15</v>
      </c>
      <c r="B200" t="s">
        <v>60</v>
      </c>
      <c r="C200" t="s">
        <v>98</v>
      </c>
      <c r="D200">
        <v>93.683350000000004</v>
      </c>
      <c r="E200">
        <f>Tableau2[[#This Row],[Potential (PJ)]]/3.6*1000</f>
        <v>26023.152777777777</v>
      </c>
      <c r="F200">
        <v>18.259935553168631</v>
      </c>
      <c r="G200">
        <f>Tableau2[[#This Row],[Cost (€/GJ)]]/1000000*3600</f>
        <v>6.5735767991407082E-2</v>
      </c>
      <c r="H200">
        <v>19.399999999999999</v>
      </c>
      <c r="I200">
        <f>Tableau2[[#This Row],[GHG (kgCO2eq/GJ)]]/1000*3.6</f>
        <v>6.9839999999999985E-2</v>
      </c>
      <c r="J200" t="s">
        <v>107</v>
      </c>
      <c r="K200" t="s">
        <v>109</v>
      </c>
    </row>
    <row r="201" spans="1:11" hidden="1" x14ac:dyDescent="0.3">
      <c r="A201" t="s">
        <v>15</v>
      </c>
      <c r="B201" t="s">
        <v>52</v>
      </c>
      <c r="C201" t="s">
        <v>76</v>
      </c>
      <c r="D201">
        <v>11.234</v>
      </c>
      <c r="E201">
        <f>Tableau2[[#This Row],[Potential (PJ)]]/3.6*1000</f>
        <v>3120.5555555555552</v>
      </c>
      <c r="F201">
        <v>5.4702337500000002</v>
      </c>
      <c r="G201">
        <f>Tableau2[[#This Row],[Cost (€/GJ)]]/1000000*3600</f>
        <v>1.9692841500000002E-2</v>
      </c>
      <c r="H201">
        <v>12.68872359754714</v>
      </c>
      <c r="I201">
        <f>Tableau2[[#This Row],[GHG (kgCO2eq/GJ)]]/1000*3.6</f>
        <v>4.5679404951169705E-2</v>
      </c>
      <c r="J201" t="s">
        <v>105</v>
      </c>
      <c r="K201" t="s">
        <v>108</v>
      </c>
    </row>
    <row r="202" spans="1:11" hidden="1" x14ac:dyDescent="0.3">
      <c r="A202" t="s">
        <v>15</v>
      </c>
      <c r="B202" t="s">
        <v>53</v>
      </c>
      <c r="C202" t="s">
        <v>77</v>
      </c>
      <c r="D202">
        <v>21.4</v>
      </c>
      <c r="E202">
        <f>Tableau2[[#This Row],[Potential (PJ)]]/3.6*1000</f>
        <v>5944.4444444444434</v>
      </c>
      <c r="F202">
        <v>3.5079018691588781</v>
      </c>
      <c r="G202">
        <f>Tableau2[[#This Row],[Cost (€/GJ)]]/1000000*3600</f>
        <v>1.2628446728971961E-2</v>
      </c>
      <c r="H202">
        <v>3.86607608129234</v>
      </c>
      <c r="I202">
        <f>Tableau2[[#This Row],[GHG (kgCO2eq/GJ)]]/1000*3.6</f>
        <v>1.3917873892652425E-2</v>
      </c>
      <c r="J202" t="s">
        <v>104</v>
      </c>
      <c r="K202" t="s">
        <v>108</v>
      </c>
    </row>
    <row r="203" spans="1:11" hidden="1" x14ac:dyDescent="0.3">
      <c r="A203" t="s">
        <v>15</v>
      </c>
      <c r="B203" t="s">
        <v>61</v>
      </c>
      <c r="C203" t="s">
        <v>99</v>
      </c>
      <c r="D203">
        <v>40.9</v>
      </c>
      <c r="E203">
        <f>Tableau2[[#This Row],[Potential (PJ)]]/3.6*1000</f>
        <v>11361.111111111111</v>
      </c>
      <c r="F203">
        <v>1.8397946210268949</v>
      </c>
      <c r="G203">
        <f>Tableau2[[#This Row],[Cost (€/GJ)]]/1000000*3600</f>
        <v>6.6232606356968222E-3</v>
      </c>
      <c r="H203">
        <v>2.9245635910224439</v>
      </c>
      <c r="I203">
        <f>Tableau2[[#This Row],[GHG (kgCO2eq/GJ)]]/1000*3.6</f>
        <v>1.0528428927680798E-2</v>
      </c>
      <c r="J203" t="s">
        <v>104</v>
      </c>
      <c r="K203" t="s">
        <v>108</v>
      </c>
    </row>
    <row r="204" spans="1:11" hidden="1" x14ac:dyDescent="0.3">
      <c r="A204" t="s">
        <v>15</v>
      </c>
      <c r="B204" t="s">
        <v>62</v>
      </c>
      <c r="C204" t="s">
        <v>100</v>
      </c>
      <c r="D204">
        <v>11</v>
      </c>
      <c r="E204">
        <f>Tableau2[[#This Row],[Potential (PJ)]]/3.6*1000</f>
        <v>3055.5555555555552</v>
      </c>
      <c r="F204">
        <v>8.0000000000000016E-2</v>
      </c>
      <c r="G204">
        <f>Tableau2[[#This Row],[Cost (€/GJ)]]/1000000*3600</f>
        <v>2.8800000000000006E-4</v>
      </c>
      <c r="H204">
        <v>2.6764106050305911</v>
      </c>
      <c r="I204">
        <f>Tableau2[[#This Row],[GHG (kgCO2eq/GJ)]]/1000*3.6</f>
        <v>9.6350781781101291E-3</v>
      </c>
      <c r="J204" t="s">
        <v>104</v>
      </c>
      <c r="K204" t="s">
        <v>108</v>
      </c>
    </row>
    <row r="205" spans="1:11" hidden="1" x14ac:dyDescent="0.3">
      <c r="A205" t="s">
        <v>15</v>
      </c>
      <c r="B205" t="s">
        <v>54</v>
      </c>
      <c r="C205" t="s">
        <v>78</v>
      </c>
      <c r="D205">
        <v>332.6</v>
      </c>
      <c r="E205">
        <f>Tableau2[[#This Row],[Potential (PJ)]]/3.6*1000</f>
        <v>92388.888888888905</v>
      </c>
      <c r="F205">
        <v>6.83255892964522</v>
      </c>
      <c r="G205">
        <f>Tableau2[[#This Row],[Cost (€/GJ)]]/1000000*3600</f>
        <v>2.459721214672279E-2</v>
      </c>
      <c r="H205">
        <v>3.86607608129234</v>
      </c>
      <c r="I205">
        <f>Tableau2[[#This Row],[GHG (kgCO2eq/GJ)]]/1000*3.6</f>
        <v>1.3917873892652425E-2</v>
      </c>
      <c r="J205" t="s">
        <v>104</v>
      </c>
      <c r="K205" t="s">
        <v>108</v>
      </c>
    </row>
    <row r="206" spans="1:11" hidden="1" x14ac:dyDescent="0.3">
      <c r="A206" t="s">
        <v>16</v>
      </c>
      <c r="B206" t="s">
        <v>46</v>
      </c>
      <c r="C206" t="s">
        <v>64</v>
      </c>
      <c r="D206">
        <v>9.8600000000000007E-3</v>
      </c>
      <c r="E206">
        <f>Tableau2[[#This Row],[Potential (PJ)]]/3.6*1000</f>
        <v>2.7388888888888894</v>
      </c>
      <c r="F206">
        <v>5.1580618661257596</v>
      </c>
      <c r="G206">
        <f>Tableau2[[#This Row],[Cost (€/GJ)]]/1000000*3600</f>
        <v>1.8569022718052733E-2</v>
      </c>
      <c r="H206">
        <v>2.9521711768407801</v>
      </c>
      <c r="I206">
        <f>Tableau2[[#This Row],[GHG (kgCO2eq/GJ)]]/1000*3.6</f>
        <v>1.0627816236626808E-2</v>
      </c>
      <c r="J206" t="s">
        <v>104</v>
      </c>
      <c r="K206" t="s">
        <v>108</v>
      </c>
    </row>
    <row r="207" spans="1:11" hidden="1" x14ac:dyDescent="0.3">
      <c r="A207" t="s">
        <v>16</v>
      </c>
      <c r="B207" t="s">
        <v>46</v>
      </c>
      <c r="C207" t="s">
        <v>79</v>
      </c>
      <c r="D207">
        <v>19.3</v>
      </c>
      <c r="E207">
        <f>Tableau2[[#This Row],[Potential (PJ)]]/3.6*1000</f>
        <v>5361.1111111111113</v>
      </c>
      <c r="F207">
        <v>3.8748911917098452</v>
      </c>
      <c r="G207">
        <f>Tableau2[[#This Row],[Cost (€/GJ)]]/1000000*3600</f>
        <v>1.3949608290155442E-2</v>
      </c>
      <c r="H207">
        <v>6.8428961748633883</v>
      </c>
      <c r="I207">
        <f>Tableau2[[#This Row],[GHG (kgCO2eq/GJ)]]/1000*3.6</f>
        <v>2.4634426229508198E-2</v>
      </c>
      <c r="J207" t="s">
        <v>104</v>
      </c>
      <c r="K207" t="s">
        <v>108</v>
      </c>
    </row>
    <row r="208" spans="1:11" hidden="1" x14ac:dyDescent="0.3">
      <c r="A208" t="s">
        <v>16</v>
      </c>
      <c r="B208" t="s">
        <v>46</v>
      </c>
      <c r="C208" t="s">
        <v>80</v>
      </c>
      <c r="D208">
        <v>0.21099999999999999</v>
      </c>
      <c r="E208">
        <f>Tableau2[[#This Row],[Potential (PJ)]]/3.6*1000</f>
        <v>58.611111111111107</v>
      </c>
      <c r="F208">
        <v>0.58125421443020897</v>
      </c>
      <c r="G208">
        <f>Tableau2[[#This Row],[Cost (€/GJ)]]/1000000*3600</f>
        <v>2.0925151719487522E-3</v>
      </c>
      <c r="H208">
        <v>28.139870918023309</v>
      </c>
      <c r="I208">
        <f>Tableau2[[#This Row],[GHG (kgCO2eq/GJ)]]/1000*3.6</f>
        <v>0.10130353530488391</v>
      </c>
      <c r="J208" t="s">
        <v>105</v>
      </c>
      <c r="K208" t="s">
        <v>108</v>
      </c>
    </row>
    <row r="209" spans="1:11" hidden="1" x14ac:dyDescent="0.3">
      <c r="A209" t="s">
        <v>16</v>
      </c>
      <c r="B209" t="s">
        <v>46</v>
      </c>
      <c r="C209" t="s">
        <v>81</v>
      </c>
      <c r="D209">
        <v>2.2494999999999998</v>
      </c>
      <c r="E209">
        <f>Tableau2[[#This Row],[Potential (PJ)]]/3.6*1000</f>
        <v>624.86111111111109</v>
      </c>
      <c r="F209">
        <v>1.7121034077555819</v>
      </c>
      <c r="G209">
        <f>Tableau2[[#This Row],[Cost (€/GJ)]]/1000000*3600</f>
        <v>6.1635722679200949E-3</v>
      </c>
      <c r="H209">
        <v>8.9647473560517046</v>
      </c>
      <c r="I209">
        <f>Tableau2[[#This Row],[GHG (kgCO2eq/GJ)]]/1000*3.6</f>
        <v>3.2273090481786136E-2</v>
      </c>
      <c r="J209" t="s">
        <v>105</v>
      </c>
      <c r="K209" t="s">
        <v>108</v>
      </c>
    </row>
    <row r="210" spans="1:11" hidden="1" x14ac:dyDescent="0.3">
      <c r="A210" t="s">
        <v>16</v>
      </c>
      <c r="B210" t="s">
        <v>46</v>
      </c>
      <c r="C210" t="s">
        <v>84</v>
      </c>
      <c r="D210">
        <v>0.2</v>
      </c>
      <c r="E210">
        <f>Tableau2[[#This Row],[Potential (PJ)]]/3.6*1000</f>
        <v>55.555555555555557</v>
      </c>
      <c r="F210">
        <v>3.2315</v>
      </c>
      <c r="G210">
        <f>Tableau2[[#This Row],[Cost (€/GJ)]]/1000000*3600</f>
        <v>1.16334E-2</v>
      </c>
      <c r="H210">
        <v>28.139870918023309</v>
      </c>
      <c r="I210">
        <f>Tableau2[[#This Row],[GHG (kgCO2eq/GJ)]]/1000*3.6</f>
        <v>0.10130353530488391</v>
      </c>
      <c r="J210" t="s">
        <v>105</v>
      </c>
      <c r="K210" t="s">
        <v>108</v>
      </c>
    </row>
    <row r="211" spans="1:11" hidden="1" x14ac:dyDescent="0.3">
      <c r="A211" t="s">
        <v>16</v>
      </c>
      <c r="B211" t="s">
        <v>55</v>
      </c>
      <c r="C211" t="s">
        <v>86</v>
      </c>
      <c r="D211">
        <v>1.0725</v>
      </c>
      <c r="E211">
        <f>Tableau2[[#This Row],[Potential (PJ)]]/3.6*1000</f>
        <v>297.91666666666669</v>
      </c>
      <c r="F211">
        <v>18.36</v>
      </c>
      <c r="G211">
        <f>Tableau2[[#This Row],[Cost (€/GJ)]]/1000000*3600</f>
        <v>6.6096000000000002E-2</v>
      </c>
      <c r="H211">
        <v>22.2</v>
      </c>
      <c r="I211">
        <f>Tableau2[[#This Row],[GHG (kgCO2eq/GJ)]]/1000*3.6</f>
        <v>7.9920000000000005E-2</v>
      </c>
      <c r="J211" t="s">
        <v>106</v>
      </c>
      <c r="K211" t="s">
        <v>109</v>
      </c>
    </row>
    <row r="212" spans="1:11" hidden="1" x14ac:dyDescent="0.3">
      <c r="A212" t="s">
        <v>16</v>
      </c>
      <c r="B212" t="s">
        <v>55</v>
      </c>
      <c r="C212" t="s">
        <v>91</v>
      </c>
      <c r="D212">
        <v>3.3999999999999998E-3</v>
      </c>
      <c r="E212">
        <f>Tableau2[[#This Row],[Potential (PJ)]]/3.6*1000</f>
        <v>0.94444444444444442</v>
      </c>
      <c r="F212">
        <v>15.871</v>
      </c>
      <c r="G212">
        <f>Tableau2[[#This Row],[Cost (€/GJ)]]/1000000*3600</f>
        <v>5.7135600000000002E-2</v>
      </c>
      <c r="H212">
        <v>22.2</v>
      </c>
      <c r="I212">
        <f>Tableau2[[#This Row],[GHG (kgCO2eq/GJ)]]/1000*3.6</f>
        <v>7.9920000000000005E-2</v>
      </c>
      <c r="J212" t="s">
        <v>106</v>
      </c>
      <c r="K212" t="s">
        <v>109</v>
      </c>
    </row>
    <row r="213" spans="1:11" hidden="1" x14ac:dyDescent="0.3">
      <c r="A213" t="s">
        <v>16</v>
      </c>
      <c r="B213" t="s">
        <v>55</v>
      </c>
      <c r="C213" t="s">
        <v>92</v>
      </c>
      <c r="D213">
        <v>0.64588000000000001</v>
      </c>
      <c r="E213">
        <f>Tableau2[[#This Row],[Potential (PJ)]]/3.6*1000</f>
        <v>179.4111111111111</v>
      </c>
      <c r="F213">
        <v>17.760000000000002</v>
      </c>
      <c r="G213">
        <f>Tableau2[[#This Row],[Cost (€/GJ)]]/1000000*3600</f>
        <v>6.3936000000000007E-2</v>
      </c>
      <c r="H213">
        <v>22.2</v>
      </c>
      <c r="I213">
        <f>Tableau2[[#This Row],[GHG (kgCO2eq/GJ)]]/1000*3.6</f>
        <v>7.9920000000000005E-2</v>
      </c>
      <c r="J213" t="s">
        <v>106</v>
      </c>
      <c r="K213" t="s">
        <v>109</v>
      </c>
    </row>
    <row r="214" spans="1:11" hidden="1" x14ac:dyDescent="0.3">
      <c r="A214" t="s">
        <v>16</v>
      </c>
      <c r="B214" t="s">
        <v>56</v>
      </c>
      <c r="C214" t="s">
        <v>93</v>
      </c>
      <c r="D214">
        <v>2.6991000000000001</v>
      </c>
      <c r="E214">
        <f>Tableau2[[#This Row],[Potential (PJ)]]/3.6*1000</f>
        <v>749.75</v>
      </c>
      <c r="F214">
        <v>4.3084337349397588</v>
      </c>
      <c r="G214">
        <f>Tableau2[[#This Row],[Cost (€/GJ)]]/1000000*3600</f>
        <v>1.5510361445783129E-2</v>
      </c>
      <c r="H214">
        <v>29.8</v>
      </c>
      <c r="I214">
        <f>Tableau2[[#This Row],[GHG (kgCO2eq/GJ)]]/1000*3.6</f>
        <v>0.10728</v>
      </c>
      <c r="J214" t="s">
        <v>106</v>
      </c>
      <c r="K214" t="s">
        <v>109</v>
      </c>
    </row>
    <row r="215" spans="1:11" hidden="1" x14ac:dyDescent="0.3">
      <c r="A215" t="s">
        <v>16</v>
      </c>
      <c r="B215" t="s">
        <v>49</v>
      </c>
      <c r="C215" t="s">
        <v>71</v>
      </c>
      <c r="D215">
        <v>14.95726</v>
      </c>
      <c r="E215">
        <f>Tableau2[[#This Row],[Potential (PJ)]]/3.6*1000</f>
        <v>4154.7944444444447</v>
      </c>
      <c r="F215">
        <v>3.8050398809675041</v>
      </c>
      <c r="G215">
        <f>Tableau2[[#This Row],[Cost (€/GJ)]]/1000000*3600</f>
        <v>1.3698143571483015E-2</v>
      </c>
      <c r="H215">
        <v>3.86607608129234</v>
      </c>
      <c r="I215">
        <f>Tableau2[[#This Row],[GHG (kgCO2eq/GJ)]]/1000*3.6</f>
        <v>1.3917873892652425E-2</v>
      </c>
      <c r="J215" t="s">
        <v>104</v>
      </c>
      <c r="K215" t="s">
        <v>108</v>
      </c>
    </row>
    <row r="216" spans="1:11" hidden="1" x14ac:dyDescent="0.3">
      <c r="A216" t="s">
        <v>16</v>
      </c>
      <c r="B216" t="s">
        <v>49</v>
      </c>
      <c r="C216" t="s">
        <v>72</v>
      </c>
      <c r="D216">
        <v>3.9</v>
      </c>
      <c r="E216">
        <f>Tableau2[[#This Row],[Potential (PJ)]]/3.6*1000</f>
        <v>1083.3333333333333</v>
      </c>
      <c r="F216">
        <v>3.062641025641025</v>
      </c>
      <c r="G216">
        <f>Tableau2[[#This Row],[Cost (€/GJ)]]/1000000*3600</f>
        <v>1.1025507692307691E-2</v>
      </c>
      <c r="H216">
        <v>3.86607608129234</v>
      </c>
      <c r="I216">
        <f>Tableau2[[#This Row],[GHG (kgCO2eq/GJ)]]/1000*3.6</f>
        <v>1.3917873892652425E-2</v>
      </c>
      <c r="J216" t="s">
        <v>104</v>
      </c>
      <c r="K216" t="s">
        <v>108</v>
      </c>
    </row>
    <row r="217" spans="1:11" hidden="1" x14ac:dyDescent="0.3">
      <c r="A217" t="s">
        <v>16</v>
      </c>
      <c r="B217" t="s">
        <v>58</v>
      </c>
      <c r="C217" t="s">
        <v>95</v>
      </c>
      <c r="D217">
        <v>2.9653800000000001</v>
      </c>
      <c r="E217">
        <f>Tableau2[[#This Row],[Potential (PJ)]]/3.6*1000</f>
        <v>823.7166666666667</v>
      </c>
      <c r="F217">
        <v>2.523000000000001</v>
      </c>
      <c r="G217">
        <f>Tableau2[[#This Row],[Cost (€/GJ)]]/1000000*3600</f>
        <v>9.0828000000000037E-3</v>
      </c>
      <c r="H217">
        <v>2.9521711768407801</v>
      </c>
      <c r="I217">
        <f>Tableau2[[#This Row],[GHG (kgCO2eq/GJ)]]/1000*3.6</f>
        <v>1.0627816236626808E-2</v>
      </c>
      <c r="J217" t="s">
        <v>104</v>
      </c>
      <c r="K217" t="s">
        <v>108</v>
      </c>
    </row>
    <row r="218" spans="1:11" hidden="1" x14ac:dyDescent="0.3">
      <c r="A218" t="s">
        <v>16</v>
      </c>
      <c r="B218" t="s">
        <v>50</v>
      </c>
      <c r="C218" t="s">
        <v>73</v>
      </c>
      <c r="D218">
        <v>17.5</v>
      </c>
      <c r="E218">
        <f>Tableau2[[#This Row],[Potential (PJ)]]/3.6*1000</f>
        <v>4861.1111111111104</v>
      </c>
      <c r="F218">
        <v>6.6303142857142863</v>
      </c>
      <c r="G218">
        <f>Tableau2[[#This Row],[Cost (€/GJ)]]/1000000*3600</f>
        <v>2.386913142857143E-2</v>
      </c>
      <c r="H218">
        <v>20.723404255319149</v>
      </c>
      <c r="I218">
        <f>Tableau2[[#This Row],[GHG (kgCO2eq/GJ)]]/1000*3.6</f>
        <v>7.4604255319148938E-2</v>
      </c>
      <c r="J218" t="s">
        <v>105</v>
      </c>
      <c r="K218" t="s">
        <v>108</v>
      </c>
    </row>
    <row r="219" spans="1:11" hidden="1" x14ac:dyDescent="0.3">
      <c r="A219" t="s">
        <v>16</v>
      </c>
      <c r="B219" t="s">
        <v>50</v>
      </c>
      <c r="C219" t="s">
        <v>74</v>
      </c>
      <c r="D219">
        <v>25.9</v>
      </c>
      <c r="E219">
        <f>Tableau2[[#This Row],[Potential (PJ)]]/3.6*1000</f>
        <v>7194.4444444444434</v>
      </c>
      <c r="F219">
        <v>7.2431544401544414</v>
      </c>
      <c r="G219">
        <f>Tableau2[[#This Row],[Cost (€/GJ)]]/1000000*3600</f>
        <v>2.607535598455599E-2</v>
      </c>
      <c r="H219">
        <v>2.0635593220338988</v>
      </c>
      <c r="I219">
        <f>Tableau2[[#This Row],[GHG (kgCO2eq/GJ)]]/1000*3.6</f>
        <v>7.4288135593220351E-3</v>
      </c>
      <c r="J219" t="s">
        <v>105</v>
      </c>
      <c r="K219" t="s">
        <v>108</v>
      </c>
    </row>
    <row r="220" spans="1:11" hidden="1" x14ac:dyDescent="0.3">
      <c r="A220" t="s">
        <v>16</v>
      </c>
      <c r="B220" t="s">
        <v>51</v>
      </c>
      <c r="C220" t="s">
        <v>75</v>
      </c>
      <c r="D220">
        <v>28.56991</v>
      </c>
      <c r="E220">
        <f>Tableau2[[#This Row],[Potential (PJ)]]/3.6*1000</f>
        <v>7936.0861111111108</v>
      </c>
      <c r="F220">
        <v>3.2674197939299701E-3</v>
      </c>
      <c r="G220">
        <f>Tableau2[[#This Row],[Cost (€/GJ)]]/1000000*3600</f>
        <v>1.1762711258147892E-5</v>
      </c>
      <c r="H220">
        <v>11.74</v>
      </c>
      <c r="I220">
        <f>Tableau2[[#This Row],[GHG (kgCO2eq/GJ)]]/1000*3.6</f>
        <v>4.2264000000000003E-2</v>
      </c>
      <c r="J220" t="s">
        <v>104</v>
      </c>
      <c r="K220" t="s">
        <v>108</v>
      </c>
    </row>
    <row r="221" spans="1:11" hidden="1" x14ac:dyDescent="0.3">
      <c r="A221" t="s">
        <v>16</v>
      </c>
      <c r="B221" t="s">
        <v>60</v>
      </c>
      <c r="C221" t="s">
        <v>98</v>
      </c>
      <c r="D221">
        <v>7.1599999999999997E-3</v>
      </c>
      <c r="E221">
        <f>Tableau2[[#This Row],[Potential (PJ)]]/3.6*1000</f>
        <v>1.9888888888888885</v>
      </c>
      <c r="F221">
        <v>18.421052631578949</v>
      </c>
      <c r="G221">
        <f>Tableau2[[#This Row],[Cost (€/GJ)]]/1000000*3600</f>
        <v>6.6315789473684217E-2</v>
      </c>
      <c r="H221">
        <v>32.6</v>
      </c>
      <c r="I221">
        <f>Tableau2[[#This Row],[GHG (kgCO2eq/GJ)]]/1000*3.6</f>
        <v>0.11736000000000002</v>
      </c>
      <c r="J221" t="s">
        <v>107</v>
      </c>
      <c r="K221" t="s">
        <v>109</v>
      </c>
    </row>
    <row r="222" spans="1:11" hidden="1" x14ac:dyDescent="0.3">
      <c r="A222" t="s">
        <v>16</v>
      </c>
      <c r="B222" t="s">
        <v>52</v>
      </c>
      <c r="C222" t="s">
        <v>76</v>
      </c>
      <c r="D222">
        <v>0.36799999999999999</v>
      </c>
      <c r="E222">
        <f>Tableau2[[#This Row],[Potential (PJ)]]/3.6*1000</f>
        <v>102.22222222222221</v>
      </c>
      <c r="F222">
        <v>5.4702337500000002</v>
      </c>
      <c r="G222">
        <f>Tableau2[[#This Row],[Cost (€/GJ)]]/1000000*3600</f>
        <v>1.9692841500000002E-2</v>
      </c>
      <c r="H222">
        <v>12.68872359754714</v>
      </c>
      <c r="I222">
        <f>Tableau2[[#This Row],[GHG (kgCO2eq/GJ)]]/1000*3.6</f>
        <v>4.5679404951169705E-2</v>
      </c>
      <c r="J222" t="s">
        <v>105</v>
      </c>
      <c r="K222" t="s">
        <v>108</v>
      </c>
    </row>
    <row r="223" spans="1:11" hidden="1" x14ac:dyDescent="0.3">
      <c r="A223" t="s">
        <v>16</v>
      </c>
      <c r="B223" t="s">
        <v>53</v>
      </c>
      <c r="C223" t="s">
        <v>77</v>
      </c>
      <c r="D223">
        <v>4</v>
      </c>
      <c r="E223">
        <f>Tableau2[[#This Row],[Potential (PJ)]]/3.6*1000</f>
        <v>1111.1111111111111</v>
      </c>
      <c r="F223">
        <v>3.0628000000000002</v>
      </c>
      <c r="G223">
        <f>Tableau2[[#This Row],[Cost (€/GJ)]]/1000000*3600</f>
        <v>1.1026080000000001E-2</v>
      </c>
      <c r="H223">
        <v>3.86607608129234</v>
      </c>
      <c r="I223">
        <f>Tableau2[[#This Row],[GHG (kgCO2eq/GJ)]]/1000*3.6</f>
        <v>1.3917873892652425E-2</v>
      </c>
      <c r="J223" t="s">
        <v>104</v>
      </c>
      <c r="K223" t="s">
        <v>108</v>
      </c>
    </row>
    <row r="224" spans="1:11" hidden="1" x14ac:dyDescent="0.3">
      <c r="A224" t="s">
        <v>16</v>
      </c>
      <c r="B224" t="s">
        <v>61</v>
      </c>
      <c r="C224" t="s">
        <v>99</v>
      </c>
      <c r="D224">
        <v>0.7</v>
      </c>
      <c r="E224">
        <f>Tableau2[[#This Row],[Potential (PJ)]]/3.6*1000</f>
        <v>194.44444444444443</v>
      </c>
      <c r="F224">
        <v>1.8819999999999999</v>
      </c>
      <c r="G224">
        <f>Tableau2[[#This Row],[Cost (€/GJ)]]/1000000*3600</f>
        <v>6.7751999999999995E-3</v>
      </c>
      <c r="H224">
        <v>2.9245635910224439</v>
      </c>
      <c r="I224">
        <f>Tableau2[[#This Row],[GHG (kgCO2eq/GJ)]]/1000*3.6</f>
        <v>1.0528428927680798E-2</v>
      </c>
      <c r="J224" t="s">
        <v>104</v>
      </c>
      <c r="K224" t="s">
        <v>108</v>
      </c>
    </row>
    <row r="225" spans="1:11" hidden="1" x14ac:dyDescent="0.3">
      <c r="A225" t="s">
        <v>16</v>
      </c>
      <c r="B225" t="s">
        <v>62</v>
      </c>
      <c r="C225" t="s">
        <v>100</v>
      </c>
      <c r="D225">
        <v>0.2</v>
      </c>
      <c r="E225">
        <f>Tableau2[[#This Row],[Potential (PJ)]]/3.6*1000</f>
        <v>55.555555555555557</v>
      </c>
      <c r="F225">
        <v>0.6</v>
      </c>
      <c r="G225">
        <f>Tableau2[[#This Row],[Cost (€/GJ)]]/1000000*3600</f>
        <v>2.16E-3</v>
      </c>
      <c r="H225">
        <v>2.6764106050305911</v>
      </c>
      <c r="I225">
        <f>Tableau2[[#This Row],[GHG (kgCO2eq/GJ)]]/1000*3.6</f>
        <v>9.6350781781101291E-3</v>
      </c>
      <c r="J225" t="s">
        <v>104</v>
      </c>
      <c r="K225" t="s">
        <v>108</v>
      </c>
    </row>
    <row r="226" spans="1:11" hidden="1" x14ac:dyDescent="0.3">
      <c r="A226" t="s">
        <v>16</v>
      </c>
      <c r="B226" t="s">
        <v>54</v>
      </c>
      <c r="C226" t="s">
        <v>78</v>
      </c>
      <c r="D226">
        <v>14.9</v>
      </c>
      <c r="E226">
        <f>Tableau2[[#This Row],[Potential (PJ)]]/3.6*1000</f>
        <v>4138.8888888888896</v>
      </c>
      <c r="F226">
        <v>5.794570469798658</v>
      </c>
      <c r="G226">
        <f>Tableau2[[#This Row],[Cost (€/GJ)]]/1000000*3600</f>
        <v>2.086045369127517E-2</v>
      </c>
      <c r="H226">
        <v>3.86607608129234</v>
      </c>
      <c r="I226">
        <f>Tableau2[[#This Row],[GHG (kgCO2eq/GJ)]]/1000*3.6</f>
        <v>1.3917873892652425E-2</v>
      </c>
      <c r="J226" t="s">
        <v>104</v>
      </c>
      <c r="K226" t="s">
        <v>108</v>
      </c>
    </row>
    <row r="227" spans="1:11" hidden="1" x14ac:dyDescent="0.3">
      <c r="A227" t="s">
        <v>17</v>
      </c>
      <c r="B227" t="s">
        <v>46</v>
      </c>
      <c r="C227" t="s">
        <v>64</v>
      </c>
      <c r="D227">
        <v>1.73E-3</v>
      </c>
      <c r="E227">
        <f>Tableau2[[#This Row],[Potential (PJ)]]/3.6*1000</f>
        <v>0.48055555555555551</v>
      </c>
      <c r="F227">
        <v>4.9450000000000003</v>
      </c>
      <c r="G227">
        <f>Tableau2[[#This Row],[Cost (€/GJ)]]/1000000*3600</f>
        <v>1.7802000000000002E-2</v>
      </c>
      <c r="H227">
        <v>2.9521711768407801</v>
      </c>
      <c r="I227">
        <f>Tableau2[[#This Row],[GHG (kgCO2eq/GJ)]]/1000*3.6</f>
        <v>1.0627816236626808E-2</v>
      </c>
      <c r="J227" t="s">
        <v>104</v>
      </c>
      <c r="K227" t="s">
        <v>108</v>
      </c>
    </row>
    <row r="228" spans="1:11" hidden="1" x14ac:dyDescent="0.3">
      <c r="A228" t="s">
        <v>17</v>
      </c>
      <c r="B228" t="s">
        <v>46</v>
      </c>
      <c r="C228" t="s">
        <v>79</v>
      </c>
      <c r="D228">
        <v>5.6</v>
      </c>
      <c r="E228">
        <f>Tableau2[[#This Row],[Potential (PJ)]]/3.6*1000</f>
        <v>1555.5555555555554</v>
      </c>
      <c r="F228">
        <v>2.1760000000000002</v>
      </c>
      <c r="G228">
        <f>Tableau2[[#This Row],[Cost (€/GJ)]]/1000000*3600</f>
        <v>7.8335999999999996E-3</v>
      </c>
      <c r="H228">
        <v>6.8428961748633883</v>
      </c>
      <c r="I228">
        <f>Tableau2[[#This Row],[GHG (kgCO2eq/GJ)]]/1000*3.6</f>
        <v>2.4634426229508198E-2</v>
      </c>
      <c r="J228" t="s">
        <v>104</v>
      </c>
      <c r="K228" t="s">
        <v>108</v>
      </c>
    </row>
    <row r="229" spans="1:11" hidden="1" x14ac:dyDescent="0.3">
      <c r="A229" t="s">
        <v>17</v>
      </c>
      <c r="B229" t="s">
        <v>46</v>
      </c>
      <c r="C229" t="s">
        <v>80</v>
      </c>
      <c r="D229">
        <v>3.3000000000000002E-2</v>
      </c>
      <c r="E229">
        <f>Tableau2[[#This Row],[Potential (PJ)]]/3.6*1000</f>
        <v>9.1666666666666661</v>
      </c>
      <c r="F229">
        <v>0.28186109238031021</v>
      </c>
      <c r="G229">
        <f>Tableau2[[#This Row],[Cost (€/GJ)]]/1000000*3600</f>
        <v>1.0146999325691167E-3</v>
      </c>
      <c r="H229">
        <v>28.139870918023309</v>
      </c>
      <c r="I229">
        <f>Tableau2[[#This Row],[GHG (kgCO2eq/GJ)]]/1000*3.6</f>
        <v>0.10130353530488391</v>
      </c>
      <c r="J229" t="s">
        <v>105</v>
      </c>
      <c r="K229" t="s">
        <v>108</v>
      </c>
    </row>
    <row r="230" spans="1:11" hidden="1" x14ac:dyDescent="0.3">
      <c r="A230" t="s">
        <v>17</v>
      </c>
      <c r="B230" t="s">
        <v>46</v>
      </c>
      <c r="C230" t="s">
        <v>81</v>
      </c>
      <c r="D230">
        <v>0.51080000000000003</v>
      </c>
      <c r="E230">
        <f>Tableau2[[#This Row],[Potential (PJ)]]/3.6*1000</f>
        <v>141.88888888888889</v>
      </c>
      <c r="F230">
        <v>2.0681551116333732</v>
      </c>
      <c r="G230">
        <f>Tableau2[[#This Row],[Cost (€/GJ)]]/1000000*3600</f>
        <v>7.4453584018801429E-3</v>
      </c>
      <c r="H230">
        <v>8.9647473560517046</v>
      </c>
      <c r="I230">
        <f>Tableau2[[#This Row],[GHG (kgCO2eq/GJ)]]/1000*3.6</f>
        <v>3.2273090481786136E-2</v>
      </c>
      <c r="J230" t="s">
        <v>105</v>
      </c>
      <c r="K230" t="s">
        <v>108</v>
      </c>
    </row>
    <row r="231" spans="1:11" hidden="1" x14ac:dyDescent="0.3">
      <c r="A231" t="s">
        <v>17</v>
      </c>
      <c r="B231" t="s">
        <v>55</v>
      </c>
      <c r="C231" t="s">
        <v>86</v>
      </c>
      <c r="D231">
        <v>4.5873999999999997</v>
      </c>
      <c r="E231">
        <f>Tableau2[[#This Row],[Potential (PJ)]]/3.6*1000</f>
        <v>1274.2777777777776</v>
      </c>
      <c r="F231">
        <v>13.441000000000001</v>
      </c>
      <c r="G231">
        <f>Tableau2[[#This Row],[Cost (€/GJ)]]/1000000*3600</f>
        <v>4.8387600000000003E-2</v>
      </c>
      <c r="H231">
        <v>27</v>
      </c>
      <c r="I231">
        <f>Tableau2[[#This Row],[GHG (kgCO2eq/GJ)]]/1000*3.6</f>
        <v>9.7199999999999995E-2</v>
      </c>
      <c r="J231" t="s">
        <v>106</v>
      </c>
      <c r="K231" t="s">
        <v>109</v>
      </c>
    </row>
    <row r="232" spans="1:11" hidden="1" x14ac:dyDescent="0.3">
      <c r="A232" t="s">
        <v>17</v>
      </c>
      <c r="B232" t="s">
        <v>55</v>
      </c>
      <c r="C232" t="s">
        <v>89</v>
      </c>
      <c r="D232">
        <v>1.1900000000000001E-2</v>
      </c>
      <c r="E232">
        <f>Tableau2[[#This Row],[Potential (PJ)]]/3.6*1000</f>
        <v>3.3055555555555554</v>
      </c>
      <c r="F232">
        <v>0</v>
      </c>
      <c r="G232">
        <f>Tableau2[[#This Row],[Cost (€/GJ)]]/1000000*3600</f>
        <v>0</v>
      </c>
      <c r="H232">
        <v>27</v>
      </c>
      <c r="I232">
        <f>Tableau2[[#This Row],[GHG (kgCO2eq/GJ)]]/1000*3.6</f>
        <v>9.7199999999999995E-2</v>
      </c>
      <c r="J232" t="s">
        <v>106</v>
      </c>
      <c r="K232" t="s">
        <v>109</v>
      </c>
    </row>
    <row r="233" spans="1:11" hidden="1" x14ac:dyDescent="0.3">
      <c r="A233" t="s">
        <v>17</v>
      </c>
      <c r="B233" t="s">
        <v>55</v>
      </c>
      <c r="C233" t="s">
        <v>91</v>
      </c>
      <c r="D233">
        <v>4.2643000000000004</v>
      </c>
      <c r="E233">
        <f>Tableau2[[#This Row],[Potential (PJ)]]/3.6*1000</f>
        <v>1184.5277777777778</v>
      </c>
      <c r="F233">
        <v>14.701000000000001</v>
      </c>
      <c r="G233">
        <f>Tableau2[[#This Row],[Cost (€/GJ)]]/1000000*3600</f>
        <v>5.2923600000000001E-2</v>
      </c>
      <c r="H233">
        <v>27</v>
      </c>
      <c r="I233">
        <f>Tableau2[[#This Row],[GHG (kgCO2eq/GJ)]]/1000*3.6</f>
        <v>9.7199999999999995E-2</v>
      </c>
      <c r="J233" t="s">
        <v>106</v>
      </c>
      <c r="K233" t="s">
        <v>109</v>
      </c>
    </row>
    <row r="234" spans="1:11" hidden="1" x14ac:dyDescent="0.3">
      <c r="A234" t="s">
        <v>17</v>
      </c>
      <c r="B234" t="s">
        <v>55</v>
      </c>
      <c r="C234" t="s">
        <v>92</v>
      </c>
      <c r="D234">
        <v>5.2555899999999998</v>
      </c>
      <c r="E234">
        <f>Tableau2[[#This Row],[Potential (PJ)]]/3.6*1000</f>
        <v>1459.8861111111109</v>
      </c>
      <c r="F234">
        <v>15.894</v>
      </c>
      <c r="G234">
        <f>Tableau2[[#This Row],[Cost (€/GJ)]]/1000000*3600</f>
        <v>5.7218400000000003E-2</v>
      </c>
      <c r="H234">
        <v>27</v>
      </c>
      <c r="I234">
        <f>Tableau2[[#This Row],[GHG (kgCO2eq/GJ)]]/1000*3.6</f>
        <v>9.7199999999999995E-2</v>
      </c>
      <c r="J234" t="s">
        <v>106</v>
      </c>
      <c r="K234" t="s">
        <v>109</v>
      </c>
    </row>
    <row r="235" spans="1:11" hidden="1" x14ac:dyDescent="0.3">
      <c r="A235" t="s">
        <v>17</v>
      </c>
      <c r="B235" t="s">
        <v>47</v>
      </c>
      <c r="C235" t="s">
        <v>101</v>
      </c>
      <c r="D235">
        <v>1.9</v>
      </c>
      <c r="E235">
        <f>Tableau2[[#This Row],[Potential (PJ)]]/3.6*1000</f>
        <v>527.77777777777783</v>
      </c>
      <c r="F235">
        <v>3.2629999999999999</v>
      </c>
      <c r="G235">
        <f>Tableau2[[#This Row],[Cost (€/GJ)]]/1000000*3600</f>
        <v>1.17468E-2</v>
      </c>
      <c r="H235">
        <v>44</v>
      </c>
      <c r="I235">
        <f>Tableau2[[#This Row],[GHG (kgCO2eq/GJ)]]/1000*3.6</f>
        <v>0.15839999999999999</v>
      </c>
      <c r="J235" t="s">
        <v>104</v>
      </c>
      <c r="K235" t="s">
        <v>109</v>
      </c>
    </row>
    <row r="236" spans="1:11" hidden="1" x14ac:dyDescent="0.3">
      <c r="A236" t="s">
        <v>17</v>
      </c>
      <c r="B236" t="s">
        <v>57</v>
      </c>
      <c r="C236" t="s">
        <v>94</v>
      </c>
      <c r="D236">
        <v>1.2</v>
      </c>
      <c r="E236">
        <f>Tableau2[[#This Row],[Potential (PJ)]]/3.6*1000</f>
        <v>333.33333333333331</v>
      </c>
      <c r="F236">
        <v>8.9309999999999992</v>
      </c>
      <c r="G236">
        <f>Tableau2[[#This Row],[Cost (€/GJ)]]/1000000*3600</f>
        <v>3.2151600000000002E-2</v>
      </c>
      <c r="H236">
        <v>19.899999999999999</v>
      </c>
      <c r="I236">
        <f>Tableau2[[#This Row],[GHG (kgCO2eq/GJ)]]/1000*3.6</f>
        <v>7.1639999999999995E-2</v>
      </c>
      <c r="J236" t="s">
        <v>104</v>
      </c>
      <c r="K236" t="s">
        <v>109</v>
      </c>
    </row>
    <row r="237" spans="1:11" hidden="1" x14ac:dyDescent="0.3">
      <c r="A237" t="s">
        <v>17</v>
      </c>
      <c r="B237" t="s">
        <v>49</v>
      </c>
      <c r="C237" t="s">
        <v>71</v>
      </c>
      <c r="D237">
        <v>26.683990000000001</v>
      </c>
      <c r="E237">
        <f>Tableau2[[#This Row],[Potential (PJ)]]/3.6*1000</f>
        <v>7412.219444444444</v>
      </c>
      <c r="F237">
        <v>2.25</v>
      </c>
      <c r="G237">
        <f>Tableau2[[#This Row],[Cost (€/GJ)]]/1000000*3600</f>
        <v>8.0999999999999996E-3</v>
      </c>
      <c r="H237">
        <v>3.86607608129234</v>
      </c>
      <c r="I237">
        <f>Tableau2[[#This Row],[GHG (kgCO2eq/GJ)]]/1000*3.6</f>
        <v>1.3917873892652425E-2</v>
      </c>
      <c r="J237" t="s">
        <v>104</v>
      </c>
      <c r="K237" t="s">
        <v>108</v>
      </c>
    </row>
    <row r="238" spans="1:11" hidden="1" x14ac:dyDescent="0.3">
      <c r="A238" t="s">
        <v>17</v>
      </c>
      <c r="B238" t="s">
        <v>49</v>
      </c>
      <c r="C238" t="s">
        <v>72</v>
      </c>
      <c r="D238">
        <v>3.2</v>
      </c>
      <c r="E238">
        <f>Tableau2[[#This Row],[Potential (PJ)]]/3.6*1000</f>
        <v>888.88888888888891</v>
      </c>
      <c r="F238">
        <v>2.9980000000000002</v>
      </c>
      <c r="G238">
        <f>Tableau2[[#This Row],[Cost (€/GJ)]]/1000000*3600</f>
        <v>1.0792800000000002E-2</v>
      </c>
      <c r="H238">
        <v>3.86607608129234</v>
      </c>
      <c r="I238">
        <f>Tableau2[[#This Row],[GHG (kgCO2eq/GJ)]]/1000*3.6</f>
        <v>1.3917873892652425E-2</v>
      </c>
      <c r="J238" t="s">
        <v>104</v>
      </c>
      <c r="K238" t="s">
        <v>108</v>
      </c>
    </row>
    <row r="239" spans="1:11" hidden="1" x14ac:dyDescent="0.3">
      <c r="A239" t="s">
        <v>17</v>
      </c>
      <c r="B239" t="s">
        <v>50</v>
      </c>
      <c r="C239" t="s">
        <v>73</v>
      </c>
      <c r="D239">
        <v>1</v>
      </c>
      <c r="E239">
        <f>Tableau2[[#This Row],[Potential (PJ)]]/3.6*1000</f>
        <v>277.77777777777777</v>
      </c>
      <c r="F239">
        <v>5.0869999999999997</v>
      </c>
      <c r="G239">
        <f>Tableau2[[#This Row],[Cost (€/GJ)]]/1000000*3600</f>
        <v>1.8313199999999998E-2</v>
      </c>
      <c r="H239">
        <v>20.723404255319149</v>
      </c>
      <c r="I239">
        <f>Tableau2[[#This Row],[GHG (kgCO2eq/GJ)]]/1000*3.6</f>
        <v>7.4604255319148938E-2</v>
      </c>
      <c r="J239" t="s">
        <v>105</v>
      </c>
      <c r="K239" t="s">
        <v>108</v>
      </c>
    </row>
    <row r="240" spans="1:11" hidden="1" x14ac:dyDescent="0.3">
      <c r="A240" t="s">
        <v>17</v>
      </c>
      <c r="B240" t="s">
        <v>50</v>
      </c>
      <c r="C240" t="s">
        <v>74</v>
      </c>
      <c r="D240">
        <v>7.4</v>
      </c>
      <c r="E240">
        <f>Tableau2[[#This Row],[Potential (PJ)]]/3.6*1000</f>
        <v>2055.5555555555557</v>
      </c>
      <c r="F240">
        <v>3.6739999999999999</v>
      </c>
      <c r="G240">
        <f>Tableau2[[#This Row],[Cost (€/GJ)]]/1000000*3600</f>
        <v>1.3226399999999999E-2</v>
      </c>
      <c r="H240">
        <v>2.0635593220338988</v>
      </c>
      <c r="I240">
        <f>Tableau2[[#This Row],[GHG (kgCO2eq/GJ)]]/1000*3.6</f>
        <v>7.4288135593220351E-3</v>
      </c>
      <c r="J240" t="s">
        <v>105</v>
      </c>
      <c r="K240" t="s">
        <v>108</v>
      </c>
    </row>
    <row r="241" spans="1:11" hidden="1" x14ac:dyDescent="0.3">
      <c r="A241" t="s">
        <v>17</v>
      </c>
      <c r="B241" t="s">
        <v>51</v>
      </c>
      <c r="C241" t="s">
        <v>75</v>
      </c>
      <c r="D241">
        <v>3.5624389999999999</v>
      </c>
      <c r="E241">
        <f>Tableau2[[#This Row],[Potential (PJ)]]/3.6*1000</f>
        <v>989.56638888888881</v>
      </c>
      <c r="F241">
        <v>3.2330836283730301E-3</v>
      </c>
      <c r="G241">
        <f>Tableau2[[#This Row],[Cost (€/GJ)]]/1000000*3600</f>
        <v>1.1639101062142909E-5</v>
      </c>
      <c r="H241">
        <v>11.74</v>
      </c>
      <c r="I241">
        <f>Tableau2[[#This Row],[GHG (kgCO2eq/GJ)]]/1000*3.6</f>
        <v>4.2264000000000003E-2</v>
      </c>
      <c r="J241" t="s">
        <v>104</v>
      </c>
      <c r="K241" t="s">
        <v>108</v>
      </c>
    </row>
    <row r="242" spans="1:11" hidden="1" x14ac:dyDescent="0.3">
      <c r="A242" t="s">
        <v>17</v>
      </c>
      <c r="B242" t="s">
        <v>60</v>
      </c>
      <c r="C242" t="s">
        <v>98</v>
      </c>
      <c r="D242">
        <v>6.4700000000000001E-3</v>
      </c>
      <c r="E242">
        <f>Tableau2[[#This Row],[Potential (PJ)]]/3.6*1000</f>
        <v>1.7972222222222223</v>
      </c>
      <c r="F242">
        <v>18.045112781954892</v>
      </c>
      <c r="G242">
        <f>Tableau2[[#This Row],[Cost (€/GJ)]]/1000000*3600</f>
        <v>6.496240601503761E-2</v>
      </c>
      <c r="H242">
        <v>41.8</v>
      </c>
      <c r="I242">
        <f>Tableau2[[#This Row],[GHG (kgCO2eq/GJ)]]/1000*3.6</f>
        <v>0.15048</v>
      </c>
      <c r="J242" t="s">
        <v>107</v>
      </c>
      <c r="K242" t="s">
        <v>109</v>
      </c>
    </row>
    <row r="243" spans="1:11" hidden="1" x14ac:dyDescent="0.3">
      <c r="A243" t="s">
        <v>17</v>
      </c>
      <c r="B243" t="s">
        <v>53</v>
      </c>
      <c r="C243" t="s">
        <v>77</v>
      </c>
      <c r="D243">
        <v>4.4000000000000004</v>
      </c>
      <c r="E243">
        <f>Tableau2[[#This Row],[Potential (PJ)]]/3.6*1000</f>
        <v>1222.2222222222224</v>
      </c>
      <c r="F243">
        <v>2.9980000000000002</v>
      </c>
      <c r="G243">
        <f>Tableau2[[#This Row],[Cost (€/GJ)]]/1000000*3600</f>
        <v>1.0792800000000002E-2</v>
      </c>
      <c r="H243">
        <v>3.86607608129234</v>
      </c>
      <c r="I243">
        <f>Tableau2[[#This Row],[GHG (kgCO2eq/GJ)]]/1000*3.6</f>
        <v>1.3917873892652425E-2</v>
      </c>
      <c r="J243" t="s">
        <v>104</v>
      </c>
      <c r="K243" t="s">
        <v>108</v>
      </c>
    </row>
    <row r="244" spans="1:11" hidden="1" x14ac:dyDescent="0.3">
      <c r="A244" t="s">
        <v>17</v>
      </c>
      <c r="B244" t="s">
        <v>54</v>
      </c>
      <c r="C244" t="s">
        <v>78</v>
      </c>
      <c r="D244">
        <v>37</v>
      </c>
      <c r="E244">
        <f>Tableau2[[#This Row],[Potential (PJ)]]/3.6*1000</f>
        <v>10277.777777777777</v>
      </c>
      <c r="F244">
        <v>2.9809999999999999</v>
      </c>
      <c r="G244">
        <f>Tableau2[[#This Row],[Cost (€/GJ)]]/1000000*3600</f>
        <v>1.0731599999999999E-2</v>
      </c>
      <c r="H244">
        <v>3.86607608129234</v>
      </c>
      <c r="I244">
        <f>Tableau2[[#This Row],[GHG (kgCO2eq/GJ)]]/1000*3.6</f>
        <v>1.3917873892652425E-2</v>
      </c>
      <c r="J244" t="s">
        <v>104</v>
      </c>
      <c r="K244" t="s">
        <v>108</v>
      </c>
    </row>
    <row r="245" spans="1:11" hidden="1" x14ac:dyDescent="0.3">
      <c r="A245" t="s">
        <v>18</v>
      </c>
      <c r="B245" t="s">
        <v>46</v>
      </c>
      <c r="C245" t="s">
        <v>63</v>
      </c>
      <c r="D245">
        <v>2.6808999999999998</v>
      </c>
      <c r="E245">
        <f>Tableau2[[#This Row],[Potential (PJ)]]/3.6*1000</f>
        <v>744.69444444444446</v>
      </c>
      <c r="F245">
        <v>2.9286474973375931</v>
      </c>
      <c r="G245">
        <f>Tableau2[[#This Row],[Cost (€/GJ)]]/1000000*3600</f>
        <v>1.0543130990415334E-2</v>
      </c>
      <c r="H245">
        <v>3.950479233226837</v>
      </c>
      <c r="I245">
        <f>Tableau2[[#This Row],[GHG (kgCO2eq/GJ)]]/1000*3.6</f>
        <v>1.4221725239616614E-2</v>
      </c>
      <c r="J245" t="s">
        <v>104</v>
      </c>
      <c r="K245" t="s">
        <v>108</v>
      </c>
    </row>
    <row r="246" spans="1:11" hidden="1" x14ac:dyDescent="0.3">
      <c r="A246" t="s">
        <v>18</v>
      </c>
      <c r="B246" t="s">
        <v>46</v>
      </c>
      <c r="C246" t="s">
        <v>64</v>
      </c>
      <c r="D246">
        <v>0.45169999999999999</v>
      </c>
      <c r="E246">
        <f>Tableau2[[#This Row],[Potential (PJ)]]/3.6*1000</f>
        <v>125.4722222222222</v>
      </c>
      <c r="F246">
        <v>5.083132056674784</v>
      </c>
      <c r="G246">
        <f>Tableau2[[#This Row],[Cost (€/GJ)]]/1000000*3600</f>
        <v>1.829927540402922E-2</v>
      </c>
      <c r="H246">
        <v>2.9521711768407801</v>
      </c>
      <c r="I246">
        <f>Tableau2[[#This Row],[GHG (kgCO2eq/GJ)]]/1000*3.6</f>
        <v>1.0627816236626808E-2</v>
      </c>
      <c r="J246" t="s">
        <v>104</v>
      </c>
      <c r="K246" t="s">
        <v>108</v>
      </c>
    </row>
    <row r="247" spans="1:11" hidden="1" x14ac:dyDescent="0.3">
      <c r="A247" t="s">
        <v>18</v>
      </c>
      <c r="B247" t="s">
        <v>46</v>
      </c>
      <c r="C247" t="s">
        <v>79</v>
      </c>
      <c r="D247">
        <v>4.3</v>
      </c>
      <c r="E247">
        <f>Tableau2[[#This Row],[Potential (PJ)]]/3.6*1000</f>
        <v>1194.4444444444443</v>
      </c>
      <c r="F247">
        <v>2.973023255813954</v>
      </c>
      <c r="G247">
        <f>Tableau2[[#This Row],[Cost (€/GJ)]]/1000000*3600</f>
        <v>1.0702883720930235E-2</v>
      </c>
      <c r="H247">
        <v>6.8428961748633883</v>
      </c>
      <c r="I247">
        <f>Tableau2[[#This Row],[GHG (kgCO2eq/GJ)]]/1000*3.6</f>
        <v>2.4634426229508198E-2</v>
      </c>
      <c r="J247" t="s">
        <v>104</v>
      </c>
      <c r="K247" t="s">
        <v>108</v>
      </c>
    </row>
    <row r="248" spans="1:11" hidden="1" x14ac:dyDescent="0.3">
      <c r="A248" t="s">
        <v>18</v>
      </c>
      <c r="B248" t="s">
        <v>46</v>
      </c>
      <c r="C248" t="s">
        <v>65</v>
      </c>
      <c r="D248">
        <v>0.60000000000000009</v>
      </c>
      <c r="E248">
        <f>Tableau2[[#This Row],[Potential (PJ)]]/3.6*1000</f>
        <v>166.66666666666669</v>
      </c>
      <c r="F248">
        <v>4.4824999999999999</v>
      </c>
      <c r="G248">
        <f>Tableau2[[#This Row],[Cost (€/GJ)]]/1000000*3600</f>
        <v>1.6136999999999999E-2</v>
      </c>
      <c r="H248">
        <v>2.9521711768407801</v>
      </c>
      <c r="I248">
        <f>Tableau2[[#This Row],[GHG (kgCO2eq/GJ)]]/1000*3.6</f>
        <v>1.0627816236626808E-2</v>
      </c>
      <c r="J248" t="s">
        <v>104</v>
      </c>
      <c r="K248" t="s">
        <v>108</v>
      </c>
    </row>
    <row r="249" spans="1:11" hidden="1" x14ac:dyDescent="0.3">
      <c r="A249" t="s">
        <v>18</v>
      </c>
      <c r="B249" t="s">
        <v>46</v>
      </c>
      <c r="C249" t="s">
        <v>102</v>
      </c>
      <c r="D249">
        <v>0.3</v>
      </c>
      <c r="E249">
        <f>Tableau2[[#This Row],[Potential (PJ)]]/3.6*1000</f>
        <v>83.333333333333329</v>
      </c>
      <c r="F249">
        <v>3.9506666666666659</v>
      </c>
      <c r="G249">
        <f>Tableau2[[#This Row],[Cost (€/GJ)]]/1000000*3600</f>
        <v>1.4222399999999998E-2</v>
      </c>
      <c r="H249">
        <v>2.9521711768407801</v>
      </c>
      <c r="I249">
        <f>Tableau2[[#This Row],[GHG (kgCO2eq/GJ)]]/1000*3.6</f>
        <v>1.0627816236626808E-2</v>
      </c>
      <c r="J249" t="s">
        <v>104</v>
      </c>
      <c r="K249" t="s">
        <v>108</v>
      </c>
    </row>
    <row r="250" spans="1:11" hidden="1" x14ac:dyDescent="0.3">
      <c r="A250" t="s">
        <v>18</v>
      </c>
      <c r="B250" t="s">
        <v>46</v>
      </c>
      <c r="C250" t="s">
        <v>80</v>
      </c>
      <c r="D250">
        <v>0.36099999999999999</v>
      </c>
      <c r="E250">
        <f>Tableau2[[#This Row],[Potential (PJ)]]/3.6*1000</f>
        <v>100.27777777777777</v>
      </c>
      <c r="F250">
        <v>1.2016183412002699</v>
      </c>
      <c r="G250">
        <f>Tableau2[[#This Row],[Cost (€/GJ)]]/1000000*3600</f>
        <v>4.3258260283209719E-3</v>
      </c>
      <c r="H250">
        <v>28.139870918023309</v>
      </c>
      <c r="I250">
        <f>Tableau2[[#This Row],[GHG (kgCO2eq/GJ)]]/1000*3.6</f>
        <v>0.10130353530488391</v>
      </c>
      <c r="J250" t="s">
        <v>105</v>
      </c>
      <c r="K250" t="s">
        <v>108</v>
      </c>
    </row>
    <row r="251" spans="1:11" hidden="1" x14ac:dyDescent="0.3">
      <c r="A251" t="s">
        <v>18</v>
      </c>
      <c r="B251" t="s">
        <v>46</v>
      </c>
      <c r="C251" t="s">
        <v>81</v>
      </c>
      <c r="D251">
        <v>0.1535</v>
      </c>
      <c r="E251">
        <f>Tableau2[[#This Row],[Potential (PJ)]]/3.6*1000</f>
        <v>42.638888888888886</v>
      </c>
      <c r="F251">
        <v>2.6686251468860172</v>
      </c>
      <c r="G251">
        <f>Tableau2[[#This Row],[Cost (€/GJ)]]/1000000*3600</f>
        <v>9.607050528789662E-3</v>
      </c>
      <c r="H251">
        <v>8.9647473560517046</v>
      </c>
      <c r="I251">
        <f>Tableau2[[#This Row],[GHG (kgCO2eq/GJ)]]/1000*3.6</f>
        <v>3.2273090481786136E-2</v>
      </c>
      <c r="J251" t="s">
        <v>105</v>
      </c>
      <c r="K251" t="s">
        <v>108</v>
      </c>
    </row>
    <row r="252" spans="1:11" hidden="1" x14ac:dyDescent="0.3">
      <c r="A252" t="s">
        <v>18</v>
      </c>
      <c r="B252" t="s">
        <v>46</v>
      </c>
      <c r="C252" t="s">
        <v>66</v>
      </c>
      <c r="D252">
        <v>3.9</v>
      </c>
      <c r="E252">
        <f>Tableau2[[#This Row],[Potential (PJ)]]/3.6*1000</f>
        <v>1083.3333333333333</v>
      </c>
      <c r="F252">
        <v>3.097923076923077</v>
      </c>
      <c r="G252">
        <f>Tableau2[[#This Row],[Cost (€/GJ)]]/1000000*3600</f>
        <v>1.1152523076923077E-2</v>
      </c>
      <c r="H252">
        <v>6.8428961748633883</v>
      </c>
      <c r="I252">
        <f>Tableau2[[#This Row],[GHG (kgCO2eq/GJ)]]/1000*3.6</f>
        <v>2.4634426229508198E-2</v>
      </c>
      <c r="J252" t="s">
        <v>104</v>
      </c>
      <c r="K252" t="s">
        <v>108</v>
      </c>
    </row>
    <row r="253" spans="1:11" hidden="1" x14ac:dyDescent="0.3">
      <c r="A253" t="s">
        <v>18</v>
      </c>
      <c r="B253" t="s">
        <v>46</v>
      </c>
      <c r="C253" t="s">
        <v>67</v>
      </c>
      <c r="D253">
        <v>5.6000000000000014</v>
      </c>
      <c r="E253">
        <f>Tableau2[[#This Row],[Potential (PJ)]]/3.6*1000</f>
        <v>1555.5555555555559</v>
      </c>
      <c r="F253">
        <v>6.1893392857142846</v>
      </c>
      <c r="G253">
        <f>Tableau2[[#This Row],[Cost (€/GJ)]]/1000000*3600</f>
        <v>2.2281621428571423E-2</v>
      </c>
      <c r="H253">
        <v>2.9521711768407801</v>
      </c>
      <c r="I253">
        <f>Tableau2[[#This Row],[GHG (kgCO2eq/GJ)]]/1000*3.6</f>
        <v>1.0627816236626808E-2</v>
      </c>
      <c r="J253" t="s">
        <v>104</v>
      </c>
      <c r="K253" t="s">
        <v>108</v>
      </c>
    </row>
    <row r="254" spans="1:11" hidden="1" x14ac:dyDescent="0.3">
      <c r="A254" t="s">
        <v>18</v>
      </c>
      <c r="B254" t="s">
        <v>46</v>
      </c>
      <c r="C254" t="s">
        <v>82</v>
      </c>
      <c r="D254">
        <v>0.6</v>
      </c>
      <c r="E254">
        <f>Tableau2[[#This Row],[Potential (PJ)]]/3.6*1000</f>
        <v>166.66666666666666</v>
      </c>
      <c r="F254">
        <v>1.896833333333334</v>
      </c>
      <c r="G254">
        <f>Tableau2[[#This Row],[Cost (€/GJ)]]/1000000*3600</f>
        <v>6.8286000000000024E-3</v>
      </c>
      <c r="H254">
        <v>6.8428961748633883</v>
      </c>
      <c r="I254">
        <f>Tableau2[[#This Row],[GHG (kgCO2eq/GJ)]]/1000*3.6</f>
        <v>2.4634426229508198E-2</v>
      </c>
      <c r="J254" t="s">
        <v>104</v>
      </c>
      <c r="K254" t="s">
        <v>108</v>
      </c>
    </row>
    <row r="255" spans="1:11" hidden="1" x14ac:dyDescent="0.3">
      <c r="A255" t="s">
        <v>18</v>
      </c>
      <c r="B255" t="s">
        <v>46</v>
      </c>
      <c r="C255" t="s">
        <v>83</v>
      </c>
      <c r="D255">
        <v>0.72114999999999996</v>
      </c>
      <c r="E255">
        <f>Tableau2[[#This Row],[Potential (PJ)]]/3.6*1000</f>
        <v>200.31944444444443</v>
      </c>
      <c r="F255">
        <v>2.890285363655273</v>
      </c>
      <c r="G255">
        <f>Tableau2[[#This Row],[Cost (€/GJ)]]/1000000*3600</f>
        <v>1.0405027309158984E-2</v>
      </c>
      <c r="H255">
        <v>6.8428961748633883</v>
      </c>
      <c r="I255">
        <f>Tableau2[[#This Row],[GHG (kgCO2eq/GJ)]]/1000*3.6</f>
        <v>2.4634426229508198E-2</v>
      </c>
      <c r="J255" t="s">
        <v>104</v>
      </c>
      <c r="K255" t="s">
        <v>108</v>
      </c>
    </row>
    <row r="256" spans="1:11" hidden="1" x14ac:dyDescent="0.3">
      <c r="A256" t="s">
        <v>18</v>
      </c>
      <c r="B256" t="s">
        <v>46</v>
      </c>
      <c r="C256" t="s">
        <v>84</v>
      </c>
      <c r="D256">
        <v>0.3</v>
      </c>
      <c r="E256">
        <f>Tableau2[[#This Row],[Potential (PJ)]]/3.6*1000</f>
        <v>83.333333333333329</v>
      </c>
      <c r="F256">
        <v>2.2603333333333331</v>
      </c>
      <c r="G256">
        <f>Tableau2[[#This Row],[Cost (€/GJ)]]/1000000*3600</f>
        <v>8.1371999999999989E-3</v>
      </c>
      <c r="H256">
        <v>28.139870918023309</v>
      </c>
      <c r="I256">
        <f>Tableau2[[#This Row],[GHG (kgCO2eq/GJ)]]/1000*3.6</f>
        <v>0.10130353530488391</v>
      </c>
      <c r="J256" t="s">
        <v>105</v>
      </c>
      <c r="K256" t="s">
        <v>108</v>
      </c>
    </row>
    <row r="257" spans="1:11" hidden="1" x14ac:dyDescent="0.3">
      <c r="A257" t="s">
        <v>18</v>
      </c>
      <c r="B257" t="s">
        <v>46</v>
      </c>
      <c r="C257" t="s">
        <v>85</v>
      </c>
      <c r="D257">
        <v>0.5</v>
      </c>
      <c r="E257">
        <f>Tableau2[[#This Row],[Potential (PJ)]]/3.6*1000</f>
        <v>138.88888888888889</v>
      </c>
      <c r="F257">
        <v>3.4296000000000011</v>
      </c>
      <c r="G257">
        <f>Tableau2[[#This Row],[Cost (€/GJ)]]/1000000*3600</f>
        <v>1.2346560000000003E-2</v>
      </c>
      <c r="H257">
        <v>2.9521711768407801</v>
      </c>
      <c r="I257">
        <f>Tableau2[[#This Row],[GHG (kgCO2eq/GJ)]]/1000*3.6</f>
        <v>1.0627816236626808E-2</v>
      </c>
      <c r="J257" t="s">
        <v>104</v>
      </c>
      <c r="K257" t="s">
        <v>108</v>
      </c>
    </row>
    <row r="258" spans="1:11" hidden="1" x14ac:dyDescent="0.3">
      <c r="A258" t="s">
        <v>18</v>
      </c>
      <c r="B258" t="s">
        <v>55</v>
      </c>
      <c r="C258" t="s">
        <v>86</v>
      </c>
      <c r="D258">
        <v>0.21510000000000001</v>
      </c>
      <c r="E258">
        <f>Tableau2[[#This Row],[Potential (PJ)]]/3.6*1000</f>
        <v>59.750000000000007</v>
      </c>
      <c r="F258">
        <v>21.38900000000001</v>
      </c>
      <c r="G258">
        <f>Tableau2[[#This Row],[Cost (€/GJ)]]/1000000*3600</f>
        <v>7.7000400000000038E-2</v>
      </c>
      <c r="I258">
        <f>Tableau2[[#This Row],[GHG (kgCO2eq/GJ)]]/1000*3.6</f>
        <v>0</v>
      </c>
      <c r="J258" t="s">
        <v>106</v>
      </c>
      <c r="K258" t="s">
        <v>109</v>
      </c>
    </row>
    <row r="259" spans="1:11" hidden="1" x14ac:dyDescent="0.3">
      <c r="A259" t="s">
        <v>18</v>
      </c>
      <c r="B259" t="s">
        <v>55</v>
      </c>
      <c r="C259" t="s">
        <v>87</v>
      </c>
      <c r="D259">
        <v>6.4614000000000003</v>
      </c>
      <c r="E259">
        <f>Tableau2[[#This Row],[Potential (PJ)]]/3.6*1000</f>
        <v>1794.8333333333333</v>
      </c>
      <c r="F259">
        <v>29.125</v>
      </c>
      <c r="G259">
        <f>Tableau2[[#This Row],[Cost (€/GJ)]]/1000000*3600</f>
        <v>0.10485</v>
      </c>
      <c r="I259">
        <f>Tableau2[[#This Row],[GHG (kgCO2eq/GJ)]]/1000*3.6</f>
        <v>0</v>
      </c>
      <c r="J259" t="s">
        <v>106</v>
      </c>
      <c r="K259" t="s">
        <v>109</v>
      </c>
    </row>
    <row r="260" spans="1:11" hidden="1" x14ac:dyDescent="0.3">
      <c r="A260" t="s">
        <v>18</v>
      </c>
      <c r="B260" t="s">
        <v>55</v>
      </c>
      <c r="C260" t="s">
        <v>88</v>
      </c>
      <c r="D260">
        <v>0.214</v>
      </c>
      <c r="E260">
        <f>Tableau2[[#This Row],[Potential (PJ)]]/3.6*1000</f>
        <v>59.444444444444436</v>
      </c>
      <c r="F260">
        <v>24.968</v>
      </c>
      <c r="G260">
        <f>Tableau2[[#This Row],[Cost (€/GJ)]]/1000000*3600</f>
        <v>8.9884800000000001E-2</v>
      </c>
      <c r="I260">
        <f>Tableau2[[#This Row],[GHG (kgCO2eq/GJ)]]/1000*3.6</f>
        <v>0</v>
      </c>
      <c r="J260" t="s">
        <v>106</v>
      </c>
      <c r="K260" t="s">
        <v>109</v>
      </c>
    </row>
    <row r="261" spans="1:11" hidden="1" x14ac:dyDescent="0.3">
      <c r="A261" t="s">
        <v>18</v>
      </c>
      <c r="B261" t="s">
        <v>55</v>
      </c>
      <c r="C261" t="s">
        <v>89</v>
      </c>
      <c r="D261">
        <v>1.78E-2</v>
      </c>
      <c r="E261">
        <f>Tableau2[[#This Row],[Potential (PJ)]]/3.6*1000</f>
        <v>4.9444444444444438</v>
      </c>
      <c r="F261">
        <v>0</v>
      </c>
      <c r="G261">
        <f>Tableau2[[#This Row],[Cost (€/GJ)]]/1000000*3600</f>
        <v>0</v>
      </c>
      <c r="I261">
        <f>Tableau2[[#This Row],[GHG (kgCO2eq/GJ)]]/1000*3.6</f>
        <v>0</v>
      </c>
      <c r="J261" t="s">
        <v>106</v>
      </c>
      <c r="K261" t="s">
        <v>109</v>
      </c>
    </row>
    <row r="262" spans="1:11" hidden="1" x14ac:dyDescent="0.3">
      <c r="A262" t="s">
        <v>18</v>
      </c>
      <c r="B262" t="s">
        <v>56</v>
      </c>
      <c r="C262" t="s">
        <v>93</v>
      </c>
      <c r="D262">
        <v>21.774100000000001</v>
      </c>
      <c r="E262">
        <f>Tableau2[[#This Row],[Potential (PJ)]]/3.6*1000</f>
        <v>6048.3611111111113</v>
      </c>
      <c r="F262">
        <v>2.939759036144578</v>
      </c>
      <c r="G262">
        <f>Tableau2[[#This Row],[Cost (€/GJ)]]/1000000*3600</f>
        <v>1.0583132530120481E-2</v>
      </c>
      <c r="I262">
        <f>Tableau2[[#This Row],[GHG (kgCO2eq/GJ)]]/1000*3.6</f>
        <v>0</v>
      </c>
      <c r="J262" t="s">
        <v>106</v>
      </c>
      <c r="K262" t="s">
        <v>109</v>
      </c>
    </row>
    <row r="263" spans="1:11" hidden="1" x14ac:dyDescent="0.3">
      <c r="A263" t="s">
        <v>18</v>
      </c>
      <c r="B263" t="s">
        <v>47</v>
      </c>
      <c r="C263" t="s">
        <v>68</v>
      </c>
      <c r="D263">
        <v>10.3</v>
      </c>
      <c r="E263">
        <f>Tableau2[[#This Row],[Potential (PJ)]]/3.6*1000</f>
        <v>2861.1111111111113</v>
      </c>
      <c r="F263">
        <v>6.5407475728155333</v>
      </c>
      <c r="G263">
        <f>Tableau2[[#This Row],[Cost (€/GJ)]]/1000000*3600</f>
        <v>2.3546691262135922E-2</v>
      </c>
      <c r="I263">
        <f>Tableau2[[#This Row],[GHG (kgCO2eq/GJ)]]/1000*3.6</f>
        <v>0</v>
      </c>
      <c r="J263" t="s">
        <v>104</v>
      </c>
      <c r="K263" t="s">
        <v>109</v>
      </c>
    </row>
    <row r="264" spans="1:11" hidden="1" x14ac:dyDescent="0.3">
      <c r="A264" t="s">
        <v>18</v>
      </c>
      <c r="B264" t="s">
        <v>47</v>
      </c>
      <c r="C264" t="s">
        <v>69</v>
      </c>
      <c r="D264">
        <v>4.8</v>
      </c>
      <c r="E264">
        <f>Tableau2[[#This Row],[Potential (PJ)]]/3.6*1000</f>
        <v>1333.3333333333333</v>
      </c>
      <c r="F264">
        <v>10.630791666666671</v>
      </c>
      <c r="G264">
        <f>Tableau2[[#This Row],[Cost (€/GJ)]]/1000000*3600</f>
        <v>3.8270850000000009E-2</v>
      </c>
      <c r="I264">
        <f>Tableau2[[#This Row],[GHG (kgCO2eq/GJ)]]/1000*3.6</f>
        <v>0</v>
      </c>
      <c r="J264" t="s">
        <v>104</v>
      </c>
      <c r="K264" t="s">
        <v>109</v>
      </c>
    </row>
    <row r="265" spans="1:11" hidden="1" x14ac:dyDescent="0.3">
      <c r="A265" t="s">
        <v>18</v>
      </c>
      <c r="B265" t="s">
        <v>48</v>
      </c>
      <c r="C265" t="s">
        <v>70</v>
      </c>
      <c r="D265">
        <v>4.4000000000000004</v>
      </c>
      <c r="E265">
        <f>Tableau2[[#This Row],[Potential (PJ)]]/3.6*1000</f>
        <v>1222.2222222222224</v>
      </c>
      <c r="F265">
        <v>15.60929545454545</v>
      </c>
      <c r="G265">
        <f>Tableau2[[#This Row],[Cost (€/GJ)]]/1000000*3600</f>
        <v>5.6193463636363614E-2</v>
      </c>
      <c r="I265">
        <f>Tableau2[[#This Row],[GHG (kgCO2eq/GJ)]]/1000*3.6</f>
        <v>0</v>
      </c>
      <c r="J265" t="s">
        <v>104</v>
      </c>
      <c r="K265" t="s">
        <v>109</v>
      </c>
    </row>
    <row r="266" spans="1:11" hidden="1" x14ac:dyDescent="0.3">
      <c r="A266" t="s">
        <v>18</v>
      </c>
      <c r="B266" t="s">
        <v>49</v>
      </c>
      <c r="C266" t="s">
        <v>71</v>
      </c>
      <c r="D266">
        <v>6.55497</v>
      </c>
      <c r="E266">
        <f>Tableau2[[#This Row],[Potential (PJ)]]/3.6*1000</f>
        <v>1820.8249999999998</v>
      </c>
      <c r="F266">
        <v>3.9984070651734491</v>
      </c>
      <c r="G266">
        <f>Tableau2[[#This Row],[Cost (€/GJ)]]/1000000*3600</f>
        <v>1.4394265434624416E-2</v>
      </c>
      <c r="H266">
        <v>3.86607608129234</v>
      </c>
      <c r="I266">
        <f>Tableau2[[#This Row],[GHG (kgCO2eq/GJ)]]/1000*3.6</f>
        <v>1.3917873892652425E-2</v>
      </c>
      <c r="J266" t="s">
        <v>104</v>
      </c>
      <c r="K266" t="s">
        <v>108</v>
      </c>
    </row>
    <row r="267" spans="1:11" hidden="1" x14ac:dyDescent="0.3">
      <c r="A267" t="s">
        <v>18</v>
      </c>
      <c r="B267" t="s">
        <v>49</v>
      </c>
      <c r="C267" t="s">
        <v>72</v>
      </c>
      <c r="D267">
        <v>1.5</v>
      </c>
      <c r="E267">
        <f>Tableau2[[#This Row],[Potential (PJ)]]/3.6*1000</f>
        <v>416.66666666666663</v>
      </c>
      <c r="F267">
        <v>3.2076666666666669</v>
      </c>
      <c r="G267">
        <f>Tableau2[[#This Row],[Cost (€/GJ)]]/1000000*3600</f>
        <v>1.15476E-2</v>
      </c>
      <c r="H267">
        <v>3.86607608129234</v>
      </c>
      <c r="I267">
        <f>Tableau2[[#This Row],[GHG (kgCO2eq/GJ)]]/1000*3.6</f>
        <v>1.3917873892652425E-2</v>
      </c>
      <c r="J267" t="s">
        <v>104</v>
      </c>
      <c r="K267" t="s">
        <v>108</v>
      </c>
    </row>
    <row r="268" spans="1:11" hidden="1" x14ac:dyDescent="0.3">
      <c r="A268" t="s">
        <v>18</v>
      </c>
      <c r="B268" t="s">
        <v>58</v>
      </c>
      <c r="C268" t="s">
        <v>95</v>
      </c>
      <c r="D268">
        <v>6.2450900000000003</v>
      </c>
      <c r="E268">
        <f>Tableau2[[#This Row],[Potential (PJ)]]/3.6*1000</f>
        <v>1734.7472222222223</v>
      </c>
      <c r="F268">
        <v>2.542235003819</v>
      </c>
      <c r="G268">
        <f>Tableau2[[#This Row],[Cost (€/GJ)]]/1000000*3600</f>
        <v>9.1520460137484005E-3</v>
      </c>
      <c r="H268">
        <v>2.9521711768407801</v>
      </c>
      <c r="I268">
        <f>Tableau2[[#This Row],[GHG (kgCO2eq/GJ)]]/1000*3.6</f>
        <v>1.0627816236626808E-2</v>
      </c>
      <c r="J268" t="s">
        <v>104</v>
      </c>
      <c r="K268" t="s">
        <v>108</v>
      </c>
    </row>
    <row r="269" spans="1:11" hidden="1" x14ac:dyDescent="0.3">
      <c r="A269" t="s">
        <v>18</v>
      </c>
      <c r="B269" t="s">
        <v>50</v>
      </c>
      <c r="C269" t="s">
        <v>73</v>
      </c>
      <c r="D269">
        <v>0.8</v>
      </c>
      <c r="E269">
        <f>Tableau2[[#This Row],[Potential (PJ)]]/3.6*1000</f>
        <v>222.22222222222223</v>
      </c>
      <c r="F269">
        <v>5.3463749999999992</v>
      </c>
      <c r="G269">
        <f>Tableau2[[#This Row],[Cost (€/GJ)]]/1000000*3600</f>
        <v>1.9246949999999999E-2</v>
      </c>
      <c r="H269">
        <v>20.723404255319149</v>
      </c>
      <c r="I269">
        <f>Tableau2[[#This Row],[GHG (kgCO2eq/GJ)]]/1000*3.6</f>
        <v>7.4604255319148938E-2</v>
      </c>
      <c r="J269" t="s">
        <v>105</v>
      </c>
      <c r="K269" t="s">
        <v>108</v>
      </c>
    </row>
    <row r="270" spans="1:11" hidden="1" x14ac:dyDescent="0.3">
      <c r="A270" t="s">
        <v>18</v>
      </c>
      <c r="B270" t="s">
        <v>50</v>
      </c>
      <c r="C270" t="s">
        <v>74</v>
      </c>
      <c r="D270">
        <v>6.8999999999999986</v>
      </c>
      <c r="E270">
        <f>Tableau2[[#This Row],[Potential (PJ)]]/3.6*1000</f>
        <v>1916.6666666666663</v>
      </c>
      <c r="F270">
        <v>4.431304347826087</v>
      </c>
      <c r="G270">
        <f>Tableau2[[#This Row],[Cost (€/GJ)]]/1000000*3600</f>
        <v>1.5952695652173911E-2</v>
      </c>
      <c r="H270">
        <v>2.0635593220338988</v>
      </c>
      <c r="I270">
        <f>Tableau2[[#This Row],[GHG (kgCO2eq/GJ)]]/1000*3.6</f>
        <v>7.4288135593220351E-3</v>
      </c>
      <c r="J270" t="s">
        <v>105</v>
      </c>
      <c r="K270" t="s">
        <v>108</v>
      </c>
    </row>
    <row r="271" spans="1:11" hidden="1" x14ac:dyDescent="0.3">
      <c r="A271" t="s">
        <v>18</v>
      </c>
      <c r="B271" t="s">
        <v>59</v>
      </c>
      <c r="C271" t="s">
        <v>96</v>
      </c>
      <c r="D271">
        <v>1.7846</v>
      </c>
      <c r="E271">
        <f>Tableau2[[#This Row],[Potential (PJ)]]/3.6*1000</f>
        <v>495.72222222222217</v>
      </c>
      <c r="F271">
        <v>28.3</v>
      </c>
      <c r="G271">
        <f>Tableau2[[#This Row],[Cost (€/GJ)]]/1000000*3600</f>
        <v>0.10188</v>
      </c>
      <c r="I271">
        <f>Tableau2[[#This Row],[GHG (kgCO2eq/GJ)]]/1000*3.6</f>
        <v>0</v>
      </c>
      <c r="J271" t="s">
        <v>107</v>
      </c>
      <c r="K271" t="s">
        <v>109</v>
      </c>
    </row>
    <row r="272" spans="1:11" hidden="1" x14ac:dyDescent="0.3">
      <c r="A272" t="s">
        <v>18</v>
      </c>
      <c r="B272" t="s">
        <v>59</v>
      </c>
      <c r="C272" t="s">
        <v>97</v>
      </c>
      <c r="D272">
        <v>1.5201</v>
      </c>
      <c r="E272">
        <f>Tableau2[[#This Row],[Potential (PJ)]]/3.6*1000</f>
        <v>422.25</v>
      </c>
      <c r="F272">
        <v>19.96744438415627</v>
      </c>
      <c r="G272">
        <f>Tableau2[[#This Row],[Cost (€/GJ)]]/1000000*3600</f>
        <v>7.1882799782962567E-2</v>
      </c>
      <c r="I272">
        <f>Tableau2[[#This Row],[GHG (kgCO2eq/GJ)]]/1000*3.6</f>
        <v>0</v>
      </c>
      <c r="J272" t="s">
        <v>107</v>
      </c>
      <c r="K272" t="s">
        <v>109</v>
      </c>
    </row>
    <row r="273" spans="1:11" hidden="1" x14ac:dyDescent="0.3">
      <c r="A273" t="s">
        <v>18</v>
      </c>
      <c r="B273" t="s">
        <v>51</v>
      </c>
      <c r="C273" t="s">
        <v>75</v>
      </c>
      <c r="D273">
        <v>3.4327589999999999</v>
      </c>
      <c r="E273">
        <f>Tableau2[[#This Row],[Potential (PJ)]]/3.6*1000</f>
        <v>953.54416666666668</v>
      </c>
      <c r="F273">
        <v>6.1258684567996803E-2</v>
      </c>
      <c r="G273">
        <f>Tableau2[[#This Row],[Cost (€/GJ)]]/1000000*3600</f>
        <v>2.2053126444478849E-4</v>
      </c>
      <c r="H273">
        <v>11.74</v>
      </c>
      <c r="I273">
        <f>Tableau2[[#This Row],[GHG (kgCO2eq/GJ)]]/1000*3.6</f>
        <v>4.2264000000000003E-2</v>
      </c>
      <c r="J273" t="s">
        <v>104</v>
      </c>
      <c r="K273" t="s">
        <v>108</v>
      </c>
    </row>
    <row r="274" spans="1:11" hidden="1" x14ac:dyDescent="0.3">
      <c r="A274" t="s">
        <v>18</v>
      </c>
      <c r="B274" t="s">
        <v>52</v>
      </c>
      <c r="C274" t="s">
        <v>76</v>
      </c>
      <c r="D274">
        <v>0.71599999999999997</v>
      </c>
      <c r="E274">
        <f>Tableau2[[#This Row],[Potential (PJ)]]/3.6*1000</f>
        <v>198.88888888888886</v>
      </c>
      <c r="F274">
        <v>0</v>
      </c>
      <c r="G274">
        <f>Tableau2[[#This Row],[Cost (€/GJ)]]/1000000*3600</f>
        <v>0</v>
      </c>
      <c r="H274">
        <v>12.68872359754714</v>
      </c>
      <c r="I274">
        <f>Tableau2[[#This Row],[GHG (kgCO2eq/GJ)]]/1000*3.6</f>
        <v>4.5679404951169705E-2</v>
      </c>
      <c r="J274" t="s">
        <v>105</v>
      </c>
      <c r="K274" t="s">
        <v>108</v>
      </c>
    </row>
    <row r="275" spans="1:11" hidden="1" x14ac:dyDescent="0.3">
      <c r="A275" t="s">
        <v>18</v>
      </c>
      <c r="B275" t="s">
        <v>53</v>
      </c>
      <c r="C275" t="s">
        <v>77</v>
      </c>
      <c r="D275">
        <v>2.8</v>
      </c>
      <c r="E275">
        <f>Tableau2[[#This Row],[Potential (PJ)]]/3.6*1000</f>
        <v>777.77777777777771</v>
      </c>
      <c r="F275">
        <v>3.206928571428572</v>
      </c>
      <c r="G275">
        <f>Tableau2[[#This Row],[Cost (€/GJ)]]/1000000*3600</f>
        <v>1.1544942857142859E-2</v>
      </c>
      <c r="H275">
        <v>3.86607608129234</v>
      </c>
      <c r="I275">
        <f>Tableau2[[#This Row],[GHG (kgCO2eq/GJ)]]/1000*3.6</f>
        <v>1.3917873892652425E-2</v>
      </c>
      <c r="J275" t="s">
        <v>104</v>
      </c>
      <c r="K275" t="s">
        <v>108</v>
      </c>
    </row>
    <row r="276" spans="1:11" hidden="1" x14ac:dyDescent="0.3">
      <c r="A276" t="s">
        <v>18</v>
      </c>
      <c r="B276" t="s">
        <v>61</v>
      </c>
      <c r="C276" t="s">
        <v>99</v>
      </c>
      <c r="D276">
        <v>1.3</v>
      </c>
      <c r="E276">
        <f>Tableau2[[#This Row],[Potential (PJ)]]/3.6*1000</f>
        <v>361.11111111111109</v>
      </c>
      <c r="F276">
        <v>1.5910769230769231</v>
      </c>
      <c r="G276">
        <f>Tableau2[[#This Row],[Cost (€/GJ)]]/1000000*3600</f>
        <v>5.7278769230769229E-3</v>
      </c>
      <c r="H276">
        <v>2.9245635910224439</v>
      </c>
      <c r="I276">
        <f>Tableau2[[#This Row],[GHG (kgCO2eq/GJ)]]/1000*3.6</f>
        <v>1.0528428927680798E-2</v>
      </c>
      <c r="J276" t="s">
        <v>104</v>
      </c>
      <c r="K276" t="s">
        <v>108</v>
      </c>
    </row>
    <row r="277" spans="1:11" hidden="1" x14ac:dyDescent="0.3">
      <c r="A277" t="s">
        <v>18</v>
      </c>
      <c r="B277" t="s">
        <v>54</v>
      </c>
      <c r="C277" t="s">
        <v>78</v>
      </c>
      <c r="D277">
        <v>12.1</v>
      </c>
      <c r="E277">
        <f>Tableau2[[#This Row],[Potential (PJ)]]/3.6*1000</f>
        <v>3361.1111111111109</v>
      </c>
      <c r="F277">
        <v>6.6279917355371891</v>
      </c>
      <c r="G277">
        <f>Tableau2[[#This Row],[Cost (€/GJ)]]/1000000*3600</f>
        <v>2.3860770247933882E-2</v>
      </c>
      <c r="H277">
        <v>3.86607608129234</v>
      </c>
      <c r="I277">
        <f>Tableau2[[#This Row],[GHG (kgCO2eq/GJ)]]/1000*3.6</f>
        <v>1.3917873892652425E-2</v>
      </c>
      <c r="J277" t="s">
        <v>104</v>
      </c>
      <c r="K277" t="s">
        <v>108</v>
      </c>
    </row>
    <row r="278" spans="1:11" hidden="1" x14ac:dyDescent="0.3">
      <c r="A278" t="s">
        <v>19</v>
      </c>
      <c r="B278" t="s">
        <v>46</v>
      </c>
      <c r="C278" t="s">
        <v>63</v>
      </c>
      <c r="D278">
        <v>6.5713999999999997</v>
      </c>
      <c r="E278">
        <f>Tableau2[[#This Row],[Potential (PJ)]]/3.6*1000</f>
        <v>1825.3888888888887</v>
      </c>
      <c r="F278">
        <v>2.9286474973375931</v>
      </c>
      <c r="G278">
        <f>Tableau2[[#This Row],[Cost (€/GJ)]]/1000000*3600</f>
        <v>1.0543130990415334E-2</v>
      </c>
      <c r="H278">
        <v>3.950479233226837</v>
      </c>
      <c r="I278">
        <f>Tableau2[[#This Row],[GHG (kgCO2eq/GJ)]]/1000*3.6</f>
        <v>1.4221725239616614E-2</v>
      </c>
      <c r="J278" t="s">
        <v>104</v>
      </c>
      <c r="K278" t="s">
        <v>108</v>
      </c>
    </row>
    <row r="279" spans="1:11" hidden="1" x14ac:dyDescent="0.3">
      <c r="A279" t="s">
        <v>19</v>
      </c>
      <c r="B279" t="s">
        <v>46</v>
      </c>
      <c r="C279" t="s">
        <v>64</v>
      </c>
      <c r="D279">
        <v>0.55589999999999995</v>
      </c>
      <c r="E279">
        <f>Tableau2[[#This Row],[Potential (PJ)]]/3.6*1000</f>
        <v>154.41666666666666</v>
      </c>
      <c r="F279">
        <v>3.4051543263176831</v>
      </c>
      <c r="G279">
        <f>Tableau2[[#This Row],[Cost (€/GJ)]]/1000000*3600</f>
        <v>1.225855557474366E-2</v>
      </c>
      <c r="H279">
        <v>2.9521711768407801</v>
      </c>
      <c r="I279">
        <f>Tableau2[[#This Row],[GHG (kgCO2eq/GJ)]]/1000*3.6</f>
        <v>1.0627816236626808E-2</v>
      </c>
      <c r="J279" t="s">
        <v>104</v>
      </c>
      <c r="K279" t="s">
        <v>108</v>
      </c>
    </row>
    <row r="280" spans="1:11" hidden="1" x14ac:dyDescent="0.3">
      <c r="A280" t="s">
        <v>19</v>
      </c>
      <c r="B280" t="s">
        <v>46</v>
      </c>
      <c r="C280" t="s">
        <v>79</v>
      </c>
      <c r="D280">
        <v>37</v>
      </c>
      <c r="E280">
        <f>Tableau2[[#This Row],[Potential (PJ)]]/3.6*1000</f>
        <v>10277.777777777777</v>
      </c>
      <c r="F280">
        <v>2.0252189189189189</v>
      </c>
      <c r="G280">
        <f>Tableau2[[#This Row],[Cost (€/GJ)]]/1000000*3600</f>
        <v>7.2907881081081078E-3</v>
      </c>
      <c r="H280">
        <v>6.8428961748633883</v>
      </c>
      <c r="I280">
        <f>Tableau2[[#This Row],[GHG (kgCO2eq/GJ)]]/1000*3.6</f>
        <v>2.4634426229508198E-2</v>
      </c>
      <c r="J280" t="s">
        <v>104</v>
      </c>
      <c r="K280" t="s">
        <v>108</v>
      </c>
    </row>
    <row r="281" spans="1:11" hidden="1" x14ac:dyDescent="0.3">
      <c r="A281" t="s">
        <v>19</v>
      </c>
      <c r="B281" t="s">
        <v>46</v>
      </c>
      <c r="C281" t="s">
        <v>65</v>
      </c>
      <c r="D281">
        <v>6.8</v>
      </c>
      <c r="E281">
        <f>Tableau2[[#This Row],[Potential (PJ)]]/3.6*1000</f>
        <v>1888.8888888888889</v>
      </c>
      <c r="F281">
        <v>4.9517205882352942</v>
      </c>
      <c r="G281">
        <f>Tableau2[[#This Row],[Cost (€/GJ)]]/1000000*3600</f>
        <v>1.7826194117647059E-2</v>
      </c>
      <c r="H281">
        <v>2.9521711768407801</v>
      </c>
      <c r="I281">
        <f>Tableau2[[#This Row],[GHG (kgCO2eq/GJ)]]/1000*3.6</f>
        <v>1.0627816236626808E-2</v>
      </c>
      <c r="J281" t="s">
        <v>104</v>
      </c>
      <c r="K281" t="s">
        <v>108</v>
      </c>
    </row>
    <row r="282" spans="1:11" hidden="1" x14ac:dyDescent="0.3">
      <c r="A282" t="s">
        <v>19</v>
      </c>
      <c r="B282" t="s">
        <v>46</v>
      </c>
      <c r="C282" t="s">
        <v>102</v>
      </c>
      <c r="D282">
        <v>3.5</v>
      </c>
      <c r="E282">
        <f>Tableau2[[#This Row],[Potential (PJ)]]/3.6*1000</f>
        <v>972.22222222222217</v>
      </c>
      <c r="F282">
        <v>4.273428571428572</v>
      </c>
      <c r="G282">
        <f>Tableau2[[#This Row],[Cost (€/GJ)]]/1000000*3600</f>
        <v>1.5384342857142861E-2</v>
      </c>
      <c r="H282">
        <v>2.9521711768407801</v>
      </c>
      <c r="I282">
        <f>Tableau2[[#This Row],[GHG (kgCO2eq/GJ)]]/1000*3.6</f>
        <v>1.0627816236626808E-2</v>
      </c>
      <c r="J282" t="s">
        <v>104</v>
      </c>
      <c r="K282" t="s">
        <v>108</v>
      </c>
    </row>
    <row r="283" spans="1:11" hidden="1" x14ac:dyDescent="0.3">
      <c r="A283" t="s">
        <v>19</v>
      </c>
      <c r="B283" t="s">
        <v>46</v>
      </c>
      <c r="C283" t="s">
        <v>80</v>
      </c>
      <c r="D283">
        <v>3.0796000000000001</v>
      </c>
      <c r="E283">
        <f>Tableau2[[#This Row],[Potential (PJ)]]/3.6*1000</f>
        <v>855.44444444444446</v>
      </c>
      <c r="F283">
        <v>0.53674983142279165</v>
      </c>
      <c r="G283">
        <f>Tableau2[[#This Row],[Cost (€/GJ)]]/1000000*3600</f>
        <v>1.9322993931220498E-3</v>
      </c>
      <c r="H283">
        <v>28.139870918023309</v>
      </c>
      <c r="I283">
        <f>Tableau2[[#This Row],[GHG (kgCO2eq/GJ)]]/1000*3.6</f>
        <v>0.10130353530488391</v>
      </c>
      <c r="J283" t="s">
        <v>105</v>
      </c>
      <c r="K283" t="s">
        <v>108</v>
      </c>
    </row>
    <row r="284" spans="1:11" hidden="1" x14ac:dyDescent="0.3">
      <c r="A284" t="s">
        <v>19</v>
      </c>
      <c r="B284" t="s">
        <v>46</v>
      </c>
      <c r="C284" t="s">
        <v>81</v>
      </c>
      <c r="D284">
        <v>0.67249999999999999</v>
      </c>
      <c r="E284">
        <f>Tableau2[[#This Row],[Potential (PJ)]]/3.6*1000</f>
        <v>186.80555555555557</v>
      </c>
      <c r="F284">
        <v>1.0987074030552291</v>
      </c>
      <c r="G284">
        <f>Tableau2[[#This Row],[Cost (€/GJ)]]/1000000*3600</f>
        <v>3.9553466509988245E-3</v>
      </c>
      <c r="H284">
        <v>8.9647473560517046</v>
      </c>
      <c r="I284">
        <f>Tableau2[[#This Row],[GHG (kgCO2eq/GJ)]]/1000*3.6</f>
        <v>3.2273090481786136E-2</v>
      </c>
      <c r="J284" t="s">
        <v>105</v>
      </c>
      <c r="K284" t="s">
        <v>108</v>
      </c>
    </row>
    <row r="285" spans="1:11" hidden="1" x14ac:dyDescent="0.3">
      <c r="A285" t="s">
        <v>19</v>
      </c>
      <c r="B285" t="s">
        <v>46</v>
      </c>
      <c r="C285" t="s">
        <v>66</v>
      </c>
      <c r="D285">
        <v>4.5</v>
      </c>
      <c r="E285">
        <f>Tableau2[[#This Row],[Potential (PJ)]]/3.6*1000</f>
        <v>1250</v>
      </c>
      <c r="F285">
        <v>2.097088888888889</v>
      </c>
      <c r="G285">
        <f>Tableau2[[#This Row],[Cost (€/GJ)]]/1000000*3600</f>
        <v>7.5495199999999997E-3</v>
      </c>
      <c r="H285">
        <v>6.8428961748633883</v>
      </c>
      <c r="I285">
        <f>Tableau2[[#This Row],[GHG (kgCO2eq/GJ)]]/1000*3.6</f>
        <v>2.4634426229508198E-2</v>
      </c>
      <c r="J285" t="s">
        <v>104</v>
      </c>
      <c r="K285" t="s">
        <v>108</v>
      </c>
    </row>
    <row r="286" spans="1:11" hidden="1" x14ac:dyDescent="0.3">
      <c r="A286" t="s">
        <v>19</v>
      </c>
      <c r="B286" t="s">
        <v>46</v>
      </c>
      <c r="C286" t="s">
        <v>67</v>
      </c>
      <c r="D286">
        <v>14.5</v>
      </c>
      <c r="E286">
        <f>Tableau2[[#This Row],[Potential (PJ)]]/3.6*1000</f>
        <v>4027.7777777777778</v>
      </c>
      <c r="F286">
        <v>7.2129448275862078</v>
      </c>
      <c r="G286">
        <f>Tableau2[[#This Row],[Cost (€/GJ)]]/1000000*3600</f>
        <v>2.5966601379310349E-2</v>
      </c>
      <c r="H286">
        <v>2.9521711768407801</v>
      </c>
      <c r="I286">
        <f>Tableau2[[#This Row],[GHG (kgCO2eq/GJ)]]/1000*3.6</f>
        <v>1.0627816236626808E-2</v>
      </c>
      <c r="J286" t="s">
        <v>104</v>
      </c>
      <c r="K286" t="s">
        <v>108</v>
      </c>
    </row>
    <row r="287" spans="1:11" hidden="1" x14ac:dyDescent="0.3">
      <c r="A287" t="s">
        <v>19</v>
      </c>
      <c r="B287" t="s">
        <v>46</v>
      </c>
      <c r="C287" t="s">
        <v>82</v>
      </c>
      <c r="D287">
        <v>3.1</v>
      </c>
      <c r="E287">
        <f>Tableau2[[#This Row],[Potential (PJ)]]/3.6*1000</f>
        <v>861.1111111111112</v>
      </c>
      <c r="F287">
        <v>1.431258064516129</v>
      </c>
      <c r="G287">
        <f>Tableau2[[#This Row],[Cost (€/GJ)]]/1000000*3600</f>
        <v>5.1525290322580646E-3</v>
      </c>
      <c r="H287">
        <v>6.8428961748633883</v>
      </c>
      <c r="I287">
        <f>Tableau2[[#This Row],[GHG (kgCO2eq/GJ)]]/1000*3.6</f>
        <v>2.4634426229508198E-2</v>
      </c>
      <c r="J287" t="s">
        <v>104</v>
      </c>
      <c r="K287" t="s">
        <v>108</v>
      </c>
    </row>
    <row r="288" spans="1:11" hidden="1" x14ac:dyDescent="0.3">
      <c r="A288" t="s">
        <v>19</v>
      </c>
      <c r="B288" t="s">
        <v>46</v>
      </c>
      <c r="C288" t="s">
        <v>83</v>
      </c>
      <c r="D288">
        <v>2.0282499999999999</v>
      </c>
      <c r="E288">
        <f>Tableau2[[#This Row],[Potential (PJ)]]/3.6*1000</f>
        <v>563.40277777777771</v>
      </c>
      <c r="F288">
        <v>1.994635365462837</v>
      </c>
      <c r="G288">
        <f>Tableau2[[#This Row],[Cost (€/GJ)]]/1000000*3600</f>
        <v>7.1806873156662144E-3</v>
      </c>
      <c r="H288">
        <v>6.8428961748633883</v>
      </c>
      <c r="I288">
        <f>Tableau2[[#This Row],[GHG (kgCO2eq/GJ)]]/1000*3.6</f>
        <v>2.4634426229508198E-2</v>
      </c>
      <c r="J288" t="s">
        <v>104</v>
      </c>
      <c r="K288" t="s">
        <v>108</v>
      </c>
    </row>
    <row r="289" spans="1:11" hidden="1" x14ac:dyDescent="0.3">
      <c r="A289" t="s">
        <v>19</v>
      </c>
      <c r="B289" t="s">
        <v>46</v>
      </c>
      <c r="C289" t="s">
        <v>84</v>
      </c>
      <c r="D289">
        <v>1.1000000000000001</v>
      </c>
      <c r="E289">
        <f>Tableau2[[#This Row],[Potential (PJ)]]/3.6*1000</f>
        <v>305.5555555555556</v>
      </c>
      <c r="F289">
        <v>1.6547272727272719</v>
      </c>
      <c r="G289">
        <f>Tableau2[[#This Row],[Cost (€/GJ)]]/1000000*3600</f>
        <v>5.9570181818181783E-3</v>
      </c>
      <c r="H289">
        <v>28.139870918023309</v>
      </c>
      <c r="I289">
        <f>Tableau2[[#This Row],[GHG (kgCO2eq/GJ)]]/1000*3.6</f>
        <v>0.10130353530488391</v>
      </c>
      <c r="J289" t="s">
        <v>105</v>
      </c>
      <c r="K289" t="s">
        <v>108</v>
      </c>
    </row>
    <row r="290" spans="1:11" hidden="1" x14ac:dyDescent="0.3">
      <c r="A290" t="s">
        <v>19</v>
      </c>
      <c r="B290" t="s">
        <v>46</v>
      </c>
      <c r="C290" t="s">
        <v>85</v>
      </c>
      <c r="D290">
        <v>5.9</v>
      </c>
      <c r="E290">
        <f>Tableau2[[#This Row],[Potential (PJ)]]/3.6*1000</f>
        <v>1638.8888888888889</v>
      </c>
      <c r="F290">
        <v>3.7019830508474572</v>
      </c>
      <c r="G290">
        <f>Tableau2[[#This Row],[Cost (€/GJ)]]/1000000*3600</f>
        <v>1.3327138983050846E-2</v>
      </c>
      <c r="H290">
        <v>2.9521711768407801</v>
      </c>
      <c r="I290">
        <f>Tableau2[[#This Row],[GHG (kgCO2eq/GJ)]]/1000*3.6</f>
        <v>1.0627816236626808E-2</v>
      </c>
      <c r="J290" t="s">
        <v>104</v>
      </c>
      <c r="K290" t="s">
        <v>108</v>
      </c>
    </row>
    <row r="291" spans="1:11" hidden="1" x14ac:dyDescent="0.3">
      <c r="A291" t="s">
        <v>19</v>
      </c>
      <c r="B291" t="s">
        <v>55</v>
      </c>
      <c r="C291" t="s">
        <v>86</v>
      </c>
      <c r="D291">
        <v>13.4678</v>
      </c>
      <c r="E291">
        <f>Tableau2[[#This Row],[Potential (PJ)]]/3.6*1000</f>
        <v>3741.0555555555557</v>
      </c>
      <c r="F291">
        <v>18.76499999999999</v>
      </c>
      <c r="G291">
        <f>Tableau2[[#This Row],[Cost (€/GJ)]]/1000000*3600</f>
        <v>6.7553999999999961E-2</v>
      </c>
      <c r="H291">
        <v>13.1</v>
      </c>
      <c r="I291">
        <f>Tableau2[[#This Row],[GHG (kgCO2eq/GJ)]]/1000*3.6</f>
        <v>4.7159999999999994E-2</v>
      </c>
      <c r="J291" t="s">
        <v>106</v>
      </c>
      <c r="K291" t="s">
        <v>109</v>
      </c>
    </row>
    <row r="292" spans="1:11" hidden="1" x14ac:dyDescent="0.3">
      <c r="A292" t="s">
        <v>19</v>
      </c>
      <c r="B292" t="s">
        <v>55</v>
      </c>
      <c r="C292" t="s">
        <v>87</v>
      </c>
      <c r="D292">
        <v>9.1806999999999999</v>
      </c>
      <c r="E292">
        <f>Tableau2[[#This Row],[Potential (PJ)]]/3.6*1000</f>
        <v>2550.1944444444443</v>
      </c>
      <c r="F292">
        <v>22.024000000000001</v>
      </c>
      <c r="G292">
        <f>Tableau2[[#This Row],[Cost (€/GJ)]]/1000000*3600</f>
        <v>7.9286400000000007E-2</v>
      </c>
      <c r="H292">
        <v>13.1</v>
      </c>
      <c r="I292">
        <f>Tableau2[[#This Row],[GHG (kgCO2eq/GJ)]]/1000*3.6</f>
        <v>4.7159999999999994E-2</v>
      </c>
      <c r="J292" t="s">
        <v>106</v>
      </c>
      <c r="K292" t="s">
        <v>109</v>
      </c>
    </row>
    <row r="293" spans="1:11" hidden="1" x14ac:dyDescent="0.3">
      <c r="A293" t="s">
        <v>19</v>
      </c>
      <c r="B293" t="s">
        <v>55</v>
      </c>
      <c r="C293" t="s">
        <v>88</v>
      </c>
      <c r="D293">
        <v>4.1059000000000001</v>
      </c>
      <c r="E293">
        <f>Tableau2[[#This Row],[Potential (PJ)]]/3.6*1000</f>
        <v>1140.5277777777778</v>
      </c>
      <c r="F293">
        <v>21.882999999999999</v>
      </c>
      <c r="G293">
        <f>Tableau2[[#This Row],[Cost (€/GJ)]]/1000000*3600</f>
        <v>7.8778799999999996E-2</v>
      </c>
      <c r="H293">
        <v>13.1</v>
      </c>
      <c r="I293">
        <f>Tableau2[[#This Row],[GHG (kgCO2eq/GJ)]]/1000*3.6</f>
        <v>4.7159999999999994E-2</v>
      </c>
      <c r="J293" t="s">
        <v>106</v>
      </c>
      <c r="K293" t="s">
        <v>109</v>
      </c>
    </row>
    <row r="294" spans="1:11" hidden="1" x14ac:dyDescent="0.3">
      <c r="A294" t="s">
        <v>19</v>
      </c>
      <c r="B294" t="s">
        <v>55</v>
      </c>
      <c r="C294" t="s">
        <v>89</v>
      </c>
      <c r="D294">
        <v>3.0594000000000001</v>
      </c>
      <c r="E294">
        <f>Tableau2[[#This Row],[Potential (PJ)]]/3.6*1000</f>
        <v>849.83333333333337</v>
      </c>
      <c r="F294">
        <v>0</v>
      </c>
      <c r="G294">
        <f>Tableau2[[#This Row],[Cost (€/GJ)]]/1000000*3600</f>
        <v>0</v>
      </c>
      <c r="H294">
        <v>13.1</v>
      </c>
      <c r="I294">
        <f>Tableau2[[#This Row],[GHG (kgCO2eq/GJ)]]/1000*3.6</f>
        <v>4.7159999999999994E-2</v>
      </c>
      <c r="J294" t="s">
        <v>106</v>
      </c>
      <c r="K294" t="s">
        <v>109</v>
      </c>
    </row>
    <row r="295" spans="1:11" hidden="1" x14ac:dyDescent="0.3">
      <c r="A295" t="s">
        <v>19</v>
      </c>
      <c r="B295" t="s">
        <v>55</v>
      </c>
      <c r="C295" t="s">
        <v>90</v>
      </c>
      <c r="D295">
        <v>0.13569999999999999</v>
      </c>
      <c r="E295">
        <f>Tableau2[[#This Row],[Potential (PJ)]]/3.6*1000</f>
        <v>37.694444444444443</v>
      </c>
      <c r="F295">
        <v>22.61099999999999</v>
      </c>
      <c r="G295">
        <f>Tableau2[[#This Row],[Cost (€/GJ)]]/1000000*3600</f>
        <v>8.1399599999999961E-2</v>
      </c>
      <c r="H295">
        <v>13.1</v>
      </c>
      <c r="I295">
        <f>Tableau2[[#This Row],[GHG (kgCO2eq/GJ)]]/1000*3.6</f>
        <v>4.7159999999999994E-2</v>
      </c>
      <c r="J295" t="s">
        <v>106</v>
      </c>
      <c r="K295" t="s">
        <v>109</v>
      </c>
    </row>
    <row r="296" spans="1:11" hidden="1" x14ac:dyDescent="0.3">
      <c r="A296" t="s">
        <v>19</v>
      </c>
      <c r="B296" t="s">
        <v>55</v>
      </c>
      <c r="C296" t="s">
        <v>91</v>
      </c>
      <c r="D296">
        <v>2.0087000000000002</v>
      </c>
      <c r="E296">
        <f>Tableau2[[#This Row],[Potential (PJ)]]/3.6*1000</f>
        <v>557.97222222222217</v>
      </c>
      <c r="F296">
        <v>18.987000000000009</v>
      </c>
      <c r="G296">
        <f>Tableau2[[#This Row],[Cost (€/GJ)]]/1000000*3600</f>
        <v>6.8353200000000031E-2</v>
      </c>
      <c r="H296">
        <v>13.1</v>
      </c>
      <c r="I296">
        <f>Tableau2[[#This Row],[GHG (kgCO2eq/GJ)]]/1000*3.6</f>
        <v>4.7159999999999994E-2</v>
      </c>
      <c r="J296" t="s">
        <v>106</v>
      </c>
      <c r="K296" t="s">
        <v>109</v>
      </c>
    </row>
    <row r="297" spans="1:11" hidden="1" x14ac:dyDescent="0.3">
      <c r="A297" t="s">
        <v>19</v>
      </c>
      <c r="B297" t="s">
        <v>55</v>
      </c>
      <c r="C297" t="s">
        <v>92</v>
      </c>
      <c r="D297">
        <v>1.2316400000000001</v>
      </c>
      <c r="E297">
        <f>Tableau2[[#This Row],[Potential (PJ)]]/3.6*1000</f>
        <v>342.12222222222221</v>
      </c>
      <c r="F297">
        <v>22.024000000000001</v>
      </c>
      <c r="G297">
        <f>Tableau2[[#This Row],[Cost (€/GJ)]]/1000000*3600</f>
        <v>7.9286400000000007E-2</v>
      </c>
      <c r="H297">
        <v>13.1</v>
      </c>
      <c r="I297">
        <f>Tableau2[[#This Row],[GHG (kgCO2eq/GJ)]]/1000*3.6</f>
        <v>4.7159999999999994E-2</v>
      </c>
      <c r="J297" t="s">
        <v>106</v>
      </c>
      <c r="K297" t="s">
        <v>109</v>
      </c>
    </row>
    <row r="298" spans="1:11" hidden="1" x14ac:dyDescent="0.3">
      <c r="A298" t="s">
        <v>19</v>
      </c>
      <c r="B298" t="s">
        <v>56</v>
      </c>
      <c r="C298" t="s">
        <v>93</v>
      </c>
      <c r="D298">
        <v>170.00479999999999</v>
      </c>
      <c r="E298">
        <f>Tableau2[[#This Row],[Potential (PJ)]]/3.6*1000</f>
        <v>47223.555555555547</v>
      </c>
      <c r="F298">
        <v>2.939759036144578</v>
      </c>
      <c r="G298">
        <f>Tableau2[[#This Row],[Cost (€/GJ)]]/1000000*3600</f>
        <v>1.0583132530120481E-2</v>
      </c>
      <c r="H298">
        <v>23.6</v>
      </c>
      <c r="I298">
        <f>Tableau2[[#This Row],[GHG (kgCO2eq/GJ)]]/1000*3.6</f>
        <v>8.4960000000000008E-2</v>
      </c>
      <c r="J298" t="s">
        <v>106</v>
      </c>
      <c r="K298" t="s">
        <v>109</v>
      </c>
    </row>
    <row r="299" spans="1:11" hidden="1" x14ac:dyDescent="0.3">
      <c r="A299" t="s">
        <v>19</v>
      </c>
      <c r="B299" t="s">
        <v>47</v>
      </c>
      <c r="C299" t="s">
        <v>68</v>
      </c>
      <c r="D299">
        <v>195.1</v>
      </c>
      <c r="E299">
        <f>Tableau2[[#This Row],[Potential (PJ)]]/3.6*1000</f>
        <v>54194.444444444445</v>
      </c>
      <c r="F299">
        <v>5.5244572014351609</v>
      </c>
      <c r="G299">
        <f>Tableau2[[#This Row],[Cost (€/GJ)]]/1000000*3600</f>
        <v>1.9888045925166579E-2</v>
      </c>
      <c r="H299">
        <v>15</v>
      </c>
      <c r="I299">
        <f>Tableau2[[#This Row],[GHG (kgCO2eq/GJ)]]/1000*3.6</f>
        <v>5.3999999999999999E-2</v>
      </c>
      <c r="J299" t="s">
        <v>104</v>
      </c>
      <c r="K299" t="s">
        <v>109</v>
      </c>
    </row>
    <row r="300" spans="1:11" hidden="1" x14ac:dyDescent="0.3">
      <c r="A300" t="s">
        <v>19</v>
      </c>
      <c r="B300" t="s">
        <v>47</v>
      </c>
      <c r="C300" t="s">
        <v>69</v>
      </c>
      <c r="D300">
        <v>72.400000000000006</v>
      </c>
      <c r="E300">
        <f>Tableau2[[#This Row],[Potential (PJ)]]/3.6*1000</f>
        <v>20111.111111111109</v>
      </c>
      <c r="F300">
        <v>9.2375662983425411</v>
      </c>
      <c r="G300">
        <f>Tableau2[[#This Row],[Cost (€/GJ)]]/1000000*3600</f>
        <v>3.3255238674033148E-2</v>
      </c>
      <c r="H300">
        <v>15</v>
      </c>
      <c r="I300">
        <f>Tableau2[[#This Row],[GHG (kgCO2eq/GJ)]]/1000*3.6</f>
        <v>5.3999999999999999E-2</v>
      </c>
      <c r="J300" t="s">
        <v>104</v>
      </c>
      <c r="K300" t="s">
        <v>109</v>
      </c>
    </row>
    <row r="301" spans="1:11" hidden="1" x14ac:dyDescent="0.3">
      <c r="A301" t="s">
        <v>19</v>
      </c>
      <c r="B301" t="s">
        <v>48</v>
      </c>
      <c r="C301" t="s">
        <v>70</v>
      </c>
      <c r="D301">
        <v>54.1</v>
      </c>
      <c r="E301">
        <f>Tableau2[[#This Row],[Potential (PJ)]]/3.6*1000</f>
        <v>15027.777777777779</v>
      </c>
      <c r="F301">
        <v>14.787192236598891</v>
      </c>
      <c r="G301">
        <f>Tableau2[[#This Row],[Cost (€/GJ)]]/1000000*3600</f>
        <v>5.3233892051756007E-2</v>
      </c>
      <c r="H301">
        <v>16.8</v>
      </c>
      <c r="I301">
        <f>Tableau2[[#This Row],[GHG (kgCO2eq/GJ)]]/1000*3.6</f>
        <v>6.0480000000000013E-2</v>
      </c>
      <c r="J301" t="s">
        <v>104</v>
      </c>
      <c r="K301" t="s">
        <v>109</v>
      </c>
    </row>
    <row r="302" spans="1:11" hidden="1" x14ac:dyDescent="0.3">
      <c r="A302" t="s">
        <v>19</v>
      </c>
      <c r="B302" t="s">
        <v>49</v>
      </c>
      <c r="C302" t="s">
        <v>71</v>
      </c>
      <c r="D302">
        <v>85.711200000000005</v>
      </c>
      <c r="E302">
        <f>Tableau2[[#This Row],[Potential (PJ)]]/3.6*1000</f>
        <v>23808.666666666668</v>
      </c>
      <c r="F302">
        <v>4.5719184717983179</v>
      </c>
      <c r="G302">
        <f>Tableau2[[#This Row],[Cost (€/GJ)]]/1000000*3600</f>
        <v>1.6458906498473942E-2</v>
      </c>
      <c r="H302">
        <v>3.86607608129234</v>
      </c>
      <c r="I302">
        <f>Tableau2[[#This Row],[GHG (kgCO2eq/GJ)]]/1000*3.6</f>
        <v>1.3917873892652425E-2</v>
      </c>
      <c r="J302" t="s">
        <v>104</v>
      </c>
      <c r="K302" t="s">
        <v>108</v>
      </c>
    </row>
    <row r="303" spans="1:11" hidden="1" x14ac:dyDescent="0.3">
      <c r="A303" t="s">
        <v>19</v>
      </c>
      <c r="B303" t="s">
        <v>49</v>
      </c>
      <c r="C303" t="s">
        <v>72</v>
      </c>
      <c r="D303">
        <v>10.199999999999999</v>
      </c>
      <c r="E303">
        <f>Tableau2[[#This Row],[Potential (PJ)]]/3.6*1000</f>
        <v>2833.333333333333</v>
      </c>
      <c r="F303">
        <v>3.670343137254902</v>
      </c>
      <c r="G303">
        <f>Tableau2[[#This Row],[Cost (€/GJ)]]/1000000*3600</f>
        <v>1.3213235294117647E-2</v>
      </c>
      <c r="H303">
        <v>3.86607608129234</v>
      </c>
      <c r="I303">
        <f>Tableau2[[#This Row],[GHG (kgCO2eq/GJ)]]/1000*3.6</f>
        <v>1.3917873892652425E-2</v>
      </c>
      <c r="J303" t="s">
        <v>104</v>
      </c>
      <c r="K303" t="s">
        <v>108</v>
      </c>
    </row>
    <row r="304" spans="1:11" hidden="1" x14ac:dyDescent="0.3">
      <c r="A304" t="s">
        <v>19</v>
      </c>
      <c r="B304" t="s">
        <v>58</v>
      </c>
      <c r="C304" t="s">
        <v>95</v>
      </c>
      <c r="D304">
        <v>25.398520000000001</v>
      </c>
      <c r="E304">
        <f>Tableau2[[#This Row],[Potential (PJ)]]/3.6*1000</f>
        <v>7055.1444444444442</v>
      </c>
      <c r="F304">
        <v>2.686724634348773</v>
      </c>
      <c r="G304">
        <f>Tableau2[[#This Row],[Cost (€/GJ)]]/1000000*3600</f>
        <v>9.6722086836555816E-3</v>
      </c>
      <c r="H304">
        <v>2.9521711768407801</v>
      </c>
      <c r="I304">
        <f>Tableau2[[#This Row],[GHG (kgCO2eq/GJ)]]/1000*3.6</f>
        <v>1.0627816236626808E-2</v>
      </c>
      <c r="J304" t="s">
        <v>104</v>
      </c>
      <c r="K304" t="s">
        <v>108</v>
      </c>
    </row>
    <row r="305" spans="1:11" hidden="1" x14ac:dyDescent="0.3">
      <c r="A305" t="s">
        <v>19</v>
      </c>
      <c r="B305" t="s">
        <v>50</v>
      </c>
      <c r="C305" t="s">
        <v>73</v>
      </c>
      <c r="D305">
        <v>32.6</v>
      </c>
      <c r="E305">
        <f>Tableau2[[#This Row],[Potential (PJ)]]/3.6*1000</f>
        <v>9055.5555555555547</v>
      </c>
      <c r="F305">
        <v>5.4901901840490792</v>
      </c>
      <c r="G305">
        <f>Tableau2[[#This Row],[Cost (€/GJ)]]/1000000*3600</f>
        <v>1.9764684662576686E-2</v>
      </c>
      <c r="H305">
        <v>20.723404255319149</v>
      </c>
      <c r="I305">
        <f>Tableau2[[#This Row],[GHG (kgCO2eq/GJ)]]/1000*3.6</f>
        <v>7.4604255319148938E-2</v>
      </c>
      <c r="J305" t="s">
        <v>105</v>
      </c>
      <c r="K305" t="s">
        <v>108</v>
      </c>
    </row>
    <row r="306" spans="1:11" hidden="1" x14ac:dyDescent="0.3">
      <c r="A306" t="s">
        <v>19</v>
      </c>
      <c r="B306" t="s">
        <v>50</v>
      </c>
      <c r="C306" t="s">
        <v>74</v>
      </c>
      <c r="D306">
        <v>76.900000000000006</v>
      </c>
      <c r="E306">
        <f>Tableau2[[#This Row],[Potential (PJ)]]/3.6*1000</f>
        <v>21361.111111111109</v>
      </c>
      <c r="F306">
        <v>4.3343055916775031</v>
      </c>
      <c r="G306">
        <f>Tableau2[[#This Row],[Cost (€/GJ)]]/1000000*3600</f>
        <v>1.5603500130039012E-2</v>
      </c>
      <c r="H306">
        <v>2.0635593220338988</v>
      </c>
      <c r="I306">
        <f>Tableau2[[#This Row],[GHG (kgCO2eq/GJ)]]/1000*3.6</f>
        <v>7.4288135593220351E-3</v>
      </c>
      <c r="J306" t="s">
        <v>105</v>
      </c>
      <c r="K306" t="s">
        <v>108</v>
      </c>
    </row>
    <row r="307" spans="1:11" hidden="1" x14ac:dyDescent="0.3">
      <c r="A307" t="s">
        <v>19</v>
      </c>
      <c r="B307" t="s">
        <v>59</v>
      </c>
      <c r="C307" t="s">
        <v>97</v>
      </c>
      <c r="D307">
        <v>2.6153</v>
      </c>
      <c r="E307">
        <f>Tableau2[[#This Row],[Potential (PJ)]]/3.6*1000</f>
        <v>726.47222222222217</v>
      </c>
      <c r="F307">
        <v>20.835594139989151</v>
      </c>
      <c r="G307">
        <f>Tableau2[[#This Row],[Cost (€/GJ)]]/1000000*3600</f>
        <v>7.5008138903960936E-2</v>
      </c>
      <c r="H307">
        <v>33.700000000000003</v>
      </c>
      <c r="I307">
        <f>Tableau2[[#This Row],[GHG (kgCO2eq/GJ)]]/1000*3.6</f>
        <v>0.12132000000000001</v>
      </c>
      <c r="J307" t="s">
        <v>107</v>
      </c>
      <c r="K307" t="s">
        <v>109</v>
      </c>
    </row>
    <row r="308" spans="1:11" hidden="1" x14ac:dyDescent="0.3">
      <c r="A308" t="s">
        <v>19</v>
      </c>
      <c r="B308" t="s">
        <v>51</v>
      </c>
      <c r="C308" t="s">
        <v>75</v>
      </c>
      <c r="D308">
        <v>38.068689999999997</v>
      </c>
      <c r="E308">
        <f>Tableau2[[#This Row],[Potential (PJ)]]/3.6*1000</f>
        <v>10574.636111111109</v>
      </c>
      <c r="F308">
        <v>1.5912702026195001E-4</v>
      </c>
      <c r="G308">
        <f>Tableau2[[#This Row],[Cost (€/GJ)]]/1000000*3600</f>
        <v>5.7285727294302006E-7</v>
      </c>
      <c r="H308">
        <v>11.74</v>
      </c>
      <c r="I308">
        <f>Tableau2[[#This Row],[GHG (kgCO2eq/GJ)]]/1000*3.6</f>
        <v>4.2264000000000003E-2</v>
      </c>
      <c r="J308" t="s">
        <v>104</v>
      </c>
      <c r="K308" t="s">
        <v>108</v>
      </c>
    </row>
    <row r="309" spans="1:11" hidden="1" x14ac:dyDescent="0.3">
      <c r="A309" t="s">
        <v>19</v>
      </c>
      <c r="B309" t="s">
        <v>60</v>
      </c>
      <c r="C309" t="s">
        <v>98</v>
      </c>
      <c r="D309">
        <v>0.67646000000000006</v>
      </c>
      <c r="E309">
        <f>Tableau2[[#This Row],[Potential (PJ)]]/3.6*1000</f>
        <v>187.90555555555557</v>
      </c>
      <c r="F309">
        <v>25.563909774436091</v>
      </c>
      <c r="G309">
        <f>Tableau2[[#This Row],[Cost (€/GJ)]]/1000000*3600</f>
        <v>9.203007518796992E-2</v>
      </c>
      <c r="H309">
        <v>19.899999999999999</v>
      </c>
      <c r="I309">
        <f>Tableau2[[#This Row],[GHG (kgCO2eq/GJ)]]/1000*3.6</f>
        <v>7.1639999999999995E-2</v>
      </c>
      <c r="J309" t="s">
        <v>107</v>
      </c>
      <c r="K309" t="s">
        <v>109</v>
      </c>
    </row>
    <row r="310" spans="1:11" hidden="1" x14ac:dyDescent="0.3">
      <c r="A310" t="s">
        <v>19</v>
      </c>
      <c r="B310" t="s">
        <v>52</v>
      </c>
      <c r="C310" t="s">
        <v>76</v>
      </c>
      <c r="D310">
        <v>2.0619999999999998</v>
      </c>
      <c r="E310">
        <f>Tableau2[[#This Row],[Potential (PJ)]]/3.6*1000</f>
        <v>572.77777777777771</v>
      </c>
      <c r="F310">
        <v>5.4702337500000002</v>
      </c>
      <c r="G310">
        <f>Tableau2[[#This Row],[Cost (€/GJ)]]/1000000*3600</f>
        <v>1.9692841500000002E-2</v>
      </c>
      <c r="H310">
        <v>12.68872359754714</v>
      </c>
      <c r="I310">
        <f>Tableau2[[#This Row],[GHG (kgCO2eq/GJ)]]/1000*3.6</f>
        <v>4.5679404951169705E-2</v>
      </c>
      <c r="J310" t="s">
        <v>105</v>
      </c>
      <c r="K310" t="s">
        <v>108</v>
      </c>
    </row>
    <row r="311" spans="1:11" hidden="1" x14ac:dyDescent="0.3">
      <c r="A311" t="s">
        <v>19</v>
      </c>
      <c r="B311" t="s">
        <v>53</v>
      </c>
      <c r="C311" t="s">
        <v>77</v>
      </c>
      <c r="D311">
        <v>10.1</v>
      </c>
      <c r="E311">
        <f>Tableau2[[#This Row],[Potential (PJ)]]/3.6*1000</f>
        <v>2805.5555555555552</v>
      </c>
      <c r="F311">
        <v>3.6704455445544562</v>
      </c>
      <c r="G311">
        <f>Tableau2[[#This Row],[Cost (€/GJ)]]/1000000*3600</f>
        <v>1.3213603960396041E-2</v>
      </c>
      <c r="H311">
        <v>3.86607608129234</v>
      </c>
      <c r="I311">
        <f>Tableau2[[#This Row],[GHG (kgCO2eq/GJ)]]/1000*3.6</f>
        <v>1.3917873892652425E-2</v>
      </c>
      <c r="J311" t="s">
        <v>104</v>
      </c>
      <c r="K311" t="s">
        <v>108</v>
      </c>
    </row>
    <row r="312" spans="1:11" hidden="1" x14ac:dyDescent="0.3">
      <c r="A312" t="s">
        <v>19</v>
      </c>
      <c r="B312" t="s">
        <v>61</v>
      </c>
      <c r="C312" t="s">
        <v>99</v>
      </c>
      <c r="D312">
        <v>12.4</v>
      </c>
      <c r="E312">
        <f>Tableau2[[#This Row],[Potential (PJ)]]/3.6*1000</f>
        <v>3444.4444444444448</v>
      </c>
      <c r="F312">
        <v>1.9432338709677419</v>
      </c>
      <c r="G312">
        <f>Tableau2[[#This Row],[Cost (€/GJ)]]/1000000*3600</f>
        <v>6.9956419354838713E-3</v>
      </c>
      <c r="H312">
        <v>2.9245635910224439</v>
      </c>
      <c r="I312">
        <f>Tableau2[[#This Row],[GHG (kgCO2eq/GJ)]]/1000*3.6</f>
        <v>1.0528428927680798E-2</v>
      </c>
      <c r="J312" t="s">
        <v>104</v>
      </c>
      <c r="K312" t="s">
        <v>108</v>
      </c>
    </row>
    <row r="313" spans="1:11" hidden="1" x14ac:dyDescent="0.3">
      <c r="A313" t="s">
        <v>19</v>
      </c>
      <c r="B313" t="s">
        <v>62</v>
      </c>
      <c r="C313" t="s">
        <v>100</v>
      </c>
      <c r="D313">
        <v>2.5</v>
      </c>
      <c r="E313">
        <f>Tableau2[[#This Row],[Potential (PJ)]]/3.6*1000</f>
        <v>694.44444444444446</v>
      </c>
      <c r="F313">
        <v>0.20399999999999999</v>
      </c>
      <c r="G313">
        <f>Tableau2[[#This Row],[Cost (€/GJ)]]/1000000*3600</f>
        <v>7.3439999999999985E-4</v>
      </c>
      <c r="H313">
        <v>2.6764106050305911</v>
      </c>
      <c r="I313">
        <f>Tableau2[[#This Row],[GHG (kgCO2eq/GJ)]]/1000*3.6</f>
        <v>9.6350781781101291E-3</v>
      </c>
      <c r="J313" t="s">
        <v>104</v>
      </c>
      <c r="K313" t="s">
        <v>108</v>
      </c>
    </row>
    <row r="314" spans="1:11" hidden="1" x14ac:dyDescent="0.3">
      <c r="A314" t="s">
        <v>19</v>
      </c>
      <c r="B314" t="s">
        <v>54</v>
      </c>
      <c r="C314" t="s">
        <v>78</v>
      </c>
      <c r="D314">
        <v>85.7</v>
      </c>
      <c r="E314">
        <f>Tableau2[[#This Row],[Potential (PJ)]]/3.6*1000</f>
        <v>23805.555555555558</v>
      </c>
      <c r="F314">
        <v>7.6101353558926483</v>
      </c>
      <c r="G314">
        <f>Tableau2[[#This Row],[Cost (€/GJ)]]/1000000*3600</f>
        <v>2.7396487281213532E-2</v>
      </c>
      <c r="H314">
        <v>3.86607608129234</v>
      </c>
      <c r="I314">
        <f>Tableau2[[#This Row],[GHG (kgCO2eq/GJ)]]/1000*3.6</f>
        <v>1.3917873892652425E-2</v>
      </c>
      <c r="J314" t="s">
        <v>104</v>
      </c>
      <c r="K314" t="s">
        <v>108</v>
      </c>
    </row>
    <row r="315" spans="1:11" hidden="1" x14ac:dyDescent="0.3">
      <c r="A315" t="s">
        <v>20</v>
      </c>
      <c r="B315" t="s">
        <v>46</v>
      </c>
      <c r="C315" t="s">
        <v>64</v>
      </c>
      <c r="D315">
        <v>1.5610000000000001E-2</v>
      </c>
      <c r="E315">
        <f>Tableau2[[#This Row],[Potential (PJ)]]/3.6*1000</f>
        <v>4.3361111111111112</v>
      </c>
      <c r="F315">
        <v>2.4841031390134529</v>
      </c>
      <c r="G315">
        <f>Tableau2[[#This Row],[Cost (€/GJ)]]/1000000*3600</f>
        <v>8.9427713004484304E-3</v>
      </c>
      <c r="H315">
        <v>2.9521711768407801</v>
      </c>
      <c r="I315">
        <f>Tableau2[[#This Row],[GHG (kgCO2eq/GJ)]]/1000*3.6</f>
        <v>1.0627816236626808E-2</v>
      </c>
      <c r="J315" t="s">
        <v>104</v>
      </c>
      <c r="K315" t="s">
        <v>108</v>
      </c>
    </row>
    <row r="316" spans="1:11" hidden="1" x14ac:dyDescent="0.3">
      <c r="A316" t="s">
        <v>20</v>
      </c>
      <c r="B316" t="s">
        <v>46</v>
      </c>
      <c r="C316" t="s">
        <v>79</v>
      </c>
      <c r="D316">
        <v>17.600000000000001</v>
      </c>
      <c r="E316">
        <f>Tableau2[[#This Row],[Potential (PJ)]]/3.6*1000</f>
        <v>4888.8888888888896</v>
      </c>
      <c r="F316">
        <v>3.6597329545454542</v>
      </c>
      <c r="G316">
        <f>Tableau2[[#This Row],[Cost (€/GJ)]]/1000000*3600</f>
        <v>1.3175038636363635E-2</v>
      </c>
      <c r="H316">
        <v>6.8428961748633883</v>
      </c>
      <c r="I316">
        <f>Tableau2[[#This Row],[GHG (kgCO2eq/GJ)]]/1000*3.6</f>
        <v>2.4634426229508198E-2</v>
      </c>
      <c r="J316" t="s">
        <v>104</v>
      </c>
      <c r="K316" t="s">
        <v>108</v>
      </c>
    </row>
    <row r="317" spans="1:11" hidden="1" x14ac:dyDescent="0.3">
      <c r="A317" t="s">
        <v>20</v>
      </c>
      <c r="B317" t="s">
        <v>46</v>
      </c>
      <c r="C317" t="s">
        <v>82</v>
      </c>
      <c r="D317">
        <v>0.1</v>
      </c>
      <c r="E317">
        <f>Tableau2[[#This Row],[Potential (PJ)]]/3.6*1000</f>
        <v>27.777777777777779</v>
      </c>
      <c r="F317">
        <v>2.5129999999999999</v>
      </c>
      <c r="G317">
        <f>Tableau2[[#This Row],[Cost (€/GJ)]]/1000000*3600</f>
        <v>9.0467999999999989E-3</v>
      </c>
      <c r="H317">
        <v>6.8428961748633883</v>
      </c>
      <c r="I317">
        <f>Tableau2[[#This Row],[GHG (kgCO2eq/GJ)]]/1000*3.6</f>
        <v>2.4634426229508198E-2</v>
      </c>
      <c r="J317" t="s">
        <v>104</v>
      </c>
      <c r="K317" t="s">
        <v>108</v>
      </c>
    </row>
    <row r="318" spans="1:11" hidden="1" x14ac:dyDescent="0.3">
      <c r="A318" t="s">
        <v>20</v>
      </c>
      <c r="B318" t="s">
        <v>55</v>
      </c>
      <c r="C318" t="s">
        <v>86</v>
      </c>
      <c r="D318">
        <v>0.84650000000000003</v>
      </c>
      <c r="E318">
        <f>Tableau2[[#This Row],[Potential (PJ)]]/3.6*1000</f>
        <v>235.13888888888889</v>
      </c>
      <c r="F318">
        <v>16.652000000000001</v>
      </c>
      <c r="G318">
        <f>Tableau2[[#This Row],[Cost (€/GJ)]]/1000000*3600</f>
        <v>5.9947200000000006E-2</v>
      </c>
      <c r="H318">
        <v>43.2</v>
      </c>
      <c r="I318">
        <f>Tableau2[[#This Row],[GHG (kgCO2eq/GJ)]]/1000*3.6</f>
        <v>0.15552000000000002</v>
      </c>
      <c r="J318" t="s">
        <v>106</v>
      </c>
      <c r="K318" t="s">
        <v>109</v>
      </c>
    </row>
    <row r="319" spans="1:11" hidden="1" x14ac:dyDescent="0.3">
      <c r="A319" t="s">
        <v>20</v>
      </c>
      <c r="B319" t="s">
        <v>55</v>
      </c>
      <c r="C319" t="s">
        <v>89</v>
      </c>
      <c r="D319">
        <v>7.7899999999999997E-2</v>
      </c>
      <c r="E319">
        <f>Tableau2[[#This Row],[Potential (PJ)]]/3.6*1000</f>
        <v>21.638888888888889</v>
      </c>
      <c r="F319">
        <v>0</v>
      </c>
      <c r="G319">
        <f>Tableau2[[#This Row],[Cost (€/GJ)]]/1000000*3600</f>
        <v>0</v>
      </c>
      <c r="H319">
        <v>43.2</v>
      </c>
      <c r="I319">
        <f>Tableau2[[#This Row],[GHG (kgCO2eq/GJ)]]/1000*3.6</f>
        <v>0.15552000000000002</v>
      </c>
      <c r="J319" t="s">
        <v>106</v>
      </c>
      <c r="K319" t="s">
        <v>109</v>
      </c>
    </row>
    <row r="320" spans="1:11" hidden="1" x14ac:dyDescent="0.3">
      <c r="A320" t="s">
        <v>20</v>
      </c>
      <c r="B320" t="s">
        <v>55</v>
      </c>
      <c r="C320" t="s">
        <v>91</v>
      </c>
      <c r="D320">
        <v>5.0000000000000001E-4</v>
      </c>
      <c r="E320">
        <f>Tableau2[[#This Row],[Potential (PJ)]]/3.6*1000</f>
        <v>0.1388888888888889</v>
      </c>
      <c r="F320">
        <v>20.088000000000001</v>
      </c>
      <c r="G320">
        <f>Tableau2[[#This Row],[Cost (€/GJ)]]/1000000*3600</f>
        <v>7.2316800000000001E-2</v>
      </c>
      <c r="H320">
        <v>43.2</v>
      </c>
      <c r="I320">
        <f>Tableau2[[#This Row],[GHG (kgCO2eq/GJ)]]/1000*3.6</f>
        <v>0.15552000000000002</v>
      </c>
      <c r="J320" t="s">
        <v>106</v>
      </c>
      <c r="K320" t="s">
        <v>109</v>
      </c>
    </row>
    <row r="321" spans="1:11" hidden="1" x14ac:dyDescent="0.3">
      <c r="A321" t="s">
        <v>20</v>
      </c>
      <c r="B321" t="s">
        <v>55</v>
      </c>
      <c r="C321" t="s">
        <v>92</v>
      </c>
      <c r="D321">
        <v>0.40116000000000002</v>
      </c>
      <c r="E321">
        <f>Tableau2[[#This Row],[Potential (PJ)]]/3.6*1000</f>
        <v>111.43333333333332</v>
      </c>
      <c r="F321">
        <v>16.559000000000001</v>
      </c>
      <c r="G321">
        <f>Tableau2[[#This Row],[Cost (€/GJ)]]/1000000*3600</f>
        <v>5.961240000000001E-2</v>
      </c>
      <c r="H321">
        <v>43.2</v>
      </c>
      <c r="I321">
        <f>Tableau2[[#This Row],[GHG (kgCO2eq/GJ)]]/1000*3.6</f>
        <v>0.15552000000000002</v>
      </c>
      <c r="J321" t="s">
        <v>106</v>
      </c>
      <c r="K321" t="s">
        <v>109</v>
      </c>
    </row>
    <row r="322" spans="1:11" hidden="1" x14ac:dyDescent="0.3">
      <c r="A322" t="s">
        <v>20</v>
      </c>
      <c r="B322" t="s">
        <v>47</v>
      </c>
      <c r="C322" t="s">
        <v>101</v>
      </c>
      <c r="D322">
        <v>20.6</v>
      </c>
      <c r="E322">
        <f>Tableau2[[#This Row],[Potential (PJ)]]/3.6*1000</f>
        <v>5722.2222222222226</v>
      </c>
      <c r="F322">
        <v>4.6403155339805826</v>
      </c>
      <c r="G322">
        <f>Tableau2[[#This Row],[Cost (€/GJ)]]/1000000*3600</f>
        <v>1.6705135922330097E-2</v>
      </c>
      <c r="H322">
        <v>43.1</v>
      </c>
      <c r="I322">
        <f>Tableau2[[#This Row],[GHG (kgCO2eq/GJ)]]/1000*3.6</f>
        <v>0.15515999999999999</v>
      </c>
      <c r="J322" t="s">
        <v>104</v>
      </c>
      <c r="K322" t="s">
        <v>109</v>
      </c>
    </row>
    <row r="323" spans="1:11" hidden="1" x14ac:dyDescent="0.3">
      <c r="A323" t="s">
        <v>20</v>
      </c>
      <c r="B323" t="s">
        <v>57</v>
      </c>
      <c r="C323" t="s">
        <v>94</v>
      </c>
      <c r="D323">
        <v>7.4</v>
      </c>
      <c r="E323">
        <f>Tableau2[[#This Row],[Potential (PJ)]]/3.6*1000</f>
        <v>2055.5555555555557</v>
      </c>
      <c r="F323">
        <v>11.766202702702699</v>
      </c>
      <c r="G323">
        <f>Tableau2[[#This Row],[Cost (€/GJ)]]/1000000*3600</f>
        <v>4.2358329729729721E-2</v>
      </c>
      <c r="H323">
        <v>24.4</v>
      </c>
      <c r="I323">
        <f>Tableau2[[#This Row],[GHG (kgCO2eq/GJ)]]/1000*3.6</f>
        <v>8.7840000000000001E-2</v>
      </c>
      <c r="J323" t="s">
        <v>104</v>
      </c>
      <c r="K323" t="s">
        <v>109</v>
      </c>
    </row>
    <row r="324" spans="1:11" hidden="1" x14ac:dyDescent="0.3">
      <c r="A324" t="s">
        <v>20</v>
      </c>
      <c r="B324" t="s">
        <v>49</v>
      </c>
      <c r="C324" t="s">
        <v>71</v>
      </c>
      <c r="D324">
        <v>130.00230999999999</v>
      </c>
      <c r="E324">
        <f>Tableau2[[#This Row],[Potential (PJ)]]/3.6*1000</f>
        <v>36111.752777777772</v>
      </c>
      <c r="F324">
        <v>4.998043064773233</v>
      </c>
      <c r="G324">
        <f>Tableau2[[#This Row],[Cost (€/GJ)]]/1000000*3600</f>
        <v>1.7992955033183641E-2</v>
      </c>
      <c r="H324">
        <v>3.86607608129234</v>
      </c>
      <c r="I324">
        <f>Tableau2[[#This Row],[GHG (kgCO2eq/GJ)]]/1000*3.6</f>
        <v>1.3917873892652425E-2</v>
      </c>
      <c r="J324" t="s">
        <v>104</v>
      </c>
      <c r="K324" t="s">
        <v>108</v>
      </c>
    </row>
    <row r="325" spans="1:11" hidden="1" x14ac:dyDescent="0.3">
      <c r="A325" t="s">
        <v>20</v>
      </c>
      <c r="B325" t="s">
        <v>49</v>
      </c>
      <c r="C325" t="s">
        <v>72</v>
      </c>
      <c r="D325">
        <v>8.6000000000000014</v>
      </c>
      <c r="E325">
        <f>Tableau2[[#This Row],[Potential (PJ)]]/3.6*1000</f>
        <v>2388.8888888888891</v>
      </c>
      <c r="F325">
        <v>3.9877093023255821</v>
      </c>
      <c r="G325">
        <f>Tableau2[[#This Row],[Cost (€/GJ)]]/1000000*3600</f>
        <v>1.4355753488372093E-2</v>
      </c>
      <c r="H325">
        <v>3.86607608129234</v>
      </c>
      <c r="I325">
        <f>Tableau2[[#This Row],[GHG (kgCO2eq/GJ)]]/1000*3.6</f>
        <v>1.3917873892652425E-2</v>
      </c>
      <c r="J325" t="s">
        <v>104</v>
      </c>
      <c r="K325" t="s">
        <v>108</v>
      </c>
    </row>
    <row r="326" spans="1:11" hidden="1" x14ac:dyDescent="0.3">
      <c r="A326" t="s">
        <v>20</v>
      </c>
      <c r="B326" t="s">
        <v>58</v>
      </c>
      <c r="C326" t="s">
        <v>95</v>
      </c>
      <c r="D326">
        <v>8.6365300000000005</v>
      </c>
      <c r="E326">
        <f>Tableau2[[#This Row],[Potential (PJ)]]/3.6*1000</f>
        <v>2399.036111111111</v>
      </c>
      <c r="F326">
        <v>2.468</v>
      </c>
      <c r="G326">
        <f>Tableau2[[#This Row],[Cost (€/GJ)]]/1000000*3600</f>
        <v>8.8848E-3</v>
      </c>
      <c r="H326">
        <v>2.9521711768407801</v>
      </c>
      <c r="I326">
        <f>Tableau2[[#This Row],[GHG (kgCO2eq/GJ)]]/1000*3.6</f>
        <v>1.0627816236626808E-2</v>
      </c>
      <c r="J326" t="s">
        <v>104</v>
      </c>
      <c r="K326" t="s">
        <v>108</v>
      </c>
    </row>
    <row r="327" spans="1:11" hidden="1" x14ac:dyDescent="0.3">
      <c r="A327" t="s">
        <v>20</v>
      </c>
      <c r="B327" t="s">
        <v>50</v>
      </c>
      <c r="C327" t="s">
        <v>73</v>
      </c>
      <c r="D327">
        <v>1.4</v>
      </c>
      <c r="E327">
        <f>Tableau2[[#This Row],[Potential (PJ)]]/3.6*1000</f>
        <v>388.88888888888886</v>
      </c>
      <c r="F327">
        <v>5.6757857142857144</v>
      </c>
      <c r="G327">
        <f>Tableau2[[#This Row],[Cost (€/GJ)]]/1000000*3600</f>
        <v>2.0432828571428575E-2</v>
      </c>
      <c r="H327">
        <v>20.723404255319149</v>
      </c>
      <c r="I327">
        <f>Tableau2[[#This Row],[GHG (kgCO2eq/GJ)]]/1000*3.6</f>
        <v>7.4604255319148938E-2</v>
      </c>
      <c r="J327" t="s">
        <v>105</v>
      </c>
      <c r="K327" t="s">
        <v>108</v>
      </c>
    </row>
    <row r="328" spans="1:11" hidden="1" x14ac:dyDescent="0.3">
      <c r="A328" t="s">
        <v>20</v>
      </c>
      <c r="B328" t="s">
        <v>50</v>
      </c>
      <c r="C328" t="s">
        <v>74</v>
      </c>
      <c r="D328">
        <v>2.7</v>
      </c>
      <c r="E328">
        <f>Tableau2[[#This Row],[Potential (PJ)]]/3.6*1000</f>
        <v>750</v>
      </c>
      <c r="F328">
        <v>6.8039629629629621</v>
      </c>
      <c r="G328">
        <f>Tableau2[[#This Row],[Cost (€/GJ)]]/1000000*3600</f>
        <v>2.4494266666666663E-2</v>
      </c>
      <c r="H328">
        <v>2.0635593220338988</v>
      </c>
      <c r="I328">
        <f>Tableau2[[#This Row],[GHG (kgCO2eq/GJ)]]/1000*3.6</f>
        <v>7.4288135593220351E-3</v>
      </c>
      <c r="J328" t="s">
        <v>105</v>
      </c>
      <c r="K328" t="s">
        <v>108</v>
      </c>
    </row>
    <row r="329" spans="1:11" hidden="1" x14ac:dyDescent="0.3">
      <c r="A329" t="s">
        <v>20</v>
      </c>
      <c r="B329" t="s">
        <v>51</v>
      </c>
      <c r="C329" t="s">
        <v>75</v>
      </c>
      <c r="D329">
        <v>16.9954</v>
      </c>
      <c r="E329">
        <f>Tableau2[[#This Row],[Potential (PJ)]]/3.6*1000</f>
        <v>4720.9444444444443</v>
      </c>
      <c r="F329">
        <v>3.1137670875011601E-2</v>
      </c>
      <c r="G329">
        <f>Tableau2[[#This Row],[Cost (€/GJ)]]/1000000*3600</f>
        <v>1.1209561515004176E-4</v>
      </c>
      <c r="H329">
        <v>11.74</v>
      </c>
      <c r="I329">
        <f>Tableau2[[#This Row],[GHG (kgCO2eq/GJ)]]/1000*3.6</f>
        <v>4.2264000000000003E-2</v>
      </c>
      <c r="J329" t="s">
        <v>104</v>
      </c>
      <c r="K329" t="s">
        <v>108</v>
      </c>
    </row>
    <row r="330" spans="1:11" hidden="1" x14ac:dyDescent="0.3">
      <c r="A330" t="s">
        <v>20</v>
      </c>
      <c r="B330" t="s">
        <v>60</v>
      </c>
      <c r="C330" t="s">
        <v>98</v>
      </c>
      <c r="D330">
        <v>0.15962000000000001</v>
      </c>
      <c r="E330">
        <f>Tableau2[[#This Row],[Potential (PJ)]]/3.6*1000</f>
        <v>44.338888888888896</v>
      </c>
      <c r="F330">
        <v>19.01181525241676</v>
      </c>
      <c r="G330">
        <f>Tableau2[[#This Row],[Cost (€/GJ)]]/1000000*3600</f>
        <v>6.8442534908700337E-2</v>
      </c>
      <c r="H330">
        <v>98.1</v>
      </c>
      <c r="I330">
        <f>Tableau2[[#This Row],[GHG (kgCO2eq/GJ)]]/1000*3.6</f>
        <v>0.35315999999999997</v>
      </c>
      <c r="J330" t="s">
        <v>107</v>
      </c>
      <c r="K330" t="s">
        <v>109</v>
      </c>
    </row>
    <row r="331" spans="1:11" hidden="1" x14ac:dyDescent="0.3">
      <c r="A331" t="s">
        <v>20</v>
      </c>
      <c r="B331" t="s">
        <v>52</v>
      </c>
      <c r="C331" t="s">
        <v>76</v>
      </c>
      <c r="D331">
        <v>4.0650000000000004</v>
      </c>
      <c r="E331">
        <f>Tableau2[[#This Row],[Potential (PJ)]]/3.6*1000</f>
        <v>1129.1666666666667</v>
      </c>
      <c r="F331">
        <v>5.4702337500000002</v>
      </c>
      <c r="G331">
        <f>Tableau2[[#This Row],[Cost (€/GJ)]]/1000000*3600</f>
        <v>1.9692841500000002E-2</v>
      </c>
      <c r="H331">
        <v>12.68872359754714</v>
      </c>
      <c r="I331">
        <f>Tableau2[[#This Row],[GHG (kgCO2eq/GJ)]]/1000*3.6</f>
        <v>4.5679404951169705E-2</v>
      </c>
      <c r="J331" t="s">
        <v>105</v>
      </c>
      <c r="K331" t="s">
        <v>108</v>
      </c>
    </row>
    <row r="332" spans="1:11" hidden="1" x14ac:dyDescent="0.3">
      <c r="A332" t="s">
        <v>20</v>
      </c>
      <c r="B332" t="s">
        <v>53</v>
      </c>
      <c r="C332" t="s">
        <v>77</v>
      </c>
      <c r="D332">
        <v>12.8</v>
      </c>
      <c r="E332">
        <f>Tableau2[[#This Row],[Potential (PJ)]]/3.6*1000</f>
        <v>3555.5555555555557</v>
      </c>
      <c r="F332">
        <v>3.9881718749999999</v>
      </c>
      <c r="G332">
        <f>Tableau2[[#This Row],[Cost (€/GJ)]]/1000000*3600</f>
        <v>1.435741875E-2</v>
      </c>
      <c r="H332">
        <v>3.86607608129234</v>
      </c>
      <c r="I332">
        <f>Tableau2[[#This Row],[GHG (kgCO2eq/GJ)]]/1000*3.6</f>
        <v>1.3917873892652425E-2</v>
      </c>
      <c r="J332" t="s">
        <v>104</v>
      </c>
      <c r="K332" t="s">
        <v>108</v>
      </c>
    </row>
    <row r="333" spans="1:11" hidden="1" x14ac:dyDescent="0.3">
      <c r="A333" t="s">
        <v>20</v>
      </c>
      <c r="B333" t="s">
        <v>61</v>
      </c>
      <c r="C333" t="s">
        <v>99</v>
      </c>
      <c r="D333">
        <v>31.9</v>
      </c>
      <c r="E333">
        <f>Tableau2[[#This Row],[Potential (PJ)]]/3.6*1000</f>
        <v>8861.1111111111113</v>
      </c>
      <c r="F333">
        <v>1.5120094043887149</v>
      </c>
      <c r="G333">
        <f>Tableau2[[#This Row],[Cost (€/GJ)]]/1000000*3600</f>
        <v>5.4432338557993737E-3</v>
      </c>
      <c r="H333">
        <v>2.9245635910224439</v>
      </c>
      <c r="I333">
        <f>Tableau2[[#This Row],[GHG (kgCO2eq/GJ)]]/1000*3.6</f>
        <v>1.0528428927680798E-2</v>
      </c>
      <c r="J333" t="s">
        <v>104</v>
      </c>
      <c r="K333" t="s">
        <v>108</v>
      </c>
    </row>
    <row r="334" spans="1:11" hidden="1" x14ac:dyDescent="0.3">
      <c r="A334" t="s">
        <v>20</v>
      </c>
      <c r="B334" t="s">
        <v>62</v>
      </c>
      <c r="C334" t="s">
        <v>100</v>
      </c>
      <c r="D334">
        <v>13.2</v>
      </c>
      <c r="E334">
        <f>Tableau2[[#This Row],[Potential (PJ)]]/3.6*1000</f>
        <v>3666.6666666666665</v>
      </c>
      <c r="F334">
        <v>0.57424242424242433</v>
      </c>
      <c r="G334">
        <f>Tableau2[[#This Row],[Cost (€/GJ)]]/1000000*3600</f>
        <v>2.0672727272727275E-3</v>
      </c>
      <c r="H334">
        <v>2.6764106050305911</v>
      </c>
      <c r="I334">
        <f>Tableau2[[#This Row],[GHG (kgCO2eq/GJ)]]/1000*3.6</f>
        <v>9.6350781781101291E-3</v>
      </c>
      <c r="J334" t="s">
        <v>104</v>
      </c>
      <c r="K334" t="s">
        <v>108</v>
      </c>
    </row>
    <row r="335" spans="1:11" hidden="1" x14ac:dyDescent="0.3">
      <c r="A335" t="s">
        <v>20</v>
      </c>
      <c r="B335" t="s">
        <v>54</v>
      </c>
      <c r="C335" t="s">
        <v>78</v>
      </c>
      <c r="D335">
        <v>193.6</v>
      </c>
      <c r="E335">
        <f>Tableau2[[#This Row],[Potential (PJ)]]/3.6*1000</f>
        <v>53777.777777777774</v>
      </c>
      <c r="F335">
        <v>8.2810242768595028</v>
      </c>
      <c r="G335">
        <f>Tableau2[[#This Row],[Cost (€/GJ)]]/1000000*3600</f>
        <v>2.9811687396694212E-2</v>
      </c>
      <c r="H335">
        <v>3.86607608129234</v>
      </c>
      <c r="I335">
        <f>Tableau2[[#This Row],[GHG (kgCO2eq/GJ)]]/1000*3.6</f>
        <v>1.3917873892652425E-2</v>
      </c>
      <c r="J335" t="s">
        <v>104</v>
      </c>
      <c r="K335" t="s">
        <v>108</v>
      </c>
    </row>
    <row r="336" spans="1:11" x14ac:dyDescent="0.3">
      <c r="A336" t="s">
        <v>21</v>
      </c>
      <c r="B336" t="s">
        <v>46</v>
      </c>
      <c r="C336" t="s">
        <v>64</v>
      </c>
      <c r="D336">
        <v>0.19794999999999999</v>
      </c>
      <c r="E336">
        <f>Tableau2[[#This Row],[Potential (PJ)]]/3.6*1000</f>
        <v>54.986111111111107</v>
      </c>
      <c r="F336">
        <v>4.3118456680980053</v>
      </c>
      <c r="G336">
        <f>Tableau2[[#This Row],[Cost (€/GJ)]]/1000000*3600</f>
        <v>1.5522644405152818E-2</v>
      </c>
      <c r="H336">
        <v>2.9521711768407801</v>
      </c>
      <c r="I336">
        <f>Tableau2[[#This Row],[GHG (kgCO2eq/GJ)]]/1000*3.6</f>
        <v>1.0627816236626808E-2</v>
      </c>
      <c r="J336" t="s">
        <v>104</v>
      </c>
      <c r="K336" t="s">
        <v>108</v>
      </c>
    </row>
    <row r="337" spans="1:11" x14ac:dyDescent="0.3">
      <c r="A337" t="s">
        <v>21</v>
      </c>
      <c r="B337" t="s">
        <v>46</v>
      </c>
      <c r="C337" t="s">
        <v>79</v>
      </c>
      <c r="D337">
        <v>131.6</v>
      </c>
      <c r="E337">
        <f>Tableau2[[#This Row],[Potential (PJ)]]/3.6*1000</f>
        <v>36555.555555555547</v>
      </c>
      <c r="F337">
        <v>2.2470417933130702</v>
      </c>
      <c r="G337">
        <f>Tableau2[[#This Row],[Cost (€/GJ)]]/1000000*3600</f>
        <v>8.0893504559270534E-3</v>
      </c>
      <c r="H337">
        <v>6.8428961748633883</v>
      </c>
      <c r="I337">
        <f>Tableau2[[#This Row],[GHG (kgCO2eq/GJ)]]/1000*3.6</f>
        <v>2.4634426229508198E-2</v>
      </c>
      <c r="J337" t="s">
        <v>104</v>
      </c>
      <c r="K337" t="s">
        <v>108</v>
      </c>
    </row>
    <row r="338" spans="1:11" x14ac:dyDescent="0.3">
      <c r="A338" t="s">
        <v>21</v>
      </c>
      <c r="B338" t="s">
        <v>46</v>
      </c>
      <c r="C338" t="s">
        <v>65</v>
      </c>
      <c r="D338">
        <v>0.70000000000000007</v>
      </c>
      <c r="E338">
        <f>Tableau2[[#This Row],[Potential (PJ)]]/3.6*1000</f>
        <v>194.44444444444446</v>
      </c>
      <c r="F338">
        <v>5.7412857142857154</v>
      </c>
      <c r="G338">
        <f>Tableau2[[#This Row],[Cost (€/GJ)]]/1000000*3600</f>
        <v>2.0668628571428576E-2</v>
      </c>
      <c r="H338">
        <v>2.9521711768407801</v>
      </c>
      <c r="I338">
        <f>Tableau2[[#This Row],[GHG (kgCO2eq/GJ)]]/1000*3.6</f>
        <v>1.0627816236626808E-2</v>
      </c>
      <c r="J338" t="s">
        <v>104</v>
      </c>
      <c r="K338" t="s">
        <v>108</v>
      </c>
    </row>
    <row r="339" spans="1:11" x14ac:dyDescent="0.3">
      <c r="A339" t="s">
        <v>21</v>
      </c>
      <c r="B339" t="s">
        <v>49</v>
      </c>
      <c r="C339" t="s">
        <v>71</v>
      </c>
      <c r="D339">
        <v>122.89854</v>
      </c>
      <c r="E339">
        <f>Tableau2[[#This Row],[Potential (PJ)]]/3.6*1000</f>
        <v>34138.48333333333</v>
      </c>
      <c r="F339">
        <v>4.1322418684550692</v>
      </c>
      <c r="G339">
        <f>Tableau2[[#This Row],[Cost (€/GJ)]]/1000000*3600</f>
        <v>1.487607072643825E-2</v>
      </c>
      <c r="H339">
        <v>3.86607608129234</v>
      </c>
      <c r="I339">
        <f>Tableau2[[#This Row],[GHG (kgCO2eq/GJ)]]/1000*3.6</f>
        <v>1.3917873892652425E-2</v>
      </c>
      <c r="J339" t="s">
        <v>104</v>
      </c>
      <c r="K339" t="s">
        <v>108</v>
      </c>
    </row>
    <row r="340" spans="1:11" x14ac:dyDescent="0.3">
      <c r="A340" t="s">
        <v>21</v>
      </c>
      <c r="B340" t="s">
        <v>54</v>
      </c>
      <c r="C340" t="s">
        <v>78</v>
      </c>
      <c r="D340">
        <v>278.10000000000002</v>
      </c>
      <c r="E340">
        <f>Tableau2[[#This Row],[Potential (PJ)]]/3.6*1000</f>
        <v>77250</v>
      </c>
      <c r="F340">
        <v>6.8091636102121544</v>
      </c>
      <c r="G340">
        <f>Tableau2[[#This Row],[Cost (€/GJ)]]/1000000*3600</f>
        <v>2.4512988996763758E-2</v>
      </c>
      <c r="H340">
        <v>3.86607608129234</v>
      </c>
      <c r="I340">
        <f>Tableau2[[#This Row],[GHG (kgCO2eq/GJ)]]/1000*3.6</f>
        <v>1.3917873892652425E-2</v>
      </c>
      <c r="J340" t="s">
        <v>104</v>
      </c>
      <c r="K340" t="s">
        <v>108</v>
      </c>
    </row>
    <row r="341" spans="1:11" x14ac:dyDescent="0.3">
      <c r="A341" t="s">
        <v>21</v>
      </c>
      <c r="B341" t="s">
        <v>49</v>
      </c>
      <c r="C341" t="s">
        <v>72</v>
      </c>
      <c r="D341">
        <v>45.2</v>
      </c>
      <c r="E341">
        <f>Tableau2[[#This Row],[Potential (PJ)]]/3.6*1000</f>
        <v>12555.555555555555</v>
      </c>
      <c r="F341">
        <v>3.3090929203539821</v>
      </c>
      <c r="G341">
        <f>Tableau2[[#This Row],[Cost (€/GJ)]]/1000000*3600</f>
        <v>1.1912734513274336E-2</v>
      </c>
      <c r="H341">
        <v>3.86607608129234</v>
      </c>
      <c r="I341">
        <f>Tableau2[[#This Row],[GHG (kgCO2eq/GJ)]]/1000*3.6</f>
        <v>1.3917873892652425E-2</v>
      </c>
      <c r="J341" t="s">
        <v>104</v>
      </c>
      <c r="K341" t="s">
        <v>108</v>
      </c>
    </row>
    <row r="342" spans="1:11" x14ac:dyDescent="0.3">
      <c r="A342" t="s">
        <v>21</v>
      </c>
      <c r="B342" t="s">
        <v>53</v>
      </c>
      <c r="C342" t="s">
        <v>77</v>
      </c>
      <c r="D342">
        <v>102.1</v>
      </c>
      <c r="E342">
        <f>Tableau2[[#This Row],[Potential (PJ)]]/3.6*1000</f>
        <v>28361.111111111106</v>
      </c>
      <c r="F342">
        <v>3.308892262487757</v>
      </c>
      <c r="G342">
        <f>Tableau2[[#This Row],[Cost (€/GJ)]]/1000000*3600</f>
        <v>1.1912012144955925E-2</v>
      </c>
      <c r="H342">
        <v>3.86607608129234</v>
      </c>
      <c r="I342">
        <f>Tableau2[[#This Row],[GHG (kgCO2eq/GJ)]]/1000*3.6</f>
        <v>1.3917873892652425E-2</v>
      </c>
      <c r="J342" t="s">
        <v>104</v>
      </c>
      <c r="K342" t="s">
        <v>108</v>
      </c>
    </row>
    <row r="343" spans="1:11" x14ac:dyDescent="0.3">
      <c r="A343" t="s">
        <v>21</v>
      </c>
      <c r="B343" t="s">
        <v>58</v>
      </c>
      <c r="C343" t="s">
        <v>95</v>
      </c>
      <c r="D343">
        <v>51.021160000000002</v>
      </c>
      <c r="E343">
        <f>Tableau2[[#This Row],[Potential (PJ)]]/3.6*1000</f>
        <v>14172.544444444444</v>
      </c>
      <c r="F343">
        <v>2.526831207875321</v>
      </c>
      <c r="G343">
        <f>Tableau2[[#This Row],[Cost (€/GJ)]]/1000000*3600</f>
        <v>9.0965923483511558E-3</v>
      </c>
      <c r="H343">
        <v>2.9521711768407801</v>
      </c>
      <c r="I343">
        <f>Tableau2[[#This Row],[GHG (kgCO2eq/GJ)]]/1000*3.6</f>
        <v>1.0627816236626808E-2</v>
      </c>
      <c r="J343" t="s">
        <v>104</v>
      </c>
      <c r="K343" t="s">
        <v>108</v>
      </c>
    </row>
    <row r="344" spans="1:11" x14ac:dyDescent="0.3">
      <c r="A344" t="s">
        <v>21</v>
      </c>
      <c r="B344" t="s">
        <v>46</v>
      </c>
      <c r="C344" t="s">
        <v>66</v>
      </c>
      <c r="D344">
        <v>23</v>
      </c>
      <c r="E344">
        <f>Tableau2[[#This Row],[Potential (PJ)]]/3.6*1000</f>
        <v>6388.8888888888887</v>
      </c>
      <c r="F344">
        <v>2.2672869565217399</v>
      </c>
      <c r="G344">
        <f>Tableau2[[#This Row],[Cost (€/GJ)]]/1000000*3600</f>
        <v>8.162233043478264E-3</v>
      </c>
      <c r="H344">
        <v>6.8428961748633883</v>
      </c>
      <c r="I344">
        <f>Tableau2[[#This Row],[GHG (kgCO2eq/GJ)]]/1000*3.6</f>
        <v>2.4634426229508198E-2</v>
      </c>
      <c r="J344" t="s">
        <v>104</v>
      </c>
      <c r="K344" t="s">
        <v>108</v>
      </c>
    </row>
    <row r="345" spans="1:11" x14ac:dyDescent="0.3">
      <c r="A345" t="s">
        <v>21</v>
      </c>
      <c r="B345" t="s">
        <v>47</v>
      </c>
      <c r="C345" t="s">
        <v>68</v>
      </c>
      <c r="D345">
        <v>110.3</v>
      </c>
      <c r="E345">
        <f>Tableau2[[#This Row],[Potential (PJ)]]/3.6*1000</f>
        <v>30638.888888888887</v>
      </c>
      <c r="F345">
        <v>4.8822774252039904</v>
      </c>
      <c r="G345">
        <f>Tableau2[[#This Row],[Cost (€/GJ)]]/1000000*3600</f>
        <v>1.7576198730734367E-2</v>
      </c>
      <c r="H345">
        <v>18.600000000000001</v>
      </c>
      <c r="I345">
        <f>Tableau2[[#This Row],[GHG (kgCO2eq/GJ)]]/1000*3.6</f>
        <v>6.6960000000000006E-2</v>
      </c>
      <c r="J345" t="s">
        <v>104</v>
      </c>
      <c r="K345" t="s">
        <v>109</v>
      </c>
    </row>
    <row r="346" spans="1:11" x14ac:dyDescent="0.3">
      <c r="A346" t="s">
        <v>21</v>
      </c>
      <c r="B346" t="s">
        <v>51</v>
      </c>
      <c r="C346" t="s">
        <v>75</v>
      </c>
      <c r="D346">
        <v>113.45529999999999</v>
      </c>
      <c r="E346">
        <f>Tableau2[[#This Row],[Potential (PJ)]]/3.6*1000</f>
        <v>31515.361111111109</v>
      </c>
      <c r="F346">
        <v>5.5433655427400502E-2</v>
      </c>
      <c r="G346">
        <f>Tableau2[[#This Row],[Cost (€/GJ)]]/1000000*3600</f>
        <v>1.995611595386418E-4</v>
      </c>
      <c r="H346">
        <v>11.74</v>
      </c>
      <c r="I346">
        <f>Tableau2[[#This Row],[GHG (kgCO2eq/GJ)]]/1000*3.6</f>
        <v>4.2264000000000003E-2</v>
      </c>
      <c r="J346" t="s">
        <v>104</v>
      </c>
      <c r="K346" t="s">
        <v>108</v>
      </c>
    </row>
    <row r="347" spans="1:11" x14ac:dyDescent="0.3">
      <c r="A347" t="s">
        <v>21</v>
      </c>
      <c r="B347" t="s">
        <v>46</v>
      </c>
      <c r="C347" t="s">
        <v>63</v>
      </c>
      <c r="D347">
        <v>0.15989999999999999</v>
      </c>
      <c r="E347">
        <f>Tableau2[[#This Row],[Potential (PJ)]]/3.6*1000</f>
        <v>44.416666666666657</v>
      </c>
      <c r="F347">
        <v>2.9286474973375931</v>
      </c>
      <c r="G347">
        <f>Tableau2[[#This Row],[Cost (€/GJ)]]/1000000*3600</f>
        <v>1.0543130990415334E-2</v>
      </c>
      <c r="H347">
        <v>3.950479233226837</v>
      </c>
      <c r="I347">
        <f>Tableau2[[#This Row],[GHG (kgCO2eq/GJ)]]/1000*3.6</f>
        <v>1.4221725239616614E-2</v>
      </c>
      <c r="J347" t="s">
        <v>104</v>
      </c>
      <c r="K347" t="s">
        <v>108</v>
      </c>
    </row>
    <row r="348" spans="1:11" hidden="1" x14ac:dyDescent="0.3">
      <c r="A348" t="s">
        <v>21</v>
      </c>
      <c r="B348" t="s">
        <v>55</v>
      </c>
      <c r="C348" t="s">
        <v>86</v>
      </c>
      <c r="D348">
        <v>2.0167000000000002</v>
      </c>
      <c r="E348">
        <f>Tableau2[[#This Row],[Potential (PJ)]]/3.6*1000</f>
        <v>560.19444444444446</v>
      </c>
      <c r="F348">
        <v>16.649999999999991</v>
      </c>
      <c r="G348">
        <f>Tableau2[[#This Row],[Cost (€/GJ)]]/1000000*3600</f>
        <v>5.9939999999999966E-2</v>
      </c>
      <c r="H348">
        <v>18.100000000000001</v>
      </c>
      <c r="I348">
        <f>Tableau2[[#This Row],[GHG (kgCO2eq/GJ)]]/1000*3.6</f>
        <v>6.516000000000001E-2</v>
      </c>
      <c r="J348" t="s">
        <v>106</v>
      </c>
      <c r="K348" t="s">
        <v>109</v>
      </c>
    </row>
    <row r="349" spans="1:11" hidden="1" x14ac:dyDescent="0.3">
      <c r="A349" t="s">
        <v>21</v>
      </c>
      <c r="B349" t="s">
        <v>55</v>
      </c>
      <c r="C349" t="s">
        <v>87</v>
      </c>
      <c r="D349">
        <v>10.718</v>
      </c>
      <c r="E349">
        <f>Tableau2[[#This Row],[Potential (PJ)]]/3.6*1000</f>
        <v>2977.2222222222222</v>
      </c>
      <c r="F349">
        <v>18.841000000000001</v>
      </c>
      <c r="G349">
        <f>Tableau2[[#This Row],[Cost (€/GJ)]]/1000000*3600</f>
        <v>6.7827600000000002E-2</v>
      </c>
      <c r="H349">
        <v>18.100000000000001</v>
      </c>
      <c r="I349">
        <f>Tableau2[[#This Row],[GHG (kgCO2eq/GJ)]]/1000*3.6</f>
        <v>6.516000000000001E-2</v>
      </c>
      <c r="J349" t="s">
        <v>106</v>
      </c>
      <c r="K349" t="s">
        <v>109</v>
      </c>
    </row>
    <row r="350" spans="1:11" hidden="1" x14ac:dyDescent="0.3">
      <c r="A350" t="s">
        <v>21</v>
      </c>
      <c r="B350" t="s">
        <v>55</v>
      </c>
      <c r="C350" t="s">
        <v>88</v>
      </c>
      <c r="D350">
        <v>11.6503</v>
      </c>
      <c r="E350">
        <f>Tableau2[[#This Row],[Potential (PJ)]]/3.6*1000</f>
        <v>3236.1944444444443</v>
      </c>
      <c r="F350">
        <v>18.274000000000001</v>
      </c>
      <c r="G350">
        <f>Tableau2[[#This Row],[Cost (€/GJ)]]/1000000*3600</f>
        <v>6.5786400000000009E-2</v>
      </c>
      <c r="H350">
        <v>18.100000000000001</v>
      </c>
      <c r="I350">
        <f>Tableau2[[#This Row],[GHG (kgCO2eq/GJ)]]/1000*3.6</f>
        <v>6.516000000000001E-2</v>
      </c>
      <c r="J350" t="s">
        <v>106</v>
      </c>
      <c r="K350" t="s">
        <v>109</v>
      </c>
    </row>
    <row r="351" spans="1:11" hidden="1" x14ac:dyDescent="0.3">
      <c r="A351" t="s">
        <v>21</v>
      </c>
      <c r="B351" t="s">
        <v>55</v>
      </c>
      <c r="C351" t="s">
        <v>92</v>
      </c>
      <c r="D351">
        <v>2.2203400000000002</v>
      </c>
      <c r="E351">
        <f>Tableau2[[#This Row],[Potential (PJ)]]/3.6*1000</f>
        <v>616.76111111111118</v>
      </c>
      <c r="F351">
        <v>18.841000000000001</v>
      </c>
      <c r="G351">
        <f>Tableau2[[#This Row],[Cost (€/GJ)]]/1000000*3600</f>
        <v>6.7827600000000002E-2</v>
      </c>
      <c r="H351">
        <v>18.100000000000001</v>
      </c>
      <c r="I351">
        <f>Tableau2[[#This Row],[GHG (kgCO2eq/GJ)]]/1000*3.6</f>
        <v>6.516000000000001E-2</v>
      </c>
      <c r="J351" t="s">
        <v>106</v>
      </c>
      <c r="K351" t="s">
        <v>109</v>
      </c>
    </row>
    <row r="352" spans="1:11" hidden="1" x14ac:dyDescent="0.3">
      <c r="A352" t="s">
        <v>21</v>
      </c>
      <c r="B352" t="s">
        <v>56</v>
      </c>
      <c r="C352" t="s">
        <v>93</v>
      </c>
      <c r="D352">
        <v>231.88140000000001</v>
      </c>
      <c r="E352">
        <f>Tableau2[[#This Row],[Potential (PJ)]]/3.6*1000</f>
        <v>64411.500000000007</v>
      </c>
      <c r="F352">
        <v>2.939759036144578</v>
      </c>
      <c r="G352">
        <f>Tableau2[[#This Row],[Cost (€/GJ)]]/1000000*3600</f>
        <v>1.0583132530120481E-2</v>
      </c>
      <c r="H352">
        <v>25.9</v>
      </c>
      <c r="I352">
        <f>Tableau2[[#This Row],[GHG (kgCO2eq/GJ)]]/1000*3.6</f>
        <v>9.3240000000000003E-2</v>
      </c>
      <c r="J352" t="s">
        <v>106</v>
      </c>
      <c r="K352" t="s">
        <v>109</v>
      </c>
    </row>
    <row r="353" spans="1:11" x14ac:dyDescent="0.3">
      <c r="A353" t="s">
        <v>21</v>
      </c>
      <c r="B353" t="s">
        <v>46</v>
      </c>
      <c r="C353" t="s">
        <v>67</v>
      </c>
      <c r="D353">
        <v>0.2</v>
      </c>
      <c r="E353">
        <f>Tableau2[[#This Row],[Potential (PJ)]]/3.6*1000</f>
        <v>55.555555555555557</v>
      </c>
      <c r="F353">
        <v>8.1940000000000008</v>
      </c>
      <c r="G353">
        <f>Tableau2[[#This Row],[Cost (€/GJ)]]/1000000*3600</f>
        <v>2.9498400000000004E-2</v>
      </c>
      <c r="H353">
        <v>2.9521711768407801</v>
      </c>
      <c r="I353">
        <f>Tableau2[[#This Row],[GHG (kgCO2eq/GJ)]]/1000*3.6</f>
        <v>1.0627816236626808E-2</v>
      </c>
      <c r="J353" t="s">
        <v>104</v>
      </c>
      <c r="K353" t="s">
        <v>108</v>
      </c>
    </row>
    <row r="354" spans="1:11" x14ac:dyDescent="0.3">
      <c r="A354" t="s">
        <v>21</v>
      </c>
      <c r="B354" t="s">
        <v>46</v>
      </c>
      <c r="C354" t="s">
        <v>82</v>
      </c>
      <c r="D354">
        <v>15.2</v>
      </c>
      <c r="E354">
        <f>Tableau2[[#This Row],[Potential (PJ)]]/3.6*1000</f>
        <v>4222.2222222222226</v>
      </c>
      <c r="F354">
        <v>1.5171710526315789</v>
      </c>
      <c r="G354">
        <f>Tableau2[[#This Row],[Cost (€/GJ)]]/1000000*3600</f>
        <v>5.4618157894736844E-3</v>
      </c>
      <c r="H354">
        <v>6.8428961748633883</v>
      </c>
      <c r="I354">
        <f>Tableau2[[#This Row],[GHG (kgCO2eq/GJ)]]/1000*3.6</f>
        <v>2.4634426229508198E-2</v>
      </c>
      <c r="J354" t="s">
        <v>104</v>
      </c>
      <c r="K354" t="s">
        <v>108</v>
      </c>
    </row>
    <row r="355" spans="1:11" x14ac:dyDescent="0.3">
      <c r="A355" t="s">
        <v>21</v>
      </c>
      <c r="B355" t="s">
        <v>61</v>
      </c>
      <c r="C355" t="s">
        <v>99</v>
      </c>
      <c r="D355">
        <v>21.8</v>
      </c>
      <c r="E355">
        <f>Tableau2[[#This Row],[Potential (PJ)]]/3.6*1000</f>
        <v>6055.5555555555557</v>
      </c>
      <c r="F355">
        <v>1.740389908256881</v>
      </c>
      <c r="G355">
        <f>Tableau2[[#This Row],[Cost (€/GJ)]]/1000000*3600</f>
        <v>6.2654036697247723E-3</v>
      </c>
      <c r="H355">
        <v>2.9245635910224439</v>
      </c>
      <c r="I355">
        <f>Tableau2[[#This Row],[GHG (kgCO2eq/GJ)]]/1000*3.6</f>
        <v>1.0528428927680798E-2</v>
      </c>
      <c r="J355" t="s">
        <v>104</v>
      </c>
      <c r="K355" t="s">
        <v>108</v>
      </c>
    </row>
    <row r="356" spans="1:11" x14ac:dyDescent="0.3">
      <c r="A356" t="s">
        <v>21</v>
      </c>
      <c r="B356" t="s">
        <v>48</v>
      </c>
      <c r="C356" t="s">
        <v>70</v>
      </c>
      <c r="D356">
        <v>3.2</v>
      </c>
      <c r="E356">
        <f>Tableau2[[#This Row],[Potential (PJ)]]/3.6*1000</f>
        <v>888.88888888888891</v>
      </c>
      <c r="F356">
        <v>11.0550625</v>
      </c>
      <c r="G356">
        <f>Tableau2[[#This Row],[Cost (€/GJ)]]/1000000*3600</f>
        <v>3.9798225E-2</v>
      </c>
      <c r="H356">
        <v>15.2</v>
      </c>
      <c r="I356">
        <f>Tableau2[[#This Row],[GHG (kgCO2eq/GJ)]]/1000*3.6</f>
        <v>5.4719999999999998E-2</v>
      </c>
      <c r="J356" t="s">
        <v>104</v>
      </c>
      <c r="K356" t="s">
        <v>109</v>
      </c>
    </row>
    <row r="357" spans="1:11" x14ac:dyDescent="0.3">
      <c r="A357" t="s">
        <v>21</v>
      </c>
      <c r="B357" t="s">
        <v>46</v>
      </c>
      <c r="C357" t="s">
        <v>83</v>
      </c>
      <c r="D357">
        <v>0.96795999999999993</v>
      </c>
      <c r="E357">
        <f>Tableau2[[#This Row],[Potential (PJ)]]/3.6*1000</f>
        <v>268.87777777777779</v>
      </c>
      <c r="F357">
        <v>2.0973846233315432</v>
      </c>
      <c r="G357">
        <f>Tableau2[[#This Row],[Cost (€/GJ)]]/1000000*3600</f>
        <v>7.5505846439935563E-3</v>
      </c>
      <c r="H357">
        <v>6.8428961748633883</v>
      </c>
      <c r="I357">
        <f>Tableau2[[#This Row],[GHG (kgCO2eq/GJ)]]/1000*3.6</f>
        <v>2.4634426229508198E-2</v>
      </c>
      <c r="J357" t="s">
        <v>104</v>
      </c>
      <c r="K357" t="s">
        <v>108</v>
      </c>
    </row>
    <row r="358" spans="1:11" x14ac:dyDescent="0.3">
      <c r="A358" t="s">
        <v>21</v>
      </c>
      <c r="B358" t="s">
        <v>62</v>
      </c>
      <c r="C358" t="s">
        <v>100</v>
      </c>
      <c r="D358">
        <v>6.2</v>
      </c>
      <c r="E358">
        <f>Tableau2[[#This Row],[Potential (PJ)]]/3.6*1000</f>
        <v>1722.2222222222224</v>
      </c>
      <c r="F358">
        <v>0.1064516129032258</v>
      </c>
      <c r="G358">
        <f>Tableau2[[#This Row],[Cost (€/GJ)]]/1000000*3600</f>
        <v>3.832258064516129E-4</v>
      </c>
      <c r="H358">
        <v>2.6764106050305911</v>
      </c>
      <c r="I358">
        <f>Tableau2[[#This Row],[GHG (kgCO2eq/GJ)]]/1000*3.6</f>
        <v>9.6350781781101291E-3</v>
      </c>
      <c r="J358" t="s">
        <v>104</v>
      </c>
      <c r="K358" t="s">
        <v>108</v>
      </c>
    </row>
    <row r="359" spans="1:11" x14ac:dyDescent="0.3">
      <c r="A359" t="s">
        <v>21</v>
      </c>
      <c r="B359" t="s">
        <v>47</v>
      </c>
      <c r="C359" t="s">
        <v>69</v>
      </c>
      <c r="D359">
        <v>115.6</v>
      </c>
      <c r="E359">
        <f>Tableau2[[#This Row],[Potential (PJ)]]/3.6*1000</f>
        <v>32111.111111111106</v>
      </c>
      <c r="F359">
        <v>4.6286790657439436</v>
      </c>
      <c r="G359">
        <f>Tableau2[[#This Row],[Cost (€/GJ)]]/1000000*3600</f>
        <v>1.6663244636678197E-2</v>
      </c>
      <c r="H359">
        <v>18.600000000000001</v>
      </c>
      <c r="I359">
        <f>Tableau2[[#This Row],[GHG (kgCO2eq/GJ)]]/1000*3.6</f>
        <v>6.6960000000000006E-2</v>
      </c>
      <c r="J359" t="s">
        <v>104</v>
      </c>
      <c r="K359" t="s">
        <v>109</v>
      </c>
    </row>
    <row r="360" spans="1:11" x14ac:dyDescent="0.3">
      <c r="A360" t="s">
        <v>21</v>
      </c>
      <c r="B360" t="s">
        <v>46</v>
      </c>
      <c r="C360" t="s">
        <v>85</v>
      </c>
      <c r="D360">
        <v>5.4</v>
      </c>
      <c r="E360">
        <f>Tableau2[[#This Row],[Potential (PJ)]]/3.6*1000</f>
        <v>1500</v>
      </c>
      <c r="F360">
        <v>4.0921111111111106</v>
      </c>
      <c r="G360">
        <f>Tableau2[[#This Row],[Cost (€/GJ)]]/1000000*3600</f>
        <v>1.4731599999999999E-2</v>
      </c>
      <c r="H360">
        <v>2.9521711768407801</v>
      </c>
      <c r="I360">
        <f>Tableau2[[#This Row],[GHG (kgCO2eq/GJ)]]/1000*3.6</f>
        <v>1.0627816236626808E-2</v>
      </c>
      <c r="J360" t="s">
        <v>104</v>
      </c>
      <c r="K360" t="s">
        <v>108</v>
      </c>
    </row>
    <row r="361" spans="1:11" x14ac:dyDescent="0.3">
      <c r="A361" t="s">
        <v>21</v>
      </c>
      <c r="B361" t="s">
        <v>57</v>
      </c>
      <c r="C361" t="s">
        <v>94</v>
      </c>
      <c r="D361">
        <v>29.8</v>
      </c>
      <c r="E361">
        <f>Tableau2[[#This Row],[Potential (PJ)]]/3.6*1000</f>
        <v>8277.7777777777792</v>
      </c>
      <c r="F361">
        <v>8.8323154362416094</v>
      </c>
      <c r="G361">
        <f>Tableau2[[#This Row],[Cost (€/GJ)]]/1000000*3600</f>
        <v>3.1796335570469798E-2</v>
      </c>
      <c r="H361">
        <v>15.2</v>
      </c>
      <c r="I361">
        <f>Tableau2[[#This Row],[GHG (kgCO2eq/GJ)]]/1000*3.6</f>
        <v>5.4719999999999998E-2</v>
      </c>
      <c r="J361" t="s">
        <v>104</v>
      </c>
      <c r="K361" t="s">
        <v>109</v>
      </c>
    </row>
    <row r="362" spans="1:11" hidden="1" x14ac:dyDescent="0.3">
      <c r="A362" t="s">
        <v>21</v>
      </c>
      <c r="B362" t="s">
        <v>59</v>
      </c>
      <c r="C362" t="s">
        <v>96</v>
      </c>
      <c r="D362">
        <v>0.45229999999999998</v>
      </c>
      <c r="E362">
        <f>Tableau2[[#This Row],[Potential (PJ)]]/3.6*1000</f>
        <v>125.63888888888889</v>
      </c>
      <c r="F362">
        <v>28.434000000000001</v>
      </c>
      <c r="G362">
        <f>Tableau2[[#This Row],[Cost (€/GJ)]]/1000000*3600</f>
        <v>0.10236240000000001</v>
      </c>
      <c r="H362">
        <v>24.2</v>
      </c>
      <c r="I362">
        <f>Tableau2[[#This Row],[GHG (kgCO2eq/GJ)]]/1000*3.6</f>
        <v>8.7120000000000003E-2</v>
      </c>
      <c r="J362" t="s">
        <v>107</v>
      </c>
      <c r="K362" t="s">
        <v>109</v>
      </c>
    </row>
    <row r="363" spans="1:11" hidden="1" x14ac:dyDescent="0.3">
      <c r="A363" t="s">
        <v>21</v>
      </c>
      <c r="B363" t="s">
        <v>59</v>
      </c>
      <c r="C363" t="s">
        <v>97</v>
      </c>
      <c r="D363">
        <v>7.2530000000000001</v>
      </c>
      <c r="E363">
        <f>Tableau2[[#This Row],[Potential (PJ)]]/3.6*1000</f>
        <v>2014.7222222222224</v>
      </c>
      <c r="F363">
        <v>18.393922951709168</v>
      </c>
      <c r="G363">
        <f>Tableau2[[#This Row],[Cost (€/GJ)]]/1000000*3600</f>
        <v>6.6218122626153009E-2</v>
      </c>
      <c r="H363">
        <v>24.2</v>
      </c>
      <c r="I363">
        <f>Tableau2[[#This Row],[GHG (kgCO2eq/GJ)]]/1000*3.6</f>
        <v>8.7120000000000003E-2</v>
      </c>
      <c r="J363" t="s">
        <v>107</v>
      </c>
      <c r="K363" t="s">
        <v>109</v>
      </c>
    </row>
    <row r="364" spans="1:11" hidden="1" x14ac:dyDescent="0.3">
      <c r="A364" t="s">
        <v>21</v>
      </c>
      <c r="B364" t="s">
        <v>46</v>
      </c>
      <c r="C364" t="s">
        <v>80</v>
      </c>
      <c r="D364">
        <v>2.8149999999999999</v>
      </c>
      <c r="E364">
        <f>Tableau2[[#This Row],[Potential (PJ)]]/3.6*1000</f>
        <v>781.94444444444446</v>
      </c>
      <c r="F364">
        <v>0.72016183412002699</v>
      </c>
      <c r="G364">
        <f>Tableau2[[#This Row],[Cost (€/GJ)]]/1000000*3600</f>
        <v>2.5925826028320971E-3</v>
      </c>
      <c r="H364">
        <v>28.139870918023309</v>
      </c>
      <c r="I364">
        <f>Tableau2[[#This Row],[GHG (kgCO2eq/GJ)]]/1000*3.6</f>
        <v>0.10130353530488391</v>
      </c>
      <c r="J364" t="s">
        <v>105</v>
      </c>
      <c r="K364" t="s">
        <v>108</v>
      </c>
    </row>
    <row r="365" spans="1:11" hidden="1" x14ac:dyDescent="0.3">
      <c r="A365" t="s">
        <v>21</v>
      </c>
      <c r="B365" t="s">
        <v>60</v>
      </c>
      <c r="C365" t="s">
        <v>98</v>
      </c>
      <c r="D365">
        <v>57.40598</v>
      </c>
      <c r="E365">
        <f>Tableau2[[#This Row],[Potential (PJ)]]/3.6*1000</f>
        <v>15946.105555555554</v>
      </c>
      <c r="F365">
        <v>17.3469387755102</v>
      </c>
      <c r="G365">
        <f>Tableau2[[#This Row],[Cost (€/GJ)]]/1000000*3600</f>
        <v>6.2448979591836713E-2</v>
      </c>
      <c r="H365">
        <v>26.3</v>
      </c>
      <c r="I365">
        <f>Tableau2[[#This Row],[GHG (kgCO2eq/GJ)]]/1000*3.6</f>
        <v>9.468E-2</v>
      </c>
      <c r="J365" t="s">
        <v>107</v>
      </c>
      <c r="K365" t="s">
        <v>109</v>
      </c>
    </row>
    <row r="366" spans="1:11" hidden="1" x14ac:dyDescent="0.3">
      <c r="A366" t="s">
        <v>21</v>
      </c>
      <c r="B366" t="s">
        <v>46</v>
      </c>
      <c r="C366" t="s">
        <v>81</v>
      </c>
      <c r="D366">
        <v>8.1351999999999993</v>
      </c>
      <c r="E366">
        <f>Tableau2[[#This Row],[Potential (PJ)]]/3.6*1000</f>
        <v>2259.7777777777774</v>
      </c>
      <c r="F366">
        <v>0.98883666274970616</v>
      </c>
      <c r="G366">
        <f>Tableau2[[#This Row],[Cost (€/GJ)]]/1000000*3600</f>
        <v>3.5598119858989419E-3</v>
      </c>
      <c r="H366">
        <v>8.9647473560517046</v>
      </c>
      <c r="I366">
        <f>Tableau2[[#This Row],[GHG (kgCO2eq/GJ)]]/1000*3.6</f>
        <v>3.2273090481786136E-2</v>
      </c>
      <c r="J366" t="s">
        <v>105</v>
      </c>
      <c r="K366" t="s">
        <v>108</v>
      </c>
    </row>
    <row r="367" spans="1:11" hidden="1" x14ac:dyDescent="0.3">
      <c r="A367" t="s">
        <v>21</v>
      </c>
      <c r="B367" t="s">
        <v>46</v>
      </c>
      <c r="C367" t="s">
        <v>84</v>
      </c>
      <c r="D367">
        <v>2.1</v>
      </c>
      <c r="E367">
        <f>Tableau2[[#This Row],[Potential (PJ)]]/3.6*1000</f>
        <v>583.33333333333337</v>
      </c>
      <c r="F367">
        <v>2.023428571428572</v>
      </c>
      <c r="G367">
        <f>Tableau2[[#This Row],[Cost (€/GJ)]]/1000000*3600</f>
        <v>7.2843428571428594E-3</v>
      </c>
      <c r="H367">
        <v>28.139870918023309</v>
      </c>
      <c r="I367">
        <f>Tableau2[[#This Row],[GHG (kgCO2eq/GJ)]]/1000*3.6</f>
        <v>0.10130353530488391</v>
      </c>
      <c r="J367" t="s">
        <v>105</v>
      </c>
      <c r="K367" t="s">
        <v>108</v>
      </c>
    </row>
    <row r="368" spans="1:11" hidden="1" x14ac:dyDescent="0.3">
      <c r="A368" t="s">
        <v>21</v>
      </c>
      <c r="B368" t="s">
        <v>50</v>
      </c>
      <c r="C368" t="s">
        <v>73</v>
      </c>
      <c r="D368">
        <v>23.5</v>
      </c>
      <c r="E368">
        <f>Tableau2[[#This Row],[Potential (PJ)]]/3.6*1000</f>
        <v>6527.7777777777774</v>
      </c>
      <c r="F368">
        <v>5.566727659574469</v>
      </c>
      <c r="G368">
        <f>Tableau2[[#This Row],[Cost (€/GJ)]]/1000000*3600</f>
        <v>2.0040219574468089E-2</v>
      </c>
      <c r="H368">
        <v>20.723404255319149</v>
      </c>
      <c r="I368">
        <f>Tableau2[[#This Row],[GHG (kgCO2eq/GJ)]]/1000*3.6</f>
        <v>7.4604255319148938E-2</v>
      </c>
      <c r="J368" t="s">
        <v>105</v>
      </c>
      <c r="K368" t="s">
        <v>108</v>
      </c>
    </row>
    <row r="369" spans="1:11" hidden="1" x14ac:dyDescent="0.3">
      <c r="A369" t="s">
        <v>21</v>
      </c>
      <c r="B369" t="s">
        <v>50</v>
      </c>
      <c r="C369" t="s">
        <v>74</v>
      </c>
      <c r="D369">
        <v>234.5</v>
      </c>
      <c r="E369">
        <f>Tableau2[[#This Row],[Potential (PJ)]]/3.6*1000</f>
        <v>65138.888888888883</v>
      </c>
      <c r="F369">
        <v>6.3619445628997866</v>
      </c>
      <c r="G369">
        <f>Tableau2[[#This Row],[Cost (€/GJ)]]/1000000*3600</f>
        <v>2.2903000426439231E-2</v>
      </c>
      <c r="H369">
        <v>2.0635593220338988</v>
      </c>
      <c r="I369">
        <f>Tableau2[[#This Row],[GHG (kgCO2eq/GJ)]]/1000*3.6</f>
        <v>7.4288135593220351E-3</v>
      </c>
      <c r="J369" t="s">
        <v>105</v>
      </c>
      <c r="K369" t="s">
        <v>108</v>
      </c>
    </row>
    <row r="370" spans="1:11" hidden="1" x14ac:dyDescent="0.3">
      <c r="A370" t="s">
        <v>21</v>
      </c>
      <c r="B370" t="s">
        <v>52</v>
      </c>
      <c r="C370" t="s">
        <v>76</v>
      </c>
      <c r="D370">
        <v>1.0999999999999999E-2</v>
      </c>
      <c r="E370">
        <f>Tableau2[[#This Row],[Potential (PJ)]]/3.6*1000</f>
        <v>3.0555555555555554</v>
      </c>
      <c r="F370">
        <v>5.4702337500000002</v>
      </c>
      <c r="G370">
        <f>Tableau2[[#This Row],[Cost (€/GJ)]]/1000000*3600</f>
        <v>1.9692841500000002E-2</v>
      </c>
      <c r="H370">
        <v>12.68872359754714</v>
      </c>
      <c r="I370">
        <f>Tableau2[[#This Row],[GHG (kgCO2eq/GJ)]]/1000*3.6</f>
        <v>4.5679404951169705E-2</v>
      </c>
      <c r="J370" t="s">
        <v>105</v>
      </c>
      <c r="K370" t="s">
        <v>108</v>
      </c>
    </row>
    <row r="371" spans="1:11" hidden="1" x14ac:dyDescent="0.3">
      <c r="A371" t="s">
        <v>22</v>
      </c>
      <c r="B371" t="s">
        <v>46</v>
      </c>
      <c r="C371" t="s">
        <v>103</v>
      </c>
      <c r="D371">
        <v>7.5014609999999999</v>
      </c>
      <c r="E371">
        <f>Tableau2[[#This Row],[Potential (PJ)]]/3.6*1000</f>
        <v>2083.7391666666667</v>
      </c>
      <c r="F371">
        <v>0</v>
      </c>
      <c r="G371">
        <f>Tableau2[[#This Row],[Cost (€/GJ)]]/1000000*3600</f>
        <v>0</v>
      </c>
      <c r="I371">
        <f>Tableau2[[#This Row],[GHG (kgCO2eq/GJ)]]/1000*3.6</f>
        <v>0</v>
      </c>
    </row>
    <row r="372" spans="1:11" hidden="1" x14ac:dyDescent="0.3">
      <c r="A372" t="s">
        <v>22</v>
      </c>
      <c r="B372" t="s">
        <v>46</v>
      </c>
      <c r="C372" t="s">
        <v>63</v>
      </c>
      <c r="D372">
        <v>5.28E-2</v>
      </c>
      <c r="E372">
        <f>Tableau2[[#This Row],[Potential (PJ)]]/3.6*1000</f>
        <v>14.666666666666666</v>
      </c>
      <c r="F372">
        <v>2.9286474973375931</v>
      </c>
      <c r="G372">
        <f>Tableau2[[#This Row],[Cost (€/GJ)]]/1000000*3600</f>
        <v>1.0543130990415334E-2</v>
      </c>
      <c r="H372">
        <v>3.950479233226837</v>
      </c>
      <c r="I372">
        <f>Tableau2[[#This Row],[GHG (kgCO2eq/GJ)]]/1000*3.6</f>
        <v>1.4221725239616614E-2</v>
      </c>
      <c r="J372" t="s">
        <v>104</v>
      </c>
      <c r="K372" t="s">
        <v>108</v>
      </c>
    </row>
    <row r="373" spans="1:11" hidden="1" x14ac:dyDescent="0.3">
      <c r="A373" t="s">
        <v>22</v>
      </c>
      <c r="B373" t="s">
        <v>46</v>
      </c>
      <c r="C373" t="s">
        <v>80</v>
      </c>
      <c r="D373">
        <v>0.57840000000000003</v>
      </c>
      <c r="E373">
        <f>Tableau2[[#This Row],[Potential (PJ)]]/3.6*1000</f>
        <v>160.66666666666669</v>
      </c>
      <c r="F373">
        <v>0.91773432231962238</v>
      </c>
      <c r="G373">
        <f>Tableau2[[#This Row],[Cost (€/GJ)]]/1000000*3600</f>
        <v>3.3038435603506408E-3</v>
      </c>
      <c r="H373">
        <v>28.139870918023309</v>
      </c>
      <c r="I373">
        <f>Tableau2[[#This Row],[GHG (kgCO2eq/GJ)]]/1000*3.6</f>
        <v>0.10130353530488391</v>
      </c>
      <c r="J373" t="s">
        <v>105</v>
      </c>
      <c r="K373" t="s">
        <v>108</v>
      </c>
    </row>
    <row r="374" spans="1:11" hidden="1" x14ac:dyDescent="0.3">
      <c r="A374" t="s">
        <v>22</v>
      </c>
      <c r="B374" t="s">
        <v>46</v>
      </c>
      <c r="C374" t="s">
        <v>81</v>
      </c>
      <c r="D374">
        <v>0.44009999999999999</v>
      </c>
      <c r="E374">
        <f>Tableau2[[#This Row],[Potential (PJ)]]/3.6*1000</f>
        <v>122.25</v>
      </c>
      <c r="F374">
        <v>3.6856639247943601</v>
      </c>
      <c r="G374">
        <f>Tableau2[[#This Row],[Cost (€/GJ)]]/1000000*3600</f>
        <v>1.3268390129259696E-2</v>
      </c>
      <c r="H374">
        <v>8.9647473560517046</v>
      </c>
      <c r="I374">
        <f>Tableau2[[#This Row],[GHG (kgCO2eq/GJ)]]/1000*3.6</f>
        <v>3.2273090481786136E-2</v>
      </c>
      <c r="J374" t="s">
        <v>105</v>
      </c>
      <c r="K374" t="s">
        <v>108</v>
      </c>
    </row>
    <row r="375" spans="1:11" hidden="1" x14ac:dyDescent="0.3">
      <c r="A375" t="s">
        <v>22</v>
      </c>
      <c r="B375" t="s">
        <v>55</v>
      </c>
      <c r="C375" t="s">
        <v>87</v>
      </c>
      <c r="D375">
        <v>40.159799999999997</v>
      </c>
      <c r="E375">
        <f>Tableau2[[#This Row],[Potential (PJ)]]/3.6*1000</f>
        <v>11155.499999999998</v>
      </c>
      <c r="F375">
        <v>11.885999999999999</v>
      </c>
      <c r="G375">
        <f>Tableau2[[#This Row],[Cost (€/GJ)]]/1000000*3600</f>
        <v>4.2789599999999997E-2</v>
      </c>
      <c r="H375">
        <v>11.5</v>
      </c>
      <c r="I375">
        <f>Tableau2[[#This Row],[GHG (kgCO2eq/GJ)]]/1000*3.6</f>
        <v>4.1399999999999999E-2</v>
      </c>
      <c r="J375" t="s">
        <v>106</v>
      </c>
      <c r="K375" t="s">
        <v>109</v>
      </c>
    </row>
    <row r="376" spans="1:11" hidden="1" x14ac:dyDescent="0.3">
      <c r="A376" t="s">
        <v>22</v>
      </c>
      <c r="B376" t="s">
        <v>55</v>
      </c>
      <c r="C376" t="s">
        <v>88</v>
      </c>
      <c r="D376">
        <v>1.1352</v>
      </c>
      <c r="E376">
        <f>Tableau2[[#This Row],[Potential (PJ)]]/3.6*1000</f>
        <v>315.33333333333331</v>
      </c>
      <c r="F376">
        <v>12.923999999999999</v>
      </c>
      <c r="G376">
        <f>Tableau2[[#This Row],[Cost (€/GJ)]]/1000000*3600</f>
        <v>4.6526400000000002E-2</v>
      </c>
      <c r="H376">
        <v>11.5</v>
      </c>
      <c r="I376">
        <f>Tableau2[[#This Row],[GHG (kgCO2eq/GJ)]]/1000*3.6</f>
        <v>4.1399999999999999E-2</v>
      </c>
      <c r="J376" t="s">
        <v>106</v>
      </c>
      <c r="K376" t="s">
        <v>109</v>
      </c>
    </row>
    <row r="377" spans="1:11" hidden="1" x14ac:dyDescent="0.3">
      <c r="A377" t="s">
        <v>22</v>
      </c>
      <c r="B377" t="s">
        <v>55</v>
      </c>
      <c r="C377" t="s">
        <v>89</v>
      </c>
      <c r="D377">
        <v>5.0000000000000001E-4</v>
      </c>
      <c r="E377">
        <f>Tableau2[[#This Row],[Potential (PJ)]]/3.6*1000</f>
        <v>0.1388888888888889</v>
      </c>
      <c r="F377">
        <v>0</v>
      </c>
      <c r="G377">
        <f>Tableau2[[#This Row],[Cost (€/GJ)]]/1000000*3600</f>
        <v>0</v>
      </c>
      <c r="H377">
        <v>11.5</v>
      </c>
      <c r="I377">
        <f>Tableau2[[#This Row],[GHG (kgCO2eq/GJ)]]/1000*3.6</f>
        <v>4.1399999999999999E-2</v>
      </c>
      <c r="J377" t="s">
        <v>106</v>
      </c>
      <c r="K377" t="s">
        <v>109</v>
      </c>
    </row>
    <row r="378" spans="1:11" hidden="1" x14ac:dyDescent="0.3">
      <c r="A378" t="s">
        <v>22</v>
      </c>
      <c r="B378" t="s">
        <v>49</v>
      </c>
      <c r="C378" t="s">
        <v>71</v>
      </c>
      <c r="D378">
        <v>13.329929999999999</v>
      </c>
      <c r="E378">
        <f>Tableau2[[#This Row],[Potential (PJ)]]/3.6*1000</f>
        <v>3702.7583333333332</v>
      </c>
      <c r="F378">
        <v>2.2410000000000001</v>
      </c>
      <c r="G378">
        <f>Tableau2[[#This Row],[Cost (€/GJ)]]/1000000*3600</f>
        <v>8.0676000000000012E-3</v>
      </c>
      <c r="H378">
        <v>3.86607608129234</v>
      </c>
      <c r="I378">
        <f>Tableau2[[#This Row],[GHG (kgCO2eq/GJ)]]/1000*3.6</f>
        <v>1.3917873892652425E-2</v>
      </c>
      <c r="J378" t="s">
        <v>104</v>
      </c>
      <c r="K378" t="s">
        <v>108</v>
      </c>
    </row>
    <row r="379" spans="1:11" hidden="1" x14ac:dyDescent="0.3">
      <c r="A379" t="s">
        <v>22</v>
      </c>
      <c r="B379" t="s">
        <v>49</v>
      </c>
      <c r="C379" t="s">
        <v>72</v>
      </c>
      <c r="D379">
        <v>2.4</v>
      </c>
      <c r="E379">
        <f>Tableau2[[#This Row],[Potential (PJ)]]/3.6*1000</f>
        <v>666.66666666666663</v>
      </c>
      <c r="F379">
        <v>1.5425</v>
      </c>
      <c r="G379">
        <f>Tableau2[[#This Row],[Cost (€/GJ)]]/1000000*3600</f>
        <v>5.5529999999999998E-3</v>
      </c>
      <c r="H379">
        <v>3.86607608129234</v>
      </c>
      <c r="I379">
        <f>Tableau2[[#This Row],[GHG (kgCO2eq/GJ)]]/1000*3.6</f>
        <v>1.3917873892652425E-2</v>
      </c>
      <c r="J379" t="s">
        <v>104</v>
      </c>
      <c r="K379" t="s">
        <v>108</v>
      </c>
    </row>
    <row r="380" spans="1:11" hidden="1" x14ac:dyDescent="0.3">
      <c r="A380" t="s">
        <v>22</v>
      </c>
      <c r="B380" t="s">
        <v>58</v>
      </c>
      <c r="C380" t="s">
        <v>103</v>
      </c>
      <c r="D380">
        <v>1.9731989999999999</v>
      </c>
      <c r="E380">
        <f>Tableau2[[#This Row],[Potential (PJ)]]/3.6*1000</f>
        <v>548.11083333333329</v>
      </c>
      <c r="F380">
        <v>0</v>
      </c>
      <c r="G380">
        <f>Tableau2[[#This Row],[Cost (€/GJ)]]/1000000*3600</f>
        <v>0</v>
      </c>
      <c r="I380">
        <f>Tableau2[[#This Row],[GHG (kgCO2eq/GJ)]]/1000*3.6</f>
        <v>0</v>
      </c>
    </row>
    <row r="381" spans="1:11" hidden="1" x14ac:dyDescent="0.3">
      <c r="A381" t="s">
        <v>22</v>
      </c>
      <c r="B381" t="s">
        <v>50</v>
      </c>
      <c r="C381" t="s">
        <v>103</v>
      </c>
      <c r="D381">
        <v>3.2519339999999999</v>
      </c>
      <c r="E381">
        <f>Tableau2[[#This Row],[Potential (PJ)]]/3.6*1000</f>
        <v>903.31499999999994</v>
      </c>
      <c r="F381">
        <v>0</v>
      </c>
      <c r="G381">
        <f>Tableau2[[#This Row],[Cost (€/GJ)]]/1000000*3600</f>
        <v>0</v>
      </c>
      <c r="I381">
        <f>Tableau2[[#This Row],[GHG (kgCO2eq/GJ)]]/1000*3.6</f>
        <v>0</v>
      </c>
    </row>
    <row r="382" spans="1:11" hidden="1" x14ac:dyDescent="0.3">
      <c r="A382" t="s">
        <v>22</v>
      </c>
      <c r="B382" t="s">
        <v>51</v>
      </c>
      <c r="C382" t="s">
        <v>75</v>
      </c>
      <c r="D382">
        <v>0.12574299999999999</v>
      </c>
      <c r="E382">
        <f>Tableau2[[#This Row],[Potential (PJ)]]/3.6*1000</f>
        <v>34.92861111111111</v>
      </c>
      <c r="F382">
        <v>2.4586252410931798E-2</v>
      </c>
      <c r="G382">
        <f>Tableau2[[#This Row],[Cost (€/GJ)]]/1000000*3600</f>
        <v>8.8510508679354475E-5</v>
      </c>
      <c r="H382">
        <v>11.74</v>
      </c>
      <c r="I382">
        <f>Tableau2[[#This Row],[GHG (kgCO2eq/GJ)]]/1000*3.6</f>
        <v>4.2264000000000003E-2</v>
      </c>
      <c r="J382" t="s">
        <v>104</v>
      </c>
      <c r="K382" t="s">
        <v>108</v>
      </c>
    </row>
    <row r="383" spans="1:11" hidden="1" x14ac:dyDescent="0.3">
      <c r="A383" t="s">
        <v>22</v>
      </c>
      <c r="B383" t="s">
        <v>52</v>
      </c>
      <c r="C383" t="s">
        <v>76</v>
      </c>
      <c r="D383">
        <v>5.2999999999999999E-2</v>
      </c>
      <c r="E383">
        <f>Tableau2[[#This Row],[Potential (PJ)]]/3.6*1000</f>
        <v>14.722222222222221</v>
      </c>
      <c r="F383">
        <v>5.4702337500000002</v>
      </c>
      <c r="G383">
        <f>Tableau2[[#This Row],[Cost (€/GJ)]]/1000000*3600</f>
        <v>1.9692841500000002E-2</v>
      </c>
      <c r="H383">
        <v>12.68872359754714</v>
      </c>
      <c r="I383">
        <f>Tableau2[[#This Row],[GHG (kgCO2eq/GJ)]]/1000*3.6</f>
        <v>4.5679404951169705E-2</v>
      </c>
      <c r="J383" t="s">
        <v>105</v>
      </c>
      <c r="K383" t="s">
        <v>108</v>
      </c>
    </row>
    <row r="384" spans="1:11" hidden="1" x14ac:dyDescent="0.3">
      <c r="A384" t="s">
        <v>22</v>
      </c>
      <c r="B384" t="s">
        <v>53</v>
      </c>
      <c r="C384" t="s">
        <v>77</v>
      </c>
      <c r="D384">
        <v>3.8</v>
      </c>
      <c r="E384">
        <f>Tableau2[[#This Row],[Potential (PJ)]]/3.6*1000</f>
        <v>1055.5555555555557</v>
      </c>
      <c r="F384">
        <v>1.542473684210526</v>
      </c>
      <c r="G384">
        <f>Tableau2[[#This Row],[Cost (€/GJ)]]/1000000*3600</f>
        <v>5.5529052631578934E-3</v>
      </c>
      <c r="H384">
        <v>3.86607608129234</v>
      </c>
      <c r="I384">
        <f>Tableau2[[#This Row],[GHG (kgCO2eq/GJ)]]/1000*3.6</f>
        <v>1.3917873892652425E-2</v>
      </c>
      <c r="J384" t="s">
        <v>104</v>
      </c>
      <c r="K384" t="s">
        <v>108</v>
      </c>
    </row>
    <row r="385" spans="1:11" hidden="1" x14ac:dyDescent="0.3">
      <c r="A385" t="s">
        <v>22</v>
      </c>
      <c r="B385" t="s">
        <v>61</v>
      </c>
      <c r="C385" t="s">
        <v>103</v>
      </c>
      <c r="D385">
        <v>0.51078800000000002</v>
      </c>
      <c r="E385">
        <f>Tableau2[[#This Row],[Potential (PJ)]]/3.6*1000</f>
        <v>141.88555555555558</v>
      </c>
      <c r="F385">
        <v>0</v>
      </c>
      <c r="G385">
        <f>Tableau2[[#This Row],[Cost (€/GJ)]]/1000000*3600</f>
        <v>0</v>
      </c>
      <c r="I385">
        <f>Tableau2[[#This Row],[GHG (kgCO2eq/GJ)]]/1000*3.6</f>
        <v>0</v>
      </c>
    </row>
    <row r="386" spans="1:11" hidden="1" x14ac:dyDescent="0.3">
      <c r="A386" t="s">
        <v>22</v>
      </c>
      <c r="B386" t="s">
        <v>62</v>
      </c>
      <c r="C386" t="s">
        <v>103</v>
      </c>
      <c r="D386">
        <v>0.15754000000000001</v>
      </c>
      <c r="E386">
        <f>Tableau2[[#This Row],[Potential (PJ)]]/3.6*1000</f>
        <v>43.761111111111113</v>
      </c>
      <c r="F386">
        <v>0</v>
      </c>
      <c r="G386">
        <f>Tableau2[[#This Row],[Cost (€/GJ)]]/1000000*3600</f>
        <v>0</v>
      </c>
      <c r="I386">
        <f>Tableau2[[#This Row],[GHG (kgCO2eq/GJ)]]/1000*3.6</f>
        <v>0</v>
      </c>
    </row>
    <row r="387" spans="1:11" hidden="1" x14ac:dyDescent="0.3">
      <c r="A387" t="s">
        <v>22</v>
      </c>
      <c r="B387" t="s">
        <v>54</v>
      </c>
      <c r="C387" t="s">
        <v>78</v>
      </c>
      <c r="D387">
        <v>21.2</v>
      </c>
      <c r="E387">
        <f>Tableau2[[#This Row],[Potential (PJ)]]/3.6*1000</f>
        <v>5888.8888888888887</v>
      </c>
      <c r="F387">
        <v>2.774</v>
      </c>
      <c r="G387">
        <f>Tableau2[[#This Row],[Cost (€/GJ)]]/1000000*3600</f>
        <v>9.9863999999999994E-3</v>
      </c>
      <c r="H387">
        <v>3.86607608129234</v>
      </c>
      <c r="I387">
        <f>Tableau2[[#This Row],[GHG (kgCO2eq/GJ)]]/1000*3.6</f>
        <v>1.3917873892652425E-2</v>
      </c>
      <c r="J387" t="s">
        <v>104</v>
      </c>
      <c r="K387" t="s">
        <v>108</v>
      </c>
    </row>
    <row r="388" spans="1:11" hidden="1" x14ac:dyDescent="0.3">
      <c r="A388" t="s">
        <v>23</v>
      </c>
      <c r="B388" t="s">
        <v>46</v>
      </c>
      <c r="C388" t="s">
        <v>64</v>
      </c>
      <c r="D388">
        <v>0.4844</v>
      </c>
      <c r="E388">
        <f>Tableau2[[#This Row],[Potential (PJ)]]/3.6*1000</f>
        <v>134.55555555555554</v>
      </c>
      <c r="F388">
        <v>6.3096818538398018</v>
      </c>
      <c r="G388">
        <f>Tableau2[[#This Row],[Cost (€/GJ)]]/1000000*3600</f>
        <v>2.2714854673823288E-2</v>
      </c>
      <c r="H388">
        <v>2.9521711768407801</v>
      </c>
      <c r="I388">
        <f>Tableau2[[#This Row],[GHG (kgCO2eq/GJ)]]/1000*3.6</f>
        <v>1.0627816236626808E-2</v>
      </c>
      <c r="J388" t="s">
        <v>104</v>
      </c>
      <c r="K388" t="s">
        <v>108</v>
      </c>
    </row>
    <row r="389" spans="1:11" hidden="1" x14ac:dyDescent="0.3">
      <c r="A389" t="s">
        <v>23</v>
      </c>
      <c r="B389" t="s">
        <v>46</v>
      </c>
      <c r="C389" t="s">
        <v>79</v>
      </c>
      <c r="D389">
        <v>21.3</v>
      </c>
      <c r="E389">
        <f>Tableau2[[#This Row],[Potential (PJ)]]/3.6*1000</f>
        <v>5916.666666666667</v>
      </c>
      <c r="F389">
        <v>2.866460093896714</v>
      </c>
      <c r="G389">
        <f>Tableau2[[#This Row],[Cost (€/GJ)]]/1000000*3600</f>
        <v>1.031925633802817E-2</v>
      </c>
      <c r="H389">
        <v>6.8428961748633883</v>
      </c>
      <c r="I389">
        <f>Tableau2[[#This Row],[GHG (kgCO2eq/GJ)]]/1000*3.6</f>
        <v>2.4634426229508198E-2</v>
      </c>
      <c r="J389" t="s">
        <v>104</v>
      </c>
      <c r="K389" t="s">
        <v>108</v>
      </c>
    </row>
    <row r="390" spans="1:11" hidden="1" x14ac:dyDescent="0.3">
      <c r="A390" t="s">
        <v>23</v>
      </c>
      <c r="B390" t="s">
        <v>46</v>
      </c>
      <c r="C390" t="s">
        <v>65</v>
      </c>
      <c r="D390">
        <v>0.2</v>
      </c>
      <c r="E390">
        <f>Tableau2[[#This Row],[Potential (PJ)]]/3.6*1000</f>
        <v>55.555555555555557</v>
      </c>
      <c r="F390">
        <v>3.4874999999999998</v>
      </c>
      <c r="G390">
        <f>Tableau2[[#This Row],[Cost (€/GJ)]]/1000000*3600</f>
        <v>1.2554999999999998E-2</v>
      </c>
      <c r="H390">
        <v>2.9521711768407801</v>
      </c>
      <c r="I390">
        <f>Tableau2[[#This Row],[GHG (kgCO2eq/GJ)]]/1000*3.6</f>
        <v>1.0627816236626808E-2</v>
      </c>
      <c r="J390" t="s">
        <v>104</v>
      </c>
      <c r="K390" t="s">
        <v>108</v>
      </c>
    </row>
    <row r="391" spans="1:11" hidden="1" x14ac:dyDescent="0.3">
      <c r="A391" t="s">
        <v>23</v>
      </c>
      <c r="B391" t="s">
        <v>46</v>
      </c>
      <c r="C391" t="s">
        <v>80</v>
      </c>
      <c r="D391">
        <v>0.80920000000000003</v>
      </c>
      <c r="E391">
        <f>Tableau2[[#This Row],[Potential (PJ)]]/3.6*1000</f>
        <v>224.77777777777777</v>
      </c>
      <c r="F391">
        <v>0.26432906271072149</v>
      </c>
      <c r="G391">
        <f>Tableau2[[#This Row],[Cost (€/GJ)]]/1000000*3600</f>
        <v>9.5158462575859739E-4</v>
      </c>
      <c r="H391">
        <v>28.139870918023309</v>
      </c>
      <c r="I391">
        <f>Tableau2[[#This Row],[GHG (kgCO2eq/GJ)]]/1000*3.6</f>
        <v>0.10130353530488391</v>
      </c>
      <c r="J391" t="s">
        <v>105</v>
      </c>
      <c r="K391" t="s">
        <v>108</v>
      </c>
    </row>
    <row r="392" spans="1:11" hidden="1" x14ac:dyDescent="0.3">
      <c r="A392" t="s">
        <v>23</v>
      </c>
      <c r="B392" t="s">
        <v>46</v>
      </c>
      <c r="C392" t="s">
        <v>81</v>
      </c>
      <c r="D392">
        <v>0.56609999999999994</v>
      </c>
      <c r="E392">
        <f>Tableau2[[#This Row],[Potential (PJ)]]/3.6*1000</f>
        <v>157.24999999999997</v>
      </c>
      <c r="F392">
        <v>1.533490011750881</v>
      </c>
      <c r="G392">
        <f>Tableau2[[#This Row],[Cost (€/GJ)]]/1000000*3600</f>
        <v>5.5205640423031718E-3</v>
      </c>
      <c r="H392">
        <v>8.9647473560517046</v>
      </c>
      <c r="I392">
        <f>Tableau2[[#This Row],[GHG (kgCO2eq/GJ)]]/1000*3.6</f>
        <v>3.2273090481786136E-2</v>
      </c>
      <c r="J392" t="s">
        <v>105</v>
      </c>
      <c r="K392" t="s">
        <v>108</v>
      </c>
    </row>
    <row r="393" spans="1:11" hidden="1" x14ac:dyDescent="0.3">
      <c r="A393" t="s">
        <v>23</v>
      </c>
      <c r="B393" t="s">
        <v>46</v>
      </c>
      <c r="C393" t="s">
        <v>66</v>
      </c>
      <c r="D393">
        <v>16</v>
      </c>
      <c r="E393">
        <f>Tableau2[[#This Row],[Potential (PJ)]]/3.6*1000</f>
        <v>4444.4444444444443</v>
      </c>
      <c r="F393">
        <v>2.9558312500000001</v>
      </c>
      <c r="G393">
        <f>Tableau2[[#This Row],[Cost (€/GJ)]]/1000000*3600</f>
        <v>1.0640992500000002E-2</v>
      </c>
      <c r="H393">
        <v>6.8428961748633883</v>
      </c>
      <c r="I393">
        <f>Tableau2[[#This Row],[GHG (kgCO2eq/GJ)]]/1000*3.6</f>
        <v>2.4634426229508198E-2</v>
      </c>
      <c r="J393" t="s">
        <v>104</v>
      </c>
      <c r="K393" t="s">
        <v>108</v>
      </c>
    </row>
    <row r="394" spans="1:11" hidden="1" x14ac:dyDescent="0.3">
      <c r="A394" t="s">
        <v>23</v>
      </c>
      <c r="B394" t="s">
        <v>46</v>
      </c>
      <c r="C394" t="s">
        <v>82</v>
      </c>
      <c r="D394">
        <v>6.6000000000000014</v>
      </c>
      <c r="E394">
        <f>Tableau2[[#This Row],[Potential (PJ)]]/3.6*1000</f>
        <v>1833.3333333333337</v>
      </c>
      <c r="F394">
        <v>1.8273787878787879</v>
      </c>
      <c r="G394">
        <f>Tableau2[[#This Row],[Cost (€/GJ)]]/1000000*3600</f>
        <v>6.5785636363636362E-3</v>
      </c>
      <c r="H394">
        <v>6.8428961748633883</v>
      </c>
      <c r="I394">
        <f>Tableau2[[#This Row],[GHG (kgCO2eq/GJ)]]/1000*3.6</f>
        <v>2.4634426229508198E-2</v>
      </c>
      <c r="J394" t="s">
        <v>104</v>
      </c>
      <c r="K394" t="s">
        <v>108</v>
      </c>
    </row>
    <row r="395" spans="1:11" hidden="1" x14ac:dyDescent="0.3">
      <c r="A395" t="s">
        <v>23</v>
      </c>
      <c r="B395" t="s">
        <v>46</v>
      </c>
      <c r="C395" t="s">
        <v>83</v>
      </c>
      <c r="D395">
        <v>3.832E-2</v>
      </c>
      <c r="E395">
        <f>Tableau2[[#This Row],[Potential (PJ)]]/3.6*1000</f>
        <v>10.644444444444444</v>
      </c>
      <c r="F395">
        <v>0</v>
      </c>
      <c r="G395">
        <f>Tableau2[[#This Row],[Cost (€/GJ)]]/1000000*3600</f>
        <v>0</v>
      </c>
      <c r="H395">
        <v>6.8428961748633883</v>
      </c>
      <c r="I395">
        <f>Tableau2[[#This Row],[GHG (kgCO2eq/GJ)]]/1000*3.6</f>
        <v>2.4634426229508198E-2</v>
      </c>
      <c r="J395" t="s">
        <v>104</v>
      </c>
      <c r="K395" t="s">
        <v>108</v>
      </c>
    </row>
    <row r="396" spans="1:11" hidden="1" x14ac:dyDescent="0.3">
      <c r="A396" t="s">
        <v>23</v>
      </c>
      <c r="B396" t="s">
        <v>46</v>
      </c>
      <c r="C396" t="s">
        <v>84</v>
      </c>
      <c r="D396">
        <v>0.2</v>
      </c>
      <c r="E396">
        <f>Tableau2[[#This Row],[Potential (PJ)]]/3.6*1000</f>
        <v>55.555555555555557</v>
      </c>
      <c r="F396">
        <v>1.621</v>
      </c>
      <c r="G396">
        <f>Tableau2[[#This Row],[Cost (€/GJ)]]/1000000*3600</f>
        <v>5.8355999999999998E-3</v>
      </c>
      <c r="H396">
        <v>28.139870918023309</v>
      </c>
      <c r="I396">
        <f>Tableau2[[#This Row],[GHG (kgCO2eq/GJ)]]/1000*3.6</f>
        <v>0.10130353530488391</v>
      </c>
      <c r="J396" t="s">
        <v>105</v>
      </c>
      <c r="K396" t="s">
        <v>108</v>
      </c>
    </row>
    <row r="397" spans="1:11" hidden="1" x14ac:dyDescent="0.3">
      <c r="A397" t="s">
        <v>23</v>
      </c>
      <c r="B397" t="s">
        <v>46</v>
      </c>
      <c r="C397" t="s">
        <v>85</v>
      </c>
      <c r="D397">
        <v>0.2</v>
      </c>
      <c r="E397">
        <f>Tableau2[[#This Row],[Potential (PJ)]]/3.6*1000</f>
        <v>55.555555555555557</v>
      </c>
      <c r="F397">
        <v>3.7174999999999998</v>
      </c>
      <c r="G397">
        <f>Tableau2[[#This Row],[Cost (€/GJ)]]/1000000*3600</f>
        <v>1.3383000000000001E-2</v>
      </c>
      <c r="H397">
        <v>2.9521711768407801</v>
      </c>
      <c r="I397">
        <f>Tableau2[[#This Row],[GHG (kgCO2eq/GJ)]]/1000*3.6</f>
        <v>1.0627816236626808E-2</v>
      </c>
      <c r="J397" t="s">
        <v>104</v>
      </c>
      <c r="K397" t="s">
        <v>108</v>
      </c>
    </row>
    <row r="398" spans="1:11" hidden="1" x14ac:dyDescent="0.3">
      <c r="A398" t="s">
        <v>23</v>
      </c>
      <c r="B398" t="s">
        <v>55</v>
      </c>
      <c r="C398" t="s">
        <v>86</v>
      </c>
      <c r="D398">
        <v>1.4192</v>
      </c>
      <c r="E398">
        <f>Tableau2[[#This Row],[Potential (PJ)]]/3.6*1000</f>
        <v>394.22222222222217</v>
      </c>
      <c r="F398">
        <v>16.266999999999999</v>
      </c>
      <c r="G398">
        <f>Tableau2[[#This Row],[Cost (€/GJ)]]/1000000*3600</f>
        <v>5.8561199999999994E-2</v>
      </c>
      <c r="H398">
        <v>22.1</v>
      </c>
      <c r="I398">
        <f>Tableau2[[#This Row],[GHG (kgCO2eq/GJ)]]/1000*3.6</f>
        <v>7.9560000000000006E-2</v>
      </c>
      <c r="J398" t="s">
        <v>106</v>
      </c>
      <c r="K398" t="s">
        <v>109</v>
      </c>
    </row>
    <row r="399" spans="1:11" hidden="1" x14ac:dyDescent="0.3">
      <c r="A399" t="s">
        <v>23</v>
      </c>
      <c r="B399" t="s">
        <v>55</v>
      </c>
      <c r="C399" t="s">
        <v>87</v>
      </c>
      <c r="D399">
        <v>0.64419999999999999</v>
      </c>
      <c r="E399">
        <f>Tableau2[[#This Row],[Potential (PJ)]]/3.6*1000</f>
        <v>178.94444444444443</v>
      </c>
      <c r="F399">
        <v>17.521999999999991</v>
      </c>
      <c r="G399">
        <f>Tableau2[[#This Row],[Cost (€/GJ)]]/1000000*3600</f>
        <v>6.3079199999999974E-2</v>
      </c>
      <c r="H399">
        <v>22.1</v>
      </c>
      <c r="I399">
        <f>Tableau2[[#This Row],[GHG (kgCO2eq/GJ)]]/1000*3.6</f>
        <v>7.9560000000000006E-2</v>
      </c>
      <c r="J399" t="s">
        <v>106</v>
      </c>
      <c r="K399" t="s">
        <v>109</v>
      </c>
    </row>
    <row r="400" spans="1:11" hidden="1" x14ac:dyDescent="0.3">
      <c r="A400" t="s">
        <v>23</v>
      </c>
      <c r="B400" t="s">
        <v>55</v>
      </c>
      <c r="C400" t="s">
        <v>88</v>
      </c>
      <c r="D400">
        <v>18.388100000000001</v>
      </c>
      <c r="E400">
        <f>Tableau2[[#This Row],[Potential (PJ)]]/3.6*1000</f>
        <v>5107.8055555555566</v>
      </c>
      <c r="F400">
        <v>15.975</v>
      </c>
      <c r="G400">
        <f>Tableau2[[#This Row],[Cost (€/GJ)]]/1000000*3600</f>
        <v>5.7509999999999999E-2</v>
      </c>
      <c r="H400">
        <v>22.1</v>
      </c>
      <c r="I400">
        <f>Tableau2[[#This Row],[GHG (kgCO2eq/GJ)]]/1000*3.6</f>
        <v>7.9560000000000006E-2</v>
      </c>
      <c r="J400" t="s">
        <v>106</v>
      </c>
      <c r="K400" t="s">
        <v>109</v>
      </c>
    </row>
    <row r="401" spans="1:11" hidden="1" x14ac:dyDescent="0.3">
      <c r="A401" t="s">
        <v>23</v>
      </c>
      <c r="B401" t="s">
        <v>55</v>
      </c>
      <c r="C401" t="s">
        <v>89</v>
      </c>
      <c r="D401">
        <v>6.8999999999999999E-3</v>
      </c>
      <c r="E401">
        <f>Tableau2[[#This Row],[Potential (PJ)]]/3.6*1000</f>
        <v>1.9166666666666665</v>
      </c>
      <c r="F401">
        <v>0</v>
      </c>
      <c r="G401">
        <f>Tableau2[[#This Row],[Cost (€/GJ)]]/1000000*3600</f>
        <v>0</v>
      </c>
      <c r="H401">
        <v>22.1</v>
      </c>
      <c r="I401">
        <f>Tableau2[[#This Row],[GHG (kgCO2eq/GJ)]]/1000*3.6</f>
        <v>7.9560000000000006E-2</v>
      </c>
      <c r="J401" t="s">
        <v>106</v>
      </c>
      <c r="K401" t="s">
        <v>109</v>
      </c>
    </row>
    <row r="402" spans="1:11" hidden="1" x14ac:dyDescent="0.3">
      <c r="A402" t="s">
        <v>23</v>
      </c>
      <c r="B402" t="s">
        <v>55</v>
      </c>
      <c r="C402" t="s">
        <v>90</v>
      </c>
      <c r="D402">
        <v>0.52790000000000004</v>
      </c>
      <c r="E402">
        <f>Tableau2[[#This Row],[Potential (PJ)]]/3.6*1000</f>
        <v>146.63888888888891</v>
      </c>
      <c r="F402">
        <v>17.138000000000002</v>
      </c>
      <c r="G402">
        <f>Tableau2[[#This Row],[Cost (€/GJ)]]/1000000*3600</f>
        <v>6.1696800000000003E-2</v>
      </c>
      <c r="H402">
        <v>22.1</v>
      </c>
      <c r="I402">
        <f>Tableau2[[#This Row],[GHG (kgCO2eq/GJ)]]/1000*3.6</f>
        <v>7.9560000000000006E-2</v>
      </c>
      <c r="J402" t="s">
        <v>106</v>
      </c>
      <c r="K402" t="s">
        <v>109</v>
      </c>
    </row>
    <row r="403" spans="1:11" hidden="1" x14ac:dyDescent="0.3">
      <c r="A403" t="s">
        <v>23</v>
      </c>
      <c r="B403" t="s">
        <v>55</v>
      </c>
      <c r="C403" t="s">
        <v>92</v>
      </c>
      <c r="D403">
        <v>1.36683</v>
      </c>
      <c r="E403">
        <f>Tableau2[[#This Row],[Potential (PJ)]]/3.6*1000</f>
        <v>379.67500000000001</v>
      </c>
      <c r="F403">
        <v>17.521999999999991</v>
      </c>
      <c r="G403">
        <f>Tableau2[[#This Row],[Cost (€/GJ)]]/1000000*3600</f>
        <v>6.3079199999999974E-2</v>
      </c>
      <c r="H403">
        <v>22.1</v>
      </c>
      <c r="I403">
        <f>Tableau2[[#This Row],[GHG (kgCO2eq/GJ)]]/1000*3.6</f>
        <v>7.9560000000000006E-2</v>
      </c>
      <c r="J403" t="s">
        <v>106</v>
      </c>
      <c r="K403" t="s">
        <v>109</v>
      </c>
    </row>
    <row r="404" spans="1:11" hidden="1" x14ac:dyDescent="0.3">
      <c r="A404" t="s">
        <v>23</v>
      </c>
      <c r="B404" t="s">
        <v>56</v>
      </c>
      <c r="C404" t="s">
        <v>93</v>
      </c>
      <c r="D404">
        <v>16.997599999999998</v>
      </c>
      <c r="E404">
        <f>Tableau2[[#This Row],[Potential (PJ)]]/3.6*1000</f>
        <v>4721.5555555555547</v>
      </c>
      <c r="F404">
        <v>2.9493975903614462</v>
      </c>
      <c r="G404">
        <f>Tableau2[[#This Row],[Cost (€/GJ)]]/1000000*3600</f>
        <v>1.0617831325301207E-2</v>
      </c>
      <c r="H404">
        <v>26.1</v>
      </c>
      <c r="I404">
        <f>Tableau2[[#This Row],[GHG (kgCO2eq/GJ)]]/1000*3.6</f>
        <v>9.3960000000000002E-2</v>
      </c>
      <c r="J404" t="s">
        <v>106</v>
      </c>
      <c r="K404" t="s">
        <v>109</v>
      </c>
    </row>
    <row r="405" spans="1:11" hidden="1" x14ac:dyDescent="0.3">
      <c r="A405" t="s">
        <v>23</v>
      </c>
      <c r="B405" t="s">
        <v>47</v>
      </c>
      <c r="C405" t="s">
        <v>68</v>
      </c>
      <c r="D405">
        <v>51</v>
      </c>
      <c r="E405">
        <f>Tableau2[[#This Row],[Potential (PJ)]]/3.6*1000</f>
        <v>14166.666666666666</v>
      </c>
      <c r="F405">
        <v>2.8343450980392162</v>
      </c>
      <c r="G405">
        <f>Tableau2[[#This Row],[Cost (€/GJ)]]/1000000*3600</f>
        <v>1.0203642352941179E-2</v>
      </c>
      <c r="H405">
        <v>43</v>
      </c>
      <c r="I405">
        <f>Tableau2[[#This Row],[GHG (kgCO2eq/GJ)]]/1000*3.6</f>
        <v>0.15479999999999999</v>
      </c>
      <c r="J405" t="s">
        <v>104</v>
      </c>
      <c r="K405" t="s">
        <v>109</v>
      </c>
    </row>
    <row r="406" spans="1:11" hidden="1" x14ac:dyDescent="0.3">
      <c r="A406" t="s">
        <v>23</v>
      </c>
      <c r="B406" t="s">
        <v>47</v>
      </c>
      <c r="C406" t="s">
        <v>69</v>
      </c>
      <c r="D406">
        <v>45.5</v>
      </c>
      <c r="E406">
        <f>Tableau2[[#This Row],[Potential (PJ)]]/3.6*1000</f>
        <v>12638.888888888889</v>
      </c>
      <c r="F406">
        <v>2.6731648351648349</v>
      </c>
      <c r="G406">
        <f>Tableau2[[#This Row],[Cost (€/GJ)]]/1000000*3600</f>
        <v>9.6233934065934057E-3</v>
      </c>
      <c r="H406">
        <v>43</v>
      </c>
      <c r="I406">
        <f>Tableau2[[#This Row],[GHG (kgCO2eq/GJ)]]/1000*3.6</f>
        <v>0.15479999999999999</v>
      </c>
      <c r="J406" t="s">
        <v>104</v>
      </c>
      <c r="K406" t="s">
        <v>109</v>
      </c>
    </row>
    <row r="407" spans="1:11" hidden="1" x14ac:dyDescent="0.3">
      <c r="A407" t="s">
        <v>23</v>
      </c>
      <c r="B407" t="s">
        <v>57</v>
      </c>
      <c r="C407" t="s">
        <v>94</v>
      </c>
      <c r="D407">
        <v>19.600000000000001</v>
      </c>
      <c r="E407">
        <f>Tableau2[[#This Row],[Potential (PJ)]]/3.6*1000</f>
        <v>5444.4444444444443</v>
      </c>
      <c r="F407">
        <v>6.9556071428571427</v>
      </c>
      <c r="G407">
        <f>Tableau2[[#This Row],[Cost (€/GJ)]]/1000000*3600</f>
        <v>2.5040185714285713E-2</v>
      </c>
      <c r="H407">
        <v>52.3</v>
      </c>
      <c r="I407">
        <f>Tableau2[[#This Row],[GHG (kgCO2eq/GJ)]]/1000*3.6</f>
        <v>0.18828</v>
      </c>
      <c r="J407" t="s">
        <v>104</v>
      </c>
      <c r="K407" t="s">
        <v>109</v>
      </c>
    </row>
    <row r="408" spans="1:11" hidden="1" x14ac:dyDescent="0.3">
      <c r="A408" t="s">
        <v>23</v>
      </c>
      <c r="B408" t="s">
        <v>49</v>
      </c>
      <c r="C408" t="s">
        <v>71</v>
      </c>
      <c r="D408">
        <v>41.469819999999999</v>
      </c>
      <c r="E408">
        <f>Tableau2[[#This Row],[Potential (PJ)]]/3.6*1000</f>
        <v>11519.394444444444</v>
      </c>
      <c r="F408">
        <v>1.896330696636735</v>
      </c>
      <c r="G408">
        <f>Tableau2[[#This Row],[Cost (€/GJ)]]/1000000*3600</f>
        <v>6.8267905078922466E-3</v>
      </c>
      <c r="H408">
        <v>3.86607608129234</v>
      </c>
      <c r="I408">
        <f>Tableau2[[#This Row],[GHG (kgCO2eq/GJ)]]/1000*3.6</f>
        <v>1.3917873892652425E-2</v>
      </c>
      <c r="J408" t="s">
        <v>104</v>
      </c>
      <c r="K408" t="s">
        <v>108</v>
      </c>
    </row>
    <row r="409" spans="1:11" hidden="1" x14ac:dyDescent="0.3">
      <c r="A409" t="s">
        <v>23</v>
      </c>
      <c r="B409" t="s">
        <v>49</v>
      </c>
      <c r="C409" t="s">
        <v>72</v>
      </c>
      <c r="D409">
        <v>9.8000000000000007</v>
      </c>
      <c r="E409">
        <f>Tableau2[[#This Row],[Potential (PJ)]]/3.6*1000</f>
        <v>2722.2222222222222</v>
      </c>
      <c r="F409">
        <v>2.5126122448979591</v>
      </c>
      <c r="G409">
        <f>Tableau2[[#This Row],[Cost (€/GJ)]]/1000000*3600</f>
        <v>9.045404081632652E-3</v>
      </c>
      <c r="H409">
        <v>3.86607608129234</v>
      </c>
      <c r="I409">
        <f>Tableau2[[#This Row],[GHG (kgCO2eq/GJ)]]/1000*3.6</f>
        <v>1.3917873892652425E-2</v>
      </c>
      <c r="J409" t="s">
        <v>104</v>
      </c>
      <c r="K409" t="s">
        <v>108</v>
      </c>
    </row>
    <row r="410" spans="1:11" hidden="1" x14ac:dyDescent="0.3">
      <c r="A410" t="s">
        <v>23</v>
      </c>
      <c r="B410" t="s">
        <v>58</v>
      </c>
      <c r="C410" t="s">
        <v>95</v>
      </c>
      <c r="D410">
        <v>5.7558699999999998</v>
      </c>
      <c r="E410">
        <f>Tableau2[[#This Row],[Potential (PJ)]]/3.6*1000</f>
        <v>1598.8527777777776</v>
      </c>
      <c r="F410">
        <v>2.5384091232081341</v>
      </c>
      <c r="G410">
        <f>Tableau2[[#This Row],[Cost (€/GJ)]]/1000000*3600</f>
        <v>9.1382728435492819E-3</v>
      </c>
      <c r="H410">
        <v>2.9521711768407801</v>
      </c>
      <c r="I410">
        <f>Tableau2[[#This Row],[GHG (kgCO2eq/GJ)]]/1000*3.6</f>
        <v>1.0627816236626808E-2</v>
      </c>
      <c r="J410" t="s">
        <v>104</v>
      </c>
      <c r="K410" t="s">
        <v>108</v>
      </c>
    </row>
    <row r="411" spans="1:11" hidden="1" x14ac:dyDescent="0.3">
      <c r="A411" t="s">
        <v>23</v>
      </c>
      <c r="B411" t="s">
        <v>50</v>
      </c>
      <c r="C411" t="s">
        <v>73</v>
      </c>
      <c r="D411">
        <v>1.9</v>
      </c>
      <c r="E411">
        <f>Tableau2[[#This Row],[Potential (PJ)]]/3.6*1000</f>
        <v>527.77777777777783</v>
      </c>
      <c r="F411">
        <v>5.1365263157894736</v>
      </c>
      <c r="G411">
        <f>Tableau2[[#This Row],[Cost (€/GJ)]]/1000000*3600</f>
        <v>1.8491494736842105E-2</v>
      </c>
      <c r="H411">
        <v>20.723404255319149</v>
      </c>
      <c r="I411">
        <f>Tableau2[[#This Row],[GHG (kgCO2eq/GJ)]]/1000*3.6</f>
        <v>7.4604255319148938E-2</v>
      </c>
      <c r="J411" t="s">
        <v>105</v>
      </c>
      <c r="K411" t="s">
        <v>108</v>
      </c>
    </row>
    <row r="412" spans="1:11" hidden="1" x14ac:dyDescent="0.3">
      <c r="A412" t="s">
        <v>23</v>
      </c>
      <c r="B412" t="s">
        <v>50</v>
      </c>
      <c r="C412" t="s">
        <v>74</v>
      </c>
      <c r="D412">
        <v>61.7</v>
      </c>
      <c r="E412">
        <f>Tableau2[[#This Row],[Potential (PJ)]]/3.6*1000</f>
        <v>17138.888888888891</v>
      </c>
      <c r="F412">
        <v>3.5499837925445701</v>
      </c>
      <c r="G412">
        <f>Tableau2[[#This Row],[Cost (€/GJ)]]/1000000*3600</f>
        <v>1.2779941653160452E-2</v>
      </c>
      <c r="H412">
        <v>2.0635593220338988</v>
      </c>
      <c r="I412">
        <f>Tableau2[[#This Row],[GHG (kgCO2eq/GJ)]]/1000*3.6</f>
        <v>7.4288135593220351E-3</v>
      </c>
      <c r="J412" t="s">
        <v>105</v>
      </c>
      <c r="K412" t="s">
        <v>108</v>
      </c>
    </row>
    <row r="413" spans="1:11" hidden="1" x14ac:dyDescent="0.3">
      <c r="A413" t="s">
        <v>23</v>
      </c>
      <c r="B413" t="s">
        <v>59</v>
      </c>
      <c r="C413" t="s">
        <v>96</v>
      </c>
      <c r="D413">
        <v>1.609</v>
      </c>
      <c r="E413">
        <f>Tableau2[[#This Row],[Potential (PJ)]]/3.6*1000</f>
        <v>446.9444444444444</v>
      </c>
      <c r="F413">
        <v>29.956</v>
      </c>
      <c r="G413">
        <f>Tableau2[[#This Row],[Cost (€/GJ)]]/1000000*3600</f>
        <v>0.1078416</v>
      </c>
      <c r="H413">
        <v>29.4</v>
      </c>
      <c r="I413">
        <f>Tableau2[[#This Row],[GHG (kgCO2eq/GJ)]]/1000*3.6</f>
        <v>0.10584</v>
      </c>
      <c r="J413" t="s">
        <v>107</v>
      </c>
      <c r="K413" t="s">
        <v>109</v>
      </c>
    </row>
    <row r="414" spans="1:11" hidden="1" x14ac:dyDescent="0.3">
      <c r="A414" t="s">
        <v>23</v>
      </c>
      <c r="B414" t="s">
        <v>59</v>
      </c>
      <c r="C414" t="s">
        <v>97</v>
      </c>
      <c r="D414">
        <v>5.5587</v>
      </c>
      <c r="E414">
        <f>Tableau2[[#This Row],[Potential (PJ)]]/3.6*1000</f>
        <v>1544.0833333333333</v>
      </c>
      <c r="F414">
        <v>18.55670103092784</v>
      </c>
      <c r="G414">
        <f>Tableau2[[#This Row],[Cost (€/GJ)]]/1000000*3600</f>
        <v>6.680412371134023E-2</v>
      </c>
      <c r="H414">
        <v>29.4</v>
      </c>
      <c r="I414">
        <f>Tableau2[[#This Row],[GHG (kgCO2eq/GJ)]]/1000*3.6</f>
        <v>0.10584</v>
      </c>
      <c r="J414" t="s">
        <v>107</v>
      </c>
      <c r="K414" t="s">
        <v>109</v>
      </c>
    </row>
    <row r="415" spans="1:11" hidden="1" x14ac:dyDescent="0.3">
      <c r="A415" t="s">
        <v>23</v>
      </c>
      <c r="B415" t="s">
        <v>51</v>
      </c>
      <c r="C415" t="s">
        <v>75</v>
      </c>
      <c r="D415">
        <v>12.121130000000001</v>
      </c>
      <c r="E415">
        <f>Tableau2[[#This Row],[Potential (PJ)]]/3.6*1000</f>
        <v>3366.9805555555558</v>
      </c>
      <c r="F415">
        <v>2.9665819599817402E-3</v>
      </c>
      <c r="G415">
        <f>Tableau2[[#This Row],[Cost (€/GJ)]]/1000000*3600</f>
        <v>1.0679695055934265E-5</v>
      </c>
      <c r="H415">
        <v>11.74</v>
      </c>
      <c r="I415">
        <f>Tableau2[[#This Row],[GHG (kgCO2eq/GJ)]]/1000*3.6</f>
        <v>4.2264000000000003E-2</v>
      </c>
      <c r="J415" t="s">
        <v>104</v>
      </c>
      <c r="K415" t="s">
        <v>108</v>
      </c>
    </row>
    <row r="416" spans="1:11" hidden="1" x14ac:dyDescent="0.3">
      <c r="A416" t="s">
        <v>23</v>
      </c>
      <c r="B416" t="s">
        <v>60</v>
      </c>
      <c r="C416" t="s">
        <v>98</v>
      </c>
      <c r="D416">
        <v>2.8841700000000001</v>
      </c>
      <c r="E416">
        <f>Tableau2[[#This Row],[Potential (PJ)]]/3.6*1000</f>
        <v>801.1583333333333</v>
      </c>
      <c r="F416">
        <v>18.582169709989259</v>
      </c>
      <c r="G416">
        <f>Tableau2[[#This Row],[Cost (€/GJ)]]/1000000*3600</f>
        <v>6.6895810955961338E-2</v>
      </c>
      <c r="H416">
        <v>47.4</v>
      </c>
      <c r="I416">
        <f>Tableau2[[#This Row],[GHG (kgCO2eq/GJ)]]/1000*3.6</f>
        <v>0.17063999999999999</v>
      </c>
      <c r="J416" t="s">
        <v>107</v>
      </c>
      <c r="K416" t="s">
        <v>109</v>
      </c>
    </row>
    <row r="417" spans="1:11" hidden="1" x14ac:dyDescent="0.3">
      <c r="A417" t="s">
        <v>23</v>
      </c>
      <c r="B417" t="s">
        <v>52</v>
      </c>
      <c r="C417" t="s">
        <v>76</v>
      </c>
      <c r="D417">
        <v>0.40899999999999997</v>
      </c>
      <c r="E417">
        <f>Tableau2[[#This Row],[Potential (PJ)]]/3.6*1000</f>
        <v>113.61111111111111</v>
      </c>
      <c r="F417">
        <v>5.4702337500000002</v>
      </c>
      <c r="G417">
        <f>Tableau2[[#This Row],[Cost (€/GJ)]]/1000000*3600</f>
        <v>1.9692841500000002E-2</v>
      </c>
      <c r="H417">
        <v>12.68872359754714</v>
      </c>
      <c r="I417">
        <f>Tableau2[[#This Row],[GHG (kgCO2eq/GJ)]]/1000*3.6</f>
        <v>4.5679404951169705E-2</v>
      </c>
      <c r="J417" t="s">
        <v>105</v>
      </c>
      <c r="K417" t="s">
        <v>108</v>
      </c>
    </row>
    <row r="418" spans="1:11" hidden="1" x14ac:dyDescent="0.3">
      <c r="A418" t="s">
        <v>23</v>
      </c>
      <c r="B418" t="s">
        <v>53</v>
      </c>
      <c r="C418" t="s">
        <v>77</v>
      </c>
      <c r="D418">
        <v>9.3000000000000007</v>
      </c>
      <c r="E418">
        <f>Tableau2[[#This Row],[Potential (PJ)]]/3.6*1000</f>
        <v>2583.3333333333335</v>
      </c>
      <c r="F418">
        <v>2.512612903225806</v>
      </c>
      <c r="G418">
        <f>Tableau2[[#This Row],[Cost (€/GJ)]]/1000000*3600</f>
        <v>9.0454064516129022E-3</v>
      </c>
      <c r="H418">
        <v>3.86607608129234</v>
      </c>
      <c r="I418">
        <f>Tableau2[[#This Row],[GHG (kgCO2eq/GJ)]]/1000*3.6</f>
        <v>1.3917873892652425E-2</v>
      </c>
      <c r="J418" t="s">
        <v>104</v>
      </c>
      <c r="K418" t="s">
        <v>108</v>
      </c>
    </row>
    <row r="419" spans="1:11" hidden="1" x14ac:dyDescent="0.3">
      <c r="A419" t="s">
        <v>23</v>
      </c>
      <c r="B419" t="s">
        <v>61</v>
      </c>
      <c r="C419" t="s">
        <v>99</v>
      </c>
      <c r="D419">
        <v>1.7</v>
      </c>
      <c r="E419">
        <f>Tableau2[[#This Row],[Potential (PJ)]]/3.6*1000</f>
        <v>472.22222222222223</v>
      </c>
      <c r="F419">
        <v>1.754294117647059</v>
      </c>
      <c r="G419">
        <f>Tableau2[[#This Row],[Cost (€/GJ)]]/1000000*3600</f>
        <v>6.3154588235294126E-3</v>
      </c>
      <c r="H419">
        <v>2.9245635910224439</v>
      </c>
      <c r="I419">
        <f>Tableau2[[#This Row],[GHG (kgCO2eq/GJ)]]/1000*3.6</f>
        <v>1.0528428927680798E-2</v>
      </c>
      <c r="J419" t="s">
        <v>104</v>
      </c>
      <c r="K419" t="s">
        <v>108</v>
      </c>
    </row>
    <row r="420" spans="1:11" hidden="1" x14ac:dyDescent="0.3">
      <c r="A420" t="s">
        <v>23</v>
      </c>
      <c r="B420" t="s">
        <v>62</v>
      </c>
      <c r="C420" t="s">
        <v>100</v>
      </c>
      <c r="D420">
        <v>0.3</v>
      </c>
      <c r="E420">
        <f>Tableau2[[#This Row],[Potential (PJ)]]/3.6*1000</f>
        <v>83.333333333333329</v>
      </c>
      <c r="F420">
        <v>0.33333333333333331</v>
      </c>
      <c r="G420">
        <f>Tableau2[[#This Row],[Cost (€/GJ)]]/1000000*3600</f>
        <v>1.1999999999999999E-3</v>
      </c>
      <c r="H420">
        <v>2.6764106050305911</v>
      </c>
      <c r="I420">
        <f>Tableau2[[#This Row],[GHG (kgCO2eq/GJ)]]/1000*3.6</f>
        <v>9.6350781781101291E-3</v>
      </c>
      <c r="J420" t="s">
        <v>104</v>
      </c>
      <c r="K420" t="s">
        <v>108</v>
      </c>
    </row>
    <row r="421" spans="1:11" hidden="1" x14ac:dyDescent="0.3">
      <c r="A421" t="s">
        <v>23</v>
      </c>
      <c r="B421" t="s">
        <v>54</v>
      </c>
      <c r="C421" t="s">
        <v>78</v>
      </c>
      <c r="D421">
        <v>39</v>
      </c>
      <c r="E421">
        <f>Tableau2[[#This Row],[Potential (PJ)]]/3.6*1000</f>
        <v>10833.333333333334</v>
      </c>
      <c r="F421">
        <v>2.496610256410257</v>
      </c>
      <c r="G421">
        <f>Tableau2[[#This Row],[Cost (€/GJ)]]/1000000*3600</f>
        <v>8.9877969230769249E-3</v>
      </c>
      <c r="H421">
        <v>3.86607608129234</v>
      </c>
      <c r="I421">
        <f>Tableau2[[#This Row],[GHG (kgCO2eq/GJ)]]/1000*3.6</f>
        <v>1.3917873892652425E-2</v>
      </c>
      <c r="J421" t="s">
        <v>104</v>
      </c>
      <c r="K421" t="s">
        <v>108</v>
      </c>
    </row>
    <row r="422" spans="1:11" hidden="1" x14ac:dyDescent="0.3">
      <c r="A422" t="s">
        <v>24</v>
      </c>
      <c r="B422" t="s">
        <v>46</v>
      </c>
      <c r="C422" t="s">
        <v>80</v>
      </c>
      <c r="D422">
        <v>7.0000000000000007E-2</v>
      </c>
      <c r="E422">
        <f>Tableau2[[#This Row],[Potential (PJ)]]/3.6*1000</f>
        <v>19.444444444444446</v>
      </c>
      <c r="F422">
        <v>0.33378287255563049</v>
      </c>
      <c r="G422">
        <f>Tableau2[[#This Row],[Cost (€/GJ)]]/1000000*3600</f>
        <v>1.2016183412002696E-3</v>
      </c>
      <c r="H422">
        <v>28.139870918023309</v>
      </c>
      <c r="I422">
        <f>Tableau2[[#This Row],[GHG (kgCO2eq/GJ)]]/1000*3.6</f>
        <v>0.10130353530488391</v>
      </c>
      <c r="J422" t="s">
        <v>105</v>
      </c>
      <c r="K422" t="s">
        <v>108</v>
      </c>
    </row>
    <row r="423" spans="1:11" hidden="1" x14ac:dyDescent="0.3">
      <c r="A423" t="s">
        <v>24</v>
      </c>
      <c r="B423" t="s">
        <v>46</v>
      </c>
      <c r="C423" t="s">
        <v>81</v>
      </c>
      <c r="D423">
        <v>4.2599999999999999E-2</v>
      </c>
      <c r="E423">
        <f>Tableau2[[#This Row],[Potential (PJ)]]/3.6*1000</f>
        <v>11.833333333333332</v>
      </c>
      <c r="F423">
        <v>2.6022326674500591</v>
      </c>
      <c r="G423">
        <f>Tableau2[[#This Row],[Cost (€/GJ)]]/1000000*3600</f>
        <v>9.3680376028202131E-3</v>
      </c>
      <c r="H423">
        <v>8.9647473560517046</v>
      </c>
      <c r="I423">
        <f>Tableau2[[#This Row],[GHG (kgCO2eq/GJ)]]/1000*3.6</f>
        <v>3.2273090481786136E-2</v>
      </c>
      <c r="J423" t="s">
        <v>105</v>
      </c>
      <c r="K423" t="s">
        <v>108</v>
      </c>
    </row>
    <row r="424" spans="1:11" hidden="1" x14ac:dyDescent="0.3">
      <c r="A424" t="s">
        <v>24</v>
      </c>
      <c r="B424" t="s">
        <v>55</v>
      </c>
      <c r="C424" t="s">
        <v>86</v>
      </c>
      <c r="D424">
        <v>6.5600000000000006E-2</v>
      </c>
      <c r="E424">
        <f>Tableau2[[#This Row],[Potential (PJ)]]/3.6*1000</f>
        <v>18.222222222222221</v>
      </c>
      <c r="F424">
        <v>15.132999999999999</v>
      </c>
      <c r="G424">
        <f>Tableau2[[#This Row],[Cost (€/GJ)]]/1000000*3600</f>
        <v>5.4478799999999994E-2</v>
      </c>
      <c r="H424">
        <v>9.8000000000000007</v>
      </c>
      <c r="I424">
        <f>Tableau2[[#This Row],[GHG (kgCO2eq/GJ)]]/1000*3.6</f>
        <v>3.5280000000000006E-2</v>
      </c>
      <c r="J424" t="s">
        <v>106</v>
      </c>
      <c r="K424" t="s">
        <v>109</v>
      </c>
    </row>
    <row r="425" spans="1:11" hidden="1" x14ac:dyDescent="0.3">
      <c r="A425" t="s">
        <v>24</v>
      </c>
      <c r="B425" t="s">
        <v>55</v>
      </c>
      <c r="C425" t="s">
        <v>89</v>
      </c>
      <c r="D425">
        <v>7.4700000000000003E-2</v>
      </c>
      <c r="E425">
        <f>Tableau2[[#This Row],[Potential (PJ)]]/3.6*1000</f>
        <v>20.75</v>
      </c>
      <c r="F425">
        <v>0</v>
      </c>
      <c r="G425">
        <f>Tableau2[[#This Row],[Cost (€/GJ)]]/1000000*3600</f>
        <v>0</v>
      </c>
      <c r="H425">
        <v>9.8000000000000007</v>
      </c>
      <c r="I425">
        <f>Tableau2[[#This Row],[GHG (kgCO2eq/GJ)]]/1000*3.6</f>
        <v>3.5280000000000006E-2</v>
      </c>
      <c r="J425" t="s">
        <v>106</v>
      </c>
      <c r="K425" t="s">
        <v>109</v>
      </c>
    </row>
    <row r="426" spans="1:11" hidden="1" x14ac:dyDescent="0.3">
      <c r="A426" t="s">
        <v>24</v>
      </c>
      <c r="B426" t="s">
        <v>55</v>
      </c>
      <c r="C426" t="s">
        <v>92</v>
      </c>
      <c r="D426">
        <v>7.6840000000000006E-2</v>
      </c>
      <c r="E426">
        <f>Tableau2[[#This Row],[Potential (PJ)]]/3.6*1000</f>
        <v>21.344444444444449</v>
      </c>
      <c r="F426">
        <v>13.994</v>
      </c>
      <c r="G426">
        <f>Tableau2[[#This Row],[Cost (€/GJ)]]/1000000*3600</f>
        <v>5.0378400000000004E-2</v>
      </c>
      <c r="H426">
        <v>9.8000000000000007</v>
      </c>
      <c r="I426">
        <f>Tableau2[[#This Row],[GHG (kgCO2eq/GJ)]]/1000*3.6</f>
        <v>3.5280000000000006E-2</v>
      </c>
      <c r="J426" t="s">
        <v>106</v>
      </c>
      <c r="K426" t="s">
        <v>109</v>
      </c>
    </row>
    <row r="427" spans="1:11" hidden="1" x14ac:dyDescent="0.3">
      <c r="A427" t="s">
        <v>24</v>
      </c>
      <c r="B427" t="s">
        <v>47</v>
      </c>
      <c r="C427" t="s">
        <v>101</v>
      </c>
      <c r="D427">
        <v>4.8</v>
      </c>
      <c r="E427">
        <f>Tableau2[[#This Row],[Potential (PJ)]]/3.6*1000</f>
        <v>1333.3333333333333</v>
      </c>
      <c r="F427">
        <v>5.0772499999999994</v>
      </c>
      <c r="G427">
        <f>Tableau2[[#This Row],[Cost (€/GJ)]]/1000000*3600</f>
        <v>1.8278099999999999E-2</v>
      </c>
      <c r="H427">
        <v>61.2</v>
      </c>
      <c r="I427">
        <f>Tableau2[[#This Row],[GHG (kgCO2eq/GJ)]]/1000*3.6</f>
        <v>0.22032000000000002</v>
      </c>
      <c r="J427" t="s">
        <v>104</v>
      </c>
      <c r="K427" t="s">
        <v>109</v>
      </c>
    </row>
    <row r="428" spans="1:11" hidden="1" x14ac:dyDescent="0.3">
      <c r="A428" t="s">
        <v>24</v>
      </c>
      <c r="B428" t="s">
        <v>57</v>
      </c>
      <c r="C428" t="s">
        <v>94</v>
      </c>
      <c r="D428">
        <v>2.5</v>
      </c>
      <c r="E428">
        <f>Tableau2[[#This Row],[Potential (PJ)]]/3.6*1000</f>
        <v>694.44444444444446</v>
      </c>
      <c r="F428">
        <v>10.788</v>
      </c>
      <c r="G428">
        <f>Tableau2[[#This Row],[Cost (€/GJ)]]/1000000*3600</f>
        <v>3.8836800000000005E-2</v>
      </c>
      <c r="H428">
        <v>24.4</v>
      </c>
      <c r="I428">
        <f>Tableau2[[#This Row],[GHG (kgCO2eq/GJ)]]/1000*3.6</f>
        <v>8.7840000000000001E-2</v>
      </c>
      <c r="J428" t="s">
        <v>104</v>
      </c>
      <c r="K428" t="s">
        <v>109</v>
      </c>
    </row>
    <row r="429" spans="1:11" hidden="1" x14ac:dyDescent="0.3">
      <c r="A429" t="s">
        <v>24</v>
      </c>
      <c r="B429" t="s">
        <v>49</v>
      </c>
      <c r="C429" t="s">
        <v>71</v>
      </c>
      <c r="D429">
        <v>14.04454</v>
      </c>
      <c r="E429">
        <f>Tableau2[[#This Row],[Potential (PJ)]]/3.6*1000</f>
        <v>3901.2611111111109</v>
      </c>
      <c r="F429">
        <v>4.0090000000000003</v>
      </c>
      <c r="G429">
        <f>Tableau2[[#This Row],[Cost (€/GJ)]]/1000000*3600</f>
        <v>1.44324E-2</v>
      </c>
      <c r="H429">
        <v>3.86607608129234</v>
      </c>
      <c r="I429">
        <f>Tableau2[[#This Row],[GHG (kgCO2eq/GJ)]]/1000*3.6</f>
        <v>1.3917873892652425E-2</v>
      </c>
      <c r="J429" t="s">
        <v>104</v>
      </c>
      <c r="K429" t="s">
        <v>108</v>
      </c>
    </row>
    <row r="430" spans="1:11" hidden="1" x14ac:dyDescent="0.3">
      <c r="A430" t="s">
        <v>24</v>
      </c>
      <c r="B430" t="s">
        <v>49</v>
      </c>
      <c r="C430" t="s">
        <v>72</v>
      </c>
      <c r="D430">
        <v>0.5</v>
      </c>
      <c r="E430">
        <f>Tableau2[[#This Row],[Potential (PJ)]]/3.6*1000</f>
        <v>138.88888888888889</v>
      </c>
      <c r="F430">
        <v>3.2109999999999999</v>
      </c>
      <c r="G430">
        <f>Tableau2[[#This Row],[Cost (€/GJ)]]/1000000*3600</f>
        <v>1.15596E-2</v>
      </c>
      <c r="H430">
        <v>3.86607608129234</v>
      </c>
      <c r="I430">
        <f>Tableau2[[#This Row],[GHG (kgCO2eq/GJ)]]/1000*3.6</f>
        <v>1.3917873892652425E-2</v>
      </c>
      <c r="J430" t="s">
        <v>104</v>
      </c>
      <c r="K430" t="s">
        <v>108</v>
      </c>
    </row>
    <row r="431" spans="1:11" hidden="1" x14ac:dyDescent="0.3">
      <c r="A431" t="s">
        <v>24</v>
      </c>
      <c r="B431" t="s">
        <v>58</v>
      </c>
      <c r="C431" t="s">
        <v>95</v>
      </c>
      <c r="D431">
        <v>4.3838600000000003</v>
      </c>
      <c r="E431">
        <f>Tableau2[[#This Row],[Potential (PJ)]]/3.6*1000</f>
        <v>1217.7388888888888</v>
      </c>
      <c r="F431">
        <v>2.181</v>
      </c>
      <c r="G431">
        <f>Tableau2[[#This Row],[Cost (€/GJ)]]/1000000*3600</f>
        <v>7.8516000000000002E-3</v>
      </c>
      <c r="H431">
        <v>2.9521711768407801</v>
      </c>
      <c r="I431">
        <f>Tableau2[[#This Row],[GHG (kgCO2eq/GJ)]]/1000*3.6</f>
        <v>1.0627816236626808E-2</v>
      </c>
      <c r="J431" t="s">
        <v>104</v>
      </c>
      <c r="K431" t="s">
        <v>108</v>
      </c>
    </row>
    <row r="432" spans="1:11" hidden="1" x14ac:dyDescent="0.3">
      <c r="A432" t="s">
        <v>24</v>
      </c>
      <c r="B432" t="s">
        <v>50</v>
      </c>
      <c r="C432" t="s">
        <v>73</v>
      </c>
      <c r="D432">
        <v>6.8000000000000007</v>
      </c>
      <c r="E432">
        <f>Tableau2[[#This Row],[Potential (PJ)]]/3.6*1000</f>
        <v>1888.8888888888891</v>
      </c>
      <c r="F432">
        <v>5.6319999999999988</v>
      </c>
      <c r="G432">
        <f>Tableau2[[#This Row],[Cost (€/GJ)]]/1000000*3600</f>
        <v>2.0275199999999997E-2</v>
      </c>
      <c r="H432">
        <v>20.723404255319149</v>
      </c>
      <c r="I432">
        <f>Tableau2[[#This Row],[GHG (kgCO2eq/GJ)]]/1000*3.6</f>
        <v>7.4604255319148938E-2</v>
      </c>
      <c r="J432" t="s">
        <v>105</v>
      </c>
      <c r="K432" t="s">
        <v>108</v>
      </c>
    </row>
    <row r="433" spans="1:11" hidden="1" x14ac:dyDescent="0.3">
      <c r="A433" t="s">
        <v>24</v>
      </c>
      <c r="B433" t="s">
        <v>50</v>
      </c>
      <c r="C433" t="s">
        <v>74</v>
      </c>
      <c r="D433">
        <v>11.7</v>
      </c>
      <c r="E433">
        <f>Tableau2[[#This Row],[Potential (PJ)]]/3.6*1000</f>
        <v>3249.9999999999995</v>
      </c>
      <c r="F433">
        <v>6.2313504273504279</v>
      </c>
      <c r="G433">
        <f>Tableau2[[#This Row],[Cost (€/GJ)]]/1000000*3600</f>
        <v>2.2432861538461541E-2</v>
      </c>
      <c r="H433">
        <v>2.0635593220338988</v>
      </c>
      <c r="I433">
        <f>Tableau2[[#This Row],[GHG (kgCO2eq/GJ)]]/1000*3.6</f>
        <v>7.4288135593220351E-3</v>
      </c>
      <c r="J433" t="s">
        <v>105</v>
      </c>
      <c r="K433" t="s">
        <v>108</v>
      </c>
    </row>
    <row r="434" spans="1:11" hidden="1" x14ac:dyDescent="0.3">
      <c r="A434" t="s">
        <v>24</v>
      </c>
      <c r="B434" t="s">
        <v>51</v>
      </c>
      <c r="C434" t="s">
        <v>75</v>
      </c>
      <c r="D434">
        <v>2.6413920000000002</v>
      </c>
      <c r="E434">
        <f>Tableau2[[#This Row],[Potential (PJ)]]/3.6*1000</f>
        <v>733.72</v>
      </c>
      <c r="F434">
        <v>2.6801967037624299E-2</v>
      </c>
      <c r="G434">
        <f>Tableau2[[#This Row],[Cost (€/GJ)]]/1000000*3600</f>
        <v>9.6487081335447478E-5</v>
      </c>
      <c r="H434">
        <v>11.74</v>
      </c>
      <c r="I434">
        <f>Tableau2[[#This Row],[GHG (kgCO2eq/GJ)]]/1000*3.6</f>
        <v>4.2264000000000003E-2</v>
      </c>
      <c r="J434" t="s">
        <v>104</v>
      </c>
      <c r="K434" t="s">
        <v>108</v>
      </c>
    </row>
    <row r="435" spans="1:11" hidden="1" x14ac:dyDescent="0.3">
      <c r="A435" t="s">
        <v>24</v>
      </c>
      <c r="B435" t="s">
        <v>60</v>
      </c>
      <c r="C435" t="s">
        <v>98</v>
      </c>
      <c r="D435">
        <v>0.46355000000000002</v>
      </c>
      <c r="E435">
        <f>Tableau2[[#This Row],[Potential (PJ)]]/3.6*1000</f>
        <v>128.76388888888891</v>
      </c>
      <c r="F435">
        <v>26.262083780880769</v>
      </c>
      <c r="G435">
        <f>Tableau2[[#This Row],[Cost (€/GJ)]]/1000000*3600</f>
        <v>9.4543501611170769E-2</v>
      </c>
      <c r="H435">
        <v>33.200000000000003</v>
      </c>
      <c r="I435">
        <f>Tableau2[[#This Row],[GHG (kgCO2eq/GJ)]]/1000*3.6</f>
        <v>0.11952</v>
      </c>
      <c r="J435" t="s">
        <v>107</v>
      </c>
      <c r="K435" t="s">
        <v>109</v>
      </c>
    </row>
    <row r="436" spans="1:11" hidden="1" x14ac:dyDescent="0.3">
      <c r="A436" t="s">
        <v>24</v>
      </c>
      <c r="B436" t="s">
        <v>52</v>
      </c>
      <c r="C436" t="s">
        <v>76</v>
      </c>
      <c r="D436">
        <v>3.0000000000000001E-3</v>
      </c>
      <c r="E436">
        <f>Tableau2[[#This Row],[Potential (PJ)]]/3.6*1000</f>
        <v>0.83333333333333326</v>
      </c>
      <c r="F436">
        <v>5.4702337500000002</v>
      </c>
      <c r="G436">
        <f>Tableau2[[#This Row],[Cost (€/GJ)]]/1000000*3600</f>
        <v>1.9692841500000002E-2</v>
      </c>
      <c r="H436">
        <v>12.68872359754714</v>
      </c>
      <c r="I436">
        <f>Tableau2[[#This Row],[GHG (kgCO2eq/GJ)]]/1000*3.6</f>
        <v>4.5679404951169705E-2</v>
      </c>
      <c r="J436" t="s">
        <v>105</v>
      </c>
      <c r="K436" t="s">
        <v>108</v>
      </c>
    </row>
    <row r="437" spans="1:11" hidden="1" x14ac:dyDescent="0.3">
      <c r="A437" t="s">
        <v>24</v>
      </c>
      <c r="B437" t="s">
        <v>53</v>
      </c>
      <c r="C437" t="s">
        <v>77</v>
      </c>
      <c r="D437">
        <v>1</v>
      </c>
      <c r="E437">
        <f>Tableau2[[#This Row],[Potential (PJ)]]/3.6*1000</f>
        <v>277.77777777777777</v>
      </c>
      <c r="F437">
        <v>3.2109999999999999</v>
      </c>
      <c r="G437">
        <f>Tableau2[[#This Row],[Cost (€/GJ)]]/1000000*3600</f>
        <v>1.15596E-2</v>
      </c>
      <c r="H437">
        <v>3.86607608129234</v>
      </c>
      <c r="I437">
        <f>Tableau2[[#This Row],[GHG (kgCO2eq/GJ)]]/1000*3.6</f>
        <v>1.3917873892652425E-2</v>
      </c>
      <c r="J437" t="s">
        <v>104</v>
      </c>
      <c r="K437" t="s">
        <v>108</v>
      </c>
    </row>
    <row r="438" spans="1:11" hidden="1" x14ac:dyDescent="0.3">
      <c r="A438" t="s">
        <v>24</v>
      </c>
      <c r="B438" t="s">
        <v>61</v>
      </c>
      <c r="C438" t="s">
        <v>99</v>
      </c>
      <c r="D438">
        <v>3.3</v>
      </c>
      <c r="E438">
        <f>Tableau2[[#This Row],[Potential (PJ)]]/3.6*1000</f>
        <v>916.66666666666663</v>
      </c>
      <c r="F438">
        <v>1.9390000000000001</v>
      </c>
      <c r="G438">
        <f>Tableau2[[#This Row],[Cost (€/GJ)]]/1000000*3600</f>
        <v>6.9804000000000003E-3</v>
      </c>
      <c r="H438">
        <v>2.9245635910224439</v>
      </c>
      <c r="I438">
        <f>Tableau2[[#This Row],[GHG (kgCO2eq/GJ)]]/1000*3.6</f>
        <v>1.0528428927680798E-2</v>
      </c>
      <c r="J438" t="s">
        <v>104</v>
      </c>
      <c r="K438" t="s">
        <v>108</v>
      </c>
    </row>
    <row r="439" spans="1:11" hidden="1" x14ac:dyDescent="0.3">
      <c r="A439" t="s">
        <v>24</v>
      </c>
      <c r="B439" t="s">
        <v>62</v>
      </c>
      <c r="C439" t="s">
        <v>100</v>
      </c>
      <c r="D439">
        <v>1.1000000000000001</v>
      </c>
      <c r="E439">
        <f>Tableau2[[#This Row],[Potential (PJ)]]/3.6*1000</f>
        <v>305.5555555555556</v>
      </c>
      <c r="F439">
        <v>1.0545454545454549</v>
      </c>
      <c r="G439">
        <f>Tableau2[[#This Row],[Cost (€/GJ)]]/1000000*3600</f>
        <v>3.7963636363636376E-3</v>
      </c>
      <c r="H439">
        <v>2.6764106050305911</v>
      </c>
      <c r="I439">
        <f>Tableau2[[#This Row],[GHG (kgCO2eq/GJ)]]/1000*3.6</f>
        <v>9.6350781781101291E-3</v>
      </c>
      <c r="J439" t="s">
        <v>104</v>
      </c>
      <c r="K439" t="s">
        <v>108</v>
      </c>
    </row>
    <row r="440" spans="1:11" hidden="1" x14ac:dyDescent="0.3">
      <c r="A440" t="s">
        <v>24</v>
      </c>
      <c r="B440" t="s">
        <v>54</v>
      </c>
      <c r="C440" t="s">
        <v>78</v>
      </c>
      <c r="D440">
        <v>23</v>
      </c>
      <c r="E440">
        <f>Tableau2[[#This Row],[Potential (PJ)]]/3.6*1000</f>
        <v>6388.8888888888887</v>
      </c>
      <c r="F440">
        <v>6.7969999999999997</v>
      </c>
      <c r="G440">
        <f>Tableau2[[#This Row],[Cost (€/GJ)]]/1000000*3600</f>
        <v>2.4469199999999997E-2</v>
      </c>
      <c r="H440">
        <v>3.86607608129234</v>
      </c>
      <c r="I440">
        <f>Tableau2[[#This Row],[GHG (kgCO2eq/GJ)]]/1000*3.6</f>
        <v>1.3917873892652425E-2</v>
      </c>
      <c r="J440" t="s">
        <v>104</v>
      </c>
      <c r="K440" t="s">
        <v>108</v>
      </c>
    </row>
    <row r="441" spans="1:11" hidden="1" x14ac:dyDescent="0.3">
      <c r="A441" t="s">
        <v>25</v>
      </c>
      <c r="B441" t="s">
        <v>51</v>
      </c>
      <c r="C441" t="s">
        <v>75</v>
      </c>
      <c r="D441">
        <v>1.206183</v>
      </c>
      <c r="E441">
        <f>Tableau2[[#This Row],[Potential (PJ)]]/3.6*1000</f>
        <v>335.05083333333334</v>
      </c>
      <c r="F441">
        <v>3.4017708500826598E-3</v>
      </c>
      <c r="G441">
        <f>Tableau2[[#This Row],[Cost (€/GJ)]]/1000000*3600</f>
        <v>1.2246375060297575E-5</v>
      </c>
      <c r="H441">
        <v>11.74</v>
      </c>
      <c r="I441">
        <f>Tableau2[[#This Row],[GHG (kgCO2eq/GJ)]]/1000*3.6</f>
        <v>4.2264000000000003E-2</v>
      </c>
      <c r="J441" t="s">
        <v>104</v>
      </c>
      <c r="K441" t="s">
        <v>108</v>
      </c>
    </row>
    <row r="442" spans="1:11" hidden="1" x14ac:dyDescent="0.3">
      <c r="A442" t="s">
        <v>26</v>
      </c>
      <c r="B442" t="s">
        <v>46</v>
      </c>
      <c r="C442" t="s">
        <v>63</v>
      </c>
      <c r="D442">
        <v>3.4773999999999998</v>
      </c>
      <c r="E442">
        <f>Tableau2[[#This Row],[Potential (PJ)]]/3.6*1000</f>
        <v>965.94444444444434</v>
      </c>
      <c r="F442">
        <v>2.9286474973375931</v>
      </c>
      <c r="G442">
        <f>Tableau2[[#This Row],[Cost (€/GJ)]]/1000000*3600</f>
        <v>1.0543130990415334E-2</v>
      </c>
      <c r="H442">
        <v>3.950479233226837</v>
      </c>
      <c r="I442">
        <f>Tableau2[[#This Row],[GHG (kgCO2eq/GJ)]]/1000*3.6</f>
        <v>1.4221725239616614E-2</v>
      </c>
      <c r="J442" t="s">
        <v>104</v>
      </c>
      <c r="K442" t="s">
        <v>108</v>
      </c>
    </row>
    <row r="443" spans="1:11" hidden="1" x14ac:dyDescent="0.3">
      <c r="A443" t="s">
        <v>26</v>
      </c>
      <c r="B443" t="s">
        <v>46</v>
      </c>
      <c r="C443" t="s">
        <v>64</v>
      </c>
      <c r="D443">
        <v>0.43584000000000001</v>
      </c>
      <c r="E443">
        <f>Tableau2[[#This Row],[Potential (PJ)]]/3.6*1000</f>
        <v>121.06666666666666</v>
      </c>
      <c r="F443">
        <v>6.7022088151615256</v>
      </c>
      <c r="G443">
        <f>Tableau2[[#This Row],[Cost (€/GJ)]]/1000000*3600</f>
        <v>2.4127951734581491E-2</v>
      </c>
      <c r="H443">
        <v>2.9521711768407801</v>
      </c>
      <c r="I443">
        <f>Tableau2[[#This Row],[GHG (kgCO2eq/GJ)]]/1000*3.6</f>
        <v>1.0627816236626808E-2</v>
      </c>
      <c r="J443" t="s">
        <v>104</v>
      </c>
      <c r="K443" t="s">
        <v>108</v>
      </c>
    </row>
    <row r="444" spans="1:11" hidden="1" x14ac:dyDescent="0.3">
      <c r="A444" t="s">
        <v>26</v>
      </c>
      <c r="B444" t="s">
        <v>46</v>
      </c>
      <c r="C444" t="s">
        <v>79</v>
      </c>
      <c r="D444">
        <v>16.5</v>
      </c>
      <c r="E444">
        <f>Tableau2[[#This Row],[Potential (PJ)]]/3.6*1000</f>
        <v>4583.333333333333</v>
      </c>
      <c r="F444">
        <v>2.4402363636363642</v>
      </c>
      <c r="G444">
        <f>Tableau2[[#This Row],[Cost (€/GJ)]]/1000000*3600</f>
        <v>8.7848509090909105E-3</v>
      </c>
      <c r="H444">
        <v>6.8428961748633883</v>
      </c>
      <c r="I444">
        <f>Tableau2[[#This Row],[GHG (kgCO2eq/GJ)]]/1000*3.6</f>
        <v>2.4634426229508198E-2</v>
      </c>
      <c r="J444" t="s">
        <v>104</v>
      </c>
      <c r="K444" t="s">
        <v>108</v>
      </c>
    </row>
    <row r="445" spans="1:11" hidden="1" x14ac:dyDescent="0.3">
      <c r="A445" t="s">
        <v>26</v>
      </c>
      <c r="B445" t="s">
        <v>46</v>
      </c>
      <c r="C445" t="s">
        <v>65</v>
      </c>
      <c r="D445">
        <v>1.4</v>
      </c>
      <c r="E445">
        <f>Tableau2[[#This Row],[Potential (PJ)]]/3.6*1000</f>
        <v>388.88888888888886</v>
      </c>
      <c r="F445">
        <v>5.6235714285714282</v>
      </c>
      <c r="G445">
        <f>Tableau2[[#This Row],[Cost (€/GJ)]]/1000000*3600</f>
        <v>2.0244857142857141E-2</v>
      </c>
      <c r="H445">
        <v>2.9521711768407801</v>
      </c>
      <c r="I445">
        <f>Tableau2[[#This Row],[GHG (kgCO2eq/GJ)]]/1000*3.6</f>
        <v>1.0627816236626808E-2</v>
      </c>
      <c r="J445" t="s">
        <v>104</v>
      </c>
      <c r="K445" t="s">
        <v>108</v>
      </c>
    </row>
    <row r="446" spans="1:11" hidden="1" x14ac:dyDescent="0.3">
      <c r="A446" t="s">
        <v>26</v>
      </c>
      <c r="B446" t="s">
        <v>46</v>
      </c>
      <c r="C446" t="s">
        <v>102</v>
      </c>
      <c r="D446">
        <v>1.4</v>
      </c>
      <c r="E446">
        <f>Tableau2[[#This Row],[Potential (PJ)]]/3.6*1000</f>
        <v>388.88888888888886</v>
      </c>
      <c r="F446">
        <v>4.7616428571428573</v>
      </c>
      <c r="G446">
        <f>Tableau2[[#This Row],[Cost (€/GJ)]]/1000000*3600</f>
        <v>1.7141914285714287E-2</v>
      </c>
      <c r="H446">
        <v>2.9521711768407801</v>
      </c>
      <c r="I446">
        <f>Tableau2[[#This Row],[GHG (kgCO2eq/GJ)]]/1000*3.6</f>
        <v>1.0627816236626808E-2</v>
      </c>
      <c r="J446" t="s">
        <v>104</v>
      </c>
      <c r="K446" t="s">
        <v>108</v>
      </c>
    </row>
    <row r="447" spans="1:11" hidden="1" x14ac:dyDescent="0.3">
      <c r="A447" t="s">
        <v>26</v>
      </c>
      <c r="B447" t="s">
        <v>46</v>
      </c>
      <c r="C447" t="s">
        <v>80</v>
      </c>
      <c r="D447">
        <v>4.4893999999999998</v>
      </c>
      <c r="E447">
        <f>Tableau2[[#This Row],[Potential (PJ)]]/3.6*1000</f>
        <v>1247.0555555555557</v>
      </c>
      <c r="F447">
        <v>0.7329737019554956</v>
      </c>
      <c r="G447">
        <f>Tableau2[[#This Row],[Cost (€/GJ)]]/1000000*3600</f>
        <v>2.6387053270397844E-3</v>
      </c>
      <c r="H447">
        <v>28.139870918023309</v>
      </c>
      <c r="I447">
        <f>Tableau2[[#This Row],[GHG (kgCO2eq/GJ)]]/1000*3.6</f>
        <v>0.10130353530488391</v>
      </c>
      <c r="J447" t="s">
        <v>105</v>
      </c>
      <c r="K447" t="s">
        <v>108</v>
      </c>
    </row>
    <row r="448" spans="1:11" hidden="1" x14ac:dyDescent="0.3">
      <c r="A448" t="s">
        <v>26</v>
      </c>
      <c r="B448" t="s">
        <v>46</v>
      </c>
      <c r="C448" t="s">
        <v>81</v>
      </c>
      <c r="D448">
        <v>0.99570000000000003</v>
      </c>
      <c r="E448">
        <f>Tableau2[[#This Row],[Potential (PJ)]]/3.6*1000</f>
        <v>276.58333333333337</v>
      </c>
      <c r="F448">
        <v>1.2708578143360749</v>
      </c>
      <c r="G448">
        <f>Tableau2[[#This Row],[Cost (€/GJ)]]/1000000*3600</f>
        <v>4.5750881316098703E-3</v>
      </c>
      <c r="H448">
        <v>8.9647473560517046</v>
      </c>
      <c r="I448">
        <f>Tableau2[[#This Row],[GHG (kgCO2eq/GJ)]]/1000*3.6</f>
        <v>3.2273090481786136E-2</v>
      </c>
      <c r="J448" t="s">
        <v>105</v>
      </c>
      <c r="K448" t="s">
        <v>108</v>
      </c>
    </row>
    <row r="449" spans="1:11" hidden="1" x14ac:dyDescent="0.3">
      <c r="A449" t="s">
        <v>26</v>
      </c>
      <c r="B449" t="s">
        <v>46</v>
      </c>
      <c r="C449" t="s">
        <v>66</v>
      </c>
      <c r="D449">
        <v>14.5</v>
      </c>
      <c r="E449">
        <f>Tableau2[[#This Row],[Potential (PJ)]]/3.6*1000</f>
        <v>4027.7777777777778</v>
      </c>
      <c r="F449">
        <v>2.5007379310344828</v>
      </c>
      <c r="G449">
        <f>Tableau2[[#This Row],[Cost (€/GJ)]]/1000000*3600</f>
        <v>9.0026565517241381E-3</v>
      </c>
      <c r="H449">
        <v>6.8428961748633883</v>
      </c>
      <c r="I449">
        <f>Tableau2[[#This Row],[GHG (kgCO2eq/GJ)]]/1000*3.6</f>
        <v>2.4634426229508198E-2</v>
      </c>
      <c r="J449" t="s">
        <v>104</v>
      </c>
      <c r="K449" t="s">
        <v>108</v>
      </c>
    </row>
    <row r="450" spans="1:11" hidden="1" x14ac:dyDescent="0.3">
      <c r="A450" t="s">
        <v>26</v>
      </c>
      <c r="B450" t="s">
        <v>46</v>
      </c>
      <c r="C450" t="s">
        <v>67</v>
      </c>
      <c r="D450">
        <v>7.4</v>
      </c>
      <c r="E450">
        <f>Tableau2[[#This Row],[Potential (PJ)]]/3.6*1000</f>
        <v>2055.5555555555557</v>
      </c>
      <c r="F450">
        <v>8.0770540540540541</v>
      </c>
      <c r="G450">
        <f>Tableau2[[#This Row],[Cost (€/GJ)]]/1000000*3600</f>
        <v>2.9077394594594599E-2</v>
      </c>
      <c r="H450">
        <v>2.9521711768407801</v>
      </c>
      <c r="I450">
        <f>Tableau2[[#This Row],[GHG (kgCO2eq/GJ)]]/1000*3.6</f>
        <v>1.0627816236626808E-2</v>
      </c>
      <c r="J450" t="s">
        <v>104</v>
      </c>
      <c r="K450" t="s">
        <v>108</v>
      </c>
    </row>
    <row r="451" spans="1:11" hidden="1" x14ac:dyDescent="0.3">
      <c r="A451" t="s">
        <v>26</v>
      </c>
      <c r="B451" t="s">
        <v>46</v>
      </c>
      <c r="C451" t="s">
        <v>82</v>
      </c>
      <c r="D451">
        <v>0.8</v>
      </c>
      <c r="E451">
        <f>Tableau2[[#This Row],[Potential (PJ)]]/3.6*1000</f>
        <v>222.22222222222223</v>
      </c>
      <c r="F451">
        <v>1.632125</v>
      </c>
      <c r="G451">
        <f>Tableau2[[#This Row],[Cost (€/GJ)]]/1000000*3600</f>
        <v>5.8756500000000005E-3</v>
      </c>
      <c r="H451">
        <v>6.8428961748633883</v>
      </c>
      <c r="I451">
        <f>Tableau2[[#This Row],[GHG (kgCO2eq/GJ)]]/1000*3.6</f>
        <v>2.4634426229508198E-2</v>
      </c>
      <c r="J451" t="s">
        <v>104</v>
      </c>
      <c r="K451" t="s">
        <v>108</v>
      </c>
    </row>
    <row r="452" spans="1:11" hidden="1" x14ac:dyDescent="0.3">
      <c r="A452" t="s">
        <v>26</v>
      </c>
      <c r="B452" t="s">
        <v>46</v>
      </c>
      <c r="C452" t="s">
        <v>83</v>
      </c>
      <c r="D452">
        <v>3.6929500000000002</v>
      </c>
      <c r="E452">
        <f>Tableau2[[#This Row],[Potential (PJ)]]/3.6*1000</f>
        <v>1025.8194444444443</v>
      </c>
      <c r="F452">
        <v>2.4080090090577988</v>
      </c>
      <c r="G452">
        <f>Tableau2[[#This Row],[Cost (€/GJ)]]/1000000*3600</f>
        <v>8.6688324326080757E-3</v>
      </c>
      <c r="H452">
        <v>6.8428961748633883</v>
      </c>
      <c r="I452">
        <f>Tableau2[[#This Row],[GHG (kgCO2eq/GJ)]]/1000*3.6</f>
        <v>2.4634426229508198E-2</v>
      </c>
      <c r="J452" t="s">
        <v>104</v>
      </c>
      <c r="K452" t="s">
        <v>108</v>
      </c>
    </row>
    <row r="453" spans="1:11" hidden="1" x14ac:dyDescent="0.3">
      <c r="A453" t="s">
        <v>26</v>
      </c>
      <c r="B453" t="s">
        <v>46</v>
      </c>
      <c r="C453" t="s">
        <v>84</v>
      </c>
      <c r="D453">
        <v>1</v>
      </c>
      <c r="E453">
        <f>Tableau2[[#This Row],[Potential (PJ)]]/3.6*1000</f>
        <v>277.77777777777777</v>
      </c>
      <c r="F453">
        <v>1.9664999999999999</v>
      </c>
      <c r="G453">
        <f>Tableau2[[#This Row],[Cost (€/GJ)]]/1000000*3600</f>
        <v>7.0793999999999987E-3</v>
      </c>
      <c r="H453">
        <v>28.139870918023309</v>
      </c>
      <c r="I453">
        <f>Tableau2[[#This Row],[GHG (kgCO2eq/GJ)]]/1000*3.6</f>
        <v>0.10130353530488391</v>
      </c>
      <c r="J453" t="s">
        <v>105</v>
      </c>
      <c r="K453" t="s">
        <v>108</v>
      </c>
    </row>
    <row r="454" spans="1:11" hidden="1" x14ac:dyDescent="0.3">
      <c r="A454" t="s">
        <v>26</v>
      </c>
      <c r="B454" t="s">
        <v>46</v>
      </c>
      <c r="C454" t="s">
        <v>85</v>
      </c>
      <c r="D454">
        <v>4.0999999999999996</v>
      </c>
      <c r="E454">
        <f>Tableau2[[#This Row],[Potential (PJ)]]/3.6*1000</f>
        <v>1138.8888888888889</v>
      </c>
      <c r="F454">
        <v>4.0257073170731719</v>
      </c>
      <c r="G454">
        <f>Tableau2[[#This Row],[Cost (€/GJ)]]/1000000*3600</f>
        <v>1.449254634146342E-2</v>
      </c>
      <c r="H454">
        <v>2.9521711768407801</v>
      </c>
      <c r="I454">
        <f>Tableau2[[#This Row],[GHG (kgCO2eq/GJ)]]/1000*3.6</f>
        <v>1.0627816236626808E-2</v>
      </c>
      <c r="J454" t="s">
        <v>104</v>
      </c>
      <c r="K454" t="s">
        <v>108</v>
      </c>
    </row>
    <row r="455" spans="1:11" hidden="1" x14ac:dyDescent="0.3">
      <c r="A455" t="s">
        <v>26</v>
      </c>
      <c r="B455" t="s">
        <v>55</v>
      </c>
      <c r="C455" t="s">
        <v>86</v>
      </c>
      <c r="D455">
        <v>0.4708</v>
      </c>
      <c r="E455">
        <f>Tableau2[[#This Row],[Potential (PJ)]]/3.6*1000</f>
        <v>130.77777777777777</v>
      </c>
      <c r="F455">
        <v>20.170999999999999</v>
      </c>
      <c r="G455">
        <f>Tableau2[[#This Row],[Cost (€/GJ)]]/1000000*3600</f>
        <v>7.2615600000000002E-2</v>
      </c>
      <c r="H455">
        <v>16.3</v>
      </c>
      <c r="I455">
        <f>Tableau2[[#This Row],[GHG (kgCO2eq/GJ)]]/1000*3.6</f>
        <v>5.868000000000001E-2</v>
      </c>
      <c r="J455" t="s">
        <v>106</v>
      </c>
      <c r="K455" t="s">
        <v>109</v>
      </c>
    </row>
    <row r="456" spans="1:11" hidden="1" x14ac:dyDescent="0.3">
      <c r="A456" t="s">
        <v>26</v>
      </c>
      <c r="B456" t="s">
        <v>55</v>
      </c>
      <c r="C456" t="s">
        <v>87</v>
      </c>
      <c r="D456">
        <v>9.0221999999999998</v>
      </c>
      <c r="E456">
        <f>Tableau2[[#This Row],[Potential (PJ)]]/3.6*1000</f>
        <v>2506.1666666666665</v>
      </c>
      <c r="F456">
        <v>27.187999999999999</v>
      </c>
      <c r="G456">
        <f>Tableau2[[#This Row],[Cost (€/GJ)]]/1000000*3600</f>
        <v>9.7876799999999986E-2</v>
      </c>
      <c r="H456">
        <v>16.3</v>
      </c>
      <c r="I456">
        <f>Tableau2[[#This Row],[GHG (kgCO2eq/GJ)]]/1000*3.6</f>
        <v>5.868000000000001E-2</v>
      </c>
      <c r="J456" t="s">
        <v>106</v>
      </c>
      <c r="K456" t="s">
        <v>109</v>
      </c>
    </row>
    <row r="457" spans="1:11" hidden="1" x14ac:dyDescent="0.3">
      <c r="A457" t="s">
        <v>26</v>
      </c>
      <c r="B457" t="s">
        <v>55</v>
      </c>
      <c r="C457" t="s">
        <v>88</v>
      </c>
      <c r="D457">
        <v>5.4279999999999999</v>
      </c>
      <c r="E457">
        <f>Tableau2[[#This Row],[Potential (PJ)]]/3.6*1000</f>
        <v>1507.7777777777776</v>
      </c>
      <c r="F457">
        <v>21.413999999999991</v>
      </c>
      <c r="G457">
        <f>Tableau2[[#This Row],[Cost (€/GJ)]]/1000000*3600</f>
        <v>7.7090399999999976E-2</v>
      </c>
      <c r="H457">
        <v>16.3</v>
      </c>
      <c r="I457">
        <f>Tableau2[[#This Row],[GHG (kgCO2eq/GJ)]]/1000*3.6</f>
        <v>5.868000000000001E-2</v>
      </c>
      <c r="J457" t="s">
        <v>106</v>
      </c>
      <c r="K457" t="s">
        <v>109</v>
      </c>
    </row>
    <row r="458" spans="1:11" hidden="1" x14ac:dyDescent="0.3">
      <c r="A458" t="s">
        <v>26</v>
      </c>
      <c r="B458" t="s">
        <v>55</v>
      </c>
      <c r="C458" t="s">
        <v>92</v>
      </c>
      <c r="D458">
        <v>1.31185</v>
      </c>
      <c r="E458">
        <f>Tableau2[[#This Row],[Potential (PJ)]]/3.6*1000</f>
        <v>364.40277777777771</v>
      </c>
      <c r="F458">
        <v>27.187999999999999</v>
      </c>
      <c r="G458">
        <f>Tableau2[[#This Row],[Cost (€/GJ)]]/1000000*3600</f>
        <v>9.7876799999999986E-2</v>
      </c>
      <c r="H458">
        <v>16.3</v>
      </c>
      <c r="I458">
        <f>Tableau2[[#This Row],[GHG (kgCO2eq/GJ)]]/1000*3.6</f>
        <v>5.868000000000001E-2</v>
      </c>
      <c r="J458" t="s">
        <v>106</v>
      </c>
      <c r="K458" t="s">
        <v>109</v>
      </c>
    </row>
    <row r="459" spans="1:11" hidden="1" x14ac:dyDescent="0.3">
      <c r="A459" t="s">
        <v>26</v>
      </c>
      <c r="B459" t="s">
        <v>56</v>
      </c>
      <c r="C459" t="s">
        <v>93</v>
      </c>
      <c r="D459">
        <v>130.29820000000001</v>
      </c>
      <c r="E459">
        <f>Tableau2[[#This Row],[Potential (PJ)]]/3.6*1000</f>
        <v>36193.944444444445</v>
      </c>
      <c r="F459">
        <v>2.939759036144578</v>
      </c>
      <c r="G459">
        <f>Tableau2[[#This Row],[Cost (€/GJ)]]/1000000*3600</f>
        <v>1.0583132530120481E-2</v>
      </c>
      <c r="H459">
        <v>23.4</v>
      </c>
      <c r="I459">
        <f>Tableau2[[#This Row],[GHG (kgCO2eq/GJ)]]/1000*3.6</f>
        <v>8.4239999999999995E-2</v>
      </c>
      <c r="J459" t="s">
        <v>106</v>
      </c>
      <c r="K459" t="s">
        <v>109</v>
      </c>
    </row>
    <row r="460" spans="1:11" hidden="1" x14ac:dyDescent="0.3">
      <c r="A460" t="s">
        <v>26</v>
      </c>
      <c r="B460" t="s">
        <v>47</v>
      </c>
      <c r="C460" t="s">
        <v>68</v>
      </c>
      <c r="D460">
        <v>80</v>
      </c>
      <c r="E460">
        <f>Tableau2[[#This Row],[Potential (PJ)]]/3.6*1000</f>
        <v>22222.222222222223</v>
      </c>
      <c r="F460">
        <v>6.59929875</v>
      </c>
      <c r="G460">
        <f>Tableau2[[#This Row],[Cost (€/GJ)]]/1000000*3600</f>
        <v>2.37574755E-2</v>
      </c>
      <c r="H460">
        <v>20.7</v>
      </c>
      <c r="I460">
        <f>Tableau2[[#This Row],[GHG (kgCO2eq/GJ)]]/1000*3.6</f>
        <v>7.4520000000000003E-2</v>
      </c>
      <c r="J460" t="s">
        <v>104</v>
      </c>
      <c r="K460" t="s">
        <v>109</v>
      </c>
    </row>
    <row r="461" spans="1:11" hidden="1" x14ac:dyDescent="0.3">
      <c r="A461" t="s">
        <v>26</v>
      </c>
      <c r="B461" t="s">
        <v>47</v>
      </c>
      <c r="C461" t="s">
        <v>69</v>
      </c>
      <c r="D461">
        <v>42.7</v>
      </c>
      <c r="E461">
        <f>Tableau2[[#This Row],[Potential (PJ)]]/3.6*1000</f>
        <v>11861.111111111113</v>
      </c>
      <c r="F461">
        <v>8.8541264637002346</v>
      </c>
      <c r="G461">
        <f>Tableau2[[#This Row],[Cost (€/GJ)]]/1000000*3600</f>
        <v>3.1874855269320844E-2</v>
      </c>
      <c r="H461">
        <v>20.7</v>
      </c>
      <c r="I461">
        <f>Tableau2[[#This Row],[GHG (kgCO2eq/GJ)]]/1000*3.6</f>
        <v>7.4520000000000003E-2</v>
      </c>
      <c r="J461" t="s">
        <v>104</v>
      </c>
      <c r="K461" t="s">
        <v>109</v>
      </c>
    </row>
    <row r="462" spans="1:11" hidden="1" x14ac:dyDescent="0.3">
      <c r="A462" t="s">
        <v>26</v>
      </c>
      <c r="B462" t="s">
        <v>48</v>
      </c>
      <c r="C462" t="s">
        <v>70</v>
      </c>
      <c r="D462">
        <v>10.8</v>
      </c>
      <c r="E462">
        <f>Tableau2[[#This Row],[Potential (PJ)]]/3.6*1000</f>
        <v>3000</v>
      </c>
      <c r="F462">
        <v>17.687509259259262</v>
      </c>
      <c r="G462">
        <f>Tableau2[[#This Row],[Cost (€/GJ)]]/1000000*3600</f>
        <v>6.3675033333333339E-2</v>
      </c>
      <c r="H462">
        <v>0</v>
      </c>
      <c r="I462">
        <f>Tableau2[[#This Row],[GHG (kgCO2eq/GJ)]]/1000*3.6</f>
        <v>0</v>
      </c>
      <c r="J462" t="s">
        <v>104</v>
      </c>
      <c r="K462" t="s">
        <v>109</v>
      </c>
    </row>
    <row r="463" spans="1:11" hidden="1" x14ac:dyDescent="0.3">
      <c r="A463" t="s">
        <v>26</v>
      </c>
      <c r="B463" t="s">
        <v>49</v>
      </c>
      <c r="C463" t="s">
        <v>71</v>
      </c>
      <c r="D463">
        <v>106.17650999999999</v>
      </c>
      <c r="E463">
        <f>Tableau2[[#This Row],[Potential (PJ)]]/3.6*1000</f>
        <v>29493.474999999995</v>
      </c>
      <c r="F463">
        <v>4.1267466745704864</v>
      </c>
      <c r="G463">
        <f>Tableau2[[#This Row],[Cost (€/GJ)]]/1000000*3600</f>
        <v>1.485628802845375E-2</v>
      </c>
      <c r="H463">
        <v>3.86607608129234</v>
      </c>
      <c r="I463">
        <f>Tableau2[[#This Row],[GHG (kgCO2eq/GJ)]]/1000*3.6</f>
        <v>1.3917873892652425E-2</v>
      </c>
      <c r="J463" t="s">
        <v>104</v>
      </c>
      <c r="K463" t="s">
        <v>108</v>
      </c>
    </row>
    <row r="464" spans="1:11" hidden="1" x14ac:dyDescent="0.3">
      <c r="A464" t="s">
        <v>26</v>
      </c>
      <c r="B464" t="s">
        <v>49</v>
      </c>
      <c r="C464" t="s">
        <v>72</v>
      </c>
      <c r="D464">
        <v>18</v>
      </c>
      <c r="E464">
        <f>Tableau2[[#This Row],[Potential (PJ)]]/3.6*1000</f>
        <v>5000</v>
      </c>
      <c r="F464">
        <v>3.3198777777777781</v>
      </c>
      <c r="G464">
        <f>Tableau2[[#This Row],[Cost (€/GJ)]]/1000000*3600</f>
        <v>1.1951560000000002E-2</v>
      </c>
      <c r="H464">
        <v>3.86607608129234</v>
      </c>
      <c r="I464">
        <f>Tableau2[[#This Row],[GHG (kgCO2eq/GJ)]]/1000*3.6</f>
        <v>1.3917873892652425E-2</v>
      </c>
      <c r="J464" t="s">
        <v>104</v>
      </c>
      <c r="K464" t="s">
        <v>108</v>
      </c>
    </row>
    <row r="465" spans="1:11" hidden="1" x14ac:dyDescent="0.3">
      <c r="A465" t="s">
        <v>26</v>
      </c>
      <c r="B465" t="s">
        <v>58</v>
      </c>
      <c r="C465" t="s">
        <v>95</v>
      </c>
      <c r="D465">
        <v>13.65175</v>
      </c>
      <c r="E465">
        <f>Tableau2[[#This Row],[Potential (PJ)]]/3.6*1000</f>
        <v>3792.1527777777774</v>
      </c>
      <c r="F465">
        <v>2.4039999999999999</v>
      </c>
      <c r="G465">
        <f>Tableau2[[#This Row],[Cost (€/GJ)]]/1000000*3600</f>
        <v>8.6543999999999996E-3</v>
      </c>
      <c r="H465">
        <v>2.9521711768407801</v>
      </c>
      <c r="I465">
        <f>Tableau2[[#This Row],[GHG (kgCO2eq/GJ)]]/1000*3.6</f>
        <v>1.0627816236626808E-2</v>
      </c>
      <c r="J465" t="s">
        <v>104</v>
      </c>
      <c r="K465" t="s">
        <v>108</v>
      </c>
    </row>
    <row r="466" spans="1:11" hidden="1" x14ac:dyDescent="0.3">
      <c r="A466" t="s">
        <v>26</v>
      </c>
      <c r="B466" t="s">
        <v>50</v>
      </c>
      <c r="C466" t="s">
        <v>73</v>
      </c>
      <c r="D466">
        <v>22.8</v>
      </c>
      <c r="E466">
        <f>Tableau2[[#This Row],[Potential (PJ)]]/3.6*1000</f>
        <v>6333.333333333333</v>
      </c>
      <c r="F466">
        <v>5.8950131578947378</v>
      </c>
      <c r="G466">
        <f>Tableau2[[#This Row],[Cost (€/GJ)]]/1000000*3600</f>
        <v>2.1222047368421055E-2</v>
      </c>
      <c r="H466">
        <v>20.723404255319149</v>
      </c>
      <c r="I466">
        <f>Tableau2[[#This Row],[GHG (kgCO2eq/GJ)]]/1000*3.6</f>
        <v>7.4604255319148938E-2</v>
      </c>
      <c r="J466" t="s">
        <v>105</v>
      </c>
      <c r="K466" t="s">
        <v>108</v>
      </c>
    </row>
    <row r="467" spans="1:11" hidden="1" x14ac:dyDescent="0.3">
      <c r="A467" t="s">
        <v>26</v>
      </c>
      <c r="B467" t="s">
        <v>50</v>
      </c>
      <c r="C467" t="s">
        <v>74</v>
      </c>
      <c r="D467">
        <v>92.699999999999989</v>
      </c>
      <c r="E467">
        <f>Tableau2[[#This Row],[Potential (PJ)]]/3.6*1000</f>
        <v>25749.999999999996</v>
      </c>
      <c r="F467">
        <v>4.6173117583603016</v>
      </c>
      <c r="G467">
        <f>Tableau2[[#This Row],[Cost (€/GJ)]]/1000000*3600</f>
        <v>1.6622322330097087E-2</v>
      </c>
      <c r="H467">
        <v>2.0635593220338988</v>
      </c>
      <c r="I467">
        <f>Tableau2[[#This Row],[GHG (kgCO2eq/GJ)]]/1000*3.6</f>
        <v>7.4288135593220351E-3</v>
      </c>
      <c r="J467" t="s">
        <v>105</v>
      </c>
      <c r="K467" t="s">
        <v>108</v>
      </c>
    </row>
    <row r="468" spans="1:11" hidden="1" x14ac:dyDescent="0.3">
      <c r="A468" t="s">
        <v>26</v>
      </c>
      <c r="B468" t="s">
        <v>59</v>
      </c>
      <c r="C468" t="s">
        <v>96</v>
      </c>
      <c r="D468">
        <v>1.0176000000000001</v>
      </c>
      <c r="E468">
        <f>Tableau2[[#This Row],[Potential (PJ)]]/3.6*1000</f>
        <v>282.66666666666669</v>
      </c>
      <c r="F468">
        <v>28.385000000000002</v>
      </c>
      <c r="G468">
        <f>Tableau2[[#This Row],[Cost (€/GJ)]]/1000000*3600</f>
        <v>0.102186</v>
      </c>
      <c r="H468">
        <v>17.7</v>
      </c>
      <c r="I468">
        <f>Tableau2[[#This Row],[GHG (kgCO2eq/GJ)]]/1000*3.6</f>
        <v>6.3719999999999999E-2</v>
      </c>
      <c r="J468" t="s">
        <v>107</v>
      </c>
      <c r="K468" t="s">
        <v>109</v>
      </c>
    </row>
    <row r="469" spans="1:11" hidden="1" x14ac:dyDescent="0.3">
      <c r="A469" t="s">
        <v>26</v>
      </c>
      <c r="B469" t="s">
        <v>59</v>
      </c>
      <c r="C469" t="s">
        <v>97</v>
      </c>
      <c r="D469">
        <v>1.5349999999999999</v>
      </c>
      <c r="E469">
        <f>Tableau2[[#This Row],[Potential (PJ)]]/3.6*1000</f>
        <v>426.38888888888886</v>
      </c>
      <c r="F469">
        <v>13.94465545306565</v>
      </c>
      <c r="G469">
        <f>Tableau2[[#This Row],[Cost (€/GJ)]]/1000000*3600</f>
        <v>5.0200759631036346E-2</v>
      </c>
      <c r="H469">
        <v>17.7</v>
      </c>
      <c r="I469">
        <f>Tableau2[[#This Row],[GHG (kgCO2eq/GJ)]]/1000*3.6</f>
        <v>6.3719999999999999E-2</v>
      </c>
      <c r="J469" t="s">
        <v>107</v>
      </c>
      <c r="K469" t="s">
        <v>109</v>
      </c>
    </row>
    <row r="470" spans="1:11" hidden="1" x14ac:dyDescent="0.3">
      <c r="A470" t="s">
        <v>26</v>
      </c>
      <c r="B470" t="s">
        <v>51</v>
      </c>
      <c r="C470" t="s">
        <v>75</v>
      </c>
      <c r="D470">
        <v>42.757190000000001</v>
      </c>
      <c r="E470">
        <f>Tableau2[[#This Row],[Potential (PJ)]]/3.6*1000</f>
        <v>11876.997222222222</v>
      </c>
      <c r="F470">
        <v>6.1258684567996803E-2</v>
      </c>
      <c r="G470">
        <f>Tableau2[[#This Row],[Cost (€/GJ)]]/1000000*3600</f>
        <v>2.2053126444478849E-4</v>
      </c>
      <c r="H470">
        <v>11.74</v>
      </c>
      <c r="I470">
        <f>Tableau2[[#This Row],[GHG (kgCO2eq/GJ)]]/1000*3.6</f>
        <v>4.2264000000000003E-2</v>
      </c>
      <c r="J470" t="s">
        <v>104</v>
      </c>
      <c r="K470" t="s">
        <v>108</v>
      </c>
    </row>
    <row r="471" spans="1:11" hidden="1" x14ac:dyDescent="0.3">
      <c r="A471" t="s">
        <v>26</v>
      </c>
      <c r="B471" t="s">
        <v>60</v>
      </c>
      <c r="C471" t="s">
        <v>98</v>
      </c>
      <c r="D471">
        <v>0.11586</v>
      </c>
      <c r="E471">
        <f>Tableau2[[#This Row],[Potential (PJ)]]/3.6*1000</f>
        <v>32.183333333333337</v>
      </c>
      <c r="F471">
        <v>10.79484425349087</v>
      </c>
      <c r="G471">
        <f>Tableau2[[#This Row],[Cost (€/GJ)]]/1000000*3600</f>
        <v>3.886143931256713E-2</v>
      </c>
      <c r="H471">
        <v>39</v>
      </c>
      <c r="I471">
        <f>Tableau2[[#This Row],[GHG (kgCO2eq/GJ)]]/1000*3.6</f>
        <v>0.1404</v>
      </c>
      <c r="J471" t="s">
        <v>107</v>
      </c>
      <c r="K471" t="s">
        <v>109</v>
      </c>
    </row>
    <row r="472" spans="1:11" hidden="1" x14ac:dyDescent="0.3">
      <c r="A472" t="s">
        <v>26</v>
      </c>
      <c r="B472" t="s">
        <v>52</v>
      </c>
      <c r="C472" t="s">
        <v>76</v>
      </c>
      <c r="D472">
        <v>0.371</v>
      </c>
      <c r="E472">
        <f>Tableau2[[#This Row],[Potential (PJ)]]/3.6*1000</f>
        <v>103.05555555555556</v>
      </c>
      <c r="F472">
        <v>5.4702337500000002</v>
      </c>
      <c r="G472">
        <f>Tableau2[[#This Row],[Cost (€/GJ)]]/1000000*3600</f>
        <v>1.9692841500000002E-2</v>
      </c>
      <c r="H472">
        <v>12.68872359754714</v>
      </c>
      <c r="I472">
        <f>Tableau2[[#This Row],[GHG (kgCO2eq/GJ)]]/1000*3.6</f>
        <v>4.5679404951169705E-2</v>
      </c>
      <c r="J472" t="s">
        <v>105</v>
      </c>
      <c r="K472" t="s">
        <v>108</v>
      </c>
    </row>
    <row r="473" spans="1:11" hidden="1" x14ac:dyDescent="0.3">
      <c r="A473" t="s">
        <v>26</v>
      </c>
      <c r="B473" t="s">
        <v>53</v>
      </c>
      <c r="C473" t="s">
        <v>77</v>
      </c>
      <c r="D473">
        <v>16.7</v>
      </c>
      <c r="E473">
        <f>Tableau2[[#This Row],[Potential (PJ)]]/3.6*1000</f>
        <v>4638.8888888888887</v>
      </c>
      <c r="F473">
        <v>3.3214191616766469</v>
      </c>
      <c r="G473">
        <f>Tableau2[[#This Row],[Cost (€/GJ)]]/1000000*3600</f>
        <v>1.1957108982035929E-2</v>
      </c>
      <c r="H473">
        <v>3.86607608129234</v>
      </c>
      <c r="I473">
        <f>Tableau2[[#This Row],[GHG (kgCO2eq/GJ)]]/1000*3.6</f>
        <v>1.3917873892652425E-2</v>
      </c>
      <c r="J473" t="s">
        <v>104</v>
      </c>
      <c r="K473" t="s">
        <v>108</v>
      </c>
    </row>
    <row r="474" spans="1:11" hidden="1" x14ac:dyDescent="0.3">
      <c r="A474" t="s">
        <v>26</v>
      </c>
      <c r="B474" t="s">
        <v>61</v>
      </c>
      <c r="C474" t="s">
        <v>99</v>
      </c>
      <c r="D474">
        <v>9.5</v>
      </c>
      <c r="E474">
        <f>Tableau2[[#This Row],[Potential (PJ)]]/3.6*1000</f>
        <v>2638.8888888888887</v>
      </c>
      <c r="F474">
        <v>2.0747052631578948</v>
      </c>
      <c r="G474">
        <f>Tableau2[[#This Row],[Cost (€/GJ)]]/1000000*3600</f>
        <v>7.468938947368422E-3</v>
      </c>
      <c r="H474">
        <v>2.9245635910224439</v>
      </c>
      <c r="I474">
        <f>Tableau2[[#This Row],[GHG (kgCO2eq/GJ)]]/1000*3.6</f>
        <v>1.0528428927680798E-2</v>
      </c>
      <c r="J474" t="s">
        <v>104</v>
      </c>
      <c r="K474" t="s">
        <v>108</v>
      </c>
    </row>
    <row r="475" spans="1:11" hidden="1" x14ac:dyDescent="0.3">
      <c r="A475" t="s">
        <v>26</v>
      </c>
      <c r="B475" t="s">
        <v>62</v>
      </c>
      <c r="C475" t="s">
        <v>100</v>
      </c>
      <c r="D475">
        <v>1</v>
      </c>
      <c r="E475">
        <f>Tableau2[[#This Row],[Potential (PJ)]]/3.6*1000</f>
        <v>277.77777777777777</v>
      </c>
      <c r="F475">
        <v>0.15</v>
      </c>
      <c r="G475">
        <f>Tableau2[[#This Row],[Cost (€/GJ)]]/1000000*3600</f>
        <v>5.4000000000000001E-4</v>
      </c>
      <c r="H475">
        <v>2.6764106050305911</v>
      </c>
      <c r="I475">
        <f>Tableau2[[#This Row],[GHG (kgCO2eq/GJ)]]/1000*3.6</f>
        <v>9.6350781781101291E-3</v>
      </c>
      <c r="J475" t="s">
        <v>104</v>
      </c>
      <c r="K475" t="s">
        <v>108</v>
      </c>
    </row>
    <row r="476" spans="1:11" hidden="1" x14ac:dyDescent="0.3">
      <c r="A476" t="s">
        <v>26</v>
      </c>
      <c r="B476" t="s">
        <v>54</v>
      </c>
      <c r="C476" t="s">
        <v>78</v>
      </c>
      <c r="D476">
        <v>98.100000000000009</v>
      </c>
      <c r="E476">
        <f>Tableau2[[#This Row],[Potential (PJ)]]/3.6*1000</f>
        <v>27250</v>
      </c>
      <c r="F476">
        <v>6.77508868501529</v>
      </c>
      <c r="G476">
        <f>Tableau2[[#This Row],[Cost (€/GJ)]]/1000000*3600</f>
        <v>2.4390319266055043E-2</v>
      </c>
      <c r="H476">
        <v>3.86607608129234</v>
      </c>
      <c r="I476">
        <f>Tableau2[[#This Row],[GHG (kgCO2eq/GJ)]]/1000*3.6</f>
        <v>1.3917873892652425E-2</v>
      </c>
      <c r="J476" t="s">
        <v>104</v>
      </c>
      <c r="K476" t="s">
        <v>108</v>
      </c>
    </row>
    <row r="477" spans="1:11" hidden="1" x14ac:dyDescent="0.3">
      <c r="A477" t="s">
        <v>27</v>
      </c>
      <c r="B477" t="s">
        <v>46</v>
      </c>
      <c r="C477" t="s">
        <v>64</v>
      </c>
      <c r="D477">
        <v>1.6500000000000001E-2</v>
      </c>
      <c r="E477">
        <f>Tableau2[[#This Row],[Potential (PJ)]]/3.6*1000</f>
        <v>4.583333333333333</v>
      </c>
      <c r="F477">
        <v>0</v>
      </c>
      <c r="G477">
        <f>Tableau2[[#This Row],[Cost (€/GJ)]]/1000000*3600</f>
        <v>0</v>
      </c>
      <c r="H477">
        <v>2.9521711768407801</v>
      </c>
      <c r="I477">
        <f>Tableau2[[#This Row],[GHG (kgCO2eq/GJ)]]/1000*3.6</f>
        <v>1.0627816236626808E-2</v>
      </c>
      <c r="J477" t="s">
        <v>104</v>
      </c>
      <c r="K477" t="s">
        <v>108</v>
      </c>
    </row>
    <row r="478" spans="1:11" hidden="1" x14ac:dyDescent="0.3">
      <c r="A478" t="s">
        <v>27</v>
      </c>
      <c r="B478" t="s">
        <v>46</v>
      </c>
      <c r="C478" t="s">
        <v>79</v>
      </c>
      <c r="D478">
        <v>16.5</v>
      </c>
      <c r="E478">
        <f>Tableau2[[#This Row],[Potential (PJ)]]/3.6*1000</f>
        <v>4583.333333333333</v>
      </c>
      <c r="F478">
        <v>0</v>
      </c>
      <c r="G478">
        <f>Tableau2[[#This Row],[Cost (€/GJ)]]/1000000*3600</f>
        <v>0</v>
      </c>
      <c r="H478">
        <v>6.8428961748633883</v>
      </c>
      <c r="I478">
        <f>Tableau2[[#This Row],[GHG (kgCO2eq/GJ)]]/1000*3.6</f>
        <v>2.4634426229508198E-2</v>
      </c>
      <c r="J478" t="s">
        <v>104</v>
      </c>
      <c r="K478" t="s">
        <v>108</v>
      </c>
    </row>
    <row r="479" spans="1:11" hidden="1" x14ac:dyDescent="0.3">
      <c r="A479" t="s">
        <v>27</v>
      </c>
      <c r="B479" t="s">
        <v>46</v>
      </c>
      <c r="C479" t="s">
        <v>65</v>
      </c>
      <c r="D479">
        <v>0.1</v>
      </c>
      <c r="E479">
        <f>Tableau2[[#This Row],[Potential (PJ)]]/3.6*1000</f>
        <v>27.777777777777779</v>
      </c>
      <c r="F479">
        <v>0</v>
      </c>
      <c r="G479">
        <f>Tableau2[[#This Row],[Cost (€/GJ)]]/1000000*3600</f>
        <v>0</v>
      </c>
      <c r="H479">
        <v>2.9521711768407801</v>
      </c>
      <c r="I479">
        <f>Tableau2[[#This Row],[GHG (kgCO2eq/GJ)]]/1000*3.6</f>
        <v>1.0627816236626808E-2</v>
      </c>
      <c r="J479" t="s">
        <v>104</v>
      </c>
      <c r="K479" t="s">
        <v>108</v>
      </c>
    </row>
    <row r="480" spans="1:11" hidden="1" x14ac:dyDescent="0.3">
      <c r="A480" t="s">
        <v>27</v>
      </c>
      <c r="B480" t="s">
        <v>46</v>
      </c>
      <c r="C480" t="s">
        <v>80</v>
      </c>
      <c r="D480">
        <v>1.49E-2</v>
      </c>
      <c r="E480">
        <f>Tableau2[[#This Row],[Potential (PJ)]]/3.6*1000</f>
        <v>4.1388888888888893</v>
      </c>
      <c r="F480">
        <v>0.25084288604180721</v>
      </c>
      <c r="G480">
        <f>Tableau2[[#This Row],[Cost (€/GJ)]]/1000000*3600</f>
        <v>9.0303438975050589E-4</v>
      </c>
      <c r="H480">
        <v>28.139870918023309</v>
      </c>
      <c r="I480">
        <f>Tableau2[[#This Row],[GHG (kgCO2eq/GJ)]]/1000*3.6</f>
        <v>0.10130353530488391</v>
      </c>
      <c r="J480" t="s">
        <v>105</v>
      </c>
      <c r="K480" t="s">
        <v>108</v>
      </c>
    </row>
    <row r="481" spans="1:11" hidden="1" x14ac:dyDescent="0.3">
      <c r="A481" t="s">
        <v>27</v>
      </c>
      <c r="B481" t="s">
        <v>46</v>
      </c>
      <c r="C481" t="s">
        <v>81</v>
      </c>
      <c r="D481">
        <v>1.1999999999999999E-3</v>
      </c>
      <c r="E481">
        <f>Tableau2[[#This Row],[Potential (PJ)]]/3.6*1000</f>
        <v>0.33333333333333331</v>
      </c>
      <c r="F481">
        <v>1.663924794359577</v>
      </c>
      <c r="G481">
        <f>Tableau2[[#This Row],[Cost (€/GJ)]]/1000000*3600</f>
        <v>5.9901292596944771E-3</v>
      </c>
      <c r="H481">
        <v>8.9647473560517046</v>
      </c>
      <c r="I481">
        <f>Tableau2[[#This Row],[GHG (kgCO2eq/GJ)]]/1000*3.6</f>
        <v>3.2273090481786136E-2</v>
      </c>
      <c r="J481" t="s">
        <v>105</v>
      </c>
      <c r="K481" t="s">
        <v>108</v>
      </c>
    </row>
    <row r="482" spans="1:11" hidden="1" x14ac:dyDescent="0.3">
      <c r="A482" t="s">
        <v>27</v>
      </c>
      <c r="B482" t="s">
        <v>46</v>
      </c>
      <c r="C482" t="s">
        <v>66</v>
      </c>
      <c r="D482">
        <v>0.3</v>
      </c>
      <c r="E482">
        <f>Tableau2[[#This Row],[Potential (PJ)]]/3.6*1000</f>
        <v>83.333333333333329</v>
      </c>
      <c r="F482">
        <v>2.274</v>
      </c>
      <c r="G482">
        <f>Tableau2[[#This Row],[Cost (€/GJ)]]/1000000*3600</f>
        <v>8.1863999999999999E-3</v>
      </c>
      <c r="H482">
        <v>6.8428961748633883</v>
      </c>
      <c r="I482">
        <f>Tableau2[[#This Row],[GHG (kgCO2eq/GJ)]]/1000*3.6</f>
        <v>2.4634426229508198E-2</v>
      </c>
      <c r="J482" t="s">
        <v>104</v>
      </c>
      <c r="K482" t="s">
        <v>108</v>
      </c>
    </row>
    <row r="483" spans="1:11" hidden="1" x14ac:dyDescent="0.3">
      <c r="A483" t="s">
        <v>27</v>
      </c>
      <c r="B483" t="s">
        <v>46</v>
      </c>
      <c r="C483" t="s">
        <v>82</v>
      </c>
      <c r="D483">
        <v>0.5</v>
      </c>
      <c r="E483">
        <f>Tableau2[[#This Row],[Potential (PJ)]]/3.6*1000</f>
        <v>138.88888888888889</v>
      </c>
      <c r="F483">
        <v>1.5229999999999999</v>
      </c>
      <c r="G483">
        <f>Tableau2[[#This Row],[Cost (€/GJ)]]/1000000*3600</f>
        <v>5.4827999999999995E-3</v>
      </c>
      <c r="H483">
        <v>6.8428961748633883</v>
      </c>
      <c r="I483">
        <f>Tableau2[[#This Row],[GHG (kgCO2eq/GJ)]]/1000*3.6</f>
        <v>2.4634426229508198E-2</v>
      </c>
      <c r="J483" t="s">
        <v>104</v>
      </c>
      <c r="K483" t="s">
        <v>108</v>
      </c>
    </row>
    <row r="484" spans="1:11" hidden="1" x14ac:dyDescent="0.3">
      <c r="A484" t="s">
        <v>27</v>
      </c>
      <c r="B484" t="s">
        <v>46</v>
      </c>
      <c r="C484" t="s">
        <v>84</v>
      </c>
      <c r="D484">
        <v>0.4</v>
      </c>
      <c r="E484">
        <f>Tableau2[[#This Row],[Potential (PJ)]]/3.6*1000</f>
        <v>111.11111111111111</v>
      </c>
      <c r="F484">
        <v>1.3819999999999999</v>
      </c>
      <c r="G484">
        <f>Tableau2[[#This Row],[Cost (€/GJ)]]/1000000*3600</f>
        <v>4.9751999999999991E-3</v>
      </c>
      <c r="H484">
        <v>28.139870918023309</v>
      </c>
      <c r="I484">
        <f>Tableau2[[#This Row],[GHG (kgCO2eq/GJ)]]/1000*3.6</f>
        <v>0.10130353530488391</v>
      </c>
      <c r="J484" t="s">
        <v>105</v>
      </c>
      <c r="K484" t="s">
        <v>108</v>
      </c>
    </row>
    <row r="485" spans="1:11" hidden="1" x14ac:dyDescent="0.3">
      <c r="A485" t="s">
        <v>27</v>
      </c>
      <c r="B485" t="s">
        <v>55</v>
      </c>
      <c r="C485" t="s">
        <v>86</v>
      </c>
      <c r="D485">
        <v>3.3428</v>
      </c>
      <c r="E485">
        <f>Tableau2[[#This Row],[Potential (PJ)]]/3.6*1000</f>
        <v>928.55555555555554</v>
      </c>
      <c r="F485">
        <v>15.141</v>
      </c>
      <c r="G485">
        <f>Tableau2[[#This Row],[Cost (€/GJ)]]/1000000*3600</f>
        <v>5.4507599999999996E-2</v>
      </c>
      <c r="H485">
        <v>6.5</v>
      </c>
      <c r="I485">
        <f>Tableau2[[#This Row],[GHG (kgCO2eq/GJ)]]/1000*3.6</f>
        <v>2.3400000000000001E-2</v>
      </c>
      <c r="J485" t="s">
        <v>106</v>
      </c>
      <c r="K485" t="s">
        <v>109</v>
      </c>
    </row>
    <row r="486" spans="1:11" hidden="1" x14ac:dyDescent="0.3">
      <c r="A486" t="s">
        <v>27</v>
      </c>
      <c r="B486" t="s">
        <v>55</v>
      </c>
      <c r="C486" t="s">
        <v>88</v>
      </c>
      <c r="D486">
        <v>1.4414</v>
      </c>
      <c r="E486">
        <f>Tableau2[[#This Row],[Potential (PJ)]]/3.6*1000</f>
        <v>400.38888888888891</v>
      </c>
      <c r="F486">
        <v>19.756</v>
      </c>
      <c r="G486">
        <f>Tableau2[[#This Row],[Cost (€/GJ)]]/1000000*3600</f>
        <v>7.1121599999999993E-2</v>
      </c>
      <c r="H486">
        <v>6.5</v>
      </c>
      <c r="I486">
        <f>Tableau2[[#This Row],[GHG (kgCO2eq/GJ)]]/1000*3.6</f>
        <v>2.3400000000000001E-2</v>
      </c>
      <c r="J486" t="s">
        <v>106</v>
      </c>
      <c r="K486" t="s">
        <v>109</v>
      </c>
    </row>
    <row r="487" spans="1:11" hidden="1" x14ac:dyDescent="0.3">
      <c r="A487" t="s">
        <v>27</v>
      </c>
      <c r="B487" t="s">
        <v>55</v>
      </c>
      <c r="C487" t="s">
        <v>89</v>
      </c>
      <c r="D487">
        <v>2.41E-2</v>
      </c>
      <c r="E487">
        <f>Tableau2[[#This Row],[Potential (PJ)]]/3.6*1000</f>
        <v>6.6944444444444438</v>
      </c>
      <c r="F487">
        <v>0</v>
      </c>
      <c r="G487">
        <f>Tableau2[[#This Row],[Cost (€/GJ)]]/1000000*3600</f>
        <v>0</v>
      </c>
      <c r="H487">
        <v>6.5</v>
      </c>
      <c r="I487">
        <f>Tableau2[[#This Row],[GHG (kgCO2eq/GJ)]]/1000*3.6</f>
        <v>2.3400000000000001E-2</v>
      </c>
      <c r="J487" t="s">
        <v>106</v>
      </c>
      <c r="K487" t="s">
        <v>109</v>
      </c>
    </row>
    <row r="488" spans="1:11" hidden="1" x14ac:dyDescent="0.3">
      <c r="A488" t="s">
        <v>27</v>
      </c>
      <c r="B488" t="s">
        <v>55</v>
      </c>
      <c r="C488" t="s">
        <v>90</v>
      </c>
      <c r="D488">
        <v>4.9474999999999998</v>
      </c>
      <c r="E488">
        <f>Tableau2[[#This Row],[Potential (PJ)]]/3.6*1000</f>
        <v>1374.3055555555554</v>
      </c>
      <c r="F488">
        <v>12.864000000000001</v>
      </c>
      <c r="G488">
        <f>Tableau2[[#This Row],[Cost (€/GJ)]]/1000000*3600</f>
        <v>4.6310400000000002E-2</v>
      </c>
      <c r="H488">
        <v>6.5</v>
      </c>
      <c r="I488">
        <f>Tableau2[[#This Row],[GHG (kgCO2eq/GJ)]]/1000*3.6</f>
        <v>2.3400000000000001E-2</v>
      </c>
      <c r="J488" t="s">
        <v>106</v>
      </c>
      <c r="K488" t="s">
        <v>109</v>
      </c>
    </row>
    <row r="489" spans="1:11" hidden="1" x14ac:dyDescent="0.3">
      <c r="A489" t="s">
        <v>27</v>
      </c>
      <c r="B489" t="s">
        <v>55</v>
      </c>
      <c r="C489" t="s">
        <v>91</v>
      </c>
      <c r="D489">
        <v>1.2281</v>
      </c>
      <c r="E489">
        <f>Tableau2[[#This Row],[Potential (PJ)]]/3.6*1000</f>
        <v>341.13888888888886</v>
      </c>
      <c r="F489">
        <v>12.228</v>
      </c>
      <c r="G489">
        <f>Tableau2[[#This Row],[Cost (€/GJ)]]/1000000*3600</f>
        <v>4.4020799999999999E-2</v>
      </c>
      <c r="H489">
        <v>6.5</v>
      </c>
      <c r="I489">
        <f>Tableau2[[#This Row],[GHG (kgCO2eq/GJ)]]/1000*3.6</f>
        <v>2.3400000000000001E-2</v>
      </c>
      <c r="J489" t="s">
        <v>106</v>
      </c>
      <c r="K489" t="s">
        <v>109</v>
      </c>
    </row>
    <row r="490" spans="1:11" hidden="1" x14ac:dyDescent="0.3">
      <c r="A490" t="s">
        <v>27</v>
      </c>
      <c r="B490" t="s">
        <v>55</v>
      </c>
      <c r="C490" t="s">
        <v>92</v>
      </c>
      <c r="D490">
        <v>1.4375199999999999</v>
      </c>
      <c r="E490">
        <f>Tableau2[[#This Row],[Potential (PJ)]]/3.6*1000</f>
        <v>399.31111111111107</v>
      </c>
      <c r="F490">
        <v>16.170000000000002</v>
      </c>
      <c r="G490">
        <f>Tableau2[[#This Row],[Cost (€/GJ)]]/1000000*3600</f>
        <v>5.8212000000000007E-2</v>
      </c>
      <c r="H490">
        <v>6.5</v>
      </c>
      <c r="I490">
        <f>Tableau2[[#This Row],[GHG (kgCO2eq/GJ)]]/1000*3.6</f>
        <v>2.3400000000000001E-2</v>
      </c>
      <c r="J490" t="s">
        <v>106</v>
      </c>
      <c r="K490" t="s">
        <v>109</v>
      </c>
    </row>
    <row r="491" spans="1:11" hidden="1" x14ac:dyDescent="0.3">
      <c r="A491" t="s">
        <v>27</v>
      </c>
      <c r="B491" t="s">
        <v>56</v>
      </c>
      <c r="C491" t="s">
        <v>93</v>
      </c>
      <c r="D491">
        <v>41.634799999999998</v>
      </c>
      <c r="E491">
        <f>Tableau2[[#This Row],[Potential (PJ)]]/3.6*1000</f>
        <v>11565.222222222221</v>
      </c>
      <c r="F491">
        <v>2.9493975903614462</v>
      </c>
      <c r="G491">
        <f>Tableau2[[#This Row],[Cost (€/GJ)]]/1000000*3600</f>
        <v>1.0617831325301207E-2</v>
      </c>
      <c r="H491">
        <v>18.3</v>
      </c>
      <c r="I491">
        <f>Tableau2[[#This Row],[GHG (kgCO2eq/GJ)]]/1000*3.6</f>
        <v>6.5880000000000008E-2</v>
      </c>
      <c r="J491" t="s">
        <v>106</v>
      </c>
      <c r="K491" t="s">
        <v>109</v>
      </c>
    </row>
    <row r="492" spans="1:11" hidden="1" x14ac:dyDescent="0.3">
      <c r="A492" t="s">
        <v>27</v>
      </c>
      <c r="B492" t="s">
        <v>47</v>
      </c>
      <c r="C492" t="s">
        <v>101</v>
      </c>
      <c r="D492">
        <v>12.9</v>
      </c>
      <c r="E492">
        <f>Tableau2[[#This Row],[Potential (PJ)]]/3.6*1000</f>
        <v>3583.3333333333335</v>
      </c>
      <c r="F492">
        <v>2.67</v>
      </c>
      <c r="G492">
        <f>Tableau2[[#This Row],[Cost (€/GJ)]]/1000000*3600</f>
        <v>9.611999999999999E-3</v>
      </c>
      <c r="H492">
        <v>44</v>
      </c>
      <c r="I492">
        <f>Tableau2[[#This Row],[GHG (kgCO2eq/GJ)]]/1000*3.6</f>
        <v>0.15839999999999999</v>
      </c>
      <c r="J492" t="s">
        <v>104</v>
      </c>
      <c r="K492" t="s">
        <v>109</v>
      </c>
    </row>
    <row r="493" spans="1:11" hidden="1" x14ac:dyDescent="0.3">
      <c r="A493" t="s">
        <v>27</v>
      </c>
      <c r="B493" t="s">
        <v>57</v>
      </c>
      <c r="C493" t="s">
        <v>94</v>
      </c>
      <c r="D493">
        <v>7.6</v>
      </c>
      <c r="E493">
        <f>Tableau2[[#This Row],[Potential (PJ)]]/3.6*1000</f>
        <v>2111.1111111111113</v>
      </c>
      <c r="F493">
        <v>7.97</v>
      </c>
      <c r="G493">
        <f>Tableau2[[#This Row],[Cost (€/GJ)]]/1000000*3600</f>
        <v>2.8691999999999999E-2</v>
      </c>
      <c r="H493">
        <v>19.899999999999999</v>
      </c>
      <c r="I493">
        <f>Tableau2[[#This Row],[GHG (kgCO2eq/GJ)]]/1000*3.6</f>
        <v>7.1639999999999995E-2</v>
      </c>
      <c r="J493" t="s">
        <v>104</v>
      </c>
      <c r="K493" t="s">
        <v>109</v>
      </c>
    </row>
    <row r="494" spans="1:11" hidden="1" x14ac:dyDescent="0.3">
      <c r="A494" t="s">
        <v>27</v>
      </c>
      <c r="B494" t="s">
        <v>49</v>
      </c>
      <c r="C494" t="s">
        <v>71</v>
      </c>
      <c r="D494">
        <v>24.66751</v>
      </c>
      <c r="E494">
        <f>Tableau2[[#This Row],[Potential (PJ)]]/3.6*1000</f>
        <v>6852.0861111111117</v>
      </c>
      <c r="F494">
        <v>0</v>
      </c>
      <c r="G494">
        <f>Tableau2[[#This Row],[Cost (€/GJ)]]/1000000*3600</f>
        <v>0</v>
      </c>
      <c r="H494">
        <v>3.86607608129234</v>
      </c>
      <c r="I494">
        <f>Tableau2[[#This Row],[GHG (kgCO2eq/GJ)]]/1000*3.6</f>
        <v>1.3917873892652425E-2</v>
      </c>
      <c r="J494" t="s">
        <v>104</v>
      </c>
      <c r="K494" t="s">
        <v>108</v>
      </c>
    </row>
    <row r="495" spans="1:11" hidden="1" x14ac:dyDescent="0.3">
      <c r="A495" t="s">
        <v>27</v>
      </c>
      <c r="B495" t="s">
        <v>49</v>
      </c>
      <c r="C495" t="s">
        <v>72</v>
      </c>
      <c r="D495">
        <v>3.8</v>
      </c>
      <c r="E495">
        <f>Tableau2[[#This Row],[Potential (PJ)]]/3.6*1000</f>
        <v>1055.5555555555557</v>
      </c>
      <c r="F495">
        <v>0</v>
      </c>
      <c r="G495">
        <f>Tableau2[[#This Row],[Cost (€/GJ)]]/1000000*3600</f>
        <v>0</v>
      </c>
      <c r="H495">
        <v>3.86607608129234</v>
      </c>
      <c r="I495">
        <f>Tableau2[[#This Row],[GHG (kgCO2eq/GJ)]]/1000*3.6</f>
        <v>1.3917873892652425E-2</v>
      </c>
      <c r="J495" t="s">
        <v>104</v>
      </c>
      <c r="K495" t="s">
        <v>108</v>
      </c>
    </row>
    <row r="496" spans="1:11" hidden="1" x14ac:dyDescent="0.3">
      <c r="A496" t="s">
        <v>27</v>
      </c>
      <c r="B496" t="s">
        <v>58</v>
      </c>
      <c r="C496" t="s">
        <v>95</v>
      </c>
      <c r="D496">
        <v>3.88862</v>
      </c>
      <c r="E496">
        <f>Tableau2[[#This Row],[Potential (PJ)]]/3.6*1000</f>
        <v>1080.172222222222</v>
      </c>
      <c r="F496">
        <v>2.4039999999999999</v>
      </c>
      <c r="G496">
        <f>Tableau2[[#This Row],[Cost (€/GJ)]]/1000000*3600</f>
        <v>8.6543999999999996E-3</v>
      </c>
      <c r="H496">
        <v>2.9521711768407801</v>
      </c>
      <c r="I496">
        <f>Tableau2[[#This Row],[GHG (kgCO2eq/GJ)]]/1000*3.6</f>
        <v>1.0627816236626808E-2</v>
      </c>
      <c r="J496" t="s">
        <v>104</v>
      </c>
      <c r="K496" t="s">
        <v>108</v>
      </c>
    </row>
    <row r="497" spans="1:11" hidden="1" x14ac:dyDescent="0.3">
      <c r="A497" t="s">
        <v>27</v>
      </c>
      <c r="B497" t="s">
        <v>50</v>
      </c>
      <c r="C497" t="s">
        <v>73</v>
      </c>
      <c r="D497">
        <v>2</v>
      </c>
      <c r="E497">
        <f>Tableau2[[#This Row],[Potential (PJ)]]/3.6*1000</f>
        <v>555.55555555555554</v>
      </c>
      <c r="F497">
        <v>4.976</v>
      </c>
      <c r="G497">
        <f>Tableau2[[#This Row],[Cost (€/GJ)]]/1000000*3600</f>
        <v>1.7913600000000002E-2</v>
      </c>
      <c r="H497">
        <v>20.723404255319149</v>
      </c>
      <c r="I497">
        <f>Tableau2[[#This Row],[GHG (kgCO2eq/GJ)]]/1000*3.6</f>
        <v>7.4604255319148938E-2</v>
      </c>
      <c r="J497" t="s">
        <v>105</v>
      </c>
      <c r="K497" t="s">
        <v>108</v>
      </c>
    </row>
    <row r="498" spans="1:11" hidden="1" x14ac:dyDescent="0.3">
      <c r="A498" t="s">
        <v>27</v>
      </c>
      <c r="B498" t="s">
        <v>50</v>
      </c>
      <c r="C498" t="s">
        <v>74</v>
      </c>
      <c r="D498">
        <v>14.9</v>
      </c>
      <c r="E498">
        <f>Tableau2[[#This Row],[Potential (PJ)]]/3.6*1000</f>
        <v>4138.8888888888896</v>
      </c>
      <c r="F498">
        <v>3.8050000000000002</v>
      </c>
      <c r="G498">
        <f>Tableau2[[#This Row],[Cost (€/GJ)]]/1000000*3600</f>
        <v>1.3698E-2</v>
      </c>
      <c r="H498">
        <v>2.0635593220338988</v>
      </c>
      <c r="I498">
        <f>Tableau2[[#This Row],[GHG (kgCO2eq/GJ)]]/1000*3.6</f>
        <v>7.4288135593220351E-3</v>
      </c>
      <c r="J498" t="s">
        <v>105</v>
      </c>
      <c r="K498" t="s">
        <v>108</v>
      </c>
    </row>
    <row r="499" spans="1:11" hidden="1" x14ac:dyDescent="0.3">
      <c r="A499" t="s">
        <v>27</v>
      </c>
      <c r="B499" t="s">
        <v>51</v>
      </c>
      <c r="C499" t="s">
        <v>75</v>
      </c>
      <c r="D499">
        <v>1.6711720000000001</v>
      </c>
      <c r="E499">
        <f>Tableau2[[#This Row],[Potential (PJ)]]/3.6*1000</f>
        <v>464.2144444444445</v>
      </c>
      <c r="F499">
        <v>2.88821975943825E-2</v>
      </c>
      <c r="G499">
        <f>Tableau2[[#This Row],[Cost (€/GJ)]]/1000000*3600</f>
        <v>1.0397591133977701E-4</v>
      </c>
      <c r="H499">
        <v>11.74</v>
      </c>
      <c r="I499">
        <f>Tableau2[[#This Row],[GHG (kgCO2eq/GJ)]]/1000*3.6</f>
        <v>4.2264000000000003E-2</v>
      </c>
      <c r="J499" t="s">
        <v>104</v>
      </c>
      <c r="K499" t="s">
        <v>108</v>
      </c>
    </row>
    <row r="500" spans="1:11" hidden="1" x14ac:dyDescent="0.3">
      <c r="A500" t="s">
        <v>27</v>
      </c>
      <c r="B500" t="s">
        <v>60</v>
      </c>
      <c r="C500" t="s">
        <v>98</v>
      </c>
      <c r="D500">
        <v>0.66973000000000005</v>
      </c>
      <c r="E500">
        <f>Tableau2[[#This Row],[Potential (PJ)]]/3.6*1000</f>
        <v>186.03611111111113</v>
      </c>
      <c r="F500">
        <v>16.809881847475829</v>
      </c>
      <c r="G500">
        <f>Tableau2[[#This Row],[Cost (€/GJ)]]/1000000*3600</f>
        <v>6.0515574650912979E-2</v>
      </c>
      <c r="H500">
        <v>26.9</v>
      </c>
      <c r="I500">
        <f>Tableau2[[#This Row],[GHG (kgCO2eq/GJ)]]/1000*3.6</f>
        <v>9.6840000000000009E-2</v>
      </c>
      <c r="J500" t="s">
        <v>107</v>
      </c>
      <c r="K500" t="s">
        <v>109</v>
      </c>
    </row>
    <row r="501" spans="1:11" hidden="1" x14ac:dyDescent="0.3">
      <c r="A501" t="s">
        <v>27</v>
      </c>
      <c r="B501" t="s">
        <v>53</v>
      </c>
      <c r="C501" t="s">
        <v>77</v>
      </c>
      <c r="D501">
        <v>4.5999999999999996</v>
      </c>
      <c r="E501">
        <f>Tableau2[[#This Row],[Potential (PJ)]]/3.6*1000</f>
        <v>1277.7777777777776</v>
      </c>
      <c r="F501">
        <v>0</v>
      </c>
      <c r="G501">
        <f>Tableau2[[#This Row],[Cost (€/GJ)]]/1000000*3600</f>
        <v>0</v>
      </c>
      <c r="H501">
        <v>3.86607608129234</v>
      </c>
      <c r="I501">
        <f>Tableau2[[#This Row],[GHG (kgCO2eq/GJ)]]/1000*3.6</f>
        <v>1.3917873892652425E-2</v>
      </c>
      <c r="J501" t="s">
        <v>104</v>
      </c>
      <c r="K501" t="s">
        <v>108</v>
      </c>
    </row>
    <row r="502" spans="1:11" hidden="1" x14ac:dyDescent="0.3">
      <c r="A502" t="s">
        <v>27</v>
      </c>
      <c r="B502" t="s">
        <v>61</v>
      </c>
      <c r="C502" t="s">
        <v>99</v>
      </c>
      <c r="D502">
        <v>3.8</v>
      </c>
      <c r="E502">
        <f>Tableau2[[#This Row],[Potential (PJ)]]/3.6*1000</f>
        <v>1055.5555555555557</v>
      </c>
      <c r="F502">
        <v>0</v>
      </c>
      <c r="G502">
        <f>Tableau2[[#This Row],[Cost (€/GJ)]]/1000000*3600</f>
        <v>0</v>
      </c>
      <c r="H502">
        <v>2.9245635910224439</v>
      </c>
      <c r="I502">
        <f>Tableau2[[#This Row],[GHG (kgCO2eq/GJ)]]/1000*3.6</f>
        <v>1.0528428927680798E-2</v>
      </c>
      <c r="J502" t="s">
        <v>104</v>
      </c>
      <c r="K502" t="s">
        <v>108</v>
      </c>
    </row>
    <row r="503" spans="1:11" hidden="1" x14ac:dyDescent="0.3">
      <c r="A503" t="s">
        <v>27</v>
      </c>
      <c r="B503" t="s">
        <v>62</v>
      </c>
      <c r="C503" t="s">
        <v>100</v>
      </c>
      <c r="D503">
        <v>1.5</v>
      </c>
      <c r="E503">
        <f>Tableau2[[#This Row],[Potential (PJ)]]/3.6*1000</f>
        <v>416.66666666666663</v>
      </c>
      <c r="F503">
        <v>1.4</v>
      </c>
      <c r="G503">
        <f>Tableau2[[#This Row],[Cost (€/GJ)]]/1000000*3600</f>
        <v>5.0399999999999993E-3</v>
      </c>
      <c r="H503">
        <v>2.6764106050305911</v>
      </c>
      <c r="I503">
        <f>Tableau2[[#This Row],[GHG (kgCO2eq/GJ)]]/1000*3.6</f>
        <v>9.6350781781101291E-3</v>
      </c>
      <c r="J503" t="s">
        <v>104</v>
      </c>
      <c r="K503" t="s">
        <v>108</v>
      </c>
    </row>
    <row r="504" spans="1:11" hidden="1" x14ac:dyDescent="0.3">
      <c r="A504" t="s">
        <v>27</v>
      </c>
      <c r="B504" t="s">
        <v>54</v>
      </c>
      <c r="C504" t="s">
        <v>78</v>
      </c>
      <c r="D504">
        <v>30.4</v>
      </c>
      <c r="E504">
        <f>Tableau2[[#This Row],[Potential (PJ)]]/3.6*1000</f>
        <v>8444.4444444444453</v>
      </c>
      <c r="F504">
        <v>0</v>
      </c>
      <c r="G504">
        <f>Tableau2[[#This Row],[Cost (€/GJ)]]/1000000*3600</f>
        <v>0</v>
      </c>
      <c r="H504">
        <v>3.86607608129234</v>
      </c>
      <c r="I504">
        <f>Tableau2[[#This Row],[GHG (kgCO2eq/GJ)]]/1000*3.6</f>
        <v>1.3917873892652425E-2</v>
      </c>
      <c r="J504" t="s">
        <v>104</v>
      </c>
      <c r="K504" t="s">
        <v>108</v>
      </c>
    </row>
    <row r="505" spans="1:11" hidden="1" x14ac:dyDescent="0.3">
      <c r="A505" t="s">
        <v>28</v>
      </c>
      <c r="B505" t="s">
        <v>46</v>
      </c>
      <c r="C505" t="s">
        <v>103</v>
      </c>
      <c r="D505">
        <v>0.41205199999999997</v>
      </c>
      <c r="E505">
        <f>Tableau2[[#This Row],[Potential (PJ)]]/3.6*1000</f>
        <v>114.45888888888888</v>
      </c>
      <c r="F505">
        <v>0</v>
      </c>
      <c r="G505">
        <f>Tableau2[[#This Row],[Cost (€/GJ)]]/1000000*3600</f>
        <v>0</v>
      </c>
      <c r="I505">
        <f>Tableau2[[#This Row],[GHG (kgCO2eq/GJ)]]/1000*3.6</f>
        <v>0</v>
      </c>
    </row>
    <row r="506" spans="1:11" hidden="1" x14ac:dyDescent="0.3">
      <c r="A506" t="s">
        <v>28</v>
      </c>
      <c r="B506" t="s">
        <v>46</v>
      </c>
      <c r="C506" t="s">
        <v>80</v>
      </c>
      <c r="D506">
        <v>8.8999999999999999E-3</v>
      </c>
      <c r="E506">
        <f>Tableau2[[#This Row],[Potential (PJ)]]/3.6*1000</f>
        <v>2.4722222222222219</v>
      </c>
      <c r="F506">
        <v>0</v>
      </c>
      <c r="G506">
        <f>Tableau2[[#This Row],[Cost (€/GJ)]]/1000000*3600</f>
        <v>0</v>
      </c>
      <c r="H506">
        <v>28.139870918023309</v>
      </c>
      <c r="I506">
        <f>Tableau2[[#This Row],[GHG (kgCO2eq/GJ)]]/1000*3.6</f>
        <v>0.10130353530488391</v>
      </c>
      <c r="J506" t="s">
        <v>105</v>
      </c>
      <c r="K506" t="s">
        <v>108</v>
      </c>
    </row>
    <row r="507" spans="1:11" hidden="1" x14ac:dyDescent="0.3">
      <c r="A507" t="s">
        <v>28</v>
      </c>
      <c r="B507" t="s">
        <v>46</v>
      </c>
      <c r="C507" t="s">
        <v>81</v>
      </c>
      <c r="D507">
        <v>2.5999999999999999E-2</v>
      </c>
      <c r="E507">
        <f>Tableau2[[#This Row],[Potential (PJ)]]/3.6*1000</f>
        <v>7.2222222222222223</v>
      </c>
      <c r="F507">
        <v>0</v>
      </c>
      <c r="G507">
        <f>Tableau2[[#This Row],[Cost (€/GJ)]]/1000000*3600</f>
        <v>0</v>
      </c>
      <c r="H507">
        <v>8.9647473560517046</v>
      </c>
      <c r="I507">
        <f>Tableau2[[#This Row],[GHG (kgCO2eq/GJ)]]/1000*3.6</f>
        <v>3.2273090481786136E-2</v>
      </c>
      <c r="J507" t="s">
        <v>105</v>
      </c>
      <c r="K507" t="s">
        <v>108</v>
      </c>
    </row>
    <row r="508" spans="1:11" hidden="1" x14ac:dyDescent="0.3">
      <c r="A508" t="s">
        <v>28</v>
      </c>
      <c r="B508" t="s">
        <v>55</v>
      </c>
      <c r="C508" t="s">
        <v>86</v>
      </c>
      <c r="D508">
        <v>0.21329999999999999</v>
      </c>
      <c r="E508">
        <f>Tableau2[[#This Row],[Potential (PJ)]]/3.6*1000</f>
        <v>59.25</v>
      </c>
      <c r="F508">
        <v>8.2059999999999995</v>
      </c>
      <c r="G508">
        <f>Tableau2[[#This Row],[Cost (€/GJ)]]/1000000*3600</f>
        <v>2.9541599999999998E-2</v>
      </c>
      <c r="H508">
        <v>26.3</v>
      </c>
      <c r="I508">
        <f>Tableau2[[#This Row],[GHG (kgCO2eq/GJ)]]/1000*3.6</f>
        <v>9.468E-2</v>
      </c>
      <c r="J508" t="s">
        <v>106</v>
      </c>
      <c r="K508" t="s">
        <v>109</v>
      </c>
    </row>
    <row r="509" spans="1:11" hidden="1" x14ac:dyDescent="0.3">
      <c r="A509" t="s">
        <v>28</v>
      </c>
      <c r="B509" t="s">
        <v>55</v>
      </c>
      <c r="C509" t="s">
        <v>88</v>
      </c>
      <c r="D509">
        <v>6.7999999999999996E-3</v>
      </c>
      <c r="E509">
        <f>Tableau2[[#This Row],[Potential (PJ)]]/3.6*1000</f>
        <v>1.8888888888888888</v>
      </c>
      <c r="F509">
        <v>5.0555000000000003</v>
      </c>
      <c r="G509">
        <f>Tableau2[[#This Row],[Cost (€/GJ)]]/1000000*3600</f>
        <v>1.8199800000000002E-2</v>
      </c>
      <c r="H509">
        <v>26.3</v>
      </c>
      <c r="I509">
        <f>Tableau2[[#This Row],[GHG (kgCO2eq/GJ)]]/1000*3.6</f>
        <v>9.468E-2</v>
      </c>
      <c r="J509" t="s">
        <v>106</v>
      </c>
      <c r="K509" t="s">
        <v>109</v>
      </c>
    </row>
    <row r="510" spans="1:11" hidden="1" x14ac:dyDescent="0.3">
      <c r="A510" t="s">
        <v>28</v>
      </c>
      <c r="B510" t="s">
        <v>55</v>
      </c>
      <c r="C510" t="s">
        <v>92</v>
      </c>
      <c r="D510">
        <v>0.2104</v>
      </c>
      <c r="E510">
        <f>Tableau2[[#This Row],[Potential (PJ)]]/3.6*1000</f>
        <v>58.444444444444443</v>
      </c>
      <c r="F510">
        <v>8.9079999999999995</v>
      </c>
      <c r="G510">
        <f>Tableau2[[#This Row],[Cost (€/GJ)]]/1000000*3600</f>
        <v>3.2068800000000001E-2</v>
      </c>
      <c r="H510">
        <v>26.3</v>
      </c>
      <c r="I510">
        <f>Tableau2[[#This Row],[GHG (kgCO2eq/GJ)]]/1000*3.6</f>
        <v>9.468E-2</v>
      </c>
      <c r="J510" t="s">
        <v>106</v>
      </c>
      <c r="K510" t="s">
        <v>109</v>
      </c>
    </row>
    <row r="511" spans="1:11" hidden="1" x14ac:dyDescent="0.3">
      <c r="A511" t="s">
        <v>28</v>
      </c>
      <c r="B511" t="s">
        <v>49</v>
      </c>
      <c r="C511" t="s">
        <v>71</v>
      </c>
      <c r="D511">
        <v>1.84229</v>
      </c>
      <c r="E511">
        <f>Tableau2[[#This Row],[Potential (PJ)]]/3.6*1000</f>
        <v>511.74722222222226</v>
      </c>
      <c r="F511">
        <v>0</v>
      </c>
      <c r="G511">
        <f>Tableau2[[#This Row],[Cost (€/GJ)]]/1000000*3600</f>
        <v>0</v>
      </c>
      <c r="H511">
        <v>3.86607608129234</v>
      </c>
      <c r="I511">
        <f>Tableau2[[#This Row],[GHG (kgCO2eq/GJ)]]/1000*3.6</f>
        <v>1.3917873892652425E-2</v>
      </c>
      <c r="J511" t="s">
        <v>104</v>
      </c>
      <c r="K511" t="s">
        <v>108</v>
      </c>
    </row>
    <row r="512" spans="1:11" hidden="1" x14ac:dyDescent="0.3">
      <c r="A512" t="s">
        <v>28</v>
      </c>
      <c r="B512" t="s">
        <v>58</v>
      </c>
      <c r="C512" t="s">
        <v>103</v>
      </c>
      <c r="D512">
        <v>0.106836</v>
      </c>
      <c r="E512">
        <f>Tableau2[[#This Row],[Potential (PJ)]]/3.6*1000</f>
        <v>29.676666666666666</v>
      </c>
      <c r="F512">
        <v>0</v>
      </c>
      <c r="G512">
        <f>Tableau2[[#This Row],[Cost (€/GJ)]]/1000000*3600</f>
        <v>0</v>
      </c>
      <c r="I512">
        <f>Tableau2[[#This Row],[GHG (kgCO2eq/GJ)]]/1000*3.6</f>
        <v>0</v>
      </c>
    </row>
    <row r="513" spans="1:11" hidden="1" x14ac:dyDescent="0.3">
      <c r="A513" t="s">
        <v>28</v>
      </c>
      <c r="B513" t="s">
        <v>50</v>
      </c>
      <c r="C513" t="s">
        <v>103</v>
      </c>
      <c r="D513">
        <v>1.521922</v>
      </c>
      <c r="E513">
        <f>Tableau2[[#This Row],[Potential (PJ)]]/3.6*1000</f>
        <v>422.75611111111112</v>
      </c>
      <c r="F513">
        <v>0</v>
      </c>
      <c r="G513">
        <f>Tableau2[[#This Row],[Cost (€/GJ)]]/1000000*3600</f>
        <v>0</v>
      </c>
      <c r="I513">
        <f>Tableau2[[#This Row],[GHG (kgCO2eq/GJ)]]/1000*3.6</f>
        <v>0</v>
      </c>
    </row>
    <row r="514" spans="1:11" hidden="1" x14ac:dyDescent="0.3">
      <c r="A514" t="s">
        <v>28</v>
      </c>
      <c r="B514" t="s">
        <v>51</v>
      </c>
      <c r="C514" t="s">
        <v>75</v>
      </c>
      <c r="D514">
        <v>0.16686899999999999</v>
      </c>
      <c r="E514">
        <f>Tableau2[[#This Row],[Potential (PJ)]]/3.6*1000</f>
        <v>46.352499999999999</v>
      </c>
      <c r="F514">
        <v>5.43947486787992E-4</v>
      </c>
      <c r="G514">
        <f>Tableau2[[#This Row],[Cost (€/GJ)]]/1000000*3600</f>
        <v>1.9582109524367709E-6</v>
      </c>
      <c r="H514">
        <v>11.74</v>
      </c>
      <c r="I514">
        <f>Tableau2[[#This Row],[GHG (kgCO2eq/GJ)]]/1000*3.6</f>
        <v>4.2264000000000003E-2</v>
      </c>
      <c r="J514" t="s">
        <v>104</v>
      </c>
      <c r="K514" t="s">
        <v>108</v>
      </c>
    </row>
    <row r="515" spans="1:11" hidden="1" x14ac:dyDescent="0.3">
      <c r="A515" t="s">
        <v>28</v>
      </c>
      <c r="B515" t="s">
        <v>60</v>
      </c>
      <c r="C515" t="s">
        <v>98</v>
      </c>
      <c r="D515">
        <v>3.5560000000000001E-2</v>
      </c>
      <c r="E515">
        <f>Tableau2[[#This Row],[Potential (PJ)]]/3.6*1000</f>
        <v>9.8777777777777782</v>
      </c>
      <c r="F515">
        <v>0</v>
      </c>
      <c r="G515">
        <f>Tableau2[[#This Row],[Cost (€/GJ)]]/1000000*3600</f>
        <v>0</v>
      </c>
      <c r="H515">
        <v>37.799999999999997</v>
      </c>
      <c r="I515">
        <f>Tableau2[[#This Row],[GHG (kgCO2eq/GJ)]]/1000*3.6</f>
        <v>0.13608000000000001</v>
      </c>
      <c r="J515" t="s">
        <v>107</v>
      </c>
      <c r="K515" t="s">
        <v>109</v>
      </c>
    </row>
    <row r="516" spans="1:11" hidden="1" x14ac:dyDescent="0.3">
      <c r="A516" t="s">
        <v>28</v>
      </c>
      <c r="B516" t="s">
        <v>61</v>
      </c>
      <c r="C516" t="s">
        <v>103</v>
      </c>
      <c r="D516">
        <v>0.63879699999999995</v>
      </c>
      <c r="E516">
        <f>Tableau2[[#This Row],[Potential (PJ)]]/3.6*1000</f>
        <v>177.4436111111111</v>
      </c>
      <c r="F516">
        <v>0</v>
      </c>
      <c r="G516">
        <f>Tableau2[[#This Row],[Cost (€/GJ)]]/1000000*3600</f>
        <v>0</v>
      </c>
      <c r="I516">
        <f>Tableau2[[#This Row],[GHG (kgCO2eq/GJ)]]/1000*3.6</f>
        <v>0</v>
      </c>
    </row>
    <row r="517" spans="1:11" hidden="1" x14ac:dyDescent="0.3">
      <c r="A517" t="s">
        <v>28</v>
      </c>
      <c r="B517" t="s">
        <v>62</v>
      </c>
      <c r="C517" t="s">
        <v>103</v>
      </c>
      <c r="D517">
        <v>8.1073000000000006E-2</v>
      </c>
      <c r="E517">
        <f>Tableau2[[#This Row],[Potential (PJ)]]/3.6*1000</f>
        <v>22.520277777777778</v>
      </c>
      <c r="F517">
        <v>0</v>
      </c>
      <c r="G517">
        <f>Tableau2[[#This Row],[Cost (€/GJ)]]/1000000*3600</f>
        <v>0</v>
      </c>
      <c r="I517">
        <f>Tableau2[[#This Row],[GHG (kgCO2eq/GJ)]]/1000*3.6</f>
        <v>0</v>
      </c>
    </row>
    <row r="518" spans="1:11" hidden="1" x14ac:dyDescent="0.3">
      <c r="A518" t="s">
        <v>28</v>
      </c>
      <c r="B518" t="s">
        <v>54</v>
      </c>
      <c r="C518" t="s">
        <v>78</v>
      </c>
      <c r="D518">
        <v>3</v>
      </c>
      <c r="E518">
        <f>Tableau2[[#This Row],[Potential (PJ)]]/3.6*1000</f>
        <v>833.33333333333326</v>
      </c>
      <c r="F518">
        <v>0</v>
      </c>
      <c r="G518">
        <f>Tableau2[[#This Row],[Cost (€/GJ)]]/1000000*3600</f>
        <v>0</v>
      </c>
      <c r="H518">
        <v>3.86607608129234</v>
      </c>
      <c r="I518">
        <f>Tableau2[[#This Row],[GHG (kgCO2eq/GJ)]]/1000*3.6</f>
        <v>1.3917873892652425E-2</v>
      </c>
      <c r="J518" t="s">
        <v>104</v>
      </c>
      <c r="K518" t="s">
        <v>108</v>
      </c>
    </row>
    <row r="519" spans="1:11" hidden="1" x14ac:dyDescent="0.3">
      <c r="A519" t="s">
        <v>29</v>
      </c>
      <c r="B519" t="s">
        <v>46</v>
      </c>
      <c r="C519" t="s">
        <v>64</v>
      </c>
      <c r="D519">
        <v>8.0000000000000007E-5</v>
      </c>
      <c r="E519">
        <f>Tableau2[[#This Row],[Potential (PJ)]]/3.6*1000</f>
        <v>2.2222222222222223E-2</v>
      </c>
      <c r="F519">
        <v>0</v>
      </c>
      <c r="G519">
        <f>Tableau2[[#This Row],[Cost (€/GJ)]]/1000000*3600</f>
        <v>0</v>
      </c>
      <c r="H519">
        <v>2.9521711768407801</v>
      </c>
      <c r="I519">
        <f>Tableau2[[#This Row],[GHG (kgCO2eq/GJ)]]/1000*3.6</f>
        <v>1.0627816236626808E-2</v>
      </c>
      <c r="J519" t="s">
        <v>104</v>
      </c>
      <c r="K519" t="s">
        <v>108</v>
      </c>
    </row>
    <row r="520" spans="1:11" hidden="1" x14ac:dyDescent="0.3">
      <c r="A520" t="s">
        <v>29</v>
      </c>
      <c r="B520" t="s">
        <v>46</v>
      </c>
      <c r="C520" t="s">
        <v>79</v>
      </c>
      <c r="D520">
        <v>6.6</v>
      </c>
      <c r="E520">
        <f>Tableau2[[#This Row],[Potential (PJ)]]/3.6*1000</f>
        <v>1833.3333333333333</v>
      </c>
      <c r="F520">
        <v>0</v>
      </c>
      <c r="G520">
        <f>Tableau2[[#This Row],[Cost (€/GJ)]]/1000000*3600</f>
        <v>0</v>
      </c>
      <c r="H520">
        <v>6.8428961748633883</v>
      </c>
      <c r="I520">
        <f>Tableau2[[#This Row],[GHG (kgCO2eq/GJ)]]/1000*3.6</f>
        <v>2.4634426229508198E-2</v>
      </c>
      <c r="J520" t="s">
        <v>104</v>
      </c>
      <c r="K520" t="s">
        <v>108</v>
      </c>
    </row>
    <row r="521" spans="1:11" hidden="1" x14ac:dyDescent="0.3">
      <c r="A521" t="s">
        <v>29</v>
      </c>
      <c r="B521" t="s">
        <v>46</v>
      </c>
      <c r="C521" t="s">
        <v>80</v>
      </c>
      <c r="D521">
        <v>3.5400000000000001E-2</v>
      </c>
      <c r="E521">
        <f>Tableau2[[#This Row],[Potential (PJ)]]/3.6*1000</f>
        <v>9.8333333333333321</v>
      </c>
      <c r="F521">
        <v>0.18071476736345249</v>
      </c>
      <c r="G521">
        <f>Tableau2[[#This Row],[Cost (€/GJ)]]/1000000*3600</f>
        <v>6.5057316250842891E-4</v>
      </c>
      <c r="H521">
        <v>28.139870918023309</v>
      </c>
      <c r="I521">
        <f>Tableau2[[#This Row],[GHG (kgCO2eq/GJ)]]/1000*3.6</f>
        <v>0.10130353530488391</v>
      </c>
      <c r="J521" t="s">
        <v>105</v>
      </c>
      <c r="K521" t="s">
        <v>108</v>
      </c>
    </row>
    <row r="522" spans="1:11" hidden="1" x14ac:dyDescent="0.3">
      <c r="A522" t="s">
        <v>29</v>
      </c>
      <c r="B522" t="s">
        <v>46</v>
      </c>
      <c r="C522" t="s">
        <v>81</v>
      </c>
      <c r="D522">
        <v>8.2000000000000007E-3</v>
      </c>
      <c r="E522">
        <f>Tableau2[[#This Row],[Potential (PJ)]]/3.6*1000</f>
        <v>2.2777777777777777</v>
      </c>
      <c r="F522">
        <v>0.36545240893066983</v>
      </c>
      <c r="G522">
        <f>Tableau2[[#This Row],[Cost (€/GJ)]]/1000000*3600</f>
        <v>1.3156286721504114E-3</v>
      </c>
      <c r="H522">
        <v>8.9647473560517046</v>
      </c>
      <c r="I522">
        <f>Tableau2[[#This Row],[GHG (kgCO2eq/GJ)]]/1000*3.6</f>
        <v>3.2273090481786136E-2</v>
      </c>
      <c r="J522" t="s">
        <v>105</v>
      </c>
      <c r="K522" t="s">
        <v>108</v>
      </c>
    </row>
    <row r="523" spans="1:11" hidden="1" x14ac:dyDescent="0.3">
      <c r="A523" t="s">
        <v>29</v>
      </c>
      <c r="B523" t="s">
        <v>46</v>
      </c>
      <c r="C523" t="s">
        <v>82</v>
      </c>
      <c r="D523">
        <v>0.3</v>
      </c>
      <c r="E523">
        <f>Tableau2[[#This Row],[Potential (PJ)]]/3.6*1000</f>
        <v>83.333333333333329</v>
      </c>
      <c r="F523">
        <v>1.5369999999999999</v>
      </c>
      <c r="G523">
        <f>Tableau2[[#This Row],[Cost (€/GJ)]]/1000000*3600</f>
        <v>5.5331999999999994E-3</v>
      </c>
      <c r="H523">
        <v>6.8428961748633883</v>
      </c>
      <c r="I523">
        <f>Tableau2[[#This Row],[GHG (kgCO2eq/GJ)]]/1000*3.6</f>
        <v>2.4634426229508198E-2</v>
      </c>
      <c r="J523" t="s">
        <v>104</v>
      </c>
      <c r="K523" t="s">
        <v>108</v>
      </c>
    </row>
    <row r="524" spans="1:11" hidden="1" x14ac:dyDescent="0.3">
      <c r="A524" t="s">
        <v>29</v>
      </c>
      <c r="B524" t="s">
        <v>55</v>
      </c>
      <c r="C524" t="s">
        <v>86</v>
      </c>
      <c r="D524">
        <v>0.98170000000000002</v>
      </c>
      <c r="E524">
        <f>Tableau2[[#This Row],[Potential (PJ)]]/3.6*1000</f>
        <v>272.69444444444446</v>
      </c>
      <c r="F524">
        <v>13.085000000000001</v>
      </c>
      <c r="G524">
        <f>Tableau2[[#This Row],[Cost (€/GJ)]]/1000000*3600</f>
        <v>4.7106000000000002E-2</v>
      </c>
      <c r="H524">
        <v>12.8</v>
      </c>
      <c r="I524">
        <f>Tableau2[[#This Row],[GHG (kgCO2eq/GJ)]]/1000*3.6</f>
        <v>4.6080000000000003E-2</v>
      </c>
      <c r="J524" t="s">
        <v>106</v>
      </c>
      <c r="K524" t="s">
        <v>109</v>
      </c>
    </row>
    <row r="525" spans="1:11" hidden="1" x14ac:dyDescent="0.3">
      <c r="A525" t="s">
        <v>29</v>
      </c>
      <c r="B525" t="s">
        <v>55</v>
      </c>
      <c r="C525" t="s">
        <v>89</v>
      </c>
      <c r="D525">
        <v>2.7000000000000001E-3</v>
      </c>
      <c r="E525">
        <f>Tableau2[[#This Row],[Potential (PJ)]]/3.6*1000</f>
        <v>0.75</v>
      </c>
      <c r="F525">
        <v>0</v>
      </c>
      <c r="G525">
        <f>Tableau2[[#This Row],[Cost (€/GJ)]]/1000000*3600</f>
        <v>0</v>
      </c>
      <c r="H525">
        <v>12.8</v>
      </c>
      <c r="I525">
        <f>Tableau2[[#This Row],[GHG (kgCO2eq/GJ)]]/1000*3.6</f>
        <v>4.6080000000000003E-2</v>
      </c>
      <c r="J525" t="s">
        <v>106</v>
      </c>
      <c r="K525" t="s">
        <v>109</v>
      </c>
    </row>
    <row r="526" spans="1:11" hidden="1" x14ac:dyDescent="0.3">
      <c r="A526" t="s">
        <v>29</v>
      </c>
      <c r="B526" t="s">
        <v>55</v>
      </c>
      <c r="C526" t="s">
        <v>90</v>
      </c>
      <c r="D526">
        <v>0.64090000000000003</v>
      </c>
      <c r="E526">
        <f>Tableau2[[#This Row],[Potential (PJ)]]/3.6*1000</f>
        <v>178.02777777777777</v>
      </c>
      <c r="F526">
        <v>15.222</v>
      </c>
      <c r="G526">
        <f>Tableau2[[#This Row],[Cost (€/GJ)]]/1000000*3600</f>
        <v>5.4799199999999999E-2</v>
      </c>
      <c r="H526">
        <v>12.8</v>
      </c>
      <c r="I526">
        <f>Tableau2[[#This Row],[GHG (kgCO2eq/GJ)]]/1000*3.6</f>
        <v>4.6080000000000003E-2</v>
      </c>
      <c r="J526" t="s">
        <v>106</v>
      </c>
      <c r="K526" t="s">
        <v>109</v>
      </c>
    </row>
    <row r="527" spans="1:11" hidden="1" x14ac:dyDescent="0.3">
      <c r="A527" t="s">
        <v>29</v>
      </c>
      <c r="B527" t="s">
        <v>55</v>
      </c>
      <c r="C527" t="s">
        <v>91</v>
      </c>
      <c r="D527">
        <v>0.4995</v>
      </c>
      <c r="E527">
        <f>Tableau2[[#This Row],[Potential (PJ)]]/3.6*1000</f>
        <v>138.74999999999997</v>
      </c>
      <c r="F527">
        <v>12.984</v>
      </c>
      <c r="G527">
        <f>Tableau2[[#This Row],[Cost (€/GJ)]]/1000000*3600</f>
        <v>4.6742399999999996E-2</v>
      </c>
      <c r="H527">
        <v>12.8</v>
      </c>
      <c r="I527">
        <f>Tableau2[[#This Row],[GHG (kgCO2eq/GJ)]]/1000*3.6</f>
        <v>4.6080000000000003E-2</v>
      </c>
      <c r="J527" t="s">
        <v>106</v>
      </c>
      <c r="K527" t="s">
        <v>109</v>
      </c>
    </row>
    <row r="528" spans="1:11" hidden="1" x14ac:dyDescent="0.3">
      <c r="A528" t="s">
        <v>29</v>
      </c>
      <c r="B528" t="s">
        <v>55</v>
      </c>
      <c r="C528" t="s">
        <v>92</v>
      </c>
      <c r="D528">
        <v>5.5552999999999999</v>
      </c>
      <c r="E528">
        <f>Tableau2[[#This Row],[Potential (PJ)]]/3.6*1000</f>
        <v>1543.1388888888889</v>
      </c>
      <c r="F528">
        <v>15.595000000000001</v>
      </c>
      <c r="G528">
        <f>Tableau2[[#This Row],[Cost (€/GJ)]]/1000000*3600</f>
        <v>5.6142000000000011E-2</v>
      </c>
      <c r="H528">
        <v>12.8</v>
      </c>
      <c r="I528">
        <f>Tableau2[[#This Row],[GHG (kgCO2eq/GJ)]]/1000*3.6</f>
        <v>4.6080000000000003E-2</v>
      </c>
      <c r="J528" t="s">
        <v>106</v>
      </c>
      <c r="K528" t="s">
        <v>109</v>
      </c>
    </row>
    <row r="529" spans="1:11" hidden="1" x14ac:dyDescent="0.3">
      <c r="A529" t="s">
        <v>29</v>
      </c>
      <c r="B529" t="s">
        <v>47</v>
      </c>
      <c r="C529" t="s">
        <v>101</v>
      </c>
      <c r="D529">
        <v>2.1</v>
      </c>
      <c r="E529">
        <f>Tableau2[[#This Row],[Potential (PJ)]]/3.6*1000</f>
        <v>583.33333333333337</v>
      </c>
      <c r="F529">
        <v>3.0960000000000001</v>
      </c>
      <c r="G529">
        <f>Tableau2[[#This Row],[Cost (€/GJ)]]/1000000*3600</f>
        <v>1.11456E-2</v>
      </c>
      <c r="H529">
        <v>44</v>
      </c>
      <c r="I529">
        <f>Tableau2[[#This Row],[GHG (kgCO2eq/GJ)]]/1000*3.6</f>
        <v>0.15839999999999999</v>
      </c>
      <c r="J529" t="s">
        <v>104</v>
      </c>
      <c r="K529" t="s">
        <v>109</v>
      </c>
    </row>
    <row r="530" spans="1:11" hidden="1" x14ac:dyDescent="0.3">
      <c r="A530" t="s">
        <v>29</v>
      </c>
      <c r="B530" t="s">
        <v>57</v>
      </c>
      <c r="C530" t="s">
        <v>94</v>
      </c>
      <c r="D530">
        <v>1.7</v>
      </c>
      <c r="E530">
        <f>Tableau2[[#This Row],[Potential (PJ)]]/3.6*1000</f>
        <v>472.22222222222223</v>
      </c>
      <c r="F530">
        <v>8.6210000000000004</v>
      </c>
      <c r="G530">
        <f>Tableau2[[#This Row],[Cost (€/GJ)]]/1000000*3600</f>
        <v>3.1035600000000003E-2</v>
      </c>
      <c r="H530">
        <v>19.899999999999999</v>
      </c>
      <c r="I530">
        <f>Tableau2[[#This Row],[GHG (kgCO2eq/GJ)]]/1000*3.6</f>
        <v>7.1639999999999995E-2</v>
      </c>
      <c r="J530" t="s">
        <v>104</v>
      </c>
      <c r="K530" t="s">
        <v>109</v>
      </c>
    </row>
    <row r="531" spans="1:11" hidden="1" x14ac:dyDescent="0.3">
      <c r="A531" t="s">
        <v>29</v>
      </c>
      <c r="B531" t="s">
        <v>49</v>
      </c>
      <c r="C531" t="s">
        <v>71</v>
      </c>
      <c r="D531">
        <v>46.773339999999997</v>
      </c>
      <c r="E531">
        <f>Tableau2[[#This Row],[Potential (PJ)]]/3.6*1000</f>
        <v>12992.594444444443</v>
      </c>
      <c r="F531">
        <v>0</v>
      </c>
      <c r="G531">
        <f>Tableau2[[#This Row],[Cost (€/GJ)]]/1000000*3600</f>
        <v>0</v>
      </c>
      <c r="H531">
        <v>3.86607608129234</v>
      </c>
      <c r="I531">
        <f>Tableau2[[#This Row],[GHG (kgCO2eq/GJ)]]/1000*3.6</f>
        <v>1.3917873892652425E-2</v>
      </c>
      <c r="J531" t="s">
        <v>104</v>
      </c>
      <c r="K531" t="s">
        <v>108</v>
      </c>
    </row>
    <row r="532" spans="1:11" hidden="1" x14ac:dyDescent="0.3">
      <c r="A532" t="s">
        <v>29</v>
      </c>
      <c r="B532" t="s">
        <v>49</v>
      </c>
      <c r="C532" t="s">
        <v>72</v>
      </c>
      <c r="D532">
        <v>5.0999999999999996</v>
      </c>
      <c r="E532">
        <f>Tableau2[[#This Row],[Potential (PJ)]]/3.6*1000</f>
        <v>1416.6666666666665</v>
      </c>
      <c r="F532">
        <v>0</v>
      </c>
      <c r="G532">
        <f>Tableau2[[#This Row],[Cost (€/GJ)]]/1000000*3600</f>
        <v>0</v>
      </c>
      <c r="H532">
        <v>3.86607608129234</v>
      </c>
      <c r="I532">
        <f>Tableau2[[#This Row],[GHG (kgCO2eq/GJ)]]/1000*3.6</f>
        <v>1.3917873892652425E-2</v>
      </c>
      <c r="J532" t="s">
        <v>104</v>
      </c>
      <c r="K532" t="s">
        <v>108</v>
      </c>
    </row>
    <row r="533" spans="1:11" hidden="1" x14ac:dyDescent="0.3">
      <c r="A533" t="s">
        <v>29</v>
      </c>
      <c r="B533" t="s">
        <v>58</v>
      </c>
      <c r="C533" t="s">
        <v>95</v>
      </c>
      <c r="D533">
        <v>3.5757099999999999</v>
      </c>
      <c r="E533">
        <f>Tableau2[[#This Row],[Potential (PJ)]]/3.6*1000</f>
        <v>993.25277777777774</v>
      </c>
      <c r="F533">
        <v>2.4039999999999999</v>
      </c>
      <c r="G533">
        <f>Tableau2[[#This Row],[Cost (€/GJ)]]/1000000*3600</f>
        <v>8.6543999999999996E-3</v>
      </c>
      <c r="H533">
        <v>2.9521711768407801</v>
      </c>
      <c r="I533">
        <f>Tableau2[[#This Row],[GHG (kgCO2eq/GJ)]]/1000*3.6</f>
        <v>1.0627816236626808E-2</v>
      </c>
      <c r="J533" t="s">
        <v>104</v>
      </c>
      <c r="K533" t="s">
        <v>108</v>
      </c>
    </row>
    <row r="534" spans="1:11" hidden="1" x14ac:dyDescent="0.3">
      <c r="A534" t="s">
        <v>29</v>
      </c>
      <c r="B534" t="s">
        <v>50</v>
      </c>
      <c r="C534" t="s">
        <v>73</v>
      </c>
      <c r="D534">
        <v>0.3</v>
      </c>
      <c r="E534">
        <f>Tableau2[[#This Row],[Potential (PJ)]]/3.6*1000</f>
        <v>83.333333333333329</v>
      </c>
      <c r="F534">
        <v>5.0090000000000003</v>
      </c>
      <c r="G534">
        <f>Tableau2[[#This Row],[Cost (€/GJ)]]/1000000*3600</f>
        <v>1.8032400000000004E-2</v>
      </c>
      <c r="H534">
        <v>20.723404255319149</v>
      </c>
      <c r="I534">
        <f>Tableau2[[#This Row],[GHG (kgCO2eq/GJ)]]/1000*3.6</f>
        <v>7.4604255319148938E-2</v>
      </c>
      <c r="J534" t="s">
        <v>105</v>
      </c>
      <c r="K534" t="s">
        <v>108</v>
      </c>
    </row>
    <row r="535" spans="1:11" hidden="1" x14ac:dyDescent="0.3">
      <c r="A535" t="s">
        <v>29</v>
      </c>
      <c r="B535" t="s">
        <v>50</v>
      </c>
      <c r="C535" t="s">
        <v>74</v>
      </c>
      <c r="D535">
        <v>8.1999999999999993</v>
      </c>
      <c r="E535">
        <f>Tableau2[[#This Row],[Potential (PJ)]]/3.6*1000</f>
        <v>2277.7777777777778</v>
      </c>
      <c r="F535">
        <v>3.8330000000000002</v>
      </c>
      <c r="G535">
        <f>Tableau2[[#This Row],[Cost (€/GJ)]]/1000000*3600</f>
        <v>1.3798800000000002E-2</v>
      </c>
      <c r="H535">
        <v>2.0635593220338988</v>
      </c>
      <c r="I535">
        <f>Tableau2[[#This Row],[GHG (kgCO2eq/GJ)]]/1000*3.6</f>
        <v>7.4288135593220351E-3</v>
      </c>
      <c r="J535" t="s">
        <v>105</v>
      </c>
      <c r="K535" t="s">
        <v>108</v>
      </c>
    </row>
    <row r="536" spans="1:11" hidden="1" x14ac:dyDescent="0.3">
      <c r="A536" t="s">
        <v>29</v>
      </c>
      <c r="B536" t="s">
        <v>51</v>
      </c>
      <c r="C536" t="s">
        <v>75</v>
      </c>
      <c r="D536">
        <v>0.86754600000000004</v>
      </c>
      <c r="E536">
        <f>Tableau2[[#This Row],[Potential (PJ)]]/3.6*1000</f>
        <v>240.98500000000001</v>
      </c>
      <c r="F536">
        <v>1.3161399407409701E-4</v>
      </c>
      <c r="G536">
        <f>Tableau2[[#This Row],[Cost (€/GJ)]]/1000000*3600</f>
        <v>4.7381037866674916E-7</v>
      </c>
      <c r="H536">
        <v>11.74</v>
      </c>
      <c r="I536">
        <f>Tableau2[[#This Row],[GHG (kgCO2eq/GJ)]]/1000*3.6</f>
        <v>4.2264000000000003E-2</v>
      </c>
      <c r="J536" t="s">
        <v>104</v>
      </c>
      <c r="K536" t="s">
        <v>108</v>
      </c>
    </row>
    <row r="537" spans="1:11" hidden="1" x14ac:dyDescent="0.3">
      <c r="A537" t="s">
        <v>29</v>
      </c>
      <c r="B537" t="s">
        <v>60</v>
      </c>
      <c r="C537" t="s">
        <v>98</v>
      </c>
      <c r="D537">
        <v>0.28214</v>
      </c>
      <c r="E537">
        <f>Tableau2[[#This Row],[Potential (PJ)]]/3.6*1000</f>
        <v>78.37222222222222</v>
      </c>
      <c r="F537">
        <v>16.058002148227711</v>
      </c>
      <c r="G537">
        <f>Tableau2[[#This Row],[Cost (€/GJ)]]/1000000*3600</f>
        <v>5.7808807733619752E-2</v>
      </c>
      <c r="H537">
        <v>28.2</v>
      </c>
      <c r="I537">
        <f>Tableau2[[#This Row],[GHG (kgCO2eq/GJ)]]/1000*3.6</f>
        <v>0.10152</v>
      </c>
      <c r="J537" t="s">
        <v>107</v>
      </c>
      <c r="K537" t="s">
        <v>109</v>
      </c>
    </row>
    <row r="538" spans="1:11" hidden="1" x14ac:dyDescent="0.3">
      <c r="A538" t="s">
        <v>29</v>
      </c>
      <c r="B538" t="s">
        <v>52</v>
      </c>
      <c r="C538" t="s">
        <v>76</v>
      </c>
      <c r="D538">
        <v>1E-3</v>
      </c>
      <c r="E538">
        <f>Tableau2[[#This Row],[Potential (PJ)]]/3.6*1000</f>
        <v>0.27777777777777779</v>
      </c>
      <c r="F538">
        <v>5.4702337500000002</v>
      </c>
      <c r="G538">
        <f>Tableau2[[#This Row],[Cost (€/GJ)]]/1000000*3600</f>
        <v>1.9692841500000002E-2</v>
      </c>
      <c r="H538">
        <v>12.68872359754714</v>
      </c>
      <c r="I538">
        <f>Tableau2[[#This Row],[GHG (kgCO2eq/GJ)]]/1000*3.6</f>
        <v>4.5679404951169705E-2</v>
      </c>
      <c r="J538" t="s">
        <v>105</v>
      </c>
      <c r="K538" t="s">
        <v>108</v>
      </c>
    </row>
    <row r="539" spans="1:11" hidden="1" x14ac:dyDescent="0.3">
      <c r="A539" t="s">
        <v>29</v>
      </c>
      <c r="B539" t="s">
        <v>53</v>
      </c>
      <c r="C539" t="s">
        <v>77</v>
      </c>
      <c r="D539">
        <v>6.9</v>
      </c>
      <c r="E539">
        <f>Tableau2[[#This Row],[Potential (PJ)]]/3.6*1000</f>
        <v>1916.6666666666667</v>
      </c>
      <c r="F539">
        <v>0</v>
      </c>
      <c r="G539">
        <f>Tableau2[[#This Row],[Cost (€/GJ)]]/1000000*3600</f>
        <v>0</v>
      </c>
      <c r="H539">
        <v>3.86607608129234</v>
      </c>
      <c r="I539">
        <f>Tableau2[[#This Row],[GHG (kgCO2eq/GJ)]]/1000*3.6</f>
        <v>1.3917873892652425E-2</v>
      </c>
      <c r="J539" t="s">
        <v>104</v>
      </c>
      <c r="K539" t="s">
        <v>108</v>
      </c>
    </row>
    <row r="540" spans="1:11" hidden="1" x14ac:dyDescent="0.3">
      <c r="A540" t="s">
        <v>29</v>
      </c>
      <c r="B540" t="s">
        <v>61</v>
      </c>
      <c r="C540" t="s">
        <v>99</v>
      </c>
      <c r="D540">
        <v>11.3</v>
      </c>
      <c r="E540">
        <f>Tableau2[[#This Row],[Potential (PJ)]]/3.6*1000</f>
        <v>3138.8888888888887</v>
      </c>
      <c r="F540">
        <v>0</v>
      </c>
      <c r="G540">
        <f>Tableau2[[#This Row],[Cost (€/GJ)]]/1000000*3600</f>
        <v>0</v>
      </c>
      <c r="H540">
        <v>2.9245635910224439</v>
      </c>
      <c r="I540">
        <f>Tableau2[[#This Row],[GHG (kgCO2eq/GJ)]]/1000*3.6</f>
        <v>1.0528428927680798E-2</v>
      </c>
      <c r="J540" t="s">
        <v>104</v>
      </c>
      <c r="K540" t="s">
        <v>108</v>
      </c>
    </row>
    <row r="541" spans="1:11" hidden="1" x14ac:dyDescent="0.3">
      <c r="A541" t="s">
        <v>29</v>
      </c>
      <c r="B541" t="s">
        <v>62</v>
      </c>
      <c r="C541" t="s">
        <v>100</v>
      </c>
      <c r="D541">
        <v>4.9000000000000004</v>
      </c>
      <c r="E541">
        <f>Tableau2[[#This Row],[Potential (PJ)]]/3.6*1000</f>
        <v>1361.1111111111111</v>
      </c>
      <c r="F541">
        <v>1.3</v>
      </c>
      <c r="G541">
        <f>Tableau2[[#This Row],[Cost (€/GJ)]]/1000000*3600</f>
        <v>4.6800000000000001E-3</v>
      </c>
      <c r="H541">
        <v>2.6764106050305911</v>
      </c>
      <c r="I541">
        <f>Tableau2[[#This Row],[GHG (kgCO2eq/GJ)]]/1000*3.6</f>
        <v>9.6350781781101291E-3</v>
      </c>
      <c r="J541" t="s">
        <v>104</v>
      </c>
      <c r="K541" t="s">
        <v>108</v>
      </c>
    </row>
    <row r="542" spans="1:11" hidden="1" x14ac:dyDescent="0.3">
      <c r="A542" t="s">
        <v>29</v>
      </c>
      <c r="B542" t="s">
        <v>54</v>
      </c>
      <c r="C542" t="s">
        <v>78</v>
      </c>
      <c r="D542">
        <v>62.9</v>
      </c>
      <c r="E542">
        <f>Tableau2[[#This Row],[Potential (PJ)]]/3.6*1000</f>
        <v>17472.222222222223</v>
      </c>
      <c r="F542">
        <v>0</v>
      </c>
      <c r="G542">
        <f>Tableau2[[#This Row],[Cost (€/GJ)]]/1000000*3600</f>
        <v>0</v>
      </c>
      <c r="H542">
        <v>3.86607608129234</v>
      </c>
      <c r="I542">
        <f>Tableau2[[#This Row],[GHG (kgCO2eq/GJ)]]/1000*3.6</f>
        <v>1.3917873892652425E-2</v>
      </c>
      <c r="J542" t="s">
        <v>104</v>
      </c>
      <c r="K542" t="s">
        <v>108</v>
      </c>
    </row>
    <row r="543" spans="1:11" hidden="1" x14ac:dyDescent="0.3">
      <c r="A543" t="s">
        <v>30</v>
      </c>
      <c r="B543" t="s">
        <v>46</v>
      </c>
      <c r="C543" t="s">
        <v>63</v>
      </c>
      <c r="D543">
        <v>2.7000000000000001E-3</v>
      </c>
      <c r="E543">
        <f>Tableau2[[#This Row],[Potential (PJ)]]/3.6*1000</f>
        <v>0.75</v>
      </c>
      <c r="F543">
        <v>2.9286474973375931</v>
      </c>
      <c r="G543">
        <f>Tableau2[[#This Row],[Cost (€/GJ)]]/1000000*3600</f>
        <v>1.0543130990415334E-2</v>
      </c>
      <c r="H543">
        <v>3.950479233226837</v>
      </c>
      <c r="I543">
        <f>Tableau2[[#This Row],[GHG (kgCO2eq/GJ)]]/1000*3.6</f>
        <v>1.4221725239616614E-2</v>
      </c>
      <c r="J543" t="s">
        <v>104</v>
      </c>
      <c r="K543" t="s">
        <v>108</v>
      </c>
    </row>
    <row r="544" spans="1:11" hidden="1" x14ac:dyDescent="0.3">
      <c r="A544" t="s">
        <v>30</v>
      </c>
      <c r="B544" t="s">
        <v>46</v>
      </c>
      <c r="C544" t="s">
        <v>64</v>
      </c>
      <c r="D544">
        <v>2.5430000000000001E-2</v>
      </c>
      <c r="E544">
        <f>Tableau2[[#This Row],[Potential (PJ)]]/3.6*1000</f>
        <v>7.0638888888888882</v>
      </c>
      <c r="F544">
        <v>2.3010000000000002</v>
      </c>
      <c r="G544">
        <f>Tableau2[[#This Row],[Cost (€/GJ)]]/1000000*3600</f>
        <v>8.2836000000000003E-3</v>
      </c>
      <c r="H544">
        <v>2.9521711768407801</v>
      </c>
      <c r="I544">
        <f>Tableau2[[#This Row],[GHG (kgCO2eq/GJ)]]/1000*3.6</f>
        <v>1.0627816236626808E-2</v>
      </c>
      <c r="J544" t="s">
        <v>104</v>
      </c>
      <c r="K544" t="s">
        <v>108</v>
      </c>
    </row>
    <row r="545" spans="1:11" hidden="1" x14ac:dyDescent="0.3">
      <c r="A545" t="s">
        <v>30</v>
      </c>
      <c r="B545" t="s">
        <v>47</v>
      </c>
      <c r="C545" t="s">
        <v>68</v>
      </c>
      <c r="D545">
        <v>1.5</v>
      </c>
      <c r="E545">
        <f>Tableau2[[#This Row],[Potential (PJ)]]/3.6*1000</f>
        <v>416.66666666666663</v>
      </c>
      <c r="F545">
        <v>3.9260000000000002</v>
      </c>
      <c r="G545">
        <f>Tableau2[[#This Row],[Cost (€/GJ)]]/1000000*3600</f>
        <v>1.4133600000000001E-2</v>
      </c>
      <c r="H545">
        <v>14.1</v>
      </c>
      <c r="I545">
        <f>Tableau2[[#This Row],[GHG (kgCO2eq/GJ)]]/1000*3.6</f>
        <v>5.076E-2</v>
      </c>
      <c r="J545" t="s">
        <v>104</v>
      </c>
      <c r="K545" t="s">
        <v>109</v>
      </c>
    </row>
    <row r="546" spans="1:11" hidden="1" x14ac:dyDescent="0.3">
      <c r="A546" t="s">
        <v>30</v>
      </c>
      <c r="B546" t="s">
        <v>47</v>
      </c>
      <c r="C546" t="s">
        <v>69</v>
      </c>
      <c r="D546">
        <v>1</v>
      </c>
      <c r="E546">
        <f>Tableau2[[#This Row],[Potential (PJ)]]/3.6*1000</f>
        <v>277.77777777777777</v>
      </c>
      <c r="F546">
        <v>3.9169999999999998</v>
      </c>
      <c r="G546">
        <f>Tableau2[[#This Row],[Cost (€/GJ)]]/1000000*3600</f>
        <v>1.4101199999999999E-2</v>
      </c>
      <c r="H546">
        <v>14.1</v>
      </c>
      <c r="I546">
        <f>Tableau2[[#This Row],[GHG (kgCO2eq/GJ)]]/1000*3.6</f>
        <v>5.076E-2</v>
      </c>
      <c r="J546" t="s">
        <v>104</v>
      </c>
      <c r="K546" t="s">
        <v>109</v>
      </c>
    </row>
    <row r="547" spans="1:11" hidden="1" x14ac:dyDescent="0.3">
      <c r="A547" t="s">
        <v>30</v>
      </c>
      <c r="B547" t="s">
        <v>48</v>
      </c>
      <c r="C547" t="s">
        <v>70</v>
      </c>
      <c r="D547">
        <v>0.5</v>
      </c>
      <c r="E547">
        <f>Tableau2[[#This Row],[Potential (PJ)]]/3.6*1000</f>
        <v>138.88888888888889</v>
      </c>
      <c r="F547">
        <v>10.117000000000001</v>
      </c>
      <c r="G547">
        <f>Tableau2[[#This Row],[Cost (€/GJ)]]/1000000*3600</f>
        <v>3.6421200000000008E-2</v>
      </c>
      <c r="H547">
        <v>0</v>
      </c>
      <c r="I547">
        <f>Tableau2[[#This Row],[GHG (kgCO2eq/GJ)]]/1000*3.6</f>
        <v>0</v>
      </c>
      <c r="J547" t="s">
        <v>104</v>
      </c>
      <c r="K547" t="s">
        <v>109</v>
      </c>
    </row>
    <row r="548" spans="1:11" hidden="1" x14ac:dyDescent="0.3">
      <c r="A548" t="s">
        <v>30</v>
      </c>
      <c r="B548" t="s">
        <v>49</v>
      </c>
      <c r="C548" t="s">
        <v>72</v>
      </c>
      <c r="D548">
        <v>1</v>
      </c>
      <c r="E548">
        <f>Tableau2[[#This Row],[Potential (PJ)]]/3.6*1000</f>
        <v>277.77777777777777</v>
      </c>
      <c r="F548">
        <v>1.2609999999999999</v>
      </c>
      <c r="G548">
        <f>Tableau2[[#This Row],[Cost (€/GJ)]]/1000000*3600</f>
        <v>4.5395999999999995E-3</v>
      </c>
      <c r="H548">
        <v>3.86607608129234</v>
      </c>
      <c r="I548">
        <f>Tableau2[[#This Row],[GHG (kgCO2eq/GJ)]]/1000*3.6</f>
        <v>1.3917873892652425E-2</v>
      </c>
      <c r="J548" t="s">
        <v>104</v>
      </c>
      <c r="K548" t="s">
        <v>108</v>
      </c>
    </row>
    <row r="549" spans="1:11" hidden="1" x14ac:dyDescent="0.3">
      <c r="A549" t="s">
        <v>30</v>
      </c>
      <c r="B549" t="s">
        <v>50</v>
      </c>
      <c r="C549" t="s">
        <v>73</v>
      </c>
      <c r="D549">
        <v>0.1</v>
      </c>
      <c r="E549">
        <f>Tableau2[[#This Row],[Potential (PJ)]]/3.6*1000</f>
        <v>27.777777777777779</v>
      </c>
      <c r="F549">
        <v>4.8520000000000003</v>
      </c>
      <c r="G549">
        <f>Tableau2[[#This Row],[Cost (€/GJ)]]/1000000*3600</f>
        <v>1.7467200000000002E-2</v>
      </c>
      <c r="H549">
        <v>20.723404255319149</v>
      </c>
      <c r="I549">
        <f>Tableau2[[#This Row],[GHG (kgCO2eq/GJ)]]/1000*3.6</f>
        <v>7.4604255319148938E-2</v>
      </c>
      <c r="J549" t="s">
        <v>105</v>
      </c>
      <c r="K549" t="s">
        <v>108</v>
      </c>
    </row>
    <row r="550" spans="1:11" hidden="1" x14ac:dyDescent="0.3">
      <c r="A550" t="s">
        <v>30</v>
      </c>
      <c r="B550" t="s">
        <v>50</v>
      </c>
      <c r="C550" t="s">
        <v>74</v>
      </c>
      <c r="D550">
        <v>0.2</v>
      </c>
      <c r="E550">
        <f>Tableau2[[#This Row],[Potential (PJ)]]/3.6*1000</f>
        <v>55.555555555555557</v>
      </c>
      <c r="F550">
        <v>3.3919999999999999</v>
      </c>
      <c r="G550">
        <f>Tableau2[[#This Row],[Cost (€/GJ)]]/1000000*3600</f>
        <v>1.22112E-2</v>
      </c>
      <c r="H550">
        <v>2.0635593220338988</v>
      </c>
      <c r="I550">
        <f>Tableau2[[#This Row],[GHG (kgCO2eq/GJ)]]/1000*3.6</f>
        <v>7.4288135593220351E-3</v>
      </c>
      <c r="J550" t="s">
        <v>105</v>
      </c>
      <c r="K550" t="s">
        <v>108</v>
      </c>
    </row>
    <row r="551" spans="1:11" hidden="1" x14ac:dyDescent="0.3">
      <c r="A551" t="s">
        <v>30</v>
      </c>
      <c r="B551" t="s">
        <v>51</v>
      </c>
      <c r="C551" t="s">
        <v>75</v>
      </c>
      <c r="D551">
        <v>0</v>
      </c>
      <c r="E551">
        <f>Tableau2[[#This Row],[Potential (PJ)]]/3.6*1000</f>
        <v>0</v>
      </c>
      <c r="F551">
        <v>8.9872161086532704E-2</v>
      </c>
      <c r="G551">
        <f>Tableau2[[#This Row],[Cost (€/GJ)]]/1000000*3600</f>
        <v>3.2353977991151771E-4</v>
      </c>
      <c r="H551">
        <v>11.74</v>
      </c>
      <c r="I551">
        <f>Tableau2[[#This Row],[GHG (kgCO2eq/GJ)]]/1000*3.6</f>
        <v>4.2264000000000003E-2</v>
      </c>
      <c r="J551" t="s">
        <v>104</v>
      </c>
      <c r="K551" t="s">
        <v>108</v>
      </c>
    </row>
    <row r="552" spans="1:11" hidden="1" x14ac:dyDescent="0.3">
      <c r="A552" t="s">
        <v>30</v>
      </c>
      <c r="B552" t="s">
        <v>53</v>
      </c>
      <c r="C552" t="s">
        <v>77</v>
      </c>
      <c r="D552">
        <v>2.7</v>
      </c>
      <c r="E552">
        <f>Tableau2[[#This Row],[Potential (PJ)]]/3.6*1000</f>
        <v>750</v>
      </c>
      <c r="F552">
        <v>1.2609999999999999</v>
      </c>
      <c r="G552">
        <f>Tableau2[[#This Row],[Cost (€/GJ)]]/1000000*3600</f>
        <v>4.5395999999999995E-3</v>
      </c>
      <c r="H552">
        <v>3.86607608129234</v>
      </c>
      <c r="I552">
        <f>Tableau2[[#This Row],[GHG (kgCO2eq/GJ)]]/1000*3.6</f>
        <v>1.3917873892652425E-2</v>
      </c>
      <c r="J552" t="s">
        <v>104</v>
      </c>
      <c r="K552" t="s">
        <v>108</v>
      </c>
    </row>
    <row r="553" spans="1:11" hidden="1" x14ac:dyDescent="0.3">
      <c r="A553" t="s">
        <v>31</v>
      </c>
      <c r="B553" t="s">
        <v>46</v>
      </c>
      <c r="C553" t="s">
        <v>63</v>
      </c>
      <c r="D553">
        <v>7.4999999999999997E-3</v>
      </c>
      <c r="E553">
        <f>Tableau2[[#This Row],[Potential (PJ)]]/3.6*1000</f>
        <v>2.0833333333333335</v>
      </c>
      <c r="F553">
        <v>2.9286474973375931</v>
      </c>
      <c r="G553">
        <f>Tableau2[[#This Row],[Cost (€/GJ)]]/1000000*3600</f>
        <v>1.0543130990415334E-2</v>
      </c>
      <c r="H553">
        <v>3.950479233226837</v>
      </c>
      <c r="I553">
        <f>Tableau2[[#This Row],[GHG (kgCO2eq/GJ)]]/1000*3.6</f>
        <v>1.4221725239616614E-2</v>
      </c>
      <c r="J553" t="s">
        <v>104</v>
      </c>
      <c r="K553" t="s">
        <v>108</v>
      </c>
    </row>
    <row r="554" spans="1:11" hidden="1" x14ac:dyDescent="0.3">
      <c r="A554" t="s">
        <v>31</v>
      </c>
      <c r="B554" t="s">
        <v>46</v>
      </c>
      <c r="C554" t="s">
        <v>64</v>
      </c>
      <c r="D554">
        <v>0.23838000000000001</v>
      </c>
      <c r="E554">
        <f>Tableau2[[#This Row],[Potential (PJ)]]/3.6*1000</f>
        <v>66.216666666666669</v>
      </c>
      <c r="F554">
        <v>1.9670000000000001</v>
      </c>
      <c r="G554">
        <f>Tableau2[[#This Row],[Cost (€/GJ)]]/1000000*3600</f>
        <v>7.0812000000000002E-3</v>
      </c>
      <c r="H554">
        <v>2.9521711768407801</v>
      </c>
      <c r="I554">
        <f>Tableau2[[#This Row],[GHG (kgCO2eq/GJ)]]/1000*3.6</f>
        <v>1.0627816236626808E-2</v>
      </c>
      <c r="J554" t="s">
        <v>104</v>
      </c>
      <c r="K554" t="s">
        <v>108</v>
      </c>
    </row>
    <row r="555" spans="1:11" hidden="1" x14ac:dyDescent="0.3">
      <c r="A555" t="s">
        <v>31</v>
      </c>
      <c r="B555" t="s">
        <v>46</v>
      </c>
      <c r="C555" t="s">
        <v>79</v>
      </c>
      <c r="D555">
        <v>0.7</v>
      </c>
      <c r="E555">
        <f>Tableau2[[#This Row],[Potential (PJ)]]/3.6*1000</f>
        <v>194.44444444444443</v>
      </c>
      <c r="F555">
        <v>0</v>
      </c>
      <c r="G555">
        <f>Tableau2[[#This Row],[Cost (€/GJ)]]/1000000*3600</f>
        <v>0</v>
      </c>
      <c r="H555">
        <v>6.8428961748633883</v>
      </c>
      <c r="I555">
        <f>Tableau2[[#This Row],[GHG (kgCO2eq/GJ)]]/1000*3.6</f>
        <v>2.4634426229508198E-2</v>
      </c>
      <c r="J555" t="s">
        <v>104</v>
      </c>
      <c r="K555" t="s">
        <v>108</v>
      </c>
    </row>
    <row r="556" spans="1:11" hidden="1" x14ac:dyDescent="0.3">
      <c r="A556" t="s">
        <v>31</v>
      </c>
      <c r="B556" t="s">
        <v>46</v>
      </c>
      <c r="C556" t="s">
        <v>65</v>
      </c>
      <c r="D556">
        <v>0.3</v>
      </c>
      <c r="E556">
        <f>Tableau2[[#This Row],[Potential (PJ)]]/3.6*1000</f>
        <v>83.333333333333329</v>
      </c>
      <c r="F556">
        <v>4.3559999999999999</v>
      </c>
      <c r="G556">
        <f>Tableau2[[#This Row],[Cost (€/GJ)]]/1000000*3600</f>
        <v>1.5681599999999997E-2</v>
      </c>
      <c r="H556">
        <v>2.9521711768407801</v>
      </c>
      <c r="I556">
        <f>Tableau2[[#This Row],[GHG (kgCO2eq/GJ)]]/1000*3.6</f>
        <v>1.0627816236626808E-2</v>
      </c>
      <c r="J556" t="s">
        <v>104</v>
      </c>
      <c r="K556" t="s">
        <v>108</v>
      </c>
    </row>
    <row r="557" spans="1:11" hidden="1" x14ac:dyDescent="0.3">
      <c r="A557" t="s">
        <v>31</v>
      </c>
      <c r="B557" t="s">
        <v>46</v>
      </c>
      <c r="C557" t="s">
        <v>66</v>
      </c>
      <c r="D557">
        <v>0.3</v>
      </c>
      <c r="E557">
        <f>Tableau2[[#This Row],[Potential (PJ)]]/3.6*1000</f>
        <v>83.333333333333329</v>
      </c>
      <c r="F557">
        <v>0</v>
      </c>
      <c r="G557">
        <f>Tableau2[[#This Row],[Cost (€/GJ)]]/1000000*3600</f>
        <v>0</v>
      </c>
      <c r="H557">
        <v>6.8428961748633883</v>
      </c>
      <c r="I557">
        <f>Tableau2[[#This Row],[GHG (kgCO2eq/GJ)]]/1000*3.6</f>
        <v>2.4634426229508198E-2</v>
      </c>
      <c r="J557" t="s">
        <v>104</v>
      </c>
      <c r="K557" t="s">
        <v>108</v>
      </c>
    </row>
    <row r="558" spans="1:11" hidden="1" x14ac:dyDescent="0.3">
      <c r="A558" t="s">
        <v>31</v>
      </c>
      <c r="B558" t="s">
        <v>46</v>
      </c>
      <c r="C558" t="s">
        <v>83</v>
      </c>
      <c r="D558">
        <v>5.0729999999999997E-2</v>
      </c>
      <c r="E558">
        <f>Tableau2[[#This Row],[Potential (PJ)]]/3.6*1000</f>
        <v>14.091666666666665</v>
      </c>
      <c r="F558">
        <v>0</v>
      </c>
      <c r="G558">
        <f>Tableau2[[#This Row],[Cost (€/GJ)]]/1000000*3600</f>
        <v>0</v>
      </c>
      <c r="H558">
        <v>6.8428961748633883</v>
      </c>
      <c r="I558">
        <f>Tableau2[[#This Row],[GHG (kgCO2eq/GJ)]]/1000*3.6</f>
        <v>2.4634426229508198E-2</v>
      </c>
      <c r="J558" t="s">
        <v>104</v>
      </c>
      <c r="K558" t="s">
        <v>108</v>
      </c>
    </row>
    <row r="559" spans="1:11" hidden="1" x14ac:dyDescent="0.3">
      <c r="A559" t="s">
        <v>31</v>
      </c>
      <c r="B559" t="s">
        <v>46</v>
      </c>
      <c r="C559" t="s">
        <v>85</v>
      </c>
      <c r="D559">
        <v>0.1</v>
      </c>
      <c r="E559">
        <f>Tableau2[[#This Row],[Potential (PJ)]]/3.6*1000</f>
        <v>27.777777777777779</v>
      </c>
      <c r="F559">
        <v>4.0739999999999998</v>
      </c>
      <c r="G559">
        <f>Tableau2[[#This Row],[Cost (€/GJ)]]/1000000*3600</f>
        <v>1.4666399999999998E-2</v>
      </c>
      <c r="H559">
        <v>2.9521711768407801</v>
      </c>
      <c r="I559">
        <f>Tableau2[[#This Row],[GHG (kgCO2eq/GJ)]]/1000*3.6</f>
        <v>1.0627816236626808E-2</v>
      </c>
      <c r="J559" t="s">
        <v>104</v>
      </c>
      <c r="K559" t="s">
        <v>108</v>
      </c>
    </row>
    <row r="560" spans="1:11" hidden="1" x14ac:dyDescent="0.3">
      <c r="A560" t="s">
        <v>31</v>
      </c>
      <c r="B560" t="s">
        <v>47</v>
      </c>
      <c r="C560" t="s">
        <v>68</v>
      </c>
      <c r="D560">
        <v>10.6</v>
      </c>
      <c r="E560">
        <f>Tableau2[[#This Row],[Potential (PJ)]]/3.6*1000</f>
        <v>2944.4444444444443</v>
      </c>
      <c r="F560">
        <v>3.9260000000000002</v>
      </c>
      <c r="G560">
        <f>Tableau2[[#This Row],[Cost (€/GJ)]]/1000000*3600</f>
        <v>1.4133600000000001E-2</v>
      </c>
      <c r="H560">
        <v>14.1</v>
      </c>
      <c r="I560">
        <f>Tableau2[[#This Row],[GHG (kgCO2eq/GJ)]]/1000*3.6</f>
        <v>5.076E-2</v>
      </c>
      <c r="J560" t="s">
        <v>104</v>
      </c>
      <c r="K560" t="s">
        <v>109</v>
      </c>
    </row>
    <row r="561" spans="1:11" hidden="1" x14ac:dyDescent="0.3">
      <c r="A561" t="s">
        <v>31</v>
      </c>
      <c r="B561" t="s">
        <v>47</v>
      </c>
      <c r="C561" t="s">
        <v>69</v>
      </c>
      <c r="D561">
        <v>7.4</v>
      </c>
      <c r="E561">
        <f>Tableau2[[#This Row],[Potential (PJ)]]/3.6*1000</f>
        <v>2055.5555555555557</v>
      </c>
      <c r="F561">
        <v>3.9169999999999998</v>
      </c>
      <c r="G561">
        <f>Tableau2[[#This Row],[Cost (€/GJ)]]/1000000*3600</f>
        <v>1.4101199999999999E-2</v>
      </c>
      <c r="H561">
        <v>14.1</v>
      </c>
      <c r="I561">
        <f>Tableau2[[#This Row],[GHG (kgCO2eq/GJ)]]/1000*3.6</f>
        <v>5.076E-2</v>
      </c>
      <c r="J561" t="s">
        <v>104</v>
      </c>
      <c r="K561" t="s">
        <v>109</v>
      </c>
    </row>
    <row r="562" spans="1:11" hidden="1" x14ac:dyDescent="0.3">
      <c r="A562" t="s">
        <v>31</v>
      </c>
      <c r="B562" t="s">
        <v>48</v>
      </c>
      <c r="C562" t="s">
        <v>70</v>
      </c>
      <c r="D562">
        <v>3.9</v>
      </c>
      <c r="E562">
        <f>Tableau2[[#This Row],[Potential (PJ)]]/3.6*1000</f>
        <v>1083.3333333333333</v>
      </c>
      <c r="F562">
        <v>10.117000000000001</v>
      </c>
      <c r="G562">
        <f>Tableau2[[#This Row],[Cost (€/GJ)]]/1000000*3600</f>
        <v>3.6421200000000008E-2</v>
      </c>
      <c r="H562">
        <v>0</v>
      </c>
      <c r="I562">
        <f>Tableau2[[#This Row],[GHG (kgCO2eq/GJ)]]/1000*3.6</f>
        <v>0</v>
      </c>
      <c r="J562" t="s">
        <v>104</v>
      </c>
      <c r="K562" t="s">
        <v>109</v>
      </c>
    </row>
    <row r="563" spans="1:11" hidden="1" x14ac:dyDescent="0.3">
      <c r="A563" t="s">
        <v>31</v>
      </c>
      <c r="B563" t="s">
        <v>49</v>
      </c>
      <c r="C563" t="s">
        <v>71</v>
      </c>
      <c r="D563">
        <v>0.85406000000000004</v>
      </c>
      <c r="E563">
        <f>Tableau2[[#This Row],[Potential (PJ)]]/3.6*1000</f>
        <v>237.23888888888888</v>
      </c>
      <c r="F563">
        <v>0</v>
      </c>
      <c r="G563">
        <f>Tableau2[[#This Row],[Cost (€/GJ)]]/1000000*3600</f>
        <v>0</v>
      </c>
      <c r="H563">
        <v>3.86607608129234</v>
      </c>
      <c r="I563">
        <f>Tableau2[[#This Row],[GHG (kgCO2eq/GJ)]]/1000*3.6</f>
        <v>1.3917873892652425E-2</v>
      </c>
      <c r="J563" t="s">
        <v>104</v>
      </c>
      <c r="K563" t="s">
        <v>108</v>
      </c>
    </row>
    <row r="564" spans="1:11" hidden="1" x14ac:dyDescent="0.3">
      <c r="A564" t="s">
        <v>31</v>
      </c>
      <c r="B564" t="s">
        <v>49</v>
      </c>
      <c r="C564" t="s">
        <v>72</v>
      </c>
      <c r="D564">
        <v>1.3</v>
      </c>
      <c r="E564">
        <f>Tableau2[[#This Row],[Potential (PJ)]]/3.6*1000</f>
        <v>361.11111111111109</v>
      </c>
      <c r="F564">
        <v>0</v>
      </c>
      <c r="G564">
        <f>Tableau2[[#This Row],[Cost (€/GJ)]]/1000000*3600</f>
        <v>0</v>
      </c>
      <c r="H564">
        <v>3.86607608129234</v>
      </c>
      <c r="I564">
        <f>Tableau2[[#This Row],[GHG (kgCO2eq/GJ)]]/1000*3.6</f>
        <v>1.3917873892652425E-2</v>
      </c>
      <c r="J564" t="s">
        <v>104</v>
      </c>
      <c r="K564" t="s">
        <v>108</v>
      </c>
    </row>
    <row r="565" spans="1:11" hidden="1" x14ac:dyDescent="0.3">
      <c r="A565" t="s">
        <v>31</v>
      </c>
      <c r="B565" t="s">
        <v>50</v>
      </c>
      <c r="C565" t="s">
        <v>73</v>
      </c>
      <c r="D565">
        <v>0.2</v>
      </c>
      <c r="E565">
        <f>Tableau2[[#This Row],[Potential (PJ)]]/3.6*1000</f>
        <v>55.555555555555557</v>
      </c>
      <c r="F565">
        <v>4.7309999999999999</v>
      </c>
      <c r="G565">
        <f>Tableau2[[#This Row],[Cost (€/GJ)]]/1000000*3600</f>
        <v>1.7031600000000001E-2</v>
      </c>
      <c r="H565">
        <v>20.723404255319149</v>
      </c>
      <c r="I565">
        <f>Tableau2[[#This Row],[GHG (kgCO2eq/GJ)]]/1000*3.6</f>
        <v>7.4604255319148938E-2</v>
      </c>
      <c r="J565" t="s">
        <v>105</v>
      </c>
      <c r="K565" t="s">
        <v>108</v>
      </c>
    </row>
    <row r="566" spans="1:11" hidden="1" x14ac:dyDescent="0.3">
      <c r="A566" t="s">
        <v>31</v>
      </c>
      <c r="B566" t="s">
        <v>50</v>
      </c>
      <c r="C566" t="s">
        <v>74</v>
      </c>
      <c r="D566">
        <v>0.5</v>
      </c>
      <c r="E566">
        <f>Tableau2[[#This Row],[Potential (PJ)]]/3.6*1000</f>
        <v>138.88888888888889</v>
      </c>
      <c r="F566">
        <v>3.3919999999999999</v>
      </c>
      <c r="G566">
        <f>Tableau2[[#This Row],[Cost (€/GJ)]]/1000000*3600</f>
        <v>1.22112E-2</v>
      </c>
      <c r="H566">
        <v>2.0635593220338988</v>
      </c>
      <c r="I566">
        <f>Tableau2[[#This Row],[GHG (kgCO2eq/GJ)]]/1000*3.6</f>
        <v>7.4288135593220351E-3</v>
      </c>
      <c r="J566" t="s">
        <v>105</v>
      </c>
      <c r="K566" t="s">
        <v>108</v>
      </c>
    </row>
    <row r="567" spans="1:11" hidden="1" x14ac:dyDescent="0.3">
      <c r="A567" t="s">
        <v>31</v>
      </c>
      <c r="B567" t="s">
        <v>51</v>
      </c>
      <c r="C567" t="s">
        <v>75</v>
      </c>
      <c r="D567">
        <v>1.3458019999999999</v>
      </c>
      <c r="E567">
        <f>Tableau2[[#This Row],[Potential (PJ)]]/3.6*1000</f>
        <v>373.83388888888885</v>
      </c>
      <c r="F567">
        <v>3.1549936199090398E-2</v>
      </c>
      <c r="G567">
        <f>Tableau2[[#This Row],[Cost (€/GJ)]]/1000000*3600</f>
        <v>1.1357977031672542E-4</v>
      </c>
      <c r="H567">
        <v>11.74</v>
      </c>
      <c r="I567">
        <f>Tableau2[[#This Row],[GHG (kgCO2eq/GJ)]]/1000*3.6</f>
        <v>4.2264000000000003E-2</v>
      </c>
      <c r="J567" t="s">
        <v>104</v>
      </c>
      <c r="K567" t="s">
        <v>108</v>
      </c>
    </row>
    <row r="568" spans="1:11" hidden="1" x14ac:dyDescent="0.3">
      <c r="A568" t="s">
        <v>31</v>
      </c>
      <c r="B568" t="s">
        <v>52</v>
      </c>
      <c r="C568" t="s">
        <v>76</v>
      </c>
      <c r="D568">
        <v>1.2999999999999999E-2</v>
      </c>
      <c r="E568">
        <f>Tableau2[[#This Row],[Potential (PJ)]]/3.6*1000</f>
        <v>3.6111111111111112</v>
      </c>
      <c r="F568">
        <v>5.4702337500000002</v>
      </c>
      <c r="G568">
        <f>Tableau2[[#This Row],[Cost (€/GJ)]]/1000000*3600</f>
        <v>1.9692841500000002E-2</v>
      </c>
      <c r="H568">
        <v>12.68872359754714</v>
      </c>
      <c r="I568">
        <f>Tableau2[[#This Row],[GHG (kgCO2eq/GJ)]]/1000*3.6</f>
        <v>4.5679404951169705E-2</v>
      </c>
      <c r="J568" t="s">
        <v>105</v>
      </c>
      <c r="K568" t="s">
        <v>108</v>
      </c>
    </row>
    <row r="569" spans="1:11" hidden="1" x14ac:dyDescent="0.3">
      <c r="A569" t="s">
        <v>31</v>
      </c>
      <c r="B569" t="s">
        <v>53</v>
      </c>
      <c r="C569" t="s">
        <v>77</v>
      </c>
      <c r="D569">
        <v>4.5</v>
      </c>
      <c r="E569">
        <f>Tableau2[[#This Row],[Potential (PJ)]]/3.6*1000</f>
        <v>1250</v>
      </c>
      <c r="F569">
        <v>0</v>
      </c>
      <c r="G569">
        <f>Tableau2[[#This Row],[Cost (€/GJ)]]/1000000*3600</f>
        <v>0</v>
      </c>
      <c r="H569">
        <v>3.86607608129234</v>
      </c>
      <c r="I569">
        <f>Tableau2[[#This Row],[GHG (kgCO2eq/GJ)]]/1000*3.6</f>
        <v>1.3917873892652425E-2</v>
      </c>
      <c r="J569" t="s">
        <v>104</v>
      </c>
      <c r="K569" t="s">
        <v>108</v>
      </c>
    </row>
    <row r="570" spans="1:11" hidden="1" x14ac:dyDescent="0.3">
      <c r="A570" t="s">
        <v>31</v>
      </c>
      <c r="B570" t="s">
        <v>54</v>
      </c>
      <c r="C570" t="s">
        <v>78</v>
      </c>
      <c r="D570">
        <v>2.9</v>
      </c>
      <c r="E570">
        <f>Tableau2[[#This Row],[Potential (PJ)]]/3.6*1000</f>
        <v>805.55555555555543</v>
      </c>
      <c r="F570">
        <v>0</v>
      </c>
      <c r="G570">
        <f>Tableau2[[#This Row],[Cost (€/GJ)]]/1000000*3600</f>
        <v>0</v>
      </c>
      <c r="H570">
        <v>3.86607608129234</v>
      </c>
      <c r="I570">
        <f>Tableau2[[#This Row],[GHG (kgCO2eq/GJ)]]/1000*3.6</f>
        <v>1.3917873892652425E-2</v>
      </c>
      <c r="J570" t="s">
        <v>104</v>
      </c>
      <c r="K570" t="s">
        <v>108</v>
      </c>
    </row>
    <row r="571" spans="1:11" hidden="1" x14ac:dyDescent="0.3">
      <c r="A571" t="s">
        <v>32</v>
      </c>
      <c r="B571" t="s">
        <v>46</v>
      </c>
      <c r="C571" t="s">
        <v>103</v>
      </c>
      <c r="D571">
        <v>1.1622E-2</v>
      </c>
      <c r="E571">
        <f>Tableau2[[#This Row],[Potential (PJ)]]/3.6*1000</f>
        <v>3.2283333333333335</v>
      </c>
      <c r="F571">
        <v>0</v>
      </c>
      <c r="G571">
        <f>Tableau2[[#This Row],[Cost (€/GJ)]]/1000000*3600</f>
        <v>0</v>
      </c>
      <c r="I571">
        <f>Tableau2[[#This Row],[GHG (kgCO2eq/GJ)]]/1000*3.6</f>
        <v>0</v>
      </c>
    </row>
    <row r="572" spans="1:11" hidden="1" x14ac:dyDescent="0.3">
      <c r="A572" t="s">
        <v>32</v>
      </c>
      <c r="B572" t="s">
        <v>58</v>
      </c>
      <c r="C572" t="s">
        <v>103</v>
      </c>
      <c r="D572">
        <v>2.7331000000000001E-2</v>
      </c>
      <c r="E572">
        <f>Tableau2[[#This Row],[Potential (PJ)]]/3.6*1000</f>
        <v>7.5919444444444446</v>
      </c>
      <c r="F572">
        <v>0</v>
      </c>
      <c r="G572">
        <f>Tableau2[[#This Row],[Cost (€/GJ)]]/1000000*3600</f>
        <v>0</v>
      </c>
      <c r="I572">
        <f>Tableau2[[#This Row],[GHG (kgCO2eq/GJ)]]/1000*3.6</f>
        <v>0</v>
      </c>
    </row>
    <row r="573" spans="1:11" hidden="1" x14ac:dyDescent="0.3">
      <c r="A573" t="s">
        <v>32</v>
      </c>
      <c r="B573" t="s">
        <v>50</v>
      </c>
      <c r="C573" t="s">
        <v>103</v>
      </c>
      <c r="D573">
        <v>0.40701599999999999</v>
      </c>
      <c r="E573">
        <f>Tableau2[[#This Row],[Potential (PJ)]]/3.6*1000</f>
        <v>113.05999999999999</v>
      </c>
      <c r="F573">
        <v>0</v>
      </c>
      <c r="G573">
        <f>Tableau2[[#This Row],[Cost (€/GJ)]]/1000000*3600</f>
        <v>0</v>
      </c>
      <c r="I573">
        <f>Tableau2[[#This Row],[GHG (kgCO2eq/GJ)]]/1000*3.6</f>
        <v>0</v>
      </c>
    </row>
    <row r="574" spans="1:11" hidden="1" x14ac:dyDescent="0.3">
      <c r="A574" t="s">
        <v>32</v>
      </c>
      <c r="B574" t="s">
        <v>51</v>
      </c>
      <c r="C574" t="s">
        <v>75</v>
      </c>
      <c r="D574">
        <v>5.350797</v>
      </c>
      <c r="E574">
        <f>Tableau2[[#This Row],[Potential (PJ)]]/3.6*1000</f>
        <v>1486.3325</v>
      </c>
      <c r="F574">
        <v>1.8670592803009201E-5</v>
      </c>
      <c r="G574">
        <f>Tableau2[[#This Row],[Cost (€/GJ)]]/1000000*3600</f>
        <v>6.7214134090833119E-8</v>
      </c>
      <c r="H574">
        <v>11.74</v>
      </c>
      <c r="I574">
        <f>Tableau2[[#This Row],[GHG (kgCO2eq/GJ)]]/1000*3.6</f>
        <v>4.2264000000000003E-2</v>
      </c>
      <c r="J574" t="s">
        <v>104</v>
      </c>
      <c r="K574" t="s">
        <v>108</v>
      </c>
    </row>
    <row r="575" spans="1:11" hidden="1" x14ac:dyDescent="0.3">
      <c r="A575" t="s">
        <v>33</v>
      </c>
      <c r="B575" t="s">
        <v>46</v>
      </c>
      <c r="C575" t="s">
        <v>64</v>
      </c>
      <c r="D575">
        <v>8.3639999999999992E-2</v>
      </c>
      <c r="E575">
        <f>Tableau2[[#This Row],[Potential (PJ)]]/3.6*1000</f>
        <v>23.233333333333331</v>
      </c>
      <c r="F575">
        <v>4.7102959110473464</v>
      </c>
      <c r="G575">
        <f>Tableau2[[#This Row],[Cost (€/GJ)]]/1000000*3600</f>
        <v>1.6957065279770447E-2</v>
      </c>
      <c r="H575">
        <v>2.9521711768407801</v>
      </c>
      <c r="I575">
        <f>Tableau2[[#This Row],[GHG (kgCO2eq/GJ)]]/1000*3.6</f>
        <v>1.0627816236626808E-2</v>
      </c>
      <c r="J575" t="s">
        <v>104</v>
      </c>
      <c r="K575" t="s">
        <v>108</v>
      </c>
    </row>
    <row r="576" spans="1:11" hidden="1" x14ac:dyDescent="0.3">
      <c r="A576" t="s">
        <v>33</v>
      </c>
      <c r="B576" t="s">
        <v>46</v>
      </c>
      <c r="C576" t="s">
        <v>79</v>
      </c>
      <c r="D576">
        <v>1</v>
      </c>
      <c r="E576">
        <f>Tableau2[[#This Row],[Potential (PJ)]]/3.6*1000</f>
        <v>277.77777777777777</v>
      </c>
      <c r="F576">
        <v>5.2076000000000011</v>
      </c>
      <c r="G576">
        <f>Tableau2[[#This Row],[Cost (€/GJ)]]/1000000*3600</f>
        <v>1.8747360000000001E-2</v>
      </c>
      <c r="H576">
        <v>6.8428961748633883</v>
      </c>
      <c r="I576">
        <f>Tableau2[[#This Row],[GHG (kgCO2eq/GJ)]]/1000*3.6</f>
        <v>2.4634426229508198E-2</v>
      </c>
      <c r="J576" t="s">
        <v>104</v>
      </c>
      <c r="K576" t="s">
        <v>108</v>
      </c>
    </row>
    <row r="577" spans="1:11" hidden="1" x14ac:dyDescent="0.3">
      <c r="A577" t="s">
        <v>33</v>
      </c>
      <c r="B577" t="s">
        <v>46</v>
      </c>
      <c r="C577" t="s">
        <v>80</v>
      </c>
      <c r="D577">
        <v>1.4332</v>
      </c>
      <c r="E577">
        <f>Tableau2[[#This Row],[Potential (PJ)]]/3.6*1000</f>
        <v>398.11111111111109</v>
      </c>
      <c r="F577">
        <v>0.33378287255563049</v>
      </c>
      <c r="G577">
        <f>Tableau2[[#This Row],[Cost (€/GJ)]]/1000000*3600</f>
        <v>1.2016183412002696E-3</v>
      </c>
      <c r="H577">
        <v>28.139870918023309</v>
      </c>
      <c r="I577">
        <f>Tableau2[[#This Row],[GHG (kgCO2eq/GJ)]]/1000*3.6</f>
        <v>0.10130353530488391</v>
      </c>
      <c r="J577" t="s">
        <v>105</v>
      </c>
      <c r="K577" t="s">
        <v>108</v>
      </c>
    </row>
    <row r="578" spans="1:11" hidden="1" x14ac:dyDescent="0.3">
      <c r="A578" t="s">
        <v>33</v>
      </c>
      <c r="B578" t="s">
        <v>46</v>
      </c>
      <c r="C578" t="s">
        <v>81</v>
      </c>
      <c r="D578">
        <v>1.4303999999999999</v>
      </c>
      <c r="E578">
        <f>Tableau2[[#This Row],[Potential (PJ)]]/3.6*1000</f>
        <v>397.33333333333331</v>
      </c>
      <c r="F578">
        <v>1.173913043478261</v>
      </c>
      <c r="G578">
        <f>Tableau2[[#This Row],[Cost (€/GJ)]]/1000000*3600</f>
        <v>4.226086956521739E-3</v>
      </c>
      <c r="H578">
        <v>8.9647473560517046</v>
      </c>
      <c r="I578">
        <f>Tableau2[[#This Row],[GHG (kgCO2eq/GJ)]]/1000*3.6</f>
        <v>3.2273090481786136E-2</v>
      </c>
      <c r="J578" t="s">
        <v>105</v>
      </c>
      <c r="K578" t="s">
        <v>108</v>
      </c>
    </row>
    <row r="579" spans="1:11" hidden="1" x14ac:dyDescent="0.3">
      <c r="A579" t="s">
        <v>33</v>
      </c>
      <c r="B579" t="s">
        <v>46</v>
      </c>
      <c r="C579" t="s">
        <v>66</v>
      </c>
      <c r="D579">
        <v>1.7</v>
      </c>
      <c r="E579">
        <f>Tableau2[[#This Row],[Potential (PJ)]]/3.6*1000</f>
        <v>472.22222222222223</v>
      </c>
      <c r="F579">
        <v>5.3998823529411766</v>
      </c>
      <c r="G579">
        <f>Tableau2[[#This Row],[Cost (€/GJ)]]/1000000*3600</f>
        <v>1.9439576470588235E-2</v>
      </c>
      <c r="H579">
        <v>6.8428961748633883</v>
      </c>
      <c r="I579">
        <f>Tableau2[[#This Row],[GHG (kgCO2eq/GJ)]]/1000*3.6</f>
        <v>2.4634426229508198E-2</v>
      </c>
      <c r="J579" t="s">
        <v>104</v>
      </c>
      <c r="K579" t="s">
        <v>108</v>
      </c>
    </row>
    <row r="580" spans="1:11" hidden="1" x14ac:dyDescent="0.3">
      <c r="A580" t="s">
        <v>33</v>
      </c>
      <c r="B580" t="s">
        <v>46</v>
      </c>
      <c r="C580" t="s">
        <v>84</v>
      </c>
      <c r="D580">
        <v>0.4</v>
      </c>
      <c r="E580">
        <f>Tableau2[[#This Row],[Potential (PJ)]]/3.6*1000</f>
        <v>111.11111111111111</v>
      </c>
      <c r="F580">
        <v>2.8562500000000002</v>
      </c>
      <c r="G580">
        <f>Tableau2[[#This Row],[Cost (€/GJ)]]/1000000*3600</f>
        <v>1.02825E-2</v>
      </c>
      <c r="H580">
        <v>28.139870918023309</v>
      </c>
      <c r="I580">
        <f>Tableau2[[#This Row],[GHG (kgCO2eq/GJ)]]/1000*3.6</f>
        <v>0.10130353530488391</v>
      </c>
      <c r="J580" t="s">
        <v>105</v>
      </c>
      <c r="K580" t="s">
        <v>108</v>
      </c>
    </row>
    <row r="581" spans="1:11" hidden="1" x14ac:dyDescent="0.3">
      <c r="A581" t="s">
        <v>33</v>
      </c>
      <c r="B581" t="s">
        <v>55</v>
      </c>
      <c r="C581" t="s">
        <v>86</v>
      </c>
      <c r="D581">
        <v>1.2999999999999999E-3</v>
      </c>
      <c r="E581">
        <f>Tableau2[[#This Row],[Potential (PJ)]]/3.6*1000</f>
        <v>0.3611111111111111</v>
      </c>
      <c r="F581">
        <v>17.419</v>
      </c>
      <c r="G581">
        <f>Tableau2[[#This Row],[Cost (€/GJ)]]/1000000*3600</f>
        <v>6.2708399999999997E-2</v>
      </c>
      <c r="H581">
        <v>41.1</v>
      </c>
      <c r="I581">
        <f>Tableau2[[#This Row],[GHG (kgCO2eq/GJ)]]/1000*3.6</f>
        <v>0.14796000000000001</v>
      </c>
      <c r="J581" t="s">
        <v>106</v>
      </c>
      <c r="K581" t="s">
        <v>109</v>
      </c>
    </row>
    <row r="582" spans="1:11" hidden="1" x14ac:dyDescent="0.3">
      <c r="A582" t="s">
        <v>33</v>
      </c>
      <c r="B582" t="s">
        <v>55</v>
      </c>
      <c r="C582" t="s">
        <v>88</v>
      </c>
      <c r="D582">
        <v>0.4713</v>
      </c>
      <c r="E582">
        <f>Tableau2[[#This Row],[Potential (PJ)]]/3.6*1000</f>
        <v>130.91666666666666</v>
      </c>
      <c r="F582">
        <v>16.597000000000001</v>
      </c>
      <c r="G582">
        <f>Tableau2[[#This Row],[Cost (€/GJ)]]/1000000*3600</f>
        <v>5.9749200000000002E-2</v>
      </c>
      <c r="H582">
        <v>41.1</v>
      </c>
      <c r="I582">
        <f>Tableau2[[#This Row],[GHG (kgCO2eq/GJ)]]/1000*3.6</f>
        <v>0.14796000000000001</v>
      </c>
      <c r="J582" t="s">
        <v>106</v>
      </c>
      <c r="K582" t="s">
        <v>109</v>
      </c>
    </row>
    <row r="583" spans="1:11" hidden="1" x14ac:dyDescent="0.3">
      <c r="A583" t="s">
        <v>33</v>
      </c>
      <c r="B583" t="s">
        <v>55</v>
      </c>
      <c r="C583" t="s">
        <v>89</v>
      </c>
      <c r="D583">
        <v>7.4800000000000005E-2</v>
      </c>
      <c r="E583">
        <f>Tableau2[[#This Row],[Potential (PJ)]]/3.6*1000</f>
        <v>20.777777777777782</v>
      </c>
      <c r="F583">
        <v>0</v>
      </c>
      <c r="G583">
        <f>Tableau2[[#This Row],[Cost (€/GJ)]]/1000000*3600</f>
        <v>0</v>
      </c>
      <c r="H583">
        <v>41.1</v>
      </c>
      <c r="I583">
        <f>Tableau2[[#This Row],[GHG (kgCO2eq/GJ)]]/1000*3.6</f>
        <v>0.14796000000000001</v>
      </c>
      <c r="J583" t="s">
        <v>106</v>
      </c>
      <c r="K583" t="s">
        <v>109</v>
      </c>
    </row>
    <row r="584" spans="1:11" hidden="1" x14ac:dyDescent="0.3">
      <c r="A584" t="s">
        <v>33</v>
      </c>
      <c r="B584" t="s">
        <v>55</v>
      </c>
      <c r="C584" t="s">
        <v>90</v>
      </c>
      <c r="D584">
        <v>1.8499999999999999E-2</v>
      </c>
      <c r="E584">
        <f>Tableau2[[#This Row],[Potential (PJ)]]/3.6*1000</f>
        <v>5.1388888888888884</v>
      </c>
      <c r="F584">
        <v>22.513000000000002</v>
      </c>
      <c r="G584">
        <f>Tableau2[[#This Row],[Cost (€/GJ)]]/1000000*3600</f>
        <v>8.1046800000000016E-2</v>
      </c>
      <c r="H584">
        <v>41.1</v>
      </c>
      <c r="I584">
        <f>Tableau2[[#This Row],[GHG (kgCO2eq/GJ)]]/1000*3.6</f>
        <v>0.14796000000000001</v>
      </c>
      <c r="J584" t="s">
        <v>106</v>
      </c>
      <c r="K584" t="s">
        <v>109</v>
      </c>
    </row>
    <row r="585" spans="1:11" hidden="1" x14ac:dyDescent="0.3">
      <c r="A585" t="s">
        <v>33</v>
      </c>
      <c r="B585" t="s">
        <v>55</v>
      </c>
      <c r="C585" t="s">
        <v>92</v>
      </c>
      <c r="D585">
        <v>0.42679</v>
      </c>
      <c r="E585">
        <f>Tableau2[[#This Row],[Potential (PJ)]]/3.6*1000</f>
        <v>118.55277777777778</v>
      </c>
      <c r="F585">
        <v>17.239999999999998</v>
      </c>
      <c r="G585">
        <f>Tableau2[[#This Row],[Cost (€/GJ)]]/1000000*3600</f>
        <v>6.2063999999999994E-2</v>
      </c>
      <c r="H585">
        <v>41.1</v>
      </c>
      <c r="I585">
        <f>Tableau2[[#This Row],[GHG (kgCO2eq/GJ)]]/1000*3.6</f>
        <v>0.14796000000000001</v>
      </c>
      <c r="J585" t="s">
        <v>106</v>
      </c>
      <c r="K585" t="s">
        <v>109</v>
      </c>
    </row>
    <row r="586" spans="1:11" hidden="1" x14ac:dyDescent="0.3">
      <c r="A586" t="s">
        <v>33</v>
      </c>
      <c r="B586" t="s">
        <v>56</v>
      </c>
      <c r="C586" t="s">
        <v>93</v>
      </c>
      <c r="D586">
        <v>14.3583</v>
      </c>
      <c r="E586">
        <f>Tableau2[[#This Row],[Potential (PJ)]]/3.6*1000</f>
        <v>3988.4166666666665</v>
      </c>
      <c r="F586">
        <v>2.939759036144578</v>
      </c>
      <c r="G586">
        <f>Tableau2[[#This Row],[Cost (€/GJ)]]/1000000*3600</f>
        <v>1.0583132530120481E-2</v>
      </c>
      <c r="H586">
        <v>53.4</v>
      </c>
      <c r="I586">
        <f>Tableau2[[#This Row],[GHG (kgCO2eq/GJ)]]/1000*3.6</f>
        <v>0.19223999999999999</v>
      </c>
      <c r="J586" t="s">
        <v>106</v>
      </c>
      <c r="K586" t="s">
        <v>109</v>
      </c>
    </row>
    <row r="587" spans="1:11" hidden="1" x14ac:dyDescent="0.3">
      <c r="A587" t="s">
        <v>33</v>
      </c>
      <c r="B587" t="s">
        <v>47</v>
      </c>
      <c r="C587" t="s">
        <v>68</v>
      </c>
      <c r="D587">
        <v>7.1</v>
      </c>
      <c r="E587">
        <f>Tableau2[[#This Row],[Potential (PJ)]]/3.6*1000</f>
        <v>1972.2222222222222</v>
      </c>
      <c r="F587">
        <v>7.6420281690140852</v>
      </c>
      <c r="G587">
        <f>Tableau2[[#This Row],[Cost (€/GJ)]]/1000000*3600</f>
        <v>2.7511301408450706E-2</v>
      </c>
      <c r="H587">
        <v>23.8</v>
      </c>
      <c r="I587">
        <f>Tableau2[[#This Row],[GHG (kgCO2eq/GJ)]]/1000*3.6</f>
        <v>8.5680000000000006E-2</v>
      </c>
      <c r="J587" t="s">
        <v>104</v>
      </c>
      <c r="K587" t="s">
        <v>109</v>
      </c>
    </row>
    <row r="588" spans="1:11" hidden="1" x14ac:dyDescent="0.3">
      <c r="A588" t="s">
        <v>33</v>
      </c>
      <c r="B588" t="s">
        <v>47</v>
      </c>
      <c r="C588" t="s">
        <v>69</v>
      </c>
      <c r="D588">
        <v>10</v>
      </c>
      <c r="E588">
        <f>Tableau2[[#This Row],[Potential (PJ)]]/3.6*1000</f>
        <v>2777.7777777777778</v>
      </c>
      <c r="F588">
        <v>6.9605899999999989</v>
      </c>
      <c r="G588">
        <f>Tableau2[[#This Row],[Cost (€/GJ)]]/1000000*3600</f>
        <v>2.5058123999999998E-2</v>
      </c>
      <c r="H588">
        <v>23.8</v>
      </c>
      <c r="I588">
        <f>Tableau2[[#This Row],[GHG (kgCO2eq/GJ)]]/1000*3.6</f>
        <v>8.5680000000000006E-2</v>
      </c>
      <c r="J588" t="s">
        <v>104</v>
      </c>
      <c r="K588" t="s">
        <v>109</v>
      </c>
    </row>
    <row r="589" spans="1:11" hidden="1" x14ac:dyDescent="0.3">
      <c r="A589" t="s">
        <v>33</v>
      </c>
      <c r="B589" t="s">
        <v>57</v>
      </c>
      <c r="C589" t="s">
        <v>94</v>
      </c>
      <c r="D589">
        <v>1.9</v>
      </c>
      <c r="E589">
        <f>Tableau2[[#This Row],[Potential (PJ)]]/3.6*1000</f>
        <v>527.77777777777783</v>
      </c>
      <c r="F589">
        <v>12.83215789473684</v>
      </c>
      <c r="G589">
        <f>Tableau2[[#This Row],[Cost (€/GJ)]]/1000000*3600</f>
        <v>4.6195768421052621E-2</v>
      </c>
      <c r="H589">
        <v>48.3</v>
      </c>
      <c r="I589">
        <f>Tableau2[[#This Row],[GHG (kgCO2eq/GJ)]]/1000*3.6</f>
        <v>0.17387999999999998</v>
      </c>
      <c r="J589" t="s">
        <v>104</v>
      </c>
      <c r="K589" t="s">
        <v>109</v>
      </c>
    </row>
    <row r="590" spans="1:11" hidden="1" x14ac:dyDescent="0.3">
      <c r="A590" t="s">
        <v>33</v>
      </c>
      <c r="B590" t="s">
        <v>49</v>
      </c>
      <c r="C590" t="s">
        <v>71</v>
      </c>
      <c r="D590">
        <v>5.9338600000000001</v>
      </c>
      <c r="E590">
        <f>Tableau2[[#This Row],[Potential (PJ)]]/3.6*1000</f>
        <v>1648.2944444444445</v>
      </c>
      <c r="F590">
        <v>2.8483852551290392</v>
      </c>
      <c r="G590">
        <f>Tableau2[[#This Row],[Cost (€/GJ)]]/1000000*3600</f>
        <v>1.0254186918464541E-2</v>
      </c>
      <c r="H590">
        <v>3.86607608129234</v>
      </c>
      <c r="I590">
        <f>Tableau2[[#This Row],[GHG (kgCO2eq/GJ)]]/1000*3.6</f>
        <v>1.3917873892652425E-2</v>
      </c>
      <c r="J590" t="s">
        <v>104</v>
      </c>
      <c r="K590" t="s">
        <v>108</v>
      </c>
    </row>
    <row r="591" spans="1:11" hidden="1" x14ac:dyDescent="0.3">
      <c r="A591" t="s">
        <v>33</v>
      </c>
      <c r="B591" t="s">
        <v>49</v>
      </c>
      <c r="C591" t="s">
        <v>72</v>
      </c>
      <c r="D591">
        <v>0.9</v>
      </c>
      <c r="E591">
        <f>Tableau2[[#This Row],[Potential (PJ)]]/3.6*1000</f>
        <v>250</v>
      </c>
      <c r="F591">
        <v>3.9956666666666658</v>
      </c>
      <c r="G591">
        <f>Tableau2[[#This Row],[Cost (€/GJ)]]/1000000*3600</f>
        <v>1.4384399999999995E-2</v>
      </c>
      <c r="H591">
        <v>3.86607608129234</v>
      </c>
      <c r="I591">
        <f>Tableau2[[#This Row],[GHG (kgCO2eq/GJ)]]/1000*3.6</f>
        <v>1.3917873892652425E-2</v>
      </c>
      <c r="J591" t="s">
        <v>104</v>
      </c>
      <c r="K591" t="s">
        <v>108</v>
      </c>
    </row>
    <row r="592" spans="1:11" hidden="1" x14ac:dyDescent="0.3">
      <c r="A592" t="s">
        <v>33</v>
      </c>
      <c r="B592" t="s">
        <v>58</v>
      </c>
      <c r="C592" t="s">
        <v>95</v>
      </c>
      <c r="D592">
        <v>2.6319400000000002</v>
      </c>
      <c r="E592">
        <f>Tableau2[[#This Row],[Potential (PJ)]]/3.6*1000</f>
        <v>731.09444444444443</v>
      </c>
      <c r="F592">
        <v>2.4039999999999999</v>
      </c>
      <c r="G592">
        <f>Tableau2[[#This Row],[Cost (€/GJ)]]/1000000*3600</f>
        <v>8.6543999999999996E-3</v>
      </c>
      <c r="H592">
        <v>2.9521711768407801</v>
      </c>
      <c r="I592">
        <f>Tableau2[[#This Row],[GHG (kgCO2eq/GJ)]]/1000*3.6</f>
        <v>1.0627816236626808E-2</v>
      </c>
      <c r="J592" t="s">
        <v>104</v>
      </c>
      <c r="K592" t="s">
        <v>108</v>
      </c>
    </row>
    <row r="593" spans="1:11" hidden="1" x14ac:dyDescent="0.3">
      <c r="A593" t="s">
        <v>33</v>
      </c>
      <c r="B593" t="s">
        <v>50</v>
      </c>
      <c r="C593" t="s">
        <v>73</v>
      </c>
      <c r="D593">
        <v>23.9</v>
      </c>
      <c r="E593">
        <f>Tableau2[[#This Row],[Potential (PJ)]]/3.6*1000</f>
        <v>6638.8888888888887</v>
      </c>
      <c r="F593">
        <v>5.9106820083682008</v>
      </c>
      <c r="G593">
        <f>Tableau2[[#This Row],[Cost (€/GJ)]]/1000000*3600</f>
        <v>2.1278455230125524E-2</v>
      </c>
      <c r="H593">
        <v>20.723404255319149</v>
      </c>
      <c r="I593">
        <f>Tableau2[[#This Row],[GHG (kgCO2eq/GJ)]]/1000*3.6</f>
        <v>7.4604255319148938E-2</v>
      </c>
      <c r="J593" t="s">
        <v>105</v>
      </c>
      <c r="K593" t="s">
        <v>108</v>
      </c>
    </row>
    <row r="594" spans="1:11" hidden="1" x14ac:dyDescent="0.3">
      <c r="A594" t="s">
        <v>33</v>
      </c>
      <c r="B594" t="s">
        <v>50</v>
      </c>
      <c r="C594" t="s">
        <v>74</v>
      </c>
      <c r="D594">
        <v>24.9</v>
      </c>
      <c r="E594">
        <f>Tableau2[[#This Row],[Potential (PJ)]]/3.6*1000</f>
        <v>6916.6666666666661</v>
      </c>
      <c r="F594">
        <v>6.5174056224899601</v>
      </c>
      <c r="G594">
        <f>Tableau2[[#This Row],[Cost (€/GJ)]]/1000000*3600</f>
        <v>2.3462660240963856E-2</v>
      </c>
      <c r="H594">
        <v>2.0635593220338988</v>
      </c>
      <c r="I594">
        <f>Tableau2[[#This Row],[GHG (kgCO2eq/GJ)]]/1000*3.6</f>
        <v>7.4288135593220351E-3</v>
      </c>
      <c r="J594" t="s">
        <v>105</v>
      </c>
      <c r="K594" t="s">
        <v>108</v>
      </c>
    </row>
    <row r="595" spans="1:11" hidden="1" x14ac:dyDescent="0.3">
      <c r="A595" t="s">
        <v>33</v>
      </c>
      <c r="B595" t="s">
        <v>59</v>
      </c>
      <c r="C595" t="s">
        <v>97</v>
      </c>
      <c r="D595">
        <v>2.7000000000000001E-3</v>
      </c>
      <c r="E595">
        <f>Tableau2[[#This Row],[Potential (PJ)]]/3.6*1000</f>
        <v>0.75</v>
      </c>
      <c r="F595">
        <v>20.2930005425936</v>
      </c>
      <c r="G595">
        <f>Tableau2[[#This Row],[Cost (€/GJ)]]/1000000*3600</f>
        <v>7.3054801953336954E-2</v>
      </c>
      <c r="H595">
        <v>25.7</v>
      </c>
      <c r="I595">
        <f>Tableau2[[#This Row],[GHG (kgCO2eq/GJ)]]/1000*3.6</f>
        <v>9.2520000000000005E-2</v>
      </c>
      <c r="J595" t="s">
        <v>107</v>
      </c>
      <c r="K595" t="s">
        <v>109</v>
      </c>
    </row>
    <row r="596" spans="1:11" hidden="1" x14ac:dyDescent="0.3">
      <c r="A596" t="s">
        <v>33</v>
      </c>
      <c r="B596" t="s">
        <v>51</v>
      </c>
      <c r="C596" t="s">
        <v>75</v>
      </c>
      <c r="D596">
        <v>67.939490000000006</v>
      </c>
      <c r="E596">
        <f>Tableau2[[#This Row],[Potential (PJ)]]/3.6*1000</f>
        <v>18872.080555555556</v>
      </c>
      <c r="F596">
        <v>3.8047724682732202E-2</v>
      </c>
      <c r="G596">
        <f>Tableau2[[#This Row],[Cost (€/GJ)]]/1000000*3600</f>
        <v>1.3697180885783593E-4</v>
      </c>
      <c r="H596">
        <v>11.74</v>
      </c>
      <c r="I596">
        <f>Tableau2[[#This Row],[GHG (kgCO2eq/GJ)]]/1000*3.6</f>
        <v>4.2264000000000003E-2</v>
      </c>
      <c r="J596" t="s">
        <v>104</v>
      </c>
      <c r="K596" t="s">
        <v>108</v>
      </c>
    </row>
    <row r="597" spans="1:11" hidden="1" x14ac:dyDescent="0.3">
      <c r="A597" t="s">
        <v>33</v>
      </c>
      <c r="B597" t="s">
        <v>60</v>
      </c>
      <c r="C597" t="s">
        <v>98</v>
      </c>
      <c r="D597">
        <v>1.047E-2</v>
      </c>
      <c r="E597">
        <f>Tableau2[[#This Row],[Potential (PJ)]]/3.6*1000</f>
        <v>2.9083333333333337</v>
      </c>
      <c r="F597">
        <v>12.19119226638024</v>
      </c>
      <c r="G597">
        <f>Tableau2[[#This Row],[Cost (€/GJ)]]/1000000*3600</f>
        <v>4.3888292158968861E-2</v>
      </c>
      <c r="H597">
        <v>61.8</v>
      </c>
      <c r="I597">
        <f>Tableau2[[#This Row],[GHG (kgCO2eq/GJ)]]/1000*3.6</f>
        <v>0.22247999999999998</v>
      </c>
      <c r="J597" t="s">
        <v>107</v>
      </c>
      <c r="K597" t="s">
        <v>109</v>
      </c>
    </row>
    <row r="598" spans="1:11" hidden="1" x14ac:dyDescent="0.3">
      <c r="A598" t="s">
        <v>33</v>
      </c>
      <c r="B598" t="s">
        <v>52</v>
      </c>
      <c r="C598" t="s">
        <v>76</v>
      </c>
      <c r="D598">
        <v>0.54500000000000004</v>
      </c>
      <c r="E598">
        <f>Tableau2[[#This Row],[Potential (PJ)]]/3.6*1000</f>
        <v>151.38888888888891</v>
      </c>
      <c r="F598">
        <v>5.4702337500000002</v>
      </c>
      <c r="G598">
        <f>Tableau2[[#This Row],[Cost (€/GJ)]]/1000000*3600</f>
        <v>1.9692841500000002E-2</v>
      </c>
      <c r="H598">
        <v>12.68872359754714</v>
      </c>
      <c r="I598">
        <f>Tableau2[[#This Row],[GHG (kgCO2eq/GJ)]]/1000*3.6</f>
        <v>4.5679404951169705E-2</v>
      </c>
      <c r="J598" t="s">
        <v>105</v>
      </c>
      <c r="K598" t="s">
        <v>108</v>
      </c>
    </row>
    <row r="599" spans="1:11" hidden="1" x14ac:dyDescent="0.3">
      <c r="A599" t="s">
        <v>33</v>
      </c>
      <c r="B599" t="s">
        <v>53</v>
      </c>
      <c r="C599" t="s">
        <v>77</v>
      </c>
      <c r="D599">
        <v>1</v>
      </c>
      <c r="E599">
        <f>Tableau2[[#This Row],[Potential (PJ)]]/3.6*1000</f>
        <v>277.77777777777777</v>
      </c>
      <c r="F599">
        <v>3.9941</v>
      </c>
      <c r="G599">
        <f>Tableau2[[#This Row],[Cost (€/GJ)]]/1000000*3600</f>
        <v>1.4378759999999999E-2</v>
      </c>
      <c r="H599">
        <v>3.86607608129234</v>
      </c>
      <c r="I599">
        <f>Tableau2[[#This Row],[GHG (kgCO2eq/GJ)]]/1000*3.6</f>
        <v>1.3917873892652425E-2</v>
      </c>
      <c r="J599" t="s">
        <v>104</v>
      </c>
      <c r="K599" t="s">
        <v>108</v>
      </c>
    </row>
    <row r="600" spans="1:11" hidden="1" x14ac:dyDescent="0.3">
      <c r="A600" t="s">
        <v>33</v>
      </c>
      <c r="B600" t="s">
        <v>61</v>
      </c>
      <c r="C600" t="s">
        <v>99</v>
      </c>
      <c r="D600">
        <v>0.60000000000000009</v>
      </c>
      <c r="E600">
        <f>Tableau2[[#This Row],[Potential (PJ)]]/3.6*1000</f>
        <v>166.66666666666669</v>
      </c>
      <c r="F600">
        <v>1.847166666666666</v>
      </c>
      <c r="G600">
        <f>Tableau2[[#This Row],[Cost (€/GJ)]]/1000000*3600</f>
        <v>6.6497999999999974E-3</v>
      </c>
      <c r="H600">
        <v>2.9245635910224439</v>
      </c>
      <c r="I600">
        <f>Tableau2[[#This Row],[GHG (kgCO2eq/GJ)]]/1000*3.6</f>
        <v>1.0528428927680798E-2</v>
      </c>
      <c r="J600" t="s">
        <v>104</v>
      </c>
      <c r="K600" t="s">
        <v>108</v>
      </c>
    </row>
    <row r="601" spans="1:11" hidden="1" x14ac:dyDescent="0.3">
      <c r="A601" t="s">
        <v>33</v>
      </c>
      <c r="B601" t="s">
        <v>54</v>
      </c>
      <c r="C601" t="s">
        <v>78</v>
      </c>
      <c r="D601">
        <v>6.5</v>
      </c>
      <c r="E601">
        <f>Tableau2[[#This Row],[Potential (PJ)]]/3.6*1000</f>
        <v>1805.5555555555557</v>
      </c>
      <c r="F601">
        <v>8.2638615384615388</v>
      </c>
      <c r="G601">
        <f>Tableau2[[#This Row],[Cost (€/GJ)]]/1000000*3600</f>
        <v>2.9749901538461538E-2</v>
      </c>
      <c r="H601">
        <v>3.86607608129234</v>
      </c>
      <c r="I601">
        <f>Tableau2[[#This Row],[GHG (kgCO2eq/GJ)]]/1000*3.6</f>
        <v>1.3917873892652425E-2</v>
      </c>
      <c r="J601" t="s">
        <v>104</v>
      </c>
      <c r="K601" t="s">
        <v>108</v>
      </c>
    </row>
    <row r="602" spans="1:11" hidden="1" x14ac:dyDescent="0.3">
      <c r="A602" t="s">
        <v>34</v>
      </c>
      <c r="B602" t="s">
        <v>47</v>
      </c>
      <c r="C602" t="s">
        <v>101</v>
      </c>
      <c r="D602">
        <v>4.3</v>
      </c>
      <c r="E602">
        <f>Tableau2[[#This Row],[Potential (PJ)]]/3.6*1000</f>
        <v>1194.4444444444443</v>
      </c>
      <c r="F602">
        <v>7.4290000000000003</v>
      </c>
      <c r="G602">
        <f>Tableau2[[#This Row],[Cost (€/GJ)]]/1000000*3600</f>
        <v>2.6744400000000002E-2</v>
      </c>
      <c r="H602">
        <v>0</v>
      </c>
      <c r="I602">
        <f>Tableau2[[#This Row],[GHG (kgCO2eq/GJ)]]/1000*3.6</f>
        <v>0</v>
      </c>
      <c r="J602" t="s">
        <v>104</v>
      </c>
      <c r="K602" t="s">
        <v>109</v>
      </c>
    </row>
    <row r="603" spans="1:11" hidden="1" x14ac:dyDescent="0.3">
      <c r="A603" t="s">
        <v>34</v>
      </c>
      <c r="B603" t="s">
        <v>57</v>
      </c>
      <c r="C603" t="s">
        <v>94</v>
      </c>
      <c r="D603">
        <v>4</v>
      </c>
      <c r="E603">
        <f>Tableau2[[#This Row],[Potential (PJ)]]/3.6*1000</f>
        <v>1111.1111111111111</v>
      </c>
      <c r="F603">
        <v>12.97</v>
      </c>
      <c r="G603">
        <f>Tableau2[[#This Row],[Cost (€/GJ)]]/1000000*3600</f>
        <v>4.6692000000000004E-2</v>
      </c>
      <c r="H603">
        <v>0</v>
      </c>
      <c r="I603">
        <f>Tableau2[[#This Row],[GHG (kgCO2eq/GJ)]]/1000*3.6</f>
        <v>0</v>
      </c>
      <c r="J603" t="s">
        <v>104</v>
      </c>
      <c r="K603" t="s">
        <v>109</v>
      </c>
    </row>
    <row r="604" spans="1:11" hidden="1" x14ac:dyDescent="0.3">
      <c r="A604" t="s">
        <v>34</v>
      </c>
      <c r="B604" t="s">
        <v>49</v>
      </c>
      <c r="C604" t="s">
        <v>71</v>
      </c>
      <c r="D604">
        <v>39.375399999999999</v>
      </c>
      <c r="E604">
        <f>Tableau2[[#This Row],[Potential (PJ)]]/3.6*1000</f>
        <v>10937.611111111109</v>
      </c>
      <c r="F604">
        <v>4.066801335859445</v>
      </c>
      <c r="G604">
        <f>Tableau2[[#This Row],[Cost (€/GJ)]]/1000000*3600</f>
        <v>1.4640484809094004E-2</v>
      </c>
      <c r="H604">
        <v>3.86607608129234</v>
      </c>
      <c r="I604">
        <f>Tableau2[[#This Row],[GHG (kgCO2eq/GJ)]]/1000*3.6</f>
        <v>1.3917873892652425E-2</v>
      </c>
      <c r="J604" t="s">
        <v>104</v>
      </c>
      <c r="K604" t="s">
        <v>108</v>
      </c>
    </row>
    <row r="605" spans="1:11" hidden="1" x14ac:dyDescent="0.3">
      <c r="A605" t="s">
        <v>34</v>
      </c>
      <c r="B605" t="s">
        <v>49</v>
      </c>
      <c r="C605" t="s">
        <v>72</v>
      </c>
      <c r="D605">
        <v>3.4</v>
      </c>
      <c r="E605">
        <f>Tableau2[[#This Row],[Potential (PJ)]]/3.6*1000</f>
        <v>944.44444444444446</v>
      </c>
      <c r="F605">
        <v>3.250588235294118</v>
      </c>
      <c r="G605">
        <f>Tableau2[[#This Row],[Cost (€/GJ)]]/1000000*3600</f>
        <v>1.1702117647058825E-2</v>
      </c>
      <c r="H605">
        <v>3.86607608129234</v>
      </c>
      <c r="I605">
        <f>Tableau2[[#This Row],[GHG (kgCO2eq/GJ)]]/1000*3.6</f>
        <v>1.3917873892652425E-2</v>
      </c>
      <c r="J605" t="s">
        <v>104</v>
      </c>
      <c r="K605" t="s">
        <v>108</v>
      </c>
    </row>
    <row r="606" spans="1:11" hidden="1" x14ac:dyDescent="0.3">
      <c r="A606" t="s">
        <v>34</v>
      </c>
      <c r="B606" t="s">
        <v>51</v>
      </c>
      <c r="C606" t="s">
        <v>75</v>
      </c>
      <c r="D606">
        <v>33.372720000000001</v>
      </c>
      <c r="E606">
        <f>Tableau2[[#This Row],[Potential (PJ)]]/3.6*1000</f>
        <v>9270.2000000000007</v>
      </c>
      <c r="F606">
        <v>2.9414693426879001E-3</v>
      </c>
      <c r="G606">
        <f>Tableau2[[#This Row],[Cost (€/GJ)]]/1000000*3600</f>
        <v>1.0589289633676439E-5</v>
      </c>
      <c r="H606">
        <v>11.74</v>
      </c>
      <c r="I606">
        <f>Tableau2[[#This Row],[GHG (kgCO2eq/GJ)]]/1000*3.6</f>
        <v>4.2264000000000003E-2</v>
      </c>
      <c r="J606" t="s">
        <v>104</v>
      </c>
      <c r="K606" t="s">
        <v>108</v>
      </c>
    </row>
    <row r="607" spans="1:11" hidden="1" x14ac:dyDescent="0.3">
      <c r="A607" t="s">
        <v>34</v>
      </c>
      <c r="B607" t="s">
        <v>52</v>
      </c>
      <c r="C607" t="s">
        <v>76</v>
      </c>
      <c r="D607">
        <v>1.0649999999999999</v>
      </c>
      <c r="E607">
        <f>Tableau2[[#This Row],[Potential (PJ)]]/3.6*1000</f>
        <v>295.83333333333331</v>
      </c>
      <c r="F607">
        <v>5.4702337500000002</v>
      </c>
      <c r="G607">
        <f>Tableau2[[#This Row],[Cost (€/GJ)]]/1000000*3600</f>
        <v>1.9692841500000002E-2</v>
      </c>
      <c r="H607">
        <v>12.68872359754714</v>
      </c>
      <c r="I607">
        <f>Tableau2[[#This Row],[GHG (kgCO2eq/GJ)]]/1000*3.6</f>
        <v>4.5679404951169705E-2</v>
      </c>
      <c r="J607" t="s">
        <v>105</v>
      </c>
      <c r="K607" t="s">
        <v>108</v>
      </c>
    </row>
    <row r="608" spans="1:11" hidden="1" x14ac:dyDescent="0.3">
      <c r="A608" t="s">
        <v>34</v>
      </c>
      <c r="B608" t="s">
        <v>53</v>
      </c>
      <c r="C608" t="s">
        <v>77</v>
      </c>
      <c r="D608">
        <v>5.7</v>
      </c>
      <c r="E608">
        <f>Tableau2[[#This Row],[Potential (PJ)]]/3.6*1000</f>
        <v>1583.3333333333333</v>
      </c>
      <c r="F608">
        <v>3.250508771929824</v>
      </c>
      <c r="G608">
        <f>Tableau2[[#This Row],[Cost (€/GJ)]]/1000000*3600</f>
        <v>1.1701831578947365E-2</v>
      </c>
      <c r="H608">
        <v>3.86607608129234</v>
      </c>
      <c r="I608">
        <f>Tableau2[[#This Row],[GHG (kgCO2eq/GJ)]]/1000*3.6</f>
        <v>1.3917873892652425E-2</v>
      </c>
      <c r="J608" t="s">
        <v>104</v>
      </c>
      <c r="K608" t="s">
        <v>108</v>
      </c>
    </row>
    <row r="609" spans="1:11" hidden="1" x14ac:dyDescent="0.3">
      <c r="A609" t="s">
        <v>34</v>
      </c>
      <c r="B609" t="s">
        <v>54</v>
      </c>
      <c r="C609" t="s">
        <v>78</v>
      </c>
      <c r="D609">
        <v>65.8</v>
      </c>
      <c r="E609">
        <f>Tableau2[[#This Row],[Potential (PJ)]]/3.6*1000</f>
        <v>18277.777777777774</v>
      </c>
      <c r="F609">
        <v>6.6401854103343467</v>
      </c>
      <c r="G609">
        <f>Tableau2[[#This Row],[Cost (€/GJ)]]/1000000*3600</f>
        <v>2.3904667477203649E-2</v>
      </c>
      <c r="H609">
        <v>3.86607608129234</v>
      </c>
      <c r="I609">
        <f>Tableau2[[#This Row],[GHG (kgCO2eq/GJ)]]/1000*3.6</f>
        <v>1.3917873892652425E-2</v>
      </c>
      <c r="J609" t="s">
        <v>104</v>
      </c>
      <c r="K609" t="s">
        <v>108</v>
      </c>
    </row>
    <row r="610" spans="1:11" hidden="1" x14ac:dyDescent="0.3">
      <c r="A610" t="s">
        <v>35</v>
      </c>
      <c r="B610" t="s">
        <v>46</v>
      </c>
      <c r="C610" t="s">
        <v>64</v>
      </c>
      <c r="D610">
        <v>1.5927500000000001</v>
      </c>
      <c r="E610">
        <f>Tableau2[[#This Row],[Potential (PJ)]]/3.6*1000</f>
        <v>442.43055555555554</v>
      </c>
      <c r="F610">
        <v>2.608339984303877</v>
      </c>
      <c r="G610">
        <f>Tableau2[[#This Row],[Cost (€/GJ)]]/1000000*3600</f>
        <v>9.3900239434939574E-3</v>
      </c>
      <c r="H610">
        <v>2.9521711768407801</v>
      </c>
      <c r="I610">
        <f>Tableau2[[#This Row],[GHG (kgCO2eq/GJ)]]/1000*3.6</f>
        <v>1.0627816236626808E-2</v>
      </c>
      <c r="J610" t="s">
        <v>104</v>
      </c>
      <c r="K610" t="s">
        <v>108</v>
      </c>
    </row>
    <row r="611" spans="1:11" hidden="1" x14ac:dyDescent="0.3">
      <c r="A611" t="s">
        <v>35</v>
      </c>
      <c r="B611" t="s">
        <v>46</v>
      </c>
      <c r="C611" t="s">
        <v>79</v>
      </c>
      <c r="D611">
        <v>55.7</v>
      </c>
      <c r="E611">
        <f>Tableau2[[#This Row],[Potential (PJ)]]/3.6*1000</f>
        <v>15472.222222222223</v>
      </c>
      <c r="F611">
        <v>2.2744147217235189</v>
      </c>
      <c r="G611">
        <f>Tableau2[[#This Row],[Cost (€/GJ)]]/1000000*3600</f>
        <v>8.1878929982046669E-3</v>
      </c>
      <c r="H611">
        <v>6.8428961748633883</v>
      </c>
      <c r="I611">
        <f>Tableau2[[#This Row],[GHG (kgCO2eq/GJ)]]/1000*3.6</f>
        <v>2.4634426229508198E-2</v>
      </c>
      <c r="J611" t="s">
        <v>104</v>
      </c>
      <c r="K611" t="s">
        <v>108</v>
      </c>
    </row>
    <row r="612" spans="1:11" hidden="1" x14ac:dyDescent="0.3">
      <c r="A612" t="s">
        <v>35</v>
      </c>
      <c r="B612" t="s">
        <v>46</v>
      </c>
      <c r="C612" t="s">
        <v>65</v>
      </c>
      <c r="D612">
        <v>2.2999999999999998</v>
      </c>
      <c r="E612">
        <f>Tableau2[[#This Row],[Potential (PJ)]]/3.6*1000</f>
        <v>638.8888888888888</v>
      </c>
      <c r="F612">
        <v>3.7640434782608692</v>
      </c>
      <c r="G612">
        <f>Tableau2[[#This Row],[Cost (€/GJ)]]/1000000*3600</f>
        <v>1.3550556521739129E-2</v>
      </c>
      <c r="H612">
        <v>2.9521711768407801</v>
      </c>
      <c r="I612">
        <f>Tableau2[[#This Row],[GHG (kgCO2eq/GJ)]]/1000*3.6</f>
        <v>1.0627816236626808E-2</v>
      </c>
      <c r="J612" t="s">
        <v>104</v>
      </c>
      <c r="K612" t="s">
        <v>108</v>
      </c>
    </row>
    <row r="613" spans="1:11" hidden="1" x14ac:dyDescent="0.3">
      <c r="A613" t="s">
        <v>35</v>
      </c>
      <c r="B613" t="s">
        <v>46</v>
      </c>
      <c r="C613" t="s">
        <v>80</v>
      </c>
      <c r="D613">
        <v>1.1517999999999999</v>
      </c>
      <c r="E613">
        <f>Tableau2[[#This Row],[Potential (PJ)]]/3.6*1000</f>
        <v>319.9444444444444</v>
      </c>
      <c r="F613">
        <v>0.46459878624409978</v>
      </c>
      <c r="G613">
        <f>Tableau2[[#This Row],[Cost (€/GJ)]]/1000000*3600</f>
        <v>1.6725556304787591E-3</v>
      </c>
      <c r="H613">
        <v>28.139870918023309</v>
      </c>
      <c r="I613">
        <f>Tableau2[[#This Row],[GHG (kgCO2eq/GJ)]]/1000*3.6</f>
        <v>0.10130353530488391</v>
      </c>
      <c r="J613" t="s">
        <v>105</v>
      </c>
      <c r="K613" t="s">
        <v>108</v>
      </c>
    </row>
    <row r="614" spans="1:11" hidden="1" x14ac:dyDescent="0.3">
      <c r="A614" t="s">
        <v>35</v>
      </c>
      <c r="B614" t="s">
        <v>46</v>
      </c>
      <c r="C614" t="s">
        <v>81</v>
      </c>
      <c r="D614">
        <v>4.4476000000000004</v>
      </c>
      <c r="E614">
        <f>Tableau2[[#This Row],[Potential (PJ)]]/3.6*1000</f>
        <v>1235.4444444444446</v>
      </c>
      <c r="F614">
        <v>0.69388954171562867</v>
      </c>
      <c r="G614">
        <f>Tableau2[[#This Row],[Cost (€/GJ)]]/1000000*3600</f>
        <v>2.4980023501762635E-3</v>
      </c>
      <c r="H614">
        <v>8.9647473560517046</v>
      </c>
      <c r="I614">
        <f>Tableau2[[#This Row],[GHG (kgCO2eq/GJ)]]/1000*3.6</f>
        <v>3.2273090481786136E-2</v>
      </c>
      <c r="J614" t="s">
        <v>105</v>
      </c>
      <c r="K614" t="s">
        <v>108</v>
      </c>
    </row>
    <row r="615" spans="1:11" hidden="1" x14ac:dyDescent="0.3">
      <c r="A615" t="s">
        <v>35</v>
      </c>
      <c r="B615" t="s">
        <v>46</v>
      </c>
      <c r="C615" t="s">
        <v>82</v>
      </c>
      <c r="D615">
        <v>4.0999999999999996</v>
      </c>
      <c r="E615">
        <f>Tableau2[[#This Row],[Potential (PJ)]]/3.6*1000</f>
        <v>1138.8888888888889</v>
      </c>
      <c r="F615">
        <v>1.460560975609756</v>
      </c>
      <c r="G615">
        <f>Tableau2[[#This Row],[Cost (€/GJ)]]/1000000*3600</f>
        <v>5.2580195121951214E-3</v>
      </c>
      <c r="H615">
        <v>6.8428961748633883</v>
      </c>
      <c r="I615">
        <f>Tableau2[[#This Row],[GHG (kgCO2eq/GJ)]]/1000*3.6</f>
        <v>2.4634426229508198E-2</v>
      </c>
      <c r="J615" t="s">
        <v>104</v>
      </c>
      <c r="K615" t="s">
        <v>108</v>
      </c>
    </row>
    <row r="616" spans="1:11" hidden="1" x14ac:dyDescent="0.3">
      <c r="A616" t="s">
        <v>35</v>
      </c>
      <c r="B616" t="s">
        <v>46</v>
      </c>
      <c r="C616" t="s">
        <v>84</v>
      </c>
      <c r="D616">
        <v>1.5</v>
      </c>
      <c r="E616">
        <f>Tableau2[[#This Row],[Potential (PJ)]]/3.6*1000</f>
        <v>416.66666666666663</v>
      </c>
      <c r="F616">
        <v>1.4716666666666669</v>
      </c>
      <c r="G616">
        <f>Tableau2[[#This Row],[Cost (€/GJ)]]/1000000*3600</f>
        <v>5.2980000000000006E-3</v>
      </c>
      <c r="H616">
        <v>28.139870918023309</v>
      </c>
      <c r="I616">
        <f>Tableau2[[#This Row],[GHG (kgCO2eq/GJ)]]/1000*3.6</f>
        <v>0.10130353530488391</v>
      </c>
      <c r="J616" t="s">
        <v>105</v>
      </c>
      <c r="K616" t="s">
        <v>108</v>
      </c>
    </row>
    <row r="617" spans="1:11" hidden="1" x14ac:dyDescent="0.3">
      <c r="A617" t="s">
        <v>35</v>
      </c>
      <c r="B617" t="s">
        <v>55</v>
      </c>
      <c r="C617" t="s">
        <v>86</v>
      </c>
      <c r="D617">
        <v>5.6150000000000002</v>
      </c>
      <c r="E617">
        <f>Tableau2[[#This Row],[Potential (PJ)]]/3.6*1000</f>
        <v>1559.7222222222222</v>
      </c>
      <c r="F617">
        <v>14.813999999999989</v>
      </c>
      <c r="G617">
        <f>Tableau2[[#This Row],[Cost (€/GJ)]]/1000000*3600</f>
        <v>5.3330399999999958E-2</v>
      </c>
      <c r="H617">
        <v>12.3</v>
      </c>
      <c r="I617">
        <f>Tableau2[[#This Row],[GHG (kgCO2eq/GJ)]]/1000*3.6</f>
        <v>4.428E-2</v>
      </c>
      <c r="J617" t="s">
        <v>106</v>
      </c>
      <c r="K617" t="s">
        <v>109</v>
      </c>
    </row>
    <row r="618" spans="1:11" hidden="1" x14ac:dyDescent="0.3">
      <c r="A618" t="s">
        <v>35</v>
      </c>
      <c r="B618" t="s">
        <v>55</v>
      </c>
      <c r="C618" t="s">
        <v>88</v>
      </c>
      <c r="D618">
        <v>0.1028</v>
      </c>
      <c r="E618">
        <f>Tableau2[[#This Row],[Potential (PJ)]]/3.6*1000</f>
        <v>28.555555555555557</v>
      </c>
      <c r="F618">
        <v>15.557</v>
      </c>
      <c r="G618">
        <f>Tableau2[[#This Row],[Cost (€/GJ)]]/1000000*3600</f>
        <v>5.6005199999999998E-2</v>
      </c>
      <c r="H618">
        <v>12.3</v>
      </c>
      <c r="I618">
        <f>Tableau2[[#This Row],[GHG (kgCO2eq/GJ)]]/1000*3.6</f>
        <v>4.428E-2</v>
      </c>
      <c r="J618" t="s">
        <v>106</v>
      </c>
      <c r="K618" t="s">
        <v>109</v>
      </c>
    </row>
    <row r="619" spans="1:11" hidden="1" x14ac:dyDescent="0.3">
      <c r="A619" t="s">
        <v>35</v>
      </c>
      <c r="B619" t="s">
        <v>55</v>
      </c>
      <c r="C619" t="s">
        <v>90</v>
      </c>
      <c r="D619">
        <v>0.3327</v>
      </c>
      <c r="E619">
        <f>Tableau2[[#This Row],[Potential (PJ)]]/3.6*1000</f>
        <v>92.416666666666657</v>
      </c>
      <c r="F619">
        <v>15.294</v>
      </c>
      <c r="G619">
        <f>Tableau2[[#This Row],[Cost (€/GJ)]]/1000000*3600</f>
        <v>5.50584E-2</v>
      </c>
      <c r="H619">
        <v>12.3</v>
      </c>
      <c r="I619">
        <f>Tableau2[[#This Row],[GHG (kgCO2eq/GJ)]]/1000*3.6</f>
        <v>4.428E-2</v>
      </c>
      <c r="J619" t="s">
        <v>106</v>
      </c>
      <c r="K619" t="s">
        <v>109</v>
      </c>
    </row>
    <row r="620" spans="1:11" hidden="1" x14ac:dyDescent="0.3">
      <c r="A620" t="s">
        <v>35</v>
      </c>
      <c r="B620" t="s">
        <v>55</v>
      </c>
      <c r="C620" t="s">
        <v>91</v>
      </c>
      <c r="D620">
        <v>8.6145999999999994</v>
      </c>
      <c r="E620">
        <f>Tableau2[[#This Row],[Potential (PJ)]]/3.6*1000</f>
        <v>2392.9444444444443</v>
      </c>
      <c r="F620">
        <v>12.90199999999999</v>
      </c>
      <c r="G620">
        <f>Tableau2[[#This Row],[Cost (€/GJ)]]/1000000*3600</f>
        <v>4.6447199999999966E-2</v>
      </c>
      <c r="H620">
        <v>12.3</v>
      </c>
      <c r="I620">
        <f>Tableau2[[#This Row],[GHG (kgCO2eq/GJ)]]/1000*3.6</f>
        <v>4.428E-2</v>
      </c>
      <c r="J620" t="s">
        <v>106</v>
      </c>
      <c r="K620" t="s">
        <v>109</v>
      </c>
    </row>
    <row r="621" spans="1:11" hidden="1" x14ac:dyDescent="0.3">
      <c r="A621" t="s">
        <v>35</v>
      </c>
      <c r="B621" t="s">
        <v>55</v>
      </c>
      <c r="C621" t="s">
        <v>92</v>
      </c>
      <c r="D621">
        <v>3.80125</v>
      </c>
      <c r="E621">
        <f>Tableau2[[#This Row],[Potential (PJ)]]/3.6*1000</f>
        <v>1055.9027777777778</v>
      </c>
      <c r="F621">
        <v>15.932</v>
      </c>
      <c r="G621">
        <f>Tableau2[[#This Row],[Cost (€/GJ)]]/1000000*3600</f>
        <v>5.7355199999999995E-2</v>
      </c>
      <c r="H621">
        <v>12.3</v>
      </c>
      <c r="I621">
        <f>Tableau2[[#This Row],[GHG (kgCO2eq/GJ)]]/1000*3.6</f>
        <v>4.428E-2</v>
      </c>
      <c r="J621" t="s">
        <v>106</v>
      </c>
      <c r="K621" t="s">
        <v>109</v>
      </c>
    </row>
    <row r="622" spans="1:11" hidden="1" x14ac:dyDescent="0.3">
      <c r="A622" t="s">
        <v>35</v>
      </c>
      <c r="B622" t="s">
        <v>56</v>
      </c>
      <c r="C622" t="s">
        <v>93</v>
      </c>
      <c r="D622">
        <v>133.03559999999999</v>
      </c>
      <c r="E622">
        <f>Tableau2[[#This Row],[Potential (PJ)]]/3.6*1000</f>
        <v>36954.333333333328</v>
      </c>
      <c r="F622">
        <v>2.9493975903614462</v>
      </c>
      <c r="G622">
        <f>Tableau2[[#This Row],[Cost (€/GJ)]]/1000000*3600</f>
        <v>1.0617831325301207E-2</v>
      </c>
      <c r="H622">
        <v>29.5</v>
      </c>
      <c r="I622">
        <f>Tableau2[[#This Row],[GHG (kgCO2eq/GJ)]]/1000*3.6</f>
        <v>0.1062</v>
      </c>
      <c r="J622" t="s">
        <v>106</v>
      </c>
      <c r="K622" t="s">
        <v>109</v>
      </c>
    </row>
    <row r="623" spans="1:11" hidden="1" x14ac:dyDescent="0.3">
      <c r="A623" t="s">
        <v>35</v>
      </c>
      <c r="B623" t="s">
        <v>47</v>
      </c>
      <c r="C623" t="s">
        <v>101</v>
      </c>
      <c r="D623">
        <v>179.4</v>
      </c>
      <c r="E623">
        <f>Tableau2[[#This Row],[Potential (PJ)]]/3.6*1000</f>
        <v>49833.333333333336</v>
      </c>
      <c r="F623">
        <v>3.6595774804905239</v>
      </c>
      <c r="G623">
        <f>Tableau2[[#This Row],[Cost (€/GJ)]]/1000000*3600</f>
        <v>1.3174478929765886E-2</v>
      </c>
      <c r="H623">
        <v>44</v>
      </c>
      <c r="I623">
        <f>Tableau2[[#This Row],[GHG (kgCO2eq/GJ)]]/1000*3.6</f>
        <v>0.15839999999999999</v>
      </c>
      <c r="J623" t="s">
        <v>104</v>
      </c>
      <c r="K623" t="s">
        <v>109</v>
      </c>
    </row>
    <row r="624" spans="1:11" hidden="1" x14ac:dyDescent="0.3">
      <c r="A624" t="s">
        <v>35</v>
      </c>
      <c r="B624" t="s">
        <v>57</v>
      </c>
      <c r="C624" t="s">
        <v>94</v>
      </c>
      <c r="D624">
        <v>76.5</v>
      </c>
      <c r="E624">
        <f>Tableau2[[#This Row],[Potential (PJ)]]/3.6*1000</f>
        <v>21250</v>
      </c>
      <c r="F624">
        <v>7.9108614379084958</v>
      </c>
      <c r="G624">
        <f>Tableau2[[#This Row],[Cost (€/GJ)]]/1000000*3600</f>
        <v>2.8479101176470584E-2</v>
      </c>
      <c r="H624">
        <v>19.899999999999999</v>
      </c>
      <c r="I624">
        <f>Tableau2[[#This Row],[GHG (kgCO2eq/GJ)]]/1000*3.6</f>
        <v>7.1639999999999995E-2</v>
      </c>
      <c r="J624" t="s">
        <v>104</v>
      </c>
      <c r="K624" t="s">
        <v>109</v>
      </c>
    </row>
    <row r="625" spans="1:11" hidden="1" x14ac:dyDescent="0.3">
      <c r="A625" t="s">
        <v>35</v>
      </c>
      <c r="B625" t="s">
        <v>49</v>
      </c>
      <c r="C625" t="s">
        <v>71</v>
      </c>
      <c r="D625">
        <v>171.00937999999999</v>
      </c>
      <c r="E625">
        <f>Tableau2[[#This Row],[Potential (PJ)]]/3.6*1000</f>
        <v>47502.605555555558</v>
      </c>
      <c r="F625">
        <v>2.4330580512601121</v>
      </c>
      <c r="G625">
        <f>Tableau2[[#This Row],[Cost (€/GJ)]]/1000000*3600</f>
        <v>8.7590089845364025E-3</v>
      </c>
      <c r="H625">
        <v>3.86607608129234</v>
      </c>
      <c r="I625">
        <f>Tableau2[[#This Row],[GHG (kgCO2eq/GJ)]]/1000*3.6</f>
        <v>1.3917873892652425E-2</v>
      </c>
      <c r="J625" t="s">
        <v>104</v>
      </c>
      <c r="K625" t="s">
        <v>108</v>
      </c>
    </row>
    <row r="626" spans="1:11" hidden="1" x14ac:dyDescent="0.3">
      <c r="A626" t="s">
        <v>35</v>
      </c>
      <c r="B626" t="s">
        <v>49</v>
      </c>
      <c r="C626" t="s">
        <v>72</v>
      </c>
      <c r="D626">
        <v>8.3000000000000007</v>
      </c>
      <c r="E626">
        <f>Tableau2[[#This Row],[Potential (PJ)]]/3.6*1000</f>
        <v>2305.5555555555557</v>
      </c>
      <c r="F626">
        <v>3.282843373493975</v>
      </c>
      <c r="G626">
        <f>Tableau2[[#This Row],[Cost (€/GJ)]]/1000000*3600</f>
        <v>1.181823614457831E-2</v>
      </c>
      <c r="H626">
        <v>3.86607608129234</v>
      </c>
      <c r="I626">
        <f>Tableau2[[#This Row],[GHG (kgCO2eq/GJ)]]/1000*3.6</f>
        <v>1.3917873892652425E-2</v>
      </c>
      <c r="J626" t="s">
        <v>104</v>
      </c>
      <c r="K626" t="s">
        <v>108</v>
      </c>
    </row>
    <row r="627" spans="1:11" hidden="1" x14ac:dyDescent="0.3">
      <c r="A627" t="s">
        <v>35</v>
      </c>
      <c r="B627" t="s">
        <v>58</v>
      </c>
      <c r="C627" t="s">
        <v>95</v>
      </c>
      <c r="D627">
        <v>19.913209999999999</v>
      </c>
      <c r="E627">
        <f>Tableau2[[#This Row],[Potential (PJ)]]/3.6*1000</f>
        <v>5531.4472222222221</v>
      </c>
      <c r="F627">
        <v>0.6023023249390731</v>
      </c>
      <c r="G627">
        <f>Tableau2[[#This Row],[Cost (€/GJ)]]/1000000*3600</f>
        <v>2.1682883697806631E-3</v>
      </c>
      <c r="H627">
        <v>2.9521711768407801</v>
      </c>
      <c r="I627">
        <f>Tableau2[[#This Row],[GHG (kgCO2eq/GJ)]]/1000*3.6</f>
        <v>1.0627816236626808E-2</v>
      </c>
      <c r="J627" t="s">
        <v>104</v>
      </c>
      <c r="K627" t="s">
        <v>108</v>
      </c>
    </row>
    <row r="628" spans="1:11" hidden="1" x14ac:dyDescent="0.3">
      <c r="A628" t="s">
        <v>35</v>
      </c>
      <c r="B628" t="s">
        <v>50</v>
      </c>
      <c r="C628" t="s">
        <v>73</v>
      </c>
      <c r="D628">
        <v>4.2</v>
      </c>
      <c r="E628">
        <f>Tableau2[[#This Row],[Potential (PJ)]]/3.6*1000</f>
        <v>1166.6666666666667</v>
      </c>
      <c r="F628">
        <v>5.1069285714285719</v>
      </c>
      <c r="G628">
        <f>Tableau2[[#This Row],[Cost (€/GJ)]]/1000000*3600</f>
        <v>1.8384942857142858E-2</v>
      </c>
      <c r="H628">
        <v>20.723404255319149</v>
      </c>
      <c r="I628">
        <f>Tableau2[[#This Row],[GHG (kgCO2eq/GJ)]]/1000*3.6</f>
        <v>7.4604255319148938E-2</v>
      </c>
      <c r="J628" t="s">
        <v>105</v>
      </c>
      <c r="K628" t="s">
        <v>108</v>
      </c>
    </row>
    <row r="629" spans="1:11" hidden="1" x14ac:dyDescent="0.3">
      <c r="A629" t="s">
        <v>35</v>
      </c>
      <c r="B629" t="s">
        <v>50</v>
      </c>
      <c r="C629" t="s">
        <v>74</v>
      </c>
      <c r="D629">
        <v>90.2</v>
      </c>
      <c r="E629">
        <f>Tableau2[[#This Row],[Potential (PJ)]]/3.6*1000</f>
        <v>25055.555555555558</v>
      </c>
      <c r="F629">
        <v>3.824922394678492</v>
      </c>
      <c r="G629">
        <f>Tableau2[[#This Row],[Cost (€/GJ)]]/1000000*3600</f>
        <v>1.3769720620842571E-2</v>
      </c>
      <c r="H629">
        <v>2.0635593220338988</v>
      </c>
      <c r="I629">
        <f>Tableau2[[#This Row],[GHG (kgCO2eq/GJ)]]/1000*3.6</f>
        <v>7.4288135593220351E-3</v>
      </c>
      <c r="J629" t="s">
        <v>105</v>
      </c>
      <c r="K629" t="s">
        <v>108</v>
      </c>
    </row>
    <row r="630" spans="1:11" hidden="1" x14ac:dyDescent="0.3">
      <c r="A630" t="s">
        <v>35</v>
      </c>
      <c r="B630" t="s">
        <v>59</v>
      </c>
      <c r="C630" t="s">
        <v>96</v>
      </c>
      <c r="D630">
        <v>9.2499999999999999E-2</v>
      </c>
      <c r="E630">
        <f>Tableau2[[#This Row],[Potential (PJ)]]/3.6*1000</f>
        <v>25.694444444444443</v>
      </c>
      <c r="F630">
        <v>29.969000000000001</v>
      </c>
      <c r="G630">
        <f>Tableau2[[#This Row],[Cost (€/GJ)]]/1000000*3600</f>
        <v>0.1078884</v>
      </c>
      <c r="H630">
        <v>16</v>
      </c>
      <c r="I630">
        <f>Tableau2[[#This Row],[GHG (kgCO2eq/GJ)]]/1000*3.6</f>
        <v>5.7600000000000005E-2</v>
      </c>
      <c r="J630" t="s">
        <v>107</v>
      </c>
      <c r="K630" t="s">
        <v>109</v>
      </c>
    </row>
    <row r="631" spans="1:11" hidden="1" x14ac:dyDescent="0.3">
      <c r="A631" t="s">
        <v>35</v>
      </c>
      <c r="B631" t="s">
        <v>59</v>
      </c>
      <c r="C631" t="s">
        <v>97</v>
      </c>
      <c r="D631">
        <v>0.105</v>
      </c>
      <c r="E631">
        <f>Tableau2[[#This Row],[Potential (PJ)]]/3.6*1000</f>
        <v>29.166666666666664</v>
      </c>
      <c r="F631">
        <v>19.099294628323381</v>
      </c>
      <c r="G631">
        <f>Tableau2[[#This Row],[Cost (€/GJ)]]/1000000*3600</f>
        <v>6.875746066196417E-2</v>
      </c>
      <c r="H631">
        <v>16</v>
      </c>
      <c r="I631">
        <f>Tableau2[[#This Row],[GHG (kgCO2eq/GJ)]]/1000*3.6</f>
        <v>5.7600000000000005E-2</v>
      </c>
      <c r="J631" t="s">
        <v>107</v>
      </c>
      <c r="K631" t="s">
        <v>109</v>
      </c>
    </row>
    <row r="632" spans="1:11" hidden="1" x14ac:dyDescent="0.3">
      <c r="A632" t="s">
        <v>35</v>
      </c>
      <c r="B632" t="s">
        <v>51</v>
      </c>
      <c r="C632" t="s">
        <v>75</v>
      </c>
      <c r="D632">
        <v>32.982729999999997</v>
      </c>
      <c r="E632">
        <f>Tableau2[[#This Row],[Potential (PJ)]]/3.6*1000</f>
        <v>9161.8694444444427</v>
      </c>
      <c r="F632">
        <v>2.4408531059586401E-3</v>
      </c>
      <c r="G632">
        <f>Tableau2[[#This Row],[Cost (€/GJ)]]/1000000*3600</f>
        <v>8.7870711814511048E-6</v>
      </c>
      <c r="H632">
        <v>11.74</v>
      </c>
      <c r="I632">
        <f>Tableau2[[#This Row],[GHG (kgCO2eq/GJ)]]/1000*3.6</f>
        <v>4.2264000000000003E-2</v>
      </c>
      <c r="J632" t="s">
        <v>104</v>
      </c>
      <c r="K632" t="s">
        <v>108</v>
      </c>
    </row>
    <row r="633" spans="1:11" hidden="1" x14ac:dyDescent="0.3">
      <c r="A633" t="s">
        <v>35</v>
      </c>
      <c r="B633" t="s">
        <v>60</v>
      </c>
      <c r="C633" t="s">
        <v>98</v>
      </c>
      <c r="D633">
        <v>7.8336299999999994</v>
      </c>
      <c r="E633">
        <f>Tableau2[[#This Row],[Potential (PJ)]]/3.6*1000</f>
        <v>2176.0083333333332</v>
      </c>
      <c r="F633">
        <v>16.165413533834581</v>
      </c>
      <c r="G633">
        <f>Tableau2[[#This Row],[Cost (€/GJ)]]/1000000*3600</f>
        <v>5.8195488721804495E-2</v>
      </c>
      <c r="H633">
        <v>46</v>
      </c>
      <c r="I633">
        <f>Tableau2[[#This Row],[GHG (kgCO2eq/GJ)]]/1000*3.6</f>
        <v>0.1656</v>
      </c>
      <c r="J633" t="s">
        <v>107</v>
      </c>
      <c r="K633" t="s">
        <v>109</v>
      </c>
    </row>
    <row r="634" spans="1:11" hidden="1" x14ac:dyDescent="0.3">
      <c r="A634" t="s">
        <v>35</v>
      </c>
      <c r="B634" t="s">
        <v>52</v>
      </c>
      <c r="C634" t="s">
        <v>76</v>
      </c>
      <c r="D634">
        <v>1.3660000000000001</v>
      </c>
      <c r="E634">
        <f>Tableau2[[#This Row],[Potential (PJ)]]/3.6*1000</f>
        <v>379.44444444444446</v>
      </c>
      <c r="F634">
        <v>5.4702337500000002</v>
      </c>
      <c r="G634">
        <f>Tableau2[[#This Row],[Cost (€/GJ)]]/1000000*3600</f>
        <v>1.9692841500000002E-2</v>
      </c>
      <c r="H634">
        <v>12.68872359754714</v>
      </c>
      <c r="I634">
        <f>Tableau2[[#This Row],[GHG (kgCO2eq/GJ)]]/1000*3.6</f>
        <v>4.5679404951169705E-2</v>
      </c>
      <c r="J634" t="s">
        <v>105</v>
      </c>
      <c r="K634" t="s">
        <v>108</v>
      </c>
    </row>
    <row r="635" spans="1:11" hidden="1" x14ac:dyDescent="0.3">
      <c r="A635" t="s">
        <v>35</v>
      </c>
      <c r="B635" t="s">
        <v>53</v>
      </c>
      <c r="C635" t="s">
        <v>77</v>
      </c>
      <c r="D635">
        <v>9.6999999999999993</v>
      </c>
      <c r="E635">
        <f>Tableau2[[#This Row],[Potential (PJ)]]/3.6*1000</f>
        <v>2694.4444444444443</v>
      </c>
      <c r="F635">
        <v>3.2828556701030931</v>
      </c>
      <c r="G635">
        <f>Tableau2[[#This Row],[Cost (€/GJ)]]/1000000*3600</f>
        <v>1.1818280412371136E-2</v>
      </c>
      <c r="H635">
        <v>3.86607608129234</v>
      </c>
      <c r="I635">
        <f>Tableau2[[#This Row],[GHG (kgCO2eq/GJ)]]/1000*3.6</f>
        <v>1.3917873892652425E-2</v>
      </c>
      <c r="J635" t="s">
        <v>104</v>
      </c>
      <c r="K635" t="s">
        <v>108</v>
      </c>
    </row>
    <row r="636" spans="1:11" hidden="1" x14ac:dyDescent="0.3">
      <c r="A636" t="s">
        <v>35</v>
      </c>
      <c r="B636" t="s">
        <v>61</v>
      </c>
      <c r="C636" t="s">
        <v>99</v>
      </c>
      <c r="D636">
        <v>15.9</v>
      </c>
      <c r="E636">
        <f>Tableau2[[#This Row],[Potential (PJ)]]/3.6*1000</f>
        <v>4416.666666666667</v>
      </c>
      <c r="F636">
        <v>1.2508490566037731</v>
      </c>
      <c r="G636">
        <f>Tableau2[[#This Row],[Cost (€/GJ)]]/1000000*3600</f>
        <v>4.5030566037735833E-3</v>
      </c>
      <c r="H636">
        <v>2.9245635910224439</v>
      </c>
      <c r="I636">
        <f>Tableau2[[#This Row],[GHG (kgCO2eq/GJ)]]/1000*3.6</f>
        <v>1.0528428927680798E-2</v>
      </c>
      <c r="J636" t="s">
        <v>104</v>
      </c>
      <c r="K636" t="s">
        <v>108</v>
      </c>
    </row>
    <row r="637" spans="1:11" hidden="1" x14ac:dyDescent="0.3">
      <c r="A637" t="s">
        <v>35</v>
      </c>
      <c r="B637" t="s">
        <v>62</v>
      </c>
      <c r="C637" t="s">
        <v>100</v>
      </c>
      <c r="D637">
        <v>2.4</v>
      </c>
      <c r="E637">
        <f>Tableau2[[#This Row],[Potential (PJ)]]/3.6*1000</f>
        <v>666.66666666666663</v>
      </c>
      <c r="F637">
        <v>8.3333333333333343E-2</v>
      </c>
      <c r="G637">
        <f>Tableau2[[#This Row],[Cost (€/GJ)]]/1000000*3600</f>
        <v>3.0000000000000003E-4</v>
      </c>
      <c r="H637">
        <v>2.6764106050305911</v>
      </c>
      <c r="I637">
        <f>Tableau2[[#This Row],[GHG (kgCO2eq/GJ)]]/1000*3.6</f>
        <v>9.6350781781101291E-3</v>
      </c>
      <c r="J637" t="s">
        <v>104</v>
      </c>
      <c r="K637" t="s">
        <v>108</v>
      </c>
    </row>
    <row r="638" spans="1:11" hidden="1" x14ac:dyDescent="0.3">
      <c r="A638" t="s">
        <v>35</v>
      </c>
      <c r="B638" t="s">
        <v>54</v>
      </c>
      <c r="C638" t="s">
        <v>78</v>
      </c>
      <c r="D638">
        <v>195.1</v>
      </c>
      <c r="E638">
        <f>Tableau2[[#This Row],[Potential (PJ)]]/3.6*1000</f>
        <v>54194.444444444445</v>
      </c>
      <c r="F638">
        <v>3.2424976934905181</v>
      </c>
      <c r="G638">
        <f>Tableau2[[#This Row],[Cost (€/GJ)]]/1000000*3600</f>
        <v>1.1672991696565865E-2</v>
      </c>
      <c r="H638">
        <v>3.86607608129234</v>
      </c>
      <c r="I638">
        <f>Tableau2[[#This Row],[GHG (kgCO2eq/GJ)]]/1000*3.6</f>
        <v>1.3917873892652425E-2</v>
      </c>
      <c r="J638" t="s">
        <v>104</v>
      </c>
      <c r="K638" t="s">
        <v>108</v>
      </c>
    </row>
    <row r="639" spans="1:11" hidden="1" x14ac:dyDescent="0.3">
      <c r="A639" t="s">
        <v>36</v>
      </c>
      <c r="B639" t="s">
        <v>46</v>
      </c>
      <c r="C639" t="s">
        <v>63</v>
      </c>
      <c r="D639">
        <v>0.92430000000000001</v>
      </c>
      <c r="E639">
        <f>Tableau2[[#This Row],[Potential (PJ)]]/3.6*1000</f>
        <v>256.75</v>
      </c>
      <c r="F639">
        <v>2.9286474973375931</v>
      </c>
      <c r="G639">
        <f>Tableau2[[#This Row],[Cost (€/GJ)]]/1000000*3600</f>
        <v>1.0543130990415334E-2</v>
      </c>
      <c r="H639">
        <v>3.950479233226837</v>
      </c>
      <c r="I639">
        <f>Tableau2[[#This Row],[GHG (kgCO2eq/GJ)]]/1000*3.6</f>
        <v>1.4221725239616614E-2</v>
      </c>
      <c r="J639" t="s">
        <v>104</v>
      </c>
      <c r="K639" t="s">
        <v>108</v>
      </c>
    </row>
    <row r="640" spans="1:11" hidden="1" x14ac:dyDescent="0.3">
      <c r="A640" t="s">
        <v>36</v>
      </c>
      <c r="B640" t="s">
        <v>46</v>
      </c>
      <c r="C640" t="s">
        <v>64</v>
      </c>
      <c r="D640">
        <v>0.10756</v>
      </c>
      <c r="E640">
        <f>Tableau2[[#This Row],[Potential (PJ)]]/3.6*1000</f>
        <v>29.877777777777776</v>
      </c>
      <c r="F640">
        <v>2.6934455187802162</v>
      </c>
      <c r="G640">
        <f>Tableau2[[#This Row],[Cost (€/GJ)]]/1000000*3600</f>
        <v>9.6964038676087775E-3</v>
      </c>
      <c r="H640">
        <v>2.9521711768407801</v>
      </c>
      <c r="I640">
        <f>Tableau2[[#This Row],[GHG (kgCO2eq/GJ)]]/1000*3.6</f>
        <v>1.0627816236626808E-2</v>
      </c>
      <c r="J640" t="s">
        <v>104</v>
      </c>
      <c r="K640" t="s">
        <v>108</v>
      </c>
    </row>
    <row r="641" spans="1:11" hidden="1" x14ac:dyDescent="0.3">
      <c r="A641" t="s">
        <v>36</v>
      </c>
      <c r="B641" t="s">
        <v>46</v>
      </c>
      <c r="C641" t="s">
        <v>65</v>
      </c>
      <c r="D641">
        <v>1.2</v>
      </c>
      <c r="E641">
        <f>Tableau2[[#This Row],[Potential (PJ)]]/3.6*1000</f>
        <v>333.33333333333331</v>
      </c>
      <c r="F641">
        <v>3.654666666666667</v>
      </c>
      <c r="G641">
        <f>Tableau2[[#This Row],[Cost (€/GJ)]]/1000000*3600</f>
        <v>1.3156800000000001E-2</v>
      </c>
      <c r="H641">
        <v>2.9521711768407801</v>
      </c>
      <c r="I641">
        <f>Tableau2[[#This Row],[GHG (kgCO2eq/GJ)]]/1000*3.6</f>
        <v>1.0627816236626808E-2</v>
      </c>
      <c r="J641" t="s">
        <v>104</v>
      </c>
      <c r="K641" t="s">
        <v>108</v>
      </c>
    </row>
    <row r="642" spans="1:11" hidden="1" x14ac:dyDescent="0.3">
      <c r="A642" t="s">
        <v>36</v>
      </c>
      <c r="B642" t="s">
        <v>46</v>
      </c>
      <c r="C642" t="s">
        <v>102</v>
      </c>
      <c r="D642">
        <v>0.1</v>
      </c>
      <c r="E642">
        <f>Tableau2[[#This Row],[Potential (PJ)]]/3.6*1000</f>
        <v>27.777777777777779</v>
      </c>
      <c r="F642">
        <v>3.3580000000000001</v>
      </c>
      <c r="G642">
        <f>Tableau2[[#This Row],[Cost (€/GJ)]]/1000000*3600</f>
        <v>1.20888E-2</v>
      </c>
      <c r="H642">
        <v>2.9521711768407801</v>
      </c>
      <c r="I642">
        <f>Tableau2[[#This Row],[GHG (kgCO2eq/GJ)]]/1000*3.6</f>
        <v>1.0627816236626808E-2</v>
      </c>
      <c r="J642" t="s">
        <v>104</v>
      </c>
      <c r="K642" t="s">
        <v>108</v>
      </c>
    </row>
    <row r="643" spans="1:11" hidden="1" x14ac:dyDescent="0.3">
      <c r="A643" t="s">
        <v>36</v>
      </c>
      <c r="B643" t="s">
        <v>46</v>
      </c>
      <c r="C643" t="s">
        <v>80</v>
      </c>
      <c r="D643">
        <v>0.1424</v>
      </c>
      <c r="E643">
        <f>Tableau2[[#This Row],[Potential (PJ)]]/3.6*1000</f>
        <v>39.55555555555555</v>
      </c>
      <c r="F643">
        <v>0.36952124072825349</v>
      </c>
      <c r="G643">
        <f>Tableau2[[#This Row],[Cost (€/GJ)]]/1000000*3600</f>
        <v>1.3302764666217127E-3</v>
      </c>
      <c r="H643">
        <v>28.139870918023309</v>
      </c>
      <c r="I643">
        <f>Tableau2[[#This Row],[GHG (kgCO2eq/GJ)]]/1000*3.6</f>
        <v>0.10130353530488391</v>
      </c>
      <c r="J643" t="s">
        <v>105</v>
      </c>
      <c r="K643" t="s">
        <v>108</v>
      </c>
    </row>
    <row r="644" spans="1:11" hidden="1" x14ac:dyDescent="0.3">
      <c r="A644" t="s">
        <v>36</v>
      </c>
      <c r="B644" t="s">
        <v>46</v>
      </c>
      <c r="C644" t="s">
        <v>81</v>
      </c>
      <c r="D644">
        <v>0.95530000000000004</v>
      </c>
      <c r="E644">
        <f>Tableau2[[#This Row],[Potential (PJ)]]/3.6*1000</f>
        <v>265.36111111111109</v>
      </c>
      <c r="F644">
        <v>1.463572267920094</v>
      </c>
      <c r="G644">
        <f>Tableau2[[#This Row],[Cost (€/GJ)]]/1000000*3600</f>
        <v>5.268860164512338E-3</v>
      </c>
      <c r="H644">
        <v>8.9647473560517046</v>
      </c>
      <c r="I644">
        <f>Tableau2[[#This Row],[GHG (kgCO2eq/GJ)]]/1000*3.6</f>
        <v>3.2273090481786136E-2</v>
      </c>
      <c r="J644" t="s">
        <v>105</v>
      </c>
      <c r="K644" t="s">
        <v>108</v>
      </c>
    </row>
    <row r="645" spans="1:11" hidden="1" x14ac:dyDescent="0.3">
      <c r="A645" t="s">
        <v>36</v>
      </c>
      <c r="B645" t="s">
        <v>46</v>
      </c>
      <c r="C645" t="s">
        <v>66</v>
      </c>
      <c r="D645">
        <v>0.60000000000000009</v>
      </c>
      <c r="E645">
        <f>Tableau2[[#This Row],[Potential (PJ)]]/3.6*1000</f>
        <v>166.66666666666669</v>
      </c>
      <c r="F645">
        <v>2.0775000000000001</v>
      </c>
      <c r="G645">
        <f>Tableau2[[#This Row],[Cost (€/GJ)]]/1000000*3600</f>
        <v>7.4790000000000004E-3</v>
      </c>
      <c r="H645">
        <v>6.8428961748633883</v>
      </c>
      <c r="I645">
        <f>Tableau2[[#This Row],[GHG (kgCO2eq/GJ)]]/1000*3.6</f>
        <v>2.4634426229508198E-2</v>
      </c>
      <c r="J645" t="s">
        <v>104</v>
      </c>
      <c r="K645" t="s">
        <v>108</v>
      </c>
    </row>
    <row r="646" spans="1:11" hidden="1" x14ac:dyDescent="0.3">
      <c r="A646" t="s">
        <v>36</v>
      </c>
      <c r="B646" t="s">
        <v>46</v>
      </c>
      <c r="C646" t="s">
        <v>67</v>
      </c>
      <c r="D646">
        <v>1.8</v>
      </c>
      <c r="E646">
        <f>Tableau2[[#This Row],[Potential (PJ)]]/3.6*1000</f>
        <v>500</v>
      </c>
      <c r="F646">
        <v>4.5033333333333339</v>
      </c>
      <c r="G646">
        <f>Tableau2[[#This Row],[Cost (€/GJ)]]/1000000*3600</f>
        <v>1.6212000000000001E-2</v>
      </c>
      <c r="H646">
        <v>2.9521711768407801</v>
      </c>
      <c r="I646">
        <f>Tableau2[[#This Row],[GHG (kgCO2eq/GJ)]]/1000*3.6</f>
        <v>1.0627816236626808E-2</v>
      </c>
      <c r="J646" t="s">
        <v>104</v>
      </c>
      <c r="K646" t="s">
        <v>108</v>
      </c>
    </row>
    <row r="647" spans="1:11" hidden="1" x14ac:dyDescent="0.3">
      <c r="A647" t="s">
        <v>36</v>
      </c>
      <c r="B647" t="s">
        <v>46</v>
      </c>
      <c r="C647" t="s">
        <v>83</v>
      </c>
      <c r="D647">
        <v>0.72496000000000005</v>
      </c>
      <c r="E647">
        <f>Tableau2[[#This Row],[Potential (PJ)]]/3.6*1000</f>
        <v>201.37777777777779</v>
      </c>
      <c r="F647">
        <v>1.888190617413374</v>
      </c>
      <c r="G647">
        <f>Tableau2[[#This Row],[Cost (€/GJ)]]/1000000*3600</f>
        <v>6.7974862226881467E-3</v>
      </c>
      <c r="H647">
        <v>6.8428961748633883</v>
      </c>
      <c r="I647">
        <f>Tableau2[[#This Row],[GHG (kgCO2eq/GJ)]]/1000*3.6</f>
        <v>2.4634426229508198E-2</v>
      </c>
      <c r="J647" t="s">
        <v>104</v>
      </c>
      <c r="K647" t="s">
        <v>108</v>
      </c>
    </row>
    <row r="648" spans="1:11" hidden="1" x14ac:dyDescent="0.3">
      <c r="A648" t="s">
        <v>36</v>
      </c>
      <c r="B648" t="s">
        <v>46</v>
      </c>
      <c r="C648" t="s">
        <v>85</v>
      </c>
      <c r="D648">
        <v>0.60000000000000009</v>
      </c>
      <c r="E648">
        <f>Tableau2[[#This Row],[Potential (PJ)]]/3.6*1000</f>
        <v>166.66666666666669</v>
      </c>
      <c r="F648">
        <v>3.101833333333333</v>
      </c>
      <c r="G648">
        <f>Tableau2[[#This Row],[Cost (€/GJ)]]/1000000*3600</f>
        <v>1.1166599999999999E-2</v>
      </c>
      <c r="H648">
        <v>2.9521711768407801</v>
      </c>
      <c r="I648">
        <f>Tableau2[[#This Row],[GHG (kgCO2eq/GJ)]]/1000*3.6</f>
        <v>1.0627816236626808E-2</v>
      </c>
      <c r="J648" t="s">
        <v>104</v>
      </c>
      <c r="K648" t="s">
        <v>108</v>
      </c>
    </row>
    <row r="649" spans="1:11" hidden="1" x14ac:dyDescent="0.3">
      <c r="A649" t="s">
        <v>36</v>
      </c>
      <c r="B649" t="s">
        <v>55</v>
      </c>
      <c r="C649" t="s">
        <v>86</v>
      </c>
      <c r="D649">
        <v>3.1399999999999997E-2</v>
      </c>
      <c r="E649">
        <f>Tableau2[[#This Row],[Potential (PJ)]]/3.6*1000</f>
        <v>8.7222222222222214</v>
      </c>
      <c r="F649">
        <v>20.815000000000001</v>
      </c>
      <c r="G649">
        <f>Tableau2[[#This Row],[Cost (€/GJ)]]/1000000*3600</f>
        <v>7.4934000000000001E-2</v>
      </c>
      <c r="H649">
        <v>26.1</v>
      </c>
      <c r="I649">
        <f>Tableau2[[#This Row],[GHG (kgCO2eq/GJ)]]/1000*3.6</f>
        <v>9.3960000000000002E-2</v>
      </c>
      <c r="J649" t="s">
        <v>106</v>
      </c>
      <c r="K649" t="s">
        <v>109</v>
      </c>
    </row>
    <row r="650" spans="1:11" hidden="1" x14ac:dyDescent="0.3">
      <c r="A650" t="s">
        <v>36</v>
      </c>
      <c r="B650" t="s">
        <v>55</v>
      </c>
      <c r="C650" t="s">
        <v>88</v>
      </c>
      <c r="D650">
        <v>3.2599999999999997E-2</v>
      </c>
      <c r="E650">
        <f>Tableau2[[#This Row],[Potential (PJ)]]/3.6*1000</f>
        <v>9.0555555555555554</v>
      </c>
      <c r="F650">
        <v>18.759</v>
      </c>
      <c r="G650">
        <f>Tableau2[[#This Row],[Cost (€/GJ)]]/1000000*3600</f>
        <v>6.7532400000000006E-2</v>
      </c>
      <c r="H650">
        <v>26.1</v>
      </c>
      <c r="I650">
        <f>Tableau2[[#This Row],[GHG (kgCO2eq/GJ)]]/1000*3.6</f>
        <v>9.3960000000000002E-2</v>
      </c>
      <c r="J650" t="s">
        <v>106</v>
      </c>
      <c r="K650" t="s">
        <v>109</v>
      </c>
    </row>
    <row r="651" spans="1:11" hidden="1" x14ac:dyDescent="0.3">
      <c r="A651" t="s">
        <v>36</v>
      </c>
      <c r="B651" t="s">
        <v>56</v>
      </c>
      <c r="C651" t="s">
        <v>93</v>
      </c>
      <c r="D651">
        <v>0.47670000000000001</v>
      </c>
      <c r="E651">
        <f>Tableau2[[#This Row],[Potential (PJ)]]/3.6*1000</f>
        <v>132.41666666666666</v>
      </c>
      <c r="F651">
        <v>2.939759036144578</v>
      </c>
      <c r="G651">
        <f>Tableau2[[#This Row],[Cost (€/GJ)]]/1000000*3600</f>
        <v>1.0583132530120481E-2</v>
      </c>
      <c r="H651">
        <v>26.7</v>
      </c>
      <c r="I651">
        <f>Tableau2[[#This Row],[GHG (kgCO2eq/GJ)]]/1000*3.6</f>
        <v>9.6119999999999997E-2</v>
      </c>
      <c r="J651" t="s">
        <v>106</v>
      </c>
      <c r="K651" t="s">
        <v>109</v>
      </c>
    </row>
    <row r="652" spans="1:11" hidden="1" x14ac:dyDescent="0.3">
      <c r="A652" t="s">
        <v>36</v>
      </c>
      <c r="B652" t="s">
        <v>47</v>
      </c>
      <c r="C652" t="s">
        <v>68</v>
      </c>
      <c r="D652">
        <v>11.3</v>
      </c>
      <c r="E652">
        <f>Tableau2[[#This Row],[Potential (PJ)]]/3.6*1000</f>
        <v>3138.8888888888887</v>
      </c>
      <c r="F652">
        <v>4.1847522123893803</v>
      </c>
      <c r="G652">
        <f>Tableau2[[#This Row],[Cost (€/GJ)]]/1000000*3600</f>
        <v>1.5065107964601769E-2</v>
      </c>
      <c r="H652">
        <v>10</v>
      </c>
      <c r="I652">
        <f>Tableau2[[#This Row],[GHG (kgCO2eq/GJ)]]/1000*3.6</f>
        <v>3.6000000000000004E-2</v>
      </c>
      <c r="J652" t="s">
        <v>104</v>
      </c>
      <c r="K652" t="s">
        <v>109</v>
      </c>
    </row>
    <row r="653" spans="1:11" hidden="1" x14ac:dyDescent="0.3">
      <c r="A653" t="s">
        <v>36</v>
      </c>
      <c r="B653" t="s">
        <v>47</v>
      </c>
      <c r="C653" t="s">
        <v>69</v>
      </c>
      <c r="D653">
        <v>7.8</v>
      </c>
      <c r="E653">
        <f>Tableau2[[#This Row],[Potential (PJ)]]/3.6*1000</f>
        <v>2166.6666666666665</v>
      </c>
      <c r="F653">
        <v>4.5547948717948721</v>
      </c>
      <c r="G653">
        <f>Tableau2[[#This Row],[Cost (€/GJ)]]/1000000*3600</f>
        <v>1.6397261538461539E-2</v>
      </c>
      <c r="H653">
        <v>10</v>
      </c>
      <c r="I653">
        <f>Tableau2[[#This Row],[GHG (kgCO2eq/GJ)]]/1000*3.6</f>
        <v>3.6000000000000004E-2</v>
      </c>
      <c r="J653" t="s">
        <v>104</v>
      </c>
      <c r="K653" t="s">
        <v>109</v>
      </c>
    </row>
    <row r="654" spans="1:11" hidden="1" x14ac:dyDescent="0.3">
      <c r="A654" t="s">
        <v>36</v>
      </c>
      <c r="B654" t="s">
        <v>48</v>
      </c>
      <c r="C654" t="s">
        <v>70</v>
      </c>
      <c r="D654">
        <v>4.9000000000000004</v>
      </c>
      <c r="E654">
        <f>Tableau2[[#This Row],[Potential (PJ)]]/3.6*1000</f>
        <v>1361.1111111111111</v>
      </c>
      <c r="F654">
        <v>10.236591836734689</v>
      </c>
      <c r="G654">
        <f>Tableau2[[#This Row],[Cost (€/GJ)]]/1000000*3600</f>
        <v>3.6851730612244886E-2</v>
      </c>
      <c r="H654">
        <v>0</v>
      </c>
      <c r="I654">
        <f>Tableau2[[#This Row],[GHG (kgCO2eq/GJ)]]/1000*3.6</f>
        <v>0</v>
      </c>
      <c r="J654" t="s">
        <v>104</v>
      </c>
      <c r="K654" t="s">
        <v>109</v>
      </c>
    </row>
    <row r="655" spans="1:11" hidden="1" x14ac:dyDescent="0.3">
      <c r="A655" t="s">
        <v>36</v>
      </c>
      <c r="B655" t="s">
        <v>49</v>
      </c>
      <c r="C655" t="s">
        <v>71</v>
      </c>
      <c r="D655">
        <v>54.174849999999999</v>
      </c>
      <c r="E655">
        <f>Tableau2[[#This Row],[Potential (PJ)]]/3.6*1000</f>
        <v>15048.569444444445</v>
      </c>
      <c r="F655">
        <v>4.5452501452242133</v>
      </c>
      <c r="G655">
        <f>Tableau2[[#This Row],[Cost (€/GJ)]]/1000000*3600</f>
        <v>1.6362900522807169E-2</v>
      </c>
      <c r="H655">
        <v>3.86607608129234</v>
      </c>
      <c r="I655">
        <f>Tableau2[[#This Row],[GHG (kgCO2eq/GJ)]]/1000*3.6</f>
        <v>1.3917873892652425E-2</v>
      </c>
      <c r="J655" t="s">
        <v>104</v>
      </c>
      <c r="K655" t="s">
        <v>108</v>
      </c>
    </row>
    <row r="656" spans="1:11" hidden="1" x14ac:dyDescent="0.3">
      <c r="A656" t="s">
        <v>36</v>
      </c>
      <c r="B656" t="s">
        <v>49</v>
      </c>
      <c r="C656" t="s">
        <v>72</v>
      </c>
      <c r="D656">
        <v>1.4</v>
      </c>
      <c r="E656">
        <f>Tableau2[[#This Row],[Potential (PJ)]]/3.6*1000</f>
        <v>388.88888888888886</v>
      </c>
      <c r="F656">
        <v>3.641428571428571</v>
      </c>
      <c r="G656">
        <f>Tableau2[[#This Row],[Cost (€/GJ)]]/1000000*3600</f>
        <v>1.3109142857142856E-2</v>
      </c>
      <c r="H656">
        <v>3.86607608129234</v>
      </c>
      <c r="I656">
        <f>Tableau2[[#This Row],[GHG (kgCO2eq/GJ)]]/1000*3.6</f>
        <v>1.3917873892652425E-2</v>
      </c>
      <c r="J656" t="s">
        <v>104</v>
      </c>
      <c r="K656" t="s">
        <v>108</v>
      </c>
    </row>
    <row r="657" spans="1:11" hidden="1" x14ac:dyDescent="0.3">
      <c r="A657" t="s">
        <v>36</v>
      </c>
      <c r="B657" t="s">
        <v>58</v>
      </c>
      <c r="C657" t="s">
        <v>95</v>
      </c>
      <c r="D657">
        <v>5.5727600000000006</v>
      </c>
      <c r="E657">
        <f>Tableau2[[#This Row],[Potential (PJ)]]/3.6*1000</f>
        <v>1547.9888888888891</v>
      </c>
      <c r="F657">
        <v>0</v>
      </c>
      <c r="G657">
        <f>Tableau2[[#This Row],[Cost (€/GJ)]]/1000000*3600</f>
        <v>0</v>
      </c>
      <c r="H657">
        <v>2.9521711768407801</v>
      </c>
      <c r="I657">
        <f>Tableau2[[#This Row],[GHG (kgCO2eq/GJ)]]/1000*3.6</f>
        <v>1.0627816236626808E-2</v>
      </c>
      <c r="J657" t="s">
        <v>104</v>
      </c>
      <c r="K657" t="s">
        <v>108</v>
      </c>
    </row>
    <row r="658" spans="1:11" hidden="1" x14ac:dyDescent="0.3">
      <c r="A658" t="s">
        <v>36</v>
      </c>
      <c r="B658" t="s">
        <v>50</v>
      </c>
      <c r="C658" t="s">
        <v>73</v>
      </c>
      <c r="D658">
        <v>2.6</v>
      </c>
      <c r="E658">
        <f>Tableau2[[#This Row],[Potential (PJ)]]/3.6*1000</f>
        <v>722.22222222222217</v>
      </c>
      <c r="F658">
        <v>5.0737692307692308</v>
      </c>
      <c r="G658">
        <f>Tableau2[[#This Row],[Cost (€/GJ)]]/1000000*3600</f>
        <v>1.8265569230769229E-2</v>
      </c>
      <c r="H658">
        <v>20.723404255319149</v>
      </c>
      <c r="I658">
        <f>Tableau2[[#This Row],[GHG (kgCO2eq/GJ)]]/1000*3.6</f>
        <v>7.4604255319148938E-2</v>
      </c>
      <c r="J658" t="s">
        <v>105</v>
      </c>
      <c r="K658" t="s">
        <v>108</v>
      </c>
    </row>
    <row r="659" spans="1:11" hidden="1" x14ac:dyDescent="0.3">
      <c r="A659" t="s">
        <v>36</v>
      </c>
      <c r="B659" t="s">
        <v>50</v>
      </c>
      <c r="C659" t="s">
        <v>74</v>
      </c>
      <c r="D659">
        <v>21.2</v>
      </c>
      <c r="E659">
        <f>Tableau2[[#This Row],[Potential (PJ)]]/3.6*1000</f>
        <v>5888.8888888888887</v>
      </c>
      <c r="F659">
        <v>3.9755424528301879</v>
      </c>
      <c r="G659">
        <f>Tableau2[[#This Row],[Cost (€/GJ)]]/1000000*3600</f>
        <v>1.4311952830188676E-2</v>
      </c>
      <c r="H659">
        <v>2.0635593220338988</v>
      </c>
      <c r="I659">
        <f>Tableau2[[#This Row],[GHG (kgCO2eq/GJ)]]/1000*3.6</f>
        <v>7.4288135593220351E-3</v>
      </c>
      <c r="J659" t="s">
        <v>105</v>
      </c>
      <c r="K659" t="s">
        <v>108</v>
      </c>
    </row>
    <row r="660" spans="1:11" hidden="1" x14ac:dyDescent="0.3">
      <c r="A660" t="s">
        <v>36</v>
      </c>
      <c r="B660" t="s">
        <v>59</v>
      </c>
      <c r="C660" t="s">
        <v>97</v>
      </c>
      <c r="D660">
        <v>0.36599999999999999</v>
      </c>
      <c r="E660">
        <f>Tableau2[[#This Row],[Potential (PJ)]]/3.6*1000</f>
        <v>101.66666666666666</v>
      </c>
      <c r="F660">
        <v>36.353771025501899</v>
      </c>
      <c r="G660">
        <f>Tableau2[[#This Row],[Cost (€/GJ)]]/1000000*3600</f>
        <v>0.13087357569180683</v>
      </c>
      <c r="H660">
        <v>36.299999999999997</v>
      </c>
      <c r="I660">
        <f>Tableau2[[#This Row],[GHG (kgCO2eq/GJ)]]/1000*3.6</f>
        <v>0.13067999999999999</v>
      </c>
      <c r="J660" t="s">
        <v>107</v>
      </c>
      <c r="K660" t="s">
        <v>109</v>
      </c>
    </row>
    <row r="661" spans="1:11" hidden="1" x14ac:dyDescent="0.3">
      <c r="A661" t="s">
        <v>36</v>
      </c>
      <c r="B661" t="s">
        <v>51</v>
      </c>
      <c r="C661" t="s">
        <v>75</v>
      </c>
      <c r="D661">
        <v>17.613309999999998</v>
      </c>
      <c r="E661">
        <f>Tableau2[[#This Row],[Potential (PJ)]]/3.6*1000</f>
        <v>4892.5861111111099</v>
      </c>
      <c r="F661">
        <v>3.9712214076558002E-3</v>
      </c>
      <c r="G661">
        <f>Tableau2[[#This Row],[Cost (€/GJ)]]/1000000*3600</f>
        <v>1.4296397067560882E-5</v>
      </c>
      <c r="H661">
        <v>11.74</v>
      </c>
      <c r="I661">
        <f>Tableau2[[#This Row],[GHG (kgCO2eq/GJ)]]/1000*3.6</f>
        <v>4.2264000000000003E-2</v>
      </c>
      <c r="J661" t="s">
        <v>104</v>
      </c>
      <c r="K661" t="s">
        <v>108</v>
      </c>
    </row>
    <row r="662" spans="1:11" hidden="1" x14ac:dyDescent="0.3">
      <c r="A662" t="s">
        <v>36</v>
      </c>
      <c r="B662" t="s">
        <v>52</v>
      </c>
      <c r="C662" t="s">
        <v>76</v>
      </c>
      <c r="D662">
        <v>0.86499999999999999</v>
      </c>
      <c r="E662">
        <f>Tableau2[[#This Row],[Potential (PJ)]]/3.6*1000</f>
        <v>240.27777777777774</v>
      </c>
      <c r="F662">
        <v>5.4702337500000002</v>
      </c>
      <c r="G662">
        <f>Tableau2[[#This Row],[Cost (€/GJ)]]/1000000*3600</f>
        <v>1.9692841500000002E-2</v>
      </c>
      <c r="H662">
        <v>12.68872359754714</v>
      </c>
      <c r="I662">
        <f>Tableau2[[#This Row],[GHG (kgCO2eq/GJ)]]/1000*3.6</f>
        <v>4.5679404951169705E-2</v>
      </c>
      <c r="J662" t="s">
        <v>105</v>
      </c>
      <c r="K662" t="s">
        <v>108</v>
      </c>
    </row>
    <row r="663" spans="1:11" hidden="1" x14ac:dyDescent="0.3">
      <c r="A663" t="s">
        <v>36</v>
      </c>
      <c r="B663" t="s">
        <v>53</v>
      </c>
      <c r="C663" t="s">
        <v>77</v>
      </c>
      <c r="D663">
        <v>1.1000000000000001</v>
      </c>
      <c r="E663">
        <f>Tableau2[[#This Row],[Potential (PJ)]]/3.6*1000</f>
        <v>305.5555555555556</v>
      </c>
      <c r="F663">
        <v>3.641363636363637</v>
      </c>
      <c r="G663">
        <f>Tableau2[[#This Row],[Cost (€/GJ)]]/1000000*3600</f>
        <v>1.3108909090909093E-2</v>
      </c>
      <c r="H663">
        <v>3.86607608129234</v>
      </c>
      <c r="I663">
        <f>Tableau2[[#This Row],[GHG (kgCO2eq/GJ)]]/1000*3.6</f>
        <v>1.3917873892652425E-2</v>
      </c>
      <c r="J663" t="s">
        <v>104</v>
      </c>
      <c r="K663" t="s">
        <v>108</v>
      </c>
    </row>
    <row r="664" spans="1:11" hidden="1" x14ac:dyDescent="0.3">
      <c r="A664" t="s">
        <v>36</v>
      </c>
      <c r="B664" t="s">
        <v>61</v>
      </c>
      <c r="C664" t="s">
        <v>99</v>
      </c>
      <c r="D664">
        <v>4.4000000000000004</v>
      </c>
      <c r="E664">
        <f>Tableau2[[#This Row],[Potential (PJ)]]/3.6*1000</f>
        <v>1222.2222222222224</v>
      </c>
      <c r="F664">
        <v>1.747045454545455</v>
      </c>
      <c r="G664">
        <f>Tableau2[[#This Row],[Cost (€/GJ)]]/1000000*3600</f>
        <v>6.2893636363636381E-3</v>
      </c>
      <c r="H664">
        <v>2.9245635910224439</v>
      </c>
      <c r="I664">
        <f>Tableau2[[#This Row],[GHG (kgCO2eq/GJ)]]/1000*3.6</f>
        <v>1.0528428927680798E-2</v>
      </c>
      <c r="J664" t="s">
        <v>104</v>
      </c>
      <c r="K664" t="s">
        <v>108</v>
      </c>
    </row>
    <row r="665" spans="1:11" hidden="1" x14ac:dyDescent="0.3">
      <c r="A665" t="s">
        <v>36</v>
      </c>
      <c r="B665" t="s">
        <v>62</v>
      </c>
      <c r="C665" t="s">
        <v>100</v>
      </c>
      <c r="D665">
        <v>1</v>
      </c>
      <c r="E665">
        <f>Tableau2[[#This Row],[Potential (PJ)]]/3.6*1000</f>
        <v>277.77777777777777</v>
      </c>
      <c r="F665">
        <v>0.74</v>
      </c>
      <c r="G665">
        <f>Tableau2[[#This Row],[Cost (€/GJ)]]/1000000*3600</f>
        <v>2.6640000000000001E-3</v>
      </c>
      <c r="H665">
        <v>2.6764106050305911</v>
      </c>
      <c r="I665">
        <f>Tableau2[[#This Row],[GHG (kgCO2eq/GJ)]]/1000*3.6</f>
        <v>9.6350781781101291E-3</v>
      </c>
      <c r="J665" t="s">
        <v>104</v>
      </c>
      <c r="K665" t="s">
        <v>108</v>
      </c>
    </row>
    <row r="666" spans="1:11" hidden="1" x14ac:dyDescent="0.3">
      <c r="A666" t="s">
        <v>36</v>
      </c>
      <c r="B666" t="s">
        <v>54</v>
      </c>
      <c r="C666" t="s">
        <v>78</v>
      </c>
      <c r="D666">
        <v>45.9</v>
      </c>
      <c r="E666">
        <f>Tableau2[[#This Row],[Potential (PJ)]]/3.6*1000</f>
        <v>12750</v>
      </c>
      <c r="F666">
        <v>7.6141067538126368</v>
      </c>
      <c r="G666">
        <f>Tableau2[[#This Row],[Cost (€/GJ)]]/1000000*3600</f>
        <v>2.7410784313725491E-2</v>
      </c>
      <c r="H666">
        <v>3.86607608129234</v>
      </c>
      <c r="I666">
        <f>Tableau2[[#This Row],[GHG (kgCO2eq/GJ)]]/1000*3.6</f>
        <v>1.3917873892652425E-2</v>
      </c>
      <c r="J666" t="s">
        <v>104</v>
      </c>
      <c r="K666" t="s">
        <v>108</v>
      </c>
    </row>
    <row r="667" spans="1:11" hidden="1" x14ac:dyDescent="0.3">
      <c r="A667" t="s">
        <v>37</v>
      </c>
      <c r="B667" t="s">
        <v>46</v>
      </c>
      <c r="C667" t="s">
        <v>64</v>
      </c>
      <c r="D667">
        <v>0.27294000000000002</v>
      </c>
      <c r="E667">
        <f>Tableau2[[#This Row],[Potential (PJ)]]/3.6*1000</f>
        <v>75.816666666666677</v>
      </c>
      <c r="F667">
        <v>3.8959569136073871</v>
      </c>
      <c r="G667">
        <f>Tableau2[[#This Row],[Cost (€/GJ)]]/1000000*3600</f>
        <v>1.4025444888986594E-2</v>
      </c>
      <c r="H667">
        <v>2.9521711768407801</v>
      </c>
      <c r="I667">
        <f>Tableau2[[#This Row],[GHG (kgCO2eq/GJ)]]/1000*3.6</f>
        <v>1.0627816236626808E-2</v>
      </c>
      <c r="J667" t="s">
        <v>104</v>
      </c>
      <c r="K667" t="s">
        <v>108</v>
      </c>
    </row>
    <row r="668" spans="1:11" hidden="1" x14ac:dyDescent="0.3">
      <c r="A668" t="s">
        <v>37</v>
      </c>
      <c r="B668" t="s">
        <v>46</v>
      </c>
      <c r="C668" t="s">
        <v>79</v>
      </c>
      <c r="D668">
        <v>28.3</v>
      </c>
      <c r="E668">
        <f>Tableau2[[#This Row],[Potential (PJ)]]/3.6*1000</f>
        <v>7861.1111111111104</v>
      </c>
      <c r="F668">
        <v>2.2529081272084812</v>
      </c>
      <c r="G668">
        <f>Tableau2[[#This Row],[Cost (€/GJ)]]/1000000*3600</f>
        <v>8.1104692579505311E-3</v>
      </c>
      <c r="H668">
        <v>6.8428961748633883</v>
      </c>
      <c r="I668">
        <f>Tableau2[[#This Row],[GHG (kgCO2eq/GJ)]]/1000*3.6</f>
        <v>2.4634426229508198E-2</v>
      </c>
      <c r="J668" t="s">
        <v>104</v>
      </c>
      <c r="K668" t="s">
        <v>108</v>
      </c>
    </row>
    <row r="669" spans="1:11" hidden="1" x14ac:dyDescent="0.3">
      <c r="A669" t="s">
        <v>37</v>
      </c>
      <c r="B669" t="s">
        <v>46</v>
      </c>
      <c r="C669" t="s">
        <v>65</v>
      </c>
      <c r="D669">
        <v>0.70000000000000007</v>
      </c>
      <c r="E669">
        <f>Tableau2[[#This Row],[Potential (PJ)]]/3.6*1000</f>
        <v>194.44444444444446</v>
      </c>
      <c r="F669">
        <v>3.9052857142857138</v>
      </c>
      <c r="G669">
        <f>Tableau2[[#This Row],[Cost (€/GJ)]]/1000000*3600</f>
        <v>1.4059028571428569E-2</v>
      </c>
      <c r="H669">
        <v>2.9521711768407801</v>
      </c>
      <c r="I669">
        <f>Tableau2[[#This Row],[GHG (kgCO2eq/GJ)]]/1000*3.6</f>
        <v>1.0627816236626808E-2</v>
      </c>
      <c r="J669" t="s">
        <v>104</v>
      </c>
      <c r="K669" t="s">
        <v>108</v>
      </c>
    </row>
    <row r="670" spans="1:11" hidden="1" x14ac:dyDescent="0.3">
      <c r="A670" t="s">
        <v>37</v>
      </c>
      <c r="B670" t="s">
        <v>46</v>
      </c>
      <c r="C670" t="s">
        <v>80</v>
      </c>
      <c r="D670">
        <v>1.2579</v>
      </c>
      <c r="E670">
        <f>Tableau2[[#This Row],[Potential (PJ)]]/3.6*1000</f>
        <v>349.41666666666663</v>
      </c>
      <c r="F670">
        <v>1.7687120701281189</v>
      </c>
      <c r="G670">
        <f>Tableau2[[#This Row],[Cost (€/GJ)]]/1000000*3600</f>
        <v>6.3673634524612282E-3</v>
      </c>
      <c r="H670">
        <v>28.139870918023309</v>
      </c>
      <c r="I670">
        <f>Tableau2[[#This Row],[GHG (kgCO2eq/GJ)]]/1000*3.6</f>
        <v>0.10130353530488391</v>
      </c>
      <c r="J670" t="s">
        <v>105</v>
      </c>
      <c r="K670" t="s">
        <v>108</v>
      </c>
    </row>
    <row r="671" spans="1:11" hidden="1" x14ac:dyDescent="0.3">
      <c r="A671" t="s">
        <v>37</v>
      </c>
      <c r="B671" t="s">
        <v>46</v>
      </c>
      <c r="C671" t="s">
        <v>81</v>
      </c>
      <c r="D671">
        <v>1.2959000000000001</v>
      </c>
      <c r="E671">
        <f>Tableau2[[#This Row],[Potential (PJ)]]/3.6*1000</f>
        <v>359.97222222222223</v>
      </c>
      <c r="F671">
        <v>3.96180963572268</v>
      </c>
      <c r="G671">
        <f>Tableau2[[#This Row],[Cost (€/GJ)]]/1000000*3600</f>
        <v>1.4262514688601648E-2</v>
      </c>
      <c r="H671">
        <v>8.9647473560517046</v>
      </c>
      <c r="I671">
        <f>Tableau2[[#This Row],[GHG (kgCO2eq/GJ)]]/1000*3.6</f>
        <v>3.2273090481786136E-2</v>
      </c>
      <c r="J671" t="s">
        <v>105</v>
      </c>
      <c r="K671" t="s">
        <v>108</v>
      </c>
    </row>
    <row r="672" spans="1:11" hidden="1" x14ac:dyDescent="0.3">
      <c r="A672" t="s">
        <v>37</v>
      </c>
      <c r="B672" t="s">
        <v>46</v>
      </c>
      <c r="C672" t="s">
        <v>66</v>
      </c>
      <c r="D672">
        <v>17.399999999999999</v>
      </c>
      <c r="E672">
        <f>Tableau2[[#This Row],[Potential (PJ)]]/3.6*1000</f>
        <v>4833.333333333333</v>
      </c>
      <c r="F672">
        <v>2.352385057471265</v>
      </c>
      <c r="G672">
        <f>Tableau2[[#This Row],[Cost (€/GJ)]]/1000000*3600</f>
        <v>8.4685862068965539E-3</v>
      </c>
      <c r="H672">
        <v>6.8428961748633883</v>
      </c>
      <c r="I672">
        <f>Tableau2[[#This Row],[GHG (kgCO2eq/GJ)]]/1000*3.6</f>
        <v>2.4634426229508198E-2</v>
      </c>
      <c r="J672" t="s">
        <v>104</v>
      </c>
      <c r="K672" t="s">
        <v>108</v>
      </c>
    </row>
    <row r="673" spans="1:11" hidden="1" x14ac:dyDescent="0.3">
      <c r="A673" t="s">
        <v>37</v>
      </c>
      <c r="B673" t="s">
        <v>46</v>
      </c>
      <c r="C673" t="s">
        <v>82</v>
      </c>
      <c r="D673">
        <v>11.5</v>
      </c>
      <c r="E673">
        <f>Tableau2[[#This Row],[Potential (PJ)]]/3.6*1000</f>
        <v>3194.4444444444443</v>
      </c>
      <c r="F673">
        <v>1.4407478260869571</v>
      </c>
      <c r="G673">
        <f>Tableau2[[#This Row],[Cost (€/GJ)]]/1000000*3600</f>
        <v>5.186692173913046E-3</v>
      </c>
      <c r="H673">
        <v>6.8428961748633883</v>
      </c>
      <c r="I673">
        <f>Tableau2[[#This Row],[GHG (kgCO2eq/GJ)]]/1000*3.6</f>
        <v>2.4634426229508198E-2</v>
      </c>
      <c r="J673" t="s">
        <v>104</v>
      </c>
      <c r="K673" t="s">
        <v>108</v>
      </c>
    </row>
    <row r="674" spans="1:11" hidden="1" x14ac:dyDescent="0.3">
      <c r="A674" t="s">
        <v>37</v>
      </c>
      <c r="B674" t="s">
        <v>46</v>
      </c>
      <c r="C674" t="s">
        <v>83</v>
      </c>
      <c r="D674">
        <v>0.19711999999999999</v>
      </c>
      <c r="E674">
        <f>Tableau2[[#This Row],[Potential (PJ)]]/3.6*1000</f>
        <v>54.755555555555553</v>
      </c>
      <c r="F674">
        <v>2.413278764204545</v>
      </c>
      <c r="G674">
        <f>Tableau2[[#This Row],[Cost (€/GJ)]]/1000000*3600</f>
        <v>8.6878035511363631E-3</v>
      </c>
      <c r="H674">
        <v>6.8428961748633883</v>
      </c>
      <c r="I674">
        <f>Tableau2[[#This Row],[GHG (kgCO2eq/GJ)]]/1000*3.6</f>
        <v>2.4634426229508198E-2</v>
      </c>
      <c r="J674" t="s">
        <v>104</v>
      </c>
      <c r="K674" t="s">
        <v>108</v>
      </c>
    </row>
    <row r="675" spans="1:11" hidden="1" x14ac:dyDescent="0.3">
      <c r="A675" t="s">
        <v>37</v>
      </c>
      <c r="B675" t="s">
        <v>46</v>
      </c>
      <c r="C675" t="s">
        <v>84</v>
      </c>
      <c r="D675">
        <v>0.4</v>
      </c>
      <c r="E675">
        <f>Tableau2[[#This Row],[Potential (PJ)]]/3.6*1000</f>
        <v>111.11111111111111</v>
      </c>
      <c r="F675">
        <v>1.5075000000000001</v>
      </c>
      <c r="G675">
        <f>Tableau2[[#This Row],[Cost (€/GJ)]]/1000000*3600</f>
        <v>5.4269999999999995E-3</v>
      </c>
      <c r="H675">
        <v>28.139870918023309</v>
      </c>
      <c r="I675">
        <f>Tableau2[[#This Row],[GHG (kgCO2eq/GJ)]]/1000*3.6</f>
        <v>0.10130353530488391</v>
      </c>
      <c r="J675" t="s">
        <v>105</v>
      </c>
      <c r="K675" t="s">
        <v>108</v>
      </c>
    </row>
    <row r="676" spans="1:11" hidden="1" x14ac:dyDescent="0.3">
      <c r="A676" t="s">
        <v>37</v>
      </c>
      <c r="B676" t="s">
        <v>46</v>
      </c>
      <c r="C676" t="s">
        <v>85</v>
      </c>
      <c r="D676">
        <v>0.2</v>
      </c>
      <c r="E676">
        <f>Tableau2[[#This Row],[Potential (PJ)]]/3.6*1000</f>
        <v>55.555555555555557</v>
      </c>
      <c r="F676">
        <v>4.1310000000000002</v>
      </c>
      <c r="G676">
        <f>Tableau2[[#This Row],[Cost (€/GJ)]]/1000000*3600</f>
        <v>1.48716E-2</v>
      </c>
      <c r="H676">
        <v>2.9521711768407801</v>
      </c>
      <c r="I676">
        <f>Tableau2[[#This Row],[GHG (kgCO2eq/GJ)]]/1000*3.6</f>
        <v>1.0627816236626808E-2</v>
      </c>
      <c r="J676" t="s">
        <v>104</v>
      </c>
      <c r="K676" t="s">
        <v>108</v>
      </c>
    </row>
    <row r="677" spans="1:11" hidden="1" x14ac:dyDescent="0.3">
      <c r="A677" t="s">
        <v>37</v>
      </c>
      <c r="B677" t="s">
        <v>55</v>
      </c>
      <c r="C677" t="s">
        <v>86</v>
      </c>
      <c r="D677">
        <v>2.3113000000000001</v>
      </c>
      <c r="E677">
        <f>Tableau2[[#This Row],[Potential (PJ)]]/3.6*1000</f>
        <v>642.02777777777771</v>
      </c>
      <c r="F677">
        <v>20.597000000000001</v>
      </c>
      <c r="G677">
        <f>Tableau2[[#This Row],[Cost (€/GJ)]]/1000000*3600</f>
        <v>7.4149200000000012E-2</v>
      </c>
      <c r="H677">
        <v>8.6999999999999993</v>
      </c>
      <c r="I677">
        <f>Tableau2[[#This Row],[GHG (kgCO2eq/GJ)]]/1000*3.6</f>
        <v>3.1320000000000001E-2</v>
      </c>
      <c r="J677" t="s">
        <v>106</v>
      </c>
      <c r="K677" t="s">
        <v>109</v>
      </c>
    </row>
    <row r="678" spans="1:11" hidden="1" x14ac:dyDescent="0.3">
      <c r="A678" t="s">
        <v>37</v>
      </c>
      <c r="B678" t="s">
        <v>55</v>
      </c>
      <c r="C678" t="s">
        <v>87</v>
      </c>
      <c r="D678">
        <v>0.16830000000000001</v>
      </c>
      <c r="E678">
        <f>Tableau2[[#This Row],[Potential (PJ)]]/3.6*1000</f>
        <v>46.75</v>
      </c>
      <c r="F678">
        <v>18.068000000000001</v>
      </c>
      <c r="G678">
        <f>Tableau2[[#This Row],[Cost (€/GJ)]]/1000000*3600</f>
        <v>6.50448E-2</v>
      </c>
      <c r="H678">
        <v>8.6999999999999993</v>
      </c>
      <c r="I678">
        <f>Tableau2[[#This Row],[GHG (kgCO2eq/GJ)]]/1000*3.6</f>
        <v>3.1320000000000001E-2</v>
      </c>
      <c r="J678" t="s">
        <v>106</v>
      </c>
      <c r="K678" t="s">
        <v>109</v>
      </c>
    </row>
    <row r="679" spans="1:11" hidden="1" x14ac:dyDescent="0.3">
      <c r="A679" t="s">
        <v>37</v>
      </c>
      <c r="B679" t="s">
        <v>55</v>
      </c>
      <c r="C679" t="s">
        <v>88</v>
      </c>
      <c r="D679">
        <v>22.1309</v>
      </c>
      <c r="E679">
        <f>Tableau2[[#This Row],[Potential (PJ)]]/3.6*1000</f>
        <v>6147.4722222222226</v>
      </c>
      <c r="F679">
        <v>26.291</v>
      </c>
      <c r="G679">
        <f>Tableau2[[#This Row],[Cost (€/GJ)]]/1000000*3600</f>
        <v>9.4647599999999998E-2</v>
      </c>
      <c r="H679">
        <v>8.6999999999999993</v>
      </c>
      <c r="I679">
        <f>Tableau2[[#This Row],[GHG (kgCO2eq/GJ)]]/1000*3.6</f>
        <v>3.1320000000000001E-2</v>
      </c>
      <c r="J679" t="s">
        <v>106</v>
      </c>
      <c r="K679" t="s">
        <v>109</v>
      </c>
    </row>
    <row r="680" spans="1:11" hidden="1" x14ac:dyDescent="0.3">
      <c r="A680" t="s">
        <v>37</v>
      </c>
      <c r="B680" t="s">
        <v>55</v>
      </c>
      <c r="C680" t="s">
        <v>89</v>
      </c>
      <c r="D680">
        <v>6.4999999999999997E-3</v>
      </c>
      <c r="E680">
        <f>Tableau2[[#This Row],[Potential (PJ)]]/3.6*1000</f>
        <v>1.8055555555555556</v>
      </c>
      <c r="F680">
        <v>0</v>
      </c>
      <c r="G680">
        <f>Tableau2[[#This Row],[Cost (€/GJ)]]/1000000*3600</f>
        <v>0</v>
      </c>
      <c r="H680">
        <v>8.6999999999999993</v>
      </c>
      <c r="I680">
        <f>Tableau2[[#This Row],[GHG (kgCO2eq/GJ)]]/1000*3.6</f>
        <v>3.1320000000000001E-2</v>
      </c>
      <c r="J680" t="s">
        <v>106</v>
      </c>
      <c r="K680" t="s">
        <v>109</v>
      </c>
    </row>
    <row r="681" spans="1:11" hidden="1" x14ac:dyDescent="0.3">
      <c r="A681" t="s">
        <v>37</v>
      </c>
      <c r="B681" t="s">
        <v>55</v>
      </c>
      <c r="C681" t="s">
        <v>92</v>
      </c>
      <c r="D681">
        <v>2.0546799999999998</v>
      </c>
      <c r="E681">
        <f>Tableau2[[#This Row],[Potential (PJ)]]/3.6*1000</f>
        <v>570.74444444444441</v>
      </c>
      <c r="F681">
        <v>18.068000000000001</v>
      </c>
      <c r="G681">
        <f>Tableau2[[#This Row],[Cost (€/GJ)]]/1000000*3600</f>
        <v>6.50448E-2</v>
      </c>
      <c r="H681">
        <v>8.6999999999999993</v>
      </c>
      <c r="I681">
        <f>Tableau2[[#This Row],[GHG (kgCO2eq/GJ)]]/1000*3.6</f>
        <v>3.1320000000000001E-2</v>
      </c>
      <c r="J681" t="s">
        <v>106</v>
      </c>
      <c r="K681" t="s">
        <v>109</v>
      </c>
    </row>
    <row r="682" spans="1:11" hidden="1" x14ac:dyDescent="0.3">
      <c r="A682" t="s">
        <v>37</v>
      </c>
      <c r="B682" t="s">
        <v>56</v>
      </c>
      <c r="C682" t="s">
        <v>93</v>
      </c>
      <c r="D682">
        <v>9.3720999999999997</v>
      </c>
      <c r="E682">
        <f>Tableau2[[#This Row],[Potential (PJ)]]/3.6*1000</f>
        <v>2603.3611111111109</v>
      </c>
      <c r="F682">
        <v>2.9493975903614462</v>
      </c>
      <c r="G682">
        <f>Tableau2[[#This Row],[Cost (€/GJ)]]/1000000*3600</f>
        <v>1.0617831325301207E-2</v>
      </c>
      <c r="H682">
        <v>34</v>
      </c>
      <c r="I682">
        <f>Tableau2[[#This Row],[GHG (kgCO2eq/GJ)]]/1000*3.6</f>
        <v>0.12240000000000001</v>
      </c>
      <c r="J682" t="s">
        <v>106</v>
      </c>
      <c r="K682" t="s">
        <v>109</v>
      </c>
    </row>
    <row r="683" spans="1:11" hidden="1" x14ac:dyDescent="0.3">
      <c r="A683" t="s">
        <v>37</v>
      </c>
      <c r="B683" t="s">
        <v>47</v>
      </c>
      <c r="C683" t="s">
        <v>68</v>
      </c>
      <c r="D683">
        <v>120.1</v>
      </c>
      <c r="E683">
        <f>Tableau2[[#This Row],[Potential (PJ)]]/3.6*1000</f>
        <v>33361.111111111109</v>
      </c>
      <c r="F683">
        <v>2.736073272273106</v>
      </c>
      <c r="G683">
        <f>Tableau2[[#This Row],[Cost (€/GJ)]]/1000000*3600</f>
        <v>9.8498637801831806E-3</v>
      </c>
      <c r="H683">
        <v>16.600000000000001</v>
      </c>
      <c r="I683">
        <f>Tableau2[[#This Row],[GHG (kgCO2eq/GJ)]]/1000*3.6</f>
        <v>5.9760000000000001E-2</v>
      </c>
      <c r="J683" t="s">
        <v>104</v>
      </c>
      <c r="K683" t="s">
        <v>109</v>
      </c>
    </row>
    <row r="684" spans="1:11" hidden="1" x14ac:dyDescent="0.3">
      <c r="A684" t="s">
        <v>37</v>
      </c>
      <c r="B684" t="s">
        <v>47</v>
      </c>
      <c r="C684" t="s">
        <v>69</v>
      </c>
      <c r="D684">
        <v>119.6</v>
      </c>
      <c r="E684">
        <f>Tableau2[[#This Row],[Potential (PJ)]]/3.6*1000</f>
        <v>33222.222222222219</v>
      </c>
      <c r="F684">
        <v>2.5378336120401341</v>
      </c>
      <c r="G684">
        <f>Tableau2[[#This Row],[Cost (€/GJ)]]/1000000*3600</f>
        <v>9.1362010033444827E-3</v>
      </c>
      <c r="H684">
        <v>16.600000000000001</v>
      </c>
      <c r="I684">
        <f>Tableau2[[#This Row],[GHG (kgCO2eq/GJ)]]/1000*3.6</f>
        <v>5.9760000000000001E-2</v>
      </c>
      <c r="J684" t="s">
        <v>104</v>
      </c>
      <c r="K684" t="s">
        <v>109</v>
      </c>
    </row>
    <row r="685" spans="1:11" hidden="1" x14ac:dyDescent="0.3">
      <c r="A685" t="s">
        <v>37</v>
      </c>
      <c r="B685" t="s">
        <v>57</v>
      </c>
      <c r="C685" t="s">
        <v>94</v>
      </c>
      <c r="D685">
        <v>60.7</v>
      </c>
      <c r="E685">
        <f>Tableau2[[#This Row],[Potential (PJ)]]/3.6*1000</f>
        <v>16861.111111111109</v>
      </c>
      <c r="F685">
        <v>6.961387149917627</v>
      </c>
      <c r="G685">
        <f>Tableau2[[#This Row],[Cost (€/GJ)]]/1000000*3600</f>
        <v>2.5060993739703458E-2</v>
      </c>
      <c r="H685">
        <v>16.5</v>
      </c>
      <c r="I685">
        <f>Tableau2[[#This Row],[GHG (kgCO2eq/GJ)]]/1000*3.6</f>
        <v>5.9400000000000001E-2</v>
      </c>
      <c r="J685" t="s">
        <v>104</v>
      </c>
      <c r="K685" t="s">
        <v>109</v>
      </c>
    </row>
    <row r="686" spans="1:11" hidden="1" x14ac:dyDescent="0.3">
      <c r="A686" t="s">
        <v>37</v>
      </c>
      <c r="B686" t="s">
        <v>49</v>
      </c>
      <c r="C686" t="s">
        <v>71</v>
      </c>
      <c r="D686">
        <v>123.32536</v>
      </c>
      <c r="E686">
        <f>Tableau2[[#This Row],[Potential (PJ)]]/3.6*1000</f>
        <v>34257.044444444444</v>
      </c>
      <c r="F686">
        <v>1.961173635982089</v>
      </c>
      <c r="G686">
        <f>Tableau2[[#This Row],[Cost (€/GJ)]]/1000000*3600</f>
        <v>7.0602250895355212E-3</v>
      </c>
      <c r="H686">
        <v>3.86607608129234</v>
      </c>
      <c r="I686">
        <f>Tableau2[[#This Row],[GHG (kgCO2eq/GJ)]]/1000*3.6</f>
        <v>1.3917873892652425E-2</v>
      </c>
      <c r="J686" t="s">
        <v>104</v>
      </c>
      <c r="K686" t="s">
        <v>108</v>
      </c>
    </row>
    <row r="687" spans="1:11" hidden="1" x14ac:dyDescent="0.3">
      <c r="A687" t="s">
        <v>37</v>
      </c>
      <c r="B687" t="s">
        <v>49</v>
      </c>
      <c r="C687" t="s">
        <v>72</v>
      </c>
      <c r="D687">
        <v>7.5</v>
      </c>
      <c r="E687">
        <f>Tableau2[[#This Row],[Potential (PJ)]]/3.6*1000</f>
        <v>2083.3333333333335</v>
      </c>
      <c r="F687">
        <v>2.6303333333333332</v>
      </c>
      <c r="G687">
        <f>Tableau2[[#This Row],[Cost (€/GJ)]]/1000000*3600</f>
        <v>9.4691999999999988E-3</v>
      </c>
      <c r="H687">
        <v>3.86607608129234</v>
      </c>
      <c r="I687">
        <f>Tableau2[[#This Row],[GHG (kgCO2eq/GJ)]]/1000*3.6</f>
        <v>1.3917873892652425E-2</v>
      </c>
      <c r="J687" t="s">
        <v>104</v>
      </c>
      <c r="K687" t="s">
        <v>108</v>
      </c>
    </row>
    <row r="688" spans="1:11" hidden="1" x14ac:dyDescent="0.3">
      <c r="A688" t="s">
        <v>37</v>
      </c>
      <c r="B688" t="s">
        <v>58</v>
      </c>
      <c r="C688" t="s">
        <v>95</v>
      </c>
      <c r="D688">
        <v>20.909189999999999</v>
      </c>
      <c r="E688">
        <f>Tableau2[[#This Row],[Potential (PJ)]]/3.6*1000</f>
        <v>5808.1083333333336</v>
      </c>
      <c r="F688">
        <v>0</v>
      </c>
      <c r="G688">
        <f>Tableau2[[#This Row],[Cost (€/GJ)]]/1000000*3600</f>
        <v>0</v>
      </c>
      <c r="H688">
        <v>2.9521711768407801</v>
      </c>
      <c r="I688">
        <f>Tableau2[[#This Row],[GHG (kgCO2eq/GJ)]]/1000*3.6</f>
        <v>1.0627816236626808E-2</v>
      </c>
      <c r="J688" t="s">
        <v>104</v>
      </c>
      <c r="K688" t="s">
        <v>108</v>
      </c>
    </row>
    <row r="689" spans="1:11" hidden="1" x14ac:dyDescent="0.3">
      <c r="A689" t="s">
        <v>37</v>
      </c>
      <c r="B689" t="s">
        <v>50</v>
      </c>
      <c r="C689" t="s">
        <v>73</v>
      </c>
      <c r="D689">
        <v>1.3</v>
      </c>
      <c r="E689">
        <f>Tableau2[[#This Row],[Potential (PJ)]]/3.6*1000</f>
        <v>361.11111111111109</v>
      </c>
      <c r="F689">
        <v>4.9517692307692309</v>
      </c>
      <c r="G689">
        <f>Tableau2[[#This Row],[Cost (€/GJ)]]/1000000*3600</f>
        <v>1.7826369230769232E-2</v>
      </c>
      <c r="H689">
        <v>20.723404255319149</v>
      </c>
      <c r="I689">
        <f>Tableau2[[#This Row],[GHG (kgCO2eq/GJ)]]/1000*3.6</f>
        <v>7.4604255319148938E-2</v>
      </c>
      <c r="J689" t="s">
        <v>105</v>
      </c>
      <c r="K689" t="s">
        <v>108</v>
      </c>
    </row>
    <row r="690" spans="1:11" hidden="1" x14ac:dyDescent="0.3">
      <c r="A690" t="s">
        <v>37</v>
      </c>
      <c r="B690" t="s">
        <v>50</v>
      </c>
      <c r="C690" t="s">
        <v>74</v>
      </c>
      <c r="D690">
        <v>19.899999999999999</v>
      </c>
      <c r="E690">
        <f>Tableau2[[#This Row],[Potential (PJ)]]/3.6*1000</f>
        <v>5527.7777777777774</v>
      </c>
      <c r="F690">
        <v>2.7238542713567839</v>
      </c>
      <c r="G690">
        <f>Tableau2[[#This Row],[Cost (€/GJ)]]/1000000*3600</f>
        <v>9.8058753768844216E-3</v>
      </c>
      <c r="H690">
        <v>2.0635593220338988</v>
      </c>
      <c r="I690">
        <f>Tableau2[[#This Row],[GHG (kgCO2eq/GJ)]]/1000*3.6</f>
        <v>7.4288135593220351E-3</v>
      </c>
      <c r="J690" t="s">
        <v>105</v>
      </c>
      <c r="K690" t="s">
        <v>108</v>
      </c>
    </row>
    <row r="691" spans="1:11" hidden="1" x14ac:dyDescent="0.3">
      <c r="A691" t="s">
        <v>37</v>
      </c>
      <c r="B691" t="s">
        <v>59</v>
      </c>
      <c r="C691" t="s">
        <v>96</v>
      </c>
      <c r="D691">
        <v>4.3224</v>
      </c>
      <c r="E691">
        <f>Tableau2[[#This Row],[Potential (PJ)]]/3.6*1000</f>
        <v>1200.6666666666665</v>
      </c>
      <c r="F691">
        <v>31.498000000000001</v>
      </c>
      <c r="G691">
        <f>Tableau2[[#This Row],[Cost (€/GJ)]]/1000000*3600</f>
        <v>0.1133928</v>
      </c>
      <c r="H691">
        <v>6</v>
      </c>
      <c r="I691">
        <f>Tableau2[[#This Row],[GHG (kgCO2eq/GJ)]]/1000*3.6</f>
        <v>2.1600000000000001E-2</v>
      </c>
      <c r="J691" t="s">
        <v>107</v>
      </c>
      <c r="K691" t="s">
        <v>109</v>
      </c>
    </row>
    <row r="692" spans="1:11" hidden="1" x14ac:dyDescent="0.3">
      <c r="A692" t="s">
        <v>37</v>
      </c>
      <c r="B692" t="s">
        <v>59</v>
      </c>
      <c r="C692" t="s">
        <v>97</v>
      </c>
      <c r="D692">
        <v>2.7867999999999999</v>
      </c>
      <c r="E692">
        <f>Tableau2[[#This Row],[Potential (PJ)]]/3.6*1000</f>
        <v>774.11111111111109</v>
      </c>
      <c r="F692">
        <v>15.95225176342919</v>
      </c>
      <c r="G692">
        <f>Tableau2[[#This Row],[Cost (€/GJ)]]/1000000*3600</f>
        <v>5.7428106348345088E-2</v>
      </c>
      <c r="H692">
        <v>6</v>
      </c>
      <c r="I692">
        <f>Tableau2[[#This Row],[GHG (kgCO2eq/GJ)]]/1000*3.6</f>
        <v>2.1600000000000001E-2</v>
      </c>
      <c r="J692" t="s">
        <v>107</v>
      </c>
      <c r="K692" t="s">
        <v>109</v>
      </c>
    </row>
    <row r="693" spans="1:11" hidden="1" x14ac:dyDescent="0.3">
      <c r="A693" t="s">
        <v>37</v>
      </c>
      <c r="B693" t="s">
        <v>51</v>
      </c>
      <c r="C693" t="s">
        <v>75</v>
      </c>
      <c r="D693">
        <v>10.15226</v>
      </c>
      <c r="E693">
        <f>Tableau2[[#This Row],[Potential (PJ)]]/3.6*1000</f>
        <v>2820.0722222222221</v>
      </c>
      <c r="F693">
        <v>8.9872161086532704E-2</v>
      </c>
      <c r="G693">
        <f>Tableau2[[#This Row],[Cost (€/GJ)]]/1000000*3600</f>
        <v>3.2353977991151771E-4</v>
      </c>
      <c r="H693">
        <v>11.74</v>
      </c>
      <c r="I693">
        <f>Tableau2[[#This Row],[GHG (kgCO2eq/GJ)]]/1000*3.6</f>
        <v>4.2264000000000003E-2</v>
      </c>
      <c r="J693" t="s">
        <v>104</v>
      </c>
      <c r="K693" t="s">
        <v>108</v>
      </c>
    </row>
    <row r="694" spans="1:11" hidden="1" x14ac:dyDescent="0.3">
      <c r="A694" t="s">
        <v>37</v>
      </c>
      <c r="B694" t="s">
        <v>60</v>
      </c>
      <c r="C694" t="s">
        <v>98</v>
      </c>
      <c r="D694">
        <v>14.5435</v>
      </c>
      <c r="E694">
        <f>Tableau2[[#This Row],[Potential (PJ)]]/3.6*1000</f>
        <v>4039.8611111111109</v>
      </c>
      <c r="F694">
        <v>13.856068743286791</v>
      </c>
      <c r="G694">
        <f>Tableau2[[#This Row],[Cost (€/GJ)]]/1000000*3600</f>
        <v>4.9881847475832443E-2</v>
      </c>
      <c r="H694">
        <v>24.7</v>
      </c>
      <c r="I694">
        <f>Tableau2[[#This Row],[GHG (kgCO2eq/GJ)]]/1000*3.6</f>
        <v>8.8919999999999999E-2</v>
      </c>
      <c r="J694" t="s">
        <v>107</v>
      </c>
      <c r="K694" t="s">
        <v>109</v>
      </c>
    </row>
    <row r="695" spans="1:11" hidden="1" x14ac:dyDescent="0.3">
      <c r="A695" t="s">
        <v>37</v>
      </c>
      <c r="B695" t="s">
        <v>52</v>
      </c>
      <c r="C695" t="s">
        <v>76</v>
      </c>
      <c r="D695">
        <v>3.1E-2</v>
      </c>
      <c r="E695">
        <f>Tableau2[[#This Row],[Potential (PJ)]]/3.6*1000</f>
        <v>8.6111111111111107</v>
      </c>
      <c r="F695">
        <v>5.4702337500000002</v>
      </c>
      <c r="G695">
        <f>Tableau2[[#This Row],[Cost (€/GJ)]]/1000000*3600</f>
        <v>1.9692841500000002E-2</v>
      </c>
      <c r="H695">
        <v>12.68872359754714</v>
      </c>
      <c r="I695">
        <f>Tableau2[[#This Row],[GHG (kgCO2eq/GJ)]]/1000*3.6</f>
        <v>4.5679404951169705E-2</v>
      </c>
      <c r="J695" t="s">
        <v>105</v>
      </c>
      <c r="K695" t="s">
        <v>108</v>
      </c>
    </row>
    <row r="696" spans="1:11" hidden="1" x14ac:dyDescent="0.3">
      <c r="A696" t="s">
        <v>37</v>
      </c>
      <c r="B696" t="s">
        <v>53</v>
      </c>
      <c r="C696" t="s">
        <v>77</v>
      </c>
      <c r="D696">
        <v>7.3999999999999986</v>
      </c>
      <c r="E696">
        <f>Tableau2[[#This Row],[Potential (PJ)]]/3.6*1000</f>
        <v>2055.5555555555547</v>
      </c>
      <c r="F696">
        <v>2.6303378378378381</v>
      </c>
      <c r="G696">
        <f>Tableau2[[#This Row],[Cost (€/GJ)]]/1000000*3600</f>
        <v>9.4692162162162159E-3</v>
      </c>
      <c r="H696">
        <v>3.86607608129234</v>
      </c>
      <c r="I696">
        <f>Tableau2[[#This Row],[GHG (kgCO2eq/GJ)]]/1000*3.6</f>
        <v>1.3917873892652425E-2</v>
      </c>
      <c r="J696" t="s">
        <v>104</v>
      </c>
      <c r="K696" t="s">
        <v>108</v>
      </c>
    </row>
    <row r="697" spans="1:11" hidden="1" x14ac:dyDescent="0.3">
      <c r="A697" t="s">
        <v>37</v>
      </c>
      <c r="B697" t="s">
        <v>61</v>
      </c>
      <c r="C697" t="s">
        <v>99</v>
      </c>
      <c r="D697">
        <v>22</v>
      </c>
      <c r="E697">
        <f>Tableau2[[#This Row],[Potential (PJ)]]/3.6*1000</f>
        <v>6111.1111111111104</v>
      </c>
      <c r="F697">
        <v>1.267304545454546</v>
      </c>
      <c r="G697">
        <f>Tableau2[[#This Row],[Cost (€/GJ)]]/1000000*3600</f>
        <v>4.5622963636363653E-3</v>
      </c>
      <c r="H697">
        <v>2.9245635910224439</v>
      </c>
      <c r="I697">
        <f>Tableau2[[#This Row],[GHG (kgCO2eq/GJ)]]/1000*3.6</f>
        <v>1.0528428927680798E-2</v>
      </c>
      <c r="J697" t="s">
        <v>104</v>
      </c>
      <c r="K697" t="s">
        <v>108</v>
      </c>
    </row>
    <row r="698" spans="1:11" hidden="1" x14ac:dyDescent="0.3">
      <c r="A698" t="s">
        <v>37</v>
      </c>
      <c r="B698" t="s">
        <v>62</v>
      </c>
      <c r="C698" t="s">
        <v>100</v>
      </c>
      <c r="D698">
        <v>7.2</v>
      </c>
      <c r="E698">
        <f>Tableau2[[#This Row],[Potential (PJ)]]/3.6*1000</f>
        <v>2000</v>
      </c>
      <c r="F698">
        <v>0.42499999999999999</v>
      </c>
      <c r="G698">
        <f>Tableau2[[#This Row],[Cost (€/GJ)]]/1000000*3600</f>
        <v>1.5300000000000001E-3</v>
      </c>
      <c r="H698">
        <v>2.6764106050305911</v>
      </c>
      <c r="I698">
        <f>Tableau2[[#This Row],[GHG (kgCO2eq/GJ)]]/1000*3.6</f>
        <v>9.6350781781101291E-3</v>
      </c>
      <c r="J698" t="s">
        <v>104</v>
      </c>
      <c r="K698" t="s">
        <v>108</v>
      </c>
    </row>
    <row r="699" spans="1:11" hidden="1" x14ac:dyDescent="0.3">
      <c r="A699" t="s">
        <v>37</v>
      </c>
      <c r="B699" t="s">
        <v>54</v>
      </c>
      <c r="C699" t="s">
        <v>78</v>
      </c>
      <c r="D699">
        <v>119.9</v>
      </c>
      <c r="E699">
        <f>Tableau2[[#This Row],[Potential (PJ)]]/3.6*1000</f>
        <v>33305.555555555555</v>
      </c>
      <c r="F699">
        <v>2.6014512093411168</v>
      </c>
      <c r="G699">
        <f>Tableau2[[#This Row],[Cost (€/GJ)]]/1000000*3600</f>
        <v>9.3652243536280211E-3</v>
      </c>
      <c r="H699">
        <v>3.86607608129234</v>
      </c>
      <c r="I699">
        <f>Tableau2[[#This Row],[GHG (kgCO2eq/GJ)]]/1000*3.6</f>
        <v>1.3917873892652425E-2</v>
      </c>
      <c r="J699" t="s">
        <v>104</v>
      </c>
      <c r="K699" t="s">
        <v>108</v>
      </c>
    </row>
    <row r="700" spans="1:11" hidden="1" x14ac:dyDescent="0.3">
      <c r="A700" t="s">
        <v>38</v>
      </c>
      <c r="B700" t="s">
        <v>46</v>
      </c>
      <c r="C700" t="s">
        <v>64</v>
      </c>
      <c r="D700">
        <v>0.55730000000000002</v>
      </c>
      <c r="E700">
        <f>Tableau2[[#This Row],[Potential (PJ)]]/3.6*1000</f>
        <v>154.80555555555557</v>
      </c>
      <c r="F700">
        <v>2.5569999999999999</v>
      </c>
      <c r="G700">
        <f>Tableau2[[#This Row],[Cost (€/GJ)]]/1000000*3600</f>
        <v>9.2052000000000002E-3</v>
      </c>
      <c r="H700">
        <v>2.9521711768407801</v>
      </c>
      <c r="I700">
        <f>Tableau2[[#This Row],[GHG (kgCO2eq/GJ)]]/1000*3.6</f>
        <v>1.0627816236626808E-2</v>
      </c>
      <c r="J700" t="s">
        <v>104</v>
      </c>
      <c r="K700" t="s">
        <v>108</v>
      </c>
    </row>
    <row r="701" spans="1:11" hidden="1" x14ac:dyDescent="0.3">
      <c r="A701" t="s">
        <v>38</v>
      </c>
      <c r="B701" t="s">
        <v>46</v>
      </c>
      <c r="C701" t="s">
        <v>79</v>
      </c>
      <c r="D701">
        <v>14.2</v>
      </c>
      <c r="E701">
        <f>Tableau2[[#This Row],[Potential (PJ)]]/3.6*1000</f>
        <v>3944.4444444444443</v>
      </c>
      <c r="F701">
        <v>0</v>
      </c>
      <c r="G701">
        <f>Tableau2[[#This Row],[Cost (€/GJ)]]/1000000*3600</f>
        <v>0</v>
      </c>
      <c r="H701">
        <v>6.8428961748633883</v>
      </c>
      <c r="I701">
        <f>Tableau2[[#This Row],[GHG (kgCO2eq/GJ)]]/1000*3.6</f>
        <v>2.4634426229508198E-2</v>
      </c>
      <c r="J701" t="s">
        <v>104</v>
      </c>
      <c r="K701" t="s">
        <v>108</v>
      </c>
    </row>
    <row r="702" spans="1:11" hidden="1" x14ac:dyDescent="0.3">
      <c r="A702" t="s">
        <v>38</v>
      </c>
      <c r="B702" t="s">
        <v>46</v>
      </c>
      <c r="C702" t="s">
        <v>65</v>
      </c>
      <c r="D702">
        <v>1.5</v>
      </c>
      <c r="E702">
        <f>Tableau2[[#This Row],[Potential (PJ)]]/3.6*1000</f>
        <v>416.66666666666663</v>
      </c>
      <c r="F702">
        <v>4.359</v>
      </c>
      <c r="G702">
        <f>Tableau2[[#This Row],[Cost (€/GJ)]]/1000000*3600</f>
        <v>1.5692399999999999E-2</v>
      </c>
      <c r="H702">
        <v>2.9521711768407801</v>
      </c>
      <c r="I702">
        <f>Tableau2[[#This Row],[GHG (kgCO2eq/GJ)]]/1000*3.6</f>
        <v>1.0627816236626808E-2</v>
      </c>
      <c r="J702" t="s">
        <v>104</v>
      </c>
      <c r="K702" t="s">
        <v>108</v>
      </c>
    </row>
    <row r="703" spans="1:11" hidden="1" x14ac:dyDescent="0.3">
      <c r="A703" t="s">
        <v>38</v>
      </c>
      <c r="B703" t="s">
        <v>46</v>
      </c>
      <c r="C703" t="s">
        <v>66</v>
      </c>
      <c r="D703">
        <v>14.6</v>
      </c>
      <c r="E703">
        <f>Tableau2[[#This Row],[Potential (PJ)]]/3.6*1000</f>
        <v>4055.5555555555552</v>
      </c>
      <c r="F703">
        <v>2.9180000000000001</v>
      </c>
      <c r="G703">
        <f>Tableau2[[#This Row],[Cost (€/GJ)]]/1000000*3600</f>
        <v>1.0504800000000002E-2</v>
      </c>
      <c r="H703">
        <v>6.8428961748633883</v>
      </c>
      <c r="I703">
        <f>Tableau2[[#This Row],[GHG (kgCO2eq/GJ)]]/1000*3.6</f>
        <v>2.4634426229508198E-2</v>
      </c>
      <c r="J703" t="s">
        <v>104</v>
      </c>
      <c r="K703" t="s">
        <v>108</v>
      </c>
    </row>
    <row r="704" spans="1:11" hidden="1" x14ac:dyDescent="0.3">
      <c r="A704" t="s">
        <v>38</v>
      </c>
      <c r="B704" t="s">
        <v>46</v>
      </c>
      <c r="C704" t="s">
        <v>82</v>
      </c>
      <c r="D704">
        <v>0.3</v>
      </c>
      <c r="E704">
        <f>Tableau2[[#This Row],[Potential (PJ)]]/3.6*1000</f>
        <v>83.333333333333329</v>
      </c>
      <c r="F704">
        <v>0</v>
      </c>
      <c r="G704">
        <f>Tableau2[[#This Row],[Cost (€/GJ)]]/1000000*3600</f>
        <v>0</v>
      </c>
      <c r="H704">
        <v>6.8428961748633883</v>
      </c>
      <c r="I704">
        <f>Tableau2[[#This Row],[GHG (kgCO2eq/GJ)]]/1000*3.6</f>
        <v>2.4634426229508198E-2</v>
      </c>
      <c r="J704" t="s">
        <v>104</v>
      </c>
      <c r="K704" t="s">
        <v>108</v>
      </c>
    </row>
    <row r="705" spans="1:11" hidden="1" x14ac:dyDescent="0.3">
      <c r="A705" t="s">
        <v>38</v>
      </c>
      <c r="B705" t="s">
        <v>46</v>
      </c>
      <c r="C705" t="s">
        <v>84</v>
      </c>
      <c r="D705">
        <v>0.5</v>
      </c>
      <c r="E705">
        <f>Tableau2[[#This Row],[Potential (PJ)]]/3.6*1000</f>
        <v>138.88888888888889</v>
      </c>
      <c r="F705">
        <v>1.6140000000000001</v>
      </c>
      <c r="G705">
        <f>Tableau2[[#This Row],[Cost (€/GJ)]]/1000000*3600</f>
        <v>5.8104000000000003E-3</v>
      </c>
      <c r="H705">
        <v>28.139870918023309</v>
      </c>
      <c r="I705">
        <f>Tableau2[[#This Row],[GHG (kgCO2eq/GJ)]]/1000*3.6</f>
        <v>0.10130353530488391</v>
      </c>
      <c r="J705" t="s">
        <v>105</v>
      </c>
      <c r="K705" t="s">
        <v>108</v>
      </c>
    </row>
    <row r="706" spans="1:11" hidden="1" x14ac:dyDescent="0.3">
      <c r="A706" t="s">
        <v>38</v>
      </c>
      <c r="B706" t="s">
        <v>46</v>
      </c>
      <c r="C706" t="s">
        <v>85</v>
      </c>
      <c r="D706">
        <v>0.4</v>
      </c>
      <c r="E706">
        <f>Tableau2[[#This Row],[Potential (PJ)]]/3.6*1000</f>
        <v>111.11111111111111</v>
      </c>
      <c r="F706">
        <v>4.0759999999999996</v>
      </c>
      <c r="G706">
        <f>Tableau2[[#This Row],[Cost (€/GJ)]]/1000000*3600</f>
        <v>1.4673599999999998E-2</v>
      </c>
      <c r="H706">
        <v>2.9521711768407801</v>
      </c>
      <c r="I706">
        <f>Tableau2[[#This Row],[GHG (kgCO2eq/GJ)]]/1000*3.6</f>
        <v>1.0627816236626808E-2</v>
      </c>
      <c r="J706" t="s">
        <v>104</v>
      </c>
      <c r="K706" t="s">
        <v>108</v>
      </c>
    </row>
    <row r="707" spans="1:11" hidden="1" x14ac:dyDescent="0.3">
      <c r="A707" t="s">
        <v>38</v>
      </c>
      <c r="B707" t="s">
        <v>47</v>
      </c>
      <c r="C707" t="s">
        <v>68</v>
      </c>
      <c r="D707">
        <v>17.7</v>
      </c>
      <c r="E707">
        <f>Tableau2[[#This Row],[Potential (PJ)]]/3.6*1000</f>
        <v>4916.6666666666661</v>
      </c>
      <c r="F707">
        <v>3.9209999999999998</v>
      </c>
      <c r="G707">
        <f>Tableau2[[#This Row],[Cost (€/GJ)]]/1000000*3600</f>
        <v>1.4115600000000001E-2</v>
      </c>
      <c r="H707">
        <v>14.1</v>
      </c>
      <c r="I707">
        <f>Tableau2[[#This Row],[GHG (kgCO2eq/GJ)]]/1000*3.6</f>
        <v>5.076E-2</v>
      </c>
      <c r="J707" t="s">
        <v>104</v>
      </c>
      <c r="K707" t="s">
        <v>109</v>
      </c>
    </row>
    <row r="708" spans="1:11" hidden="1" x14ac:dyDescent="0.3">
      <c r="A708" t="s">
        <v>38</v>
      </c>
      <c r="B708" t="s">
        <v>47</v>
      </c>
      <c r="C708" t="s">
        <v>69</v>
      </c>
      <c r="D708">
        <v>12.4</v>
      </c>
      <c r="E708">
        <f>Tableau2[[#This Row],[Potential (PJ)]]/3.6*1000</f>
        <v>3444.4444444444448</v>
      </c>
      <c r="F708">
        <v>3.9129999999999998</v>
      </c>
      <c r="G708">
        <f>Tableau2[[#This Row],[Cost (€/GJ)]]/1000000*3600</f>
        <v>1.4086799999999998E-2</v>
      </c>
      <c r="H708">
        <v>14.1</v>
      </c>
      <c r="I708">
        <f>Tableau2[[#This Row],[GHG (kgCO2eq/GJ)]]/1000*3.6</f>
        <v>5.076E-2</v>
      </c>
      <c r="J708" t="s">
        <v>104</v>
      </c>
      <c r="K708" t="s">
        <v>109</v>
      </c>
    </row>
    <row r="709" spans="1:11" hidden="1" x14ac:dyDescent="0.3">
      <c r="A709" t="s">
        <v>38</v>
      </c>
      <c r="B709" t="s">
        <v>48</v>
      </c>
      <c r="C709" t="s">
        <v>70</v>
      </c>
      <c r="D709">
        <v>6.6</v>
      </c>
      <c r="E709">
        <f>Tableau2[[#This Row],[Potential (PJ)]]/3.6*1000</f>
        <v>1833.3333333333333</v>
      </c>
      <c r="F709">
        <v>10.097</v>
      </c>
      <c r="G709">
        <f>Tableau2[[#This Row],[Cost (€/GJ)]]/1000000*3600</f>
        <v>3.6349199999999998E-2</v>
      </c>
      <c r="H709">
        <v>0</v>
      </c>
      <c r="I709">
        <f>Tableau2[[#This Row],[GHG (kgCO2eq/GJ)]]/1000*3.6</f>
        <v>0</v>
      </c>
      <c r="J709" t="s">
        <v>104</v>
      </c>
      <c r="K709" t="s">
        <v>109</v>
      </c>
    </row>
    <row r="710" spans="1:11" hidden="1" x14ac:dyDescent="0.3">
      <c r="A710" t="s">
        <v>38</v>
      </c>
      <c r="B710" t="s">
        <v>49</v>
      </c>
      <c r="C710" t="s">
        <v>72</v>
      </c>
      <c r="D710">
        <v>5.8</v>
      </c>
      <c r="E710">
        <f>Tableau2[[#This Row],[Potential (PJ)]]/3.6*1000</f>
        <v>1611.1111111111109</v>
      </c>
      <c r="F710">
        <v>0</v>
      </c>
      <c r="G710">
        <f>Tableau2[[#This Row],[Cost (€/GJ)]]/1000000*3600</f>
        <v>0</v>
      </c>
      <c r="H710">
        <v>3.86607608129234</v>
      </c>
      <c r="I710">
        <f>Tableau2[[#This Row],[GHG (kgCO2eq/GJ)]]/1000*3.6</f>
        <v>1.3917873892652425E-2</v>
      </c>
      <c r="J710" t="s">
        <v>104</v>
      </c>
      <c r="K710" t="s">
        <v>108</v>
      </c>
    </row>
    <row r="711" spans="1:11" hidden="1" x14ac:dyDescent="0.3">
      <c r="A711" t="s">
        <v>38</v>
      </c>
      <c r="B711" t="s">
        <v>50</v>
      </c>
      <c r="C711" t="s">
        <v>73</v>
      </c>
      <c r="D711">
        <v>4.5999999999999996</v>
      </c>
      <c r="E711">
        <f>Tableau2[[#This Row],[Potential (PJ)]]/3.6*1000</f>
        <v>1277.7777777777776</v>
      </c>
      <c r="F711">
        <v>5.4240000000000004</v>
      </c>
      <c r="G711">
        <f>Tableau2[[#This Row],[Cost (€/GJ)]]/1000000*3600</f>
        <v>1.9526399999999999E-2</v>
      </c>
      <c r="H711">
        <v>20.723404255319149</v>
      </c>
      <c r="I711">
        <f>Tableau2[[#This Row],[GHG (kgCO2eq/GJ)]]/1000*3.6</f>
        <v>7.4604255319148938E-2</v>
      </c>
      <c r="J711" t="s">
        <v>105</v>
      </c>
      <c r="K711" t="s">
        <v>108</v>
      </c>
    </row>
    <row r="712" spans="1:11" hidden="1" x14ac:dyDescent="0.3">
      <c r="A712" t="s">
        <v>38</v>
      </c>
      <c r="B712" t="s">
        <v>50</v>
      </c>
      <c r="C712" t="s">
        <v>74</v>
      </c>
      <c r="D712">
        <v>5.9</v>
      </c>
      <c r="E712">
        <f>Tableau2[[#This Row],[Potential (PJ)]]/3.6*1000</f>
        <v>1638.8888888888889</v>
      </c>
      <c r="F712">
        <v>3.484</v>
      </c>
      <c r="G712">
        <f>Tableau2[[#This Row],[Cost (€/GJ)]]/1000000*3600</f>
        <v>1.25424E-2</v>
      </c>
      <c r="H712">
        <v>2.0635593220338988</v>
      </c>
      <c r="I712">
        <f>Tableau2[[#This Row],[GHG (kgCO2eq/GJ)]]/1000*3.6</f>
        <v>7.4288135593220351E-3</v>
      </c>
      <c r="J712" t="s">
        <v>105</v>
      </c>
      <c r="K712" t="s">
        <v>108</v>
      </c>
    </row>
    <row r="713" spans="1:11" hidden="1" x14ac:dyDescent="0.3">
      <c r="A713" t="s">
        <v>38</v>
      </c>
      <c r="B713" t="s">
        <v>51</v>
      </c>
      <c r="C713" t="s">
        <v>75</v>
      </c>
      <c r="D713">
        <v>21.347729999999999</v>
      </c>
      <c r="E713">
        <f>Tableau2[[#This Row],[Potential (PJ)]]/3.6*1000</f>
        <v>5929.9250000000002</v>
      </c>
      <c r="F713">
        <v>8.9872161086532704E-2</v>
      </c>
      <c r="G713">
        <f>Tableau2[[#This Row],[Cost (€/GJ)]]/1000000*3600</f>
        <v>3.2353977991151771E-4</v>
      </c>
      <c r="H713">
        <v>11.74</v>
      </c>
      <c r="I713">
        <f>Tableau2[[#This Row],[GHG (kgCO2eq/GJ)]]/1000*3.6</f>
        <v>4.2264000000000003E-2</v>
      </c>
      <c r="J713" t="s">
        <v>104</v>
      </c>
      <c r="K713" t="s">
        <v>108</v>
      </c>
    </row>
    <row r="714" spans="1:11" hidden="1" x14ac:dyDescent="0.3">
      <c r="A714" t="s">
        <v>38</v>
      </c>
      <c r="B714" t="s">
        <v>52</v>
      </c>
      <c r="C714" t="s">
        <v>76</v>
      </c>
      <c r="D714">
        <v>0.01</v>
      </c>
      <c r="E714">
        <f>Tableau2[[#This Row],[Potential (PJ)]]/3.6*1000</f>
        <v>2.7777777777777777</v>
      </c>
      <c r="F714">
        <v>5.4702337500000002</v>
      </c>
      <c r="G714">
        <f>Tableau2[[#This Row],[Cost (€/GJ)]]/1000000*3600</f>
        <v>1.9692841500000002E-2</v>
      </c>
      <c r="H714">
        <v>12.68872359754714</v>
      </c>
      <c r="I714">
        <f>Tableau2[[#This Row],[GHG (kgCO2eq/GJ)]]/1000*3.6</f>
        <v>4.5679404951169705E-2</v>
      </c>
      <c r="J714" t="s">
        <v>105</v>
      </c>
      <c r="K714" t="s">
        <v>108</v>
      </c>
    </row>
    <row r="715" spans="1:11" hidden="1" x14ac:dyDescent="0.3">
      <c r="A715" t="s">
        <v>38</v>
      </c>
      <c r="B715" t="s">
        <v>53</v>
      </c>
      <c r="C715" t="s">
        <v>77</v>
      </c>
      <c r="D715">
        <v>22.4</v>
      </c>
      <c r="E715">
        <f>Tableau2[[#This Row],[Potential (PJ)]]/3.6*1000</f>
        <v>6222.2222222222217</v>
      </c>
      <c r="F715">
        <v>0</v>
      </c>
      <c r="G715">
        <f>Tableau2[[#This Row],[Cost (€/GJ)]]/1000000*3600</f>
        <v>0</v>
      </c>
      <c r="H715">
        <v>3.86607608129234</v>
      </c>
      <c r="I715">
        <f>Tableau2[[#This Row],[GHG (kgCO2eq/GJ)]]/1000*3.6</f>
        <v>1.3917873892652425E-2</v>
      </c>
      <c r="J715" t="s">
        <v>104</v>
      </c>
      <c r="K715" t="s">
        <v>108</v>
      </c>
    </row>
    <row r="716" spans="1:11" hidden="1" x14ac:dyDescent="0.3">
      <c r="A716" t="s">
        <v>39</v>
      </c>
      <c r="B716" t="s">
        <v>46</v>
      </c>
      <c r="C716" t="s">
        <v>64</v>
      </c>
      <c r="D716">
        <v>8.09E-3</v>
      </c>
      <c r="E716">
        <f>Tableau2[[#This Row],[Potential (PJ)]]/3.6*1000</f>
        <v>2.2472222222222222</v>
      </c>
      <c r="F716">
        <v>6.9171569839307789</v>
      </c>
      <c r="G716">
        <f>Tableau2[[#This Row],[Cost (€/GJ)]]/1000000*3600</f>
        <v>2.4901765142150804E-2</v>
      </c>
      <c r="H716">
        <v>2.9521711768407801</v>
      </c>
      <c r="I716">
        <f>Tableau2[[#This Row],[GHG (kgCO2eq/GJ)]]/1000*3.6</f>
        <v>1.0627816236626808E-2</v>
      </c>
      <c r="J716" t="s">
        <v>104</v>
      </c>
      <c r="K716" t="s">
        <v>108</v>
      </c>
    </row>
    <row r="717" spans="1:11" hidden="1" x14ac:dyDescent="0.3">
      <c r="A717" t="s">
        <v>39</v>
      </c>
      <c r="B717" t="s">
        <v>46</v>
      </c>
      <c r="C717" t="s">
        <v>79</v>
      </c>
      <c r="D717">
        <v>14.7</v>
      </c>
      <c r="E717">
        <f>Tableau2[[#This Row],[Potential (PJ)]]/3.6*1000</f>
        <v>4083.333333333333</v>
      </c>
      <c r="F717">
        <v>3.7067346938775509</v>
      </c>
      <c r="G717">
        <f>Tableau2[[#This Row],[Cost (€/GJ)]]/1000000*3600</f>
        <v>1.3344244897959184E-2</v>
      </c>
      <c r="H717">
        <v>6.8428961748633883</v>
      </c>
      <c r="I717">
        <f>Tableau2[[#This Row],[GHG (kgCO2eq/GJ)]]/1000*3.6</f>
        <v>2.4634426229508198E-2</v>
      </c>
      <c r="J717" t="s">
        <v>104</v>
      </c>
      <c r="K717" t="s">
        <v>108</v>
      </c>
    </row>
    <row r="718" spans="1:11" hidden="1" x14ac:dyDescent="0.3">
      <c r="A718" t="s">
        <v>39</v>
      </c>
      <c r="B718" t="s">
        <v>46</v>
      </c>
      <c r="C718" t="s">
        <v>80</v>
      </c>
      <c r="D718">
        <v>1.1555</v>
      </c>
      <c r="E718">
        <f>Tableau2[[#This Row],[Potential (PJ)]]/3.6*1000</f>
        <v>320.97222222222223</v>
      </c>
      <c r="F718">
        <v>0.56844234659474036</v>
      </c>
      <c r="G718">
        <f>Tableau2[[#This Row],[Cost (€/GJ)]]/1000000*3600</f>
        <v>2.0463924477410653E-3</v>
      </c>
      <c r="H718">
        <v>28.139870918023309</v>
      </c>
      <c r="I718">
        <f>Tableau2[[#This Row],[GHG (kgCO2eq/GJ)]]/1000*3.6</f>
        <v>0.10130353530488391</v>
      </c>
      <c r="J718" t="s">
        <v>105</v>
      </c>
      <c r="K718" t="s">
        <v>108</v>
      </c>
    </row>
    <row r="719" spans="1:11" hidden="1" x14ac:dyDescent="0.3">
      <c r="A719" t="s">
        <v>39</v>
      </c>
      <c r="B719" t="s">
        <v>46</v>
      </c>
      <c r="C719" t="s">
        <v>81</v>
      </c>
      <c r="D719">
        <v>6.7999999999999996E-3</v>
      </c>
      <c r="E719">
        <f>Tableau2[[#This Row],[Potential (PJ)]]/3.6*1000</f>
        <v>1.8888888888888888</v>
      </c>
      <c r="F719">
        <v>3.150998824911869</v>
      </c>
      <c r="G719">
        <f>Tableau2[[#This Row],[Cost (€/GJ)]]/1000000*3600</f>
        <v>1.1343595769682729E-2</v>
      </c>
      <c r="H719">
        <v>8.9647473560517046</v>
      </c>
      <c r="I719">
        <f>Tableau2[[#This Row],[GHG (kgCO2eq/GJ)]]/1000*3.6</f>
        <v>3.2273090481786136E-2</v>
      </c>
      <c r="J719" t="s">
        <v>105</v>
      </c>
      <c r="K719" t="s">
        <v>108</v>
      </c>
    </row>
    <row r="720" spans="1:11" hidden="1" x14ac:dyDescent="0.3">
      <c r="A720" t="s">
        <v>39</v>
      </c>
      <c r="B720" t="s">
        <v>46</v>
      </c>
      <c r="C720" t="s">
        <v>82</v>
      </c>
      <c r="D720">
        <v>1</v>
      </c>
      <c r="E720">
        <f>Tableau2[[#This Row],[Potential (PJ)]]/3.6*1000</f>
        <v>277.77777777777777</v>
      </c>
      <c r="F720">
        <v>2.3569</v>
      </c>
      <c r="G720">
        <f>Tableau2[[#This Row],[Cost (€/GJ)]]/1000000*3600</f>
        <v>8.4848399999999987E-3</v>
      </c>
      <c r="H720">
        <v>6.8428961748633883</v>
      </c>
      <c r="I720">
        <f>Tableau2[[#This Row],[GHG (kgCO2eq/GJ)]]/1000*3.6</f>
        <v>2.4634426229508198E-2</v>
      </c>
      <c r="J720" t="s">
        <v>104</v>
      </c>
      <c r="K720" t="s">
        <v>108</v>
      </c>
    </row>
    <row r="721" spans="1:11" hidden="1" x14ac:dyDescent="0.3">
      <c r="A721" t="s">
        <v>39</v>
      </c>
      <c r="B721" t="s">
        <v>46</v>
      </c>
      <c r="C721" t="s">
        <v>84</v>
      </c>
      <c r="D721">
        <v>0.2</v>
      </c>
      <c r="E721">
        <f>Tableau2[[#This Row],[Potential (PJ)]]/3.6*1000</f>
        <v>55.555555555555557</v>
      </c>
      <c r="F721">
        <v>2.7930000000000001</v>
      </c>
      <c r="G721">
        <f>Tableau2[[#This Row],[Cost (€/GJ)]]/1000000*3600</f>
        <v>1.0054800000000001E-2</v>
      </c>
      <c r="H721">
        <v>28.139870918023309</v>
      </c>
      <c r="I721">
        <f>Tableau2[[#This Row],[GHG (kgCO2eq/GJ)]]/1000*3.6</f>
        <v>0.10130353530488391</v>
      </c>
      <c r="J721" t="s">
        <v>105</v>
      </c>
      <c r="K721" t="s">
        <v>108</v>
      </c>
    </row>
    <row r="722" spans="1:11" hidden="1" x14ac:dyDescent="0.3">
      <c r="A722" t="s">
        <v>39</v>
      </c>
      <c r="B722" t="s">
        <v>55</v>
      </c>
      <c r="C722" t="s">
        <v>86</v>
      </c>
      <c r="D722">
        <v>0.3044</v>
      </c>
      <c r="E722">
        <f>Tableau2[[#This Row],[Potential (PJ)]]/3.6*1000</f>
        <v>84.555555555555557</v>
      </c>
      <c r="F722">
        <v>16.594999999999999</v>
      </c>
      <c r="G722">
        <f>Tableau2[[#This Row],[Cost (€/GJ)]]/1000000*3600</f>
        <v>5.9741999999999996E-2</v>
      </c>
      <c r="H722">
        <v>14.2</v>
      </c>
      <c r="I722">
        <f>Tableau2[[#This Row],[GHG (kgCO2eq/GJ)]]/1000*3.6</f>
        <v>5.1119999999999999E-2</v>
      </c>
      <c r="J722" t="s">
        <v>106</v>
      </c>
      <c r="K722" t="s">
        <v>109</v>
      </c>
    </row>
    <row r="723" spans="1:11" hidden="1" x14ac:dyDescent="0.3">
      <c r="A723" t="s">
        <v>39</v>
      </c>
      <c r="B723" t="s">
        <v>55</v>
      </c>
      <c r="C723" t="s">
        <v>89</v>
      </c>
      <c r="D723">
        <v>5.9200000000000003E-2</v>
      </c>
      <c r="E723">
        <f>Tableau2[[#This Row],[Potential (PJ)]]/3.6*1000</f>
        <v>16.444444444444446</v>
      </c>
      <c r="F723">
        <v>0</v>
      </c>
      <c r="G723">
        <f>Tableau2[[#This Row],[Cost (€/GJ)]]/1000000*3600</f>
        <v>0</v>
      </c>
      <c r="H723">
        <v>14.2</v>
      </c>
      <c r="I723">
        <f>Tableau2[[#This Row],[GHG (kgCO2eq/GJ)]]/1000*3.6</f>
        <v>5.1119999999999999E-2</v>
      </c>
      <c r="J723" t="s">
        <v>106</v>
      </c>
      <c r="K723" t="s">
        <v>109</v>
      </c>
    </row>
    <row r="724" spans="1:11" hidden="1" x14ac:dyDescent="0.3">
      <c r="A724" t="s">
        <v>39</v>
      </c>
      <c r="B724" t="s">
        <v>55</v>
      </c>
      <c r="C724" t="s">
        <v>91</v>
      </c>
      <c r="D724">
        <v>1E-4</v>
      </c>
      <c r="E724">
        <f>Tableau2[[#This Row],[Potential (PJ)]]/3.6*1000</f>
        <v>2.777777777777778E-2</v>
      </c>
      <c r="F724">
        <v>15.297000000000001</v>
      </c>
      <c r="G724">
        <f>Tableau2[[#This Row],[Cost (€/GJ)]]/1000000*3600</f>
        <v>5.5069199999999999E-2</v>
      </c>
      <c r="H724">
        <v>14.2</v>
      </c>
      <c r="I724">
        <f>Tableau2[[#This Row],[GHG (kgCO2eq/GJ)]]/1000*3.6</f>
        <v>5.1119999999999999E-2</v>
      </c>
      <c r="J724" t="s">
        <v>106</v>
      </c>
      <c r="K724" t="s">
        <v>109</v>
      </c>
    </row>
    <row r="725" spans="1:11" hidden="1" x14ac:dyDescent="0.3">
      <c r="A725" t="s">
        <v>39</v>
      </c>
      <c r="B725" t="s">
        <v>55</v>
      </c>
      <c r="C725" t="s">
        <v>92</v>
      </c>
      <c r="D725">
        <v>9.3119999999999994E-2</v>
      </c>
      <c r="E725">
        <f>Tableau2[[#This Row],[Potential (PJ)]]/3.6*1000</f>
        <v>25.866666666666664</v>
      </c>
      <c r="F725">
        <v>17.721</v>
      </c>
      <c r="G725">
        <f>Tableau2[[#This Row],[Cost (€/GJ)]]/1000000*3600</f>
        <v>6.3795599999999994E-2</v>
      </c>
      <c r="H725">
        <v>14.2</v>
      </c>
      <c r="I725">
        <f>Tableau2[[#This Row],[GHG (kgCO2eq/GJ)]]/1000*3.6</f>
        <v>5.1119999999999999E-2</v>
      </c>
      <c r="J725" t="s">
        <v>106</v>
      </c>
      <c r="K725" t="s">
        <v>109</v>
      </c>
    </row>
    <row r="726" spans="1:11" hidden="1" x14ac:dyDescent="0.3">
      <c r="A726" t="s">
        <v>39</v>
      </c>
      <c r="B726" t="s">
        <v>56</v>
      </c>
      <c r="C726" t="s">
        <v>93</v>
      </c>
      <c r="D726">
        <v>5.4375999999999998</v>
      </c>
      <c r="E726">
        <f>Tableau2[[#This Row],[Potential (PJ)]]/3.6*1000</f>
        <v>1510.4444444444443</v>
      </c>
      <c r="F726">
        <v>2.939759036144578</v>
      </c>
      <c r="G726">
        <f>Tableau2[[#This Row],[Cost (€/GJ)]]/1000000*3600</f>
        <v>1.0583132530120481E-2</v>
      </c>
      <c r="H726">
        <v>0.1</v>
      </c>
      <c r="I726">
        <f>Tableau2[[#This Row],[GHG (kgCO2eq/GJ)]]/1000*3.6</f>
        <v>3.6000000000000002E-4</v>
      </c>
      <c r="J726" t="s">
        <v>106</v>
      </c>
      <c r="K726" t="s">
        <v>109</v>
      </c>
    </row>
    <row r="727" spans="1:11" hidden="1" x14ac:dyDescent="0.3">
      <c r="A727" t="s">
        <v>39</v>
      </c>
      <c r="B727" t="s">
        <v>47</v>
      </c>
      <c r="C727" t="s">
        <v>101</v>
      </c>
      <c r="D727">
        <v>10.5</v>
      </c>
      <c r="E727">
        <f>Tableau2[[#This Row],[Potential (PJ)]]/3.6*1000</f>
        <v>2916.6666666666665</v>
      </c>
      <c r="F727">
        <v>7.2860190476190478</v>
      </c>
      <c r="G727">
        <f>Tableau2[[#This Row],[Cost (€/GJ)]]/1000000*3600</f>
        <v>2.6229668571428572E-2</v>
      </c>
      <c r="H727">
        <v>29.3</v>
      </c>
      <c r="I727">
        <f>Tableau2[[#This Row],[GHG (kgCO2eq/GJ)]]/1000*3.6</f>
        <v>0.10548</v>
      </c>
      <c r="J727" t="s">
        <v>104</v>
      </c>
      <c r="K727" t="s">
        <v>109</v>
      </c>
    </row>
    <row r="728" spans="1:11" hidden="1" x14ac:dyDescent="0.3">
      <c r="A728" t="s">
        <v>39</v>
      </c>
      <c r="B728" t="s">
        <v>57</v>
      </c>
      <c r="C728" t="s">
        <v>94</v>
      </c>
      <c r="D728">
        <v>3.9</v>
      </c>
      <c r="E728">
        <f>Tableau2[[#This Row],[Potential (PJ)]]/3.6*1000</f>
        <v>1083.3333333333333</v>
      </c>
      <c r="F728">
        <v>12.819692307692311</v>
      </c>
      <c r="G728">
        <f>Tableau2[[#This Row],[Cost (€/GJ)]]/1000000*3600</f>
        <v>4.6150892307692322E-2</v>
      </c>
      <c r="H728">
        <v>15.9</v>
      </c>
      <c r="I728">
        <f>Tableau2[[#This Row],[GHG (kgCO2eq/GJ)]]/1000*3.6</f>
        <v>5.7240000000000006E-2</v>
      </c>
      <c r="J728" t="s">
        <v>104</v>
      </c>
      <c r="K728" t="s">
        <v>109</v>
      </c>
    </row>
    <row r="729" spans="1:11" hidden="1" x14ac:dyDescent="0.3">
      <c r="A729" t="s">
        <v>39</v>
      </c>
      <c r="B729" t="s">
        <v>49</v>
      </c>
      <c r="C729" t="s">
        <v>71</v>
      </c>
      <c r="D729">
        <v>172.17430999999999</v>
      </c>
      <c r="E729">
        <f>Tableau2[[#This Row],[Potential (PJ)]]/3.6*1000</f>
        <v>47826.197222222218</v>
      </c>
      <c r="F729">
        <v>5.1938155587787751</v>
      </c>
      <c r="G729">
        <f>Tableau2[[#This Row],[Cost (€/GJ)]]/1000000*3600</f>
        <v>1.8697736011603589E-2</v>
      </c>
      <c r="H729">
        <v>3.86607608129234</v>
      </c>
      <c r="I729">
        <f>Tableau2[[#This Row],[GHG (kgCO2eq/GJ)]]/1000*3.6</f>
        <v>1.3917873892652425E-2</v>
      </c>
      <c r="J729" t="s">
        <v>104</v>
      </c>
      <c r="K729" t="s">
        <v>108</v>
      </c>
    </row>
    <row r="730" spans="1:11" hidden="1" x14ac:dyDescent="0.3">
      <c r="A730" t="s">
        <v>39</v>
      </c>
      <c r="B730" t="s">
        <v>49</v>
      </c>
      <c r="C730" t="s">
        <v>72</v>
      </c>
      <c r="D730">
        <v>8.9</v>
      </c>
      <c r="E730">
        <f>Tableau2[[#This Row],[Potential (PJ)]]/3.6*1000</f>
        <v>2472.2222222222222</v>
      </c>
      <c r="F730">
        <v>4.1525842696629214</v>
      </c>
      <c r="G730">
        <f>Tableau2[[#This Row],[Cost (€/GJ)]]/1000000*3600</f>
        <v>1.4949303370786517E-2</v>
      </c>
      <c r="H730">
        <v>3.86607608129234</v>
      </c>
      <c r="I730">
        <f>Tableau2[[#This Row],[GHG (kgCO2eq/GJ)]]/1000*3.6</f>
        <v>1.3917873892652425E-2</v>
      </c>
      <c r="J730" t="s">
        <v>104</v>
      </c>
      <c r="K730" t="s">
        <v>108</v>
      </c>
    </row>
    <row r="731" spans="1:11" hidden="1" x14ac:dyDescent="0.3">
      <c r="A731" t="s">
        <v>39</v>
      </c>
      <c r="B731" t="s">
        <v>58</v>
      </c>
      <c r="C731" t="s">
        <v>95</v>
      </c>
      <c r="D731">
        <v>28.578890000000001</v>
      </c>
      <c r="E731">
        <f>Tableau2[[#This Row],[Potential (PJ)]]/3.6*1000</f>
        <v>7938.5805555555553</v>
      </c>
      <c r="F731">
        <v>2.3429946033593332</v>
      </c>
      <c r="G731">
        <f>Tableau2[[#This Row],[Cost (€/GJ)]]/1000000*3600</f>
        <v>8.4347805720935993E-3</v>
      </c>
      <c r="H731">
        <v>2.9521711768407801</v>
      </c>
      <c r="I731">
        <f>Tableau2[[#This Row],[GHG (kgCO2eq/GJ)]]/1000*3.6</f>
        <v>1.0627816236626808E-2</v>
      </c>
      <c r="J731" t="s">
        <v>104</v>
      </c>
      <c r="K731" t="s">
        <v>108</v>
      </c>
    </row>
    <row r="732" spans="1:11" hidden="1" x14ac:dyDescent="0.3">
      <c r="A732" t="s">
        <v>39</v>
      </c>
      <c r="B732" t="s">
        <v>50</v>
      </c>
      <c r="C732" t="s">
        <v>73</v>
      </c>
      <c r="D732">
        <v>3.3</v>
      </c>
      <c r="E732">
        <f>Tableau2[[#This Row],[Potential (PJ)]]/3.6*1000</f>
        <v>916.66666666666663</v>
      </c>
      <c r="F732">
        <v>5.7799696969696974</v>
      </c>
      <c r="G732">
        <f>Tableau2[[#This Row],[Cost (€/GJ)]]/1000000*3600</f>
        <v>2.0807890909090913E-2</v>
      </c>
      <c r="H732">
        <v>20.723404255319149</v>
      </c>
      <c r="I732">
        <f>Tableau2[[#This Row],[GHG (kgCO2eq/GJ)]]/1000*3.6</f>
        <v>7.4604255319148938E-2</v>
      </c>
      <c r="J732" t="s">
        <v>105</v>
      </c>
      <c r="K732" t="s">
        <v>108</v>
      </c>
    </row>
    <row r="733" spans="1:11" hidden="1" x14ac:dyDescent="0.3">
      <c r="A733" t="s">
        <v>39</v>
      </c>
      <c r="B733" t="s">
        <v>50</v>
      </c>
      <c r="C733" t="s">
        <v>74</v>
      </c>
      <c r="D733">
        <v>14.3</v>
      </c>
      <c r="E733">
        <f>Tableau2[[#This Row],[Potential (PJ)]]/3.6*1000</f>
        <v>3972.2222222222222</v>
      </c>
      <c r="F733">
        <v>6.7523146853146843</v>
      </c>
      <c r="G733">
        <f>Tableau2[[#This Row],[Cost (€/GJ)]]/1000000*3600</f>
        <v>2.4308332867132864E-2</v>
      </c>
      <c r="H733">
        <v>2.0635593220338988</v>
      </c>
      <c r="I733">
        <f>Tableau2[[#This Row],[GHG (kgCO2eq/GJ)]]/1000*3.6</f>
        <v>7.4288135593220351E-3</v>
      </c>
      <c r="J733" t="s">
        <v>105</v>
      </c>
      <c r="K733" t="s">
        <v>108</v>
      </c>
    </row>
    <row r="734" spans="1:11" hidden="1" x14ac:dyDescent="0.3">
      <c r="A734" t="s">
        <v>39</v>
      </c>
      <c r="B734" t="s">
        <v>51</v>
      </c>
      <c r="C734" t="s">
        <v>75</v>
      </c>
      <c r="D734">
        <v>34.685760000000002</v>
      </c>
      <c r="E734">
        <f>Tableau2[[#This Row],[Potential (PJ)]]/3.6*1000</f>
        <v>9634.9333333333343</v>
      </c>
      <c r="F734">
        <v>3.4017708500826598E-3</v>
      </c>
      <c r="G734">
        <f>Tableau2[[#This Row],[Cost (€/GJ)]]/1000000*3600</f>
        <v>1.2246375060297575E-5</v>
      </c>
      <c r="H734">
        <v>11.74</v>
      </c>
      <c r="I734">
        <f>Tableau2[[#This Row],[GHG (kgCO2eq/GJ)]]/1000*3.6</f>
        <v>4.2264000000000003E-2</v>
      </c>
      <c r="J734" t="s">
        <v>104</v>
      </c>
      <c r="K734" t="s">
        <v>108</v>
      </c>
    </row>
    <row r="735" spans="1:11" hidden="1" x14ac:dyDescent="0.3">
      <c r="A735" t="s">
        <v>39</v>
      </c>
      <c r="B735" t="s">
        <v>60</v>
      </c>
      <c r="C735" t="s">
        <v>98</v>
      </c>
      <c r="D735">
        <v>1.3563700000000001</v>
      </c>
      <c r="E735">
        <f>Tableau2[[#This Row],[Potential (PJ)]]/3.6*1000</f>
        <v>376.76944444444445</v>
      </c>
      <c r="F735">
        <v>16.004296455424271</v>
      </c>
      <c r="G735">
        <f>Tableau2[[#This Row],[Cost (€/GJ)]]/1000000*3600</f>
        <v>5.7615467239527374E-2</v>
      </c>
      <c r="H735">
        <v>22.8</v>
      </c>
      <c r="I735">
        <f>Tableau2[[#This Row],[GHG (kgCO2eq/GJ)]]/1000*3.6</f>
        <v>8.208E-2</v>
      </c>
      <c r="J735" t="s">
        <v>107</v>
      </c>
      <c r="K735" t="s">
        <v>109</v>
      </c>
    </row>
    <row r="736" spans="1:11" hidden="1" x14ac:dyDescent="0.3">
      <c r="A736" t="s">
        <v>39</v>
      </c>
      <c r="B736" t="s">
        <v>52</v>
      </c>
      <c r="C736" t="s">
        <v>76</v>
      </c>
      <c r="D736">
        <v>2.4220000000000002</v>
      </c>
      <c r="E736">
        <f>Tableau2[[#This Row],[Potential (PJ)]]/3.6*1000</f>
        <v>672.77777777777783</v>
      </c>
      <c r="F736">
        <v>5.4702337500000002</v>
      </c>
      <c r="G736">
        <f>Tableau2[[#This Row],[Cost (€/GJ)]]/1000000*3600</f>
        <v>1.9692841500000002E-2</v>
      </c>
      <c r="H736">
        <v>12.68872359754714</v>
      </c>
      <c r="I736">
        <f>Tableau2[[#This Row],[GHG (kgCO2eq/GJ)]]/1000*3.6</f>
        <v>4.5679404951169705E-2</v>
      </c>
      <c r="J736" t="s">
        <v>105</v>
      </c>
      <c r="K736" t="s">
        <v>108</v>
      </c>
    </row>
    <row r="737" spans="1:11" hidden="1" x14ac:dyDescent="0.3">
      <c r="A737" t="s">
        <v>39</v>
      </c>
      <c r="B737" t="s">
        <v>53</v>
      </c>
      <c r="C737" t="s">
        <v>77</v>
      </c>
      <c r="D737">
        <v>17.100000000000001</v>
      </c>
      <c r="E737">
        <f>Tableau2[[#This Row],[Potential (PJ)]]/3.6*1000</f>
        <v>4750</v>
      </c>
      <c r="F737">
        <v>4.1524795321637429</v>
      </c>
      <c r="G737">
        <f>Tableau2[[#This Row],[Cost (€/GJ)]]/1000000*3600</f>
        <v>1.4948926315789474E-2</v>
      </c>
      <c r="H737">
        <v>3.86607608129234</v>
      </c>
      <c r="I737">
        <f>Tableau2[[#This Row],[GHG (kgCO2eq/GJ)]]/1000*3.6</f>
        <v>1.3917873892652425E-2</v>
      </c>
      <c r="J737" t="s">
        <v>104</v>
      </c>
      <c r="K737" t="s">
        <v>108</v>
      </c>
    </row>
    <row r="738" spans="1:11" hidden="1" x14ac:dyDescent="0.3">
      <c r="A738" t="s">
        <v>39</v>
      </c>
      <c r="B738" t="s">
        <v>61</v>
      </c>
      <c r="C738" t="s">
        <v>99</v>
      </c>
      <c r="D738">
        <v>76</v>
      </c>
      <c r="E738">
        <f>Tableau2[[#This Row],[Potential (PJ)]]/3.6*1000</f>
        <v>21111.111111111109</v>
      </c>
      <c r="F738">
        <v>1.5338710526315791</v>
      </c>
      <c r="G738">
        <f>Tableau2[[#This Row],[Cost (€/GJ)]]/1000000*3600</f>
        <v>5.5219357894736847E-3</v>
      </c>
      <c r="H738">
        <v>2.9245635910224439</v>
      </c>
      <c r="I738">
        <f>Tableau2[[#This Row],[GHG (kgCO2eq/GJ)]]/1000*3.6</f>
        <v>1.0528428927680798E-2</v>
      </c>
      <c r="J738" t="s">
        <v>104</v>
      </c>
      <c r="K738" t="s">
        <v>108</v>
      </c>
    </row>
    <row r="739" spans="1:11" hidden="1" x14ac:dyDescent="0.3">
      <c r="A739" t="s">
        <v>39</v>
      </c>
      <c r="B739" t="s">
        <v>62</v>
      </c>
      <c r="C739" t="s">
        <v>100</v>
      </c>
      <c r="D739">
        <v>34.799999999999997</v>
      </c>
      <c r="E739">
        <f>Tableau2[[#This Row],[Potential (PJ)]]/3.6*1000</f>
        <v>9666.6666666666661</v>
      </c>
      <c r="F739">
        <v>0.46494252873563219</v>
      </c>
      <c r="G739">
        <f>Tableau2[[#This Row],[Cost (€/GJ)]]/1000000*3600</f>
        <v>1.6737931034482758E-3</v>
      </c>
      <c r="H739">
        <v>2.6764106050305911</v>
      </c>
      <c r="I739">
        <f>Tableau2[[#This Row],[GHG (kgCO2eq/GJ)]]/1000*3.6</f>
        <v>9.6350781781101291E-3</v>
      </c>
      <c r="J739" t="s">
        <v>104</v>
      </c>
      <c r="K739" t="s">
        <v>108</v>
      </c>
    </row>
    <row r="740" spans="1:11" hidden="1" x14ac:dyDescent="0.3">
      <c r="A740" t="s">
        <v>39</v>
      </c>
      <c r="B740" t="s">
        <v>54</v>
      </c>
      <c r="C740" t="s">
        <v>78</v>
      </c>
      <c r="D740">
        <v>330.6</v>
      </c>
      <c r="E740">
        <f>Tableau2[[#This Row],[Potential (PJ)]]/3.6*1000</f>
        <v>91833.333333333343</v>
      </c>
      <c r="F740">
        <v>8.6073127646702954</v>
      </c>
      <c r="G740">
        <f>Tableau2[[#This Row],[Cost (€/GJ)]]/1000000*3600</f>
        <v>3.0986325952813063E-2</v>
      </c>
      <c r="H740">
        <v>3.86607608129234</v>
      </c>
      <c r="I740">
        <f>Tableau2[[#This Row],[GHG (kgCO2eq/GJ)]]/1000*3.6</f>
        <v>1.3917873892652425E-2</v>
      </c>
      <c r="J740" t="s">
        <v>104</v>
      </c>
      <c r="K740" t="s">
        <v>108</v>
      </c>
    </row>
    <row r="741" spans="1:11" hidden="1" x14ac:dyDescent="0.3">
      <c r="A741" t="s">
        <v>40</v>
      </c>
      <c r="B741" t="s">
        <v>46</v>
      </c>
      <c r="C741" t="s">
        <v>63</v>
      </c>
      <c r="D741">
        <v>3.5000000000000001E-3</v>
      </c>
      <c r="E741">
        <f>Tableau2[[#This Row],[Potential (PJ)]]/3.6*1000</f>
        <v>0.97222222222222221</v>
      </c>
      <c r="F741">
        <v>2.9286474973375931</v>
      </c>
      <c r="G741">
        <f>Tableau2[[#This Row],[Cost (€/GJ)]]/1000000*3600</f>
        <v>1.0543130990415334E-2</v>
      </c>
      <c r="H741">
        <v>3.950479233226837</v>
      </c>
      <c r="I741">
        <f>Tableau2[[#This Row],[GHG (kgCO2eq/GJ)]]/1000*3.6</f>
        <v>1.4221725239616614E-2</v>
      </c>
      <c r="J741" t="s">
        <v>104</v>
      </c>
      <c r="K741" t="s">
        <v>108</v>
      </c>
    </row>
    <row r="742" spans="1:11" hidden="1" x14ac:dyDescent="0.3">
      <c r="A742" t="s">
        <v>40</v>
      </c>
      <c r="B742" t="s">
        <v>46</v>
      </c>
      <c r="C742" t="s">
        <v>64</v>
      </c>
      <c r="D742">
        <v>2.9020000000000001E-2</v>
      </c>
      <c r="E742">
        <f>Tableau2[[#This Row],[Potential (PJ)]]/3.6*1000</f>
        <v>8.0611111111111118</v>
      </c>
      <c r="F742">
        <v>5.872533080634045</v>
      </c>
      <c r="G742">
        <f>Tableau2[[#This Row],[Cost (€/GJ)]]/1000000*3600</f>
        <v>2.1141119090282559E-2</v>
      </c>
      <c r="H742">
        <v>2.9521711768407801</v>
      </c>
      <c r="I742">
        <f>Tableau2[[#This Row],[GHG (kgCO2eq/GJ)]]/1000*3.6</f>
        <v>1.0627816236626808E-2</v>
      </c>
      <c r="J742" t="s">
        <v>104</v>
      </c>
      <c r="K742" t="s">
        <v>108</v>
      </c>
    </row>
    <row r="743" spans="1:11" hidden="1" x14ac:dyDescent="0.3">
      <c r="A743" t="s">
        <v>40</v>
      </c>
      <c r="B743" t="s">
        <v>46</v>
      </c>
      <c r="C743" t="s">
        <v>80</v>
      </c>
      <c r="D743">
        <v>0.16450000000000001</v>
      </c>
      <c r="E743">
        <f>Tableau2[[#This Row],[Potential (PJ)]]/3.6*1000</f>
        <v>45.69444444444445</v>
      </c>
      <c r="F743">
        <v>2.7417397167902902</v>
      </c>
      <c r="G743">
        <f>Tableau2[[#This Row],[Cost (€/GJ)]]/1000000*3600</f>
        <v>9.870262980445044E-3</v>
      </c>
      <c r="H743">
        <v>28.139870918023309</v>
      </c>
      <c r="I743">
        <f>Tableau2[[#This Row],[GHG (kgCO2eq/GJ)]]/1000*3.6</f>
        <v>0.10130353530488391</v>
      </c>
      <c r="J743" t="s">
        <v>105</v>
      </c>
      <c r="K743" t="s">
        <v>108</v>
      </c>
    </row>
    <row r="744" spans="1:11" hidden="1" x14ac:dyDescent="0.3">
      <c r="A744" t="s">
        <v>40</v>
      </c>
      <c r="B744" t="s">
        <v>46</v>
      </c>
      <c r="C744" t="s">
        <v>81</v>
      </c>
      <c r="D744">
        <v>4.8599999999999997E-2</v>
      </c>
      <c r="E744">
        <f>Tableau2[[#This Row],[Potential (PJ)]]/3.6*1000</f>
        <v>13.499999999999998</v>
      </c>
      <c r="F744">
        <v>2.5616921269095179</v>
      </c>
      <c r="G744">
        <f>Tableau2[[#This Row],[Cost (€/GJ)]]/1000000*3600</f>
        <v>9.2220916568742633E-3</v>
      </c>
      <c r="H744">
        <v>8.9647473560517046</v>
      </c>
      <c r="I744">
        <f>Tableau2[[#This Row],[GHG (kgCO2eq/GJ)]]/1000*3.6</f>
        <v>3.2273090481786136E-2</v>
      </c>
      <c r="J744" t="s">
        <v>105</v>
      </c>
      <c r="K744" t="s">
        <v>108</v>
      </c>
    </row>
    <row r="745" spans="1:11" hidden="1" x14ac:dyDescent="0.3">
      <c r="A745" t="s">
        <v>40</v>
      </c>
      <c r="B745" t="s">
        <v>46</v>
      </c>
      <c r="C745" t="s">
        <v>66</v>
      </c>
      <c r="D745">
        <v>0.3</v>
      </c>
      <c r="E745">
        <f>Tableau2[[#This Row],[Potential (PJ)]]/3.6*1000</f>
        <v>83.333333333333329</v>
      </c>
      <c r="F745">
        <v>2.5283333333333329</v>
      </c>
      <c r="G745">
        <f>Tableau2[[#This Row],[Cost (€/GJ)]]/1000000*3600</f>
        <v>9.101999999999999E-3</v>
      </c>
      <c r="H745">
        <v>6.8428961748633883</v>
      </c>
      <c r="I745">
        <f>Tableau2[[#This Row],[GHG (kgCO2eq/GJ)]]/1000*3.6</f>
        <v>2.4634426229508198E-2</v>
      </c>
      <c r="J745" t="s">
        <v>104</v>
      </c>
      <c r="K745" t="s">
        <v>108</v>
      </c>
    </row>
    <row r="746" spans="1:11" hidden="1" x14ac:dyDescent="0.3">
      <c r="A746" t="s">
        <v>40</v>
      </c>
      <c r="B746" t="s">
        <v>46</v>
      </c>
      <c r="C746" t="s">
        <v>82</v>
      </c>
      <c r="D746">
        <v>0.3</v>
      </c>
      <c r="E746">
        <f>Tableau2[[#This Row],[Potential (PJ)]]/3.6*1000</f>
        <v>83.333333333333329</v>
      </c>
      <c r="F746">
        <v>1.4930000000000001</v>
      </c>
      <c r="G746">
        <f>Tableau2[[#This Row],[Cost (€/GJ)]]/1000000*3600</f>
        <v>5.3748000000000008E-3</v>
      </c>
      <c r="H746">
        <v>6.8428961748633883</v>
      </c>
      <c r="I746">
        <f>Tableau2[[#This Row],[GHG (kgCO2eq/GJ)]]/1000*3.6</f>
        <v>2.4634426229508198E-2</v>
      </c>
      <c r="J746" t="s">
        <v>104</v>
      </c>
      <c r="K746" t="s">
        <v>108</v>
      </c>
    </row>
    <row r="747" spans="1:11" hidden="1" x14ac:dyDescent="0.3">
      <c r="A747" t="s">
        <v>40</v>
      </c>
      <c r="B747" t="s">
        <v>46</v>
      </c>
      <c r="C747" t="s">
        <v>85</v>
      </c>
      <c r="D747">
        <v>0.1</v>
      </c>
      <c r="E747">
        <f>Tableau2[[#This Row],[Potential (PJ)]]/3.6*1000</f>
        <v>27.777777777777779</v>
      </c>
      <c r="F747">
        <v>3.3889999999999998</v>
      </c>
      <c r="G747">
        <f>Tableau2[[#This Row],[Cost (€/GJ)]]/1000000*3600</f>
        <v>1.2200399999999998E-2</v>
      </c>
      <c r="H747">
        <v>2.9521711768407801</v>
      </c>
      <c r="I747">
        <f>Tableau2[[#This Row],[GHG (kgCO2eq/GJ)]]/1000*3.6</f>
        <v>1.0627816236626808E-2</v>
      </c>
      <c r="J747" t="s">
        <v>104</v>
      </c>
      <c r="K747" t="s">
        <v>108</v>
      </c>
    </row>
    <row r="748" spans="1:11" hidden="1" x14ac:dyDescent="0.3">
      <c r="A748" t="s">
        <v>40</v>
      </c>
      <c r="B748" t="s">
        <v>55</v>
      </c>
      <c r="C748" t="s">
        <v>86</v>
      </c>
      <c r="D748">
        <v>0.1094</v>
      </c>
      <c r="E748">
        <f>Tableau2[[#This Row],[Potential (PJ)]]/3.6*1000</f>
        <v>30.388888888888889</v>
      </c>
      <c r="F748">
        <v>14.561</v>
      </c>
      <c r="G748">
        <f>Tableau2[[#This Row],[Cost (€/GJ)]]/1000000*3600</f>
        <v>5.2419599999999997E-2</v>
      </c>
      <c r="H748">
        <v>21.3</v>
      </c>
      <c r="I748">
        <f>Tableau2[[#This Row],[GHG (kgCO2eq/GJ)]]/1000*3.6</f>
        <v>7.6679999999999998E-2</v>
      </c>
      <c r="J748" t="s">
        <v>106</v>
      </c>
      <c r="K748" t="s">
        <v>109</v>
      </c>
    </row>
    <row r="749" spans="1:11" hidden="1" x14ac:dyDescent="0.3">
      <c r="A749" t="s">
        <v>40</v>
      </c>
      <c r="B749" t="s">
        <v>55</v>
      </c>
      <c r="C749" t="s">
        <v>88</v>
      </c>
      <c r="D749">
        <v>2.9100000000000001E-2</v>
      </c>
      <c r="E749">
        <f>Tableau2[[#This Row],[Potential (PJ)]]/3.6*1000</f>
        <v>8.0833333333333321</v>
      </c>
      <c r="F749">
        <v>15.038</v>
      </c>
      <c r="G749">
        <f>Tableau2[[#This Row],[Cost (€/GJ)]]/1000000*3600</f>
        <v>5.4136800000000006E-2</v>
      </c>
      <c r="H749">
        <v>21.3</v>
      </c>
      <c r="I749">
        <f>Tableau2[[#This Row],[GHG (kgCO2eq/GJ)]]/1000*3.6</f>
        <v>7.6679999999999998E-2</v>
      </c>
      <c r="J749" t="s">
        <v>106</v>
      </c>
      <c r="K749" t="s">
        <v>109</v>
      </c>
    </row>
    <row r="750" spans="1:11" hidden="1" x14ac:dyDescent="0.3">
      <c r="A750" t="s">
        <v>40</v>
      </c>
      <c r="B750" t="s">
        <v>47</v>
      </c>
      <c r="C750" t="s">
        <v>68</v>
      </c>
      <c r="D750">
        <v>1.3</v>
      </c>
      <c r="E750">
        <f>Tableau2[[#This Row],[Potential (PJ)]]/3.6*1000</f>
        <v>361.11111111111109</v>
      </c>
      <c r="F750">
        <v>2.9341538461538459</v>
      </c>
      <c r="G750">
        <f>Tableau2[[#This Row],[Cost (€/GJ)]]/1000000*3600</f>
        <v>1.0562953846153847E-2</v>
      </c>
      <c r="H750">
        <v>17.3</v>
      </c>
      <c r="I750">
        <f>Tableau2[[#This Row],[GHG (kgCO2eq/GJ)]]/1000*3.6</f>
        <v>6.2280000000000002E-2</v>
      </c>
      <c r="J750" t="s">
        <v>104</v>
      </c>
      <c r="K750" t="s">
        <v>109</v>
      </c>
    </row>
    <row r="751" spans="1:11" hidden="1" x14ac:dyDescent="0.3">
      <c r="A751" t="s">
        <v>40</v>
      </c>
      <c r="B751" t="s">
        <v>47</v>
      </c>
      <c r="C751" t="s">
        <v>69</v>
      </c>
      <c r="D751">
        <v>0.60000000000000009</v>
      </c>
      <c r="E751">
        <f>Tableau2[[#This Row],[Potential (PJ)]]/3.6*1000</f>
        <v>166.66666666666669</v>
      </c>
      <c r="F751">
        <v>3.0579999999999989</v>
      </c>
      <c r="G751">
        <f>Tableau2[[#This Row],[Cost (€/GJ)]]/1000000*3600</f>
        <v>1.1008799999999996E-2</v>
      </c>
      <c r="H751">
        <v>17.3</v>
      </c>
      <c r="I751">
        <f>Tableau2[[#This Row],[GHG (kgCO2eq/GJ)]]/1000*3.6</f>
        <v>6.2280000000000002E-2</v>
      </c>
      <c r="J751" t="s">
        <v>104</v>
      </c>
      <c r="K751" t="s">
        <v>109</v>
      </c>
    </row>
    <row r="752" spans="1:11" hidden="1" x14ac:dyDescent="0.3">
      <c r="A752" t="s">
        <v>40</v>
      </c>
      <c r="B752" t="s">
        <v>48</v>
      </c>
      <c r="C752" t="s">
        <v>70</v>
      </c>
      <c r="D752">
        <v>0.1</v>
      </c>
      <c r="E752">
        <f>Tableau2[[#This Row],[Potential (PJ)]]/3.6*1000</f>
        <v>27.777777777777779</v>
      </c>
      <c r="F752">
        <v>8.6449999999999996</v>
      </c>
      <c r="G752">
        <f>Tableau2[[#This Row],[Cost (€/GJ)]]/1000000*3600</f>
        <v>3.1121999999999997E-2</v>
      </c>
      <c r="H752">
        <v>0</v>
      </c>
      <c r="I752">
        <f>Tableau2[[#This Row],[GHG (kgCO2eq/GJ)]]/1000*3.6</f>
        <v>0</v>
      </c>
      <c r="J752" t="s">
        <v>104</v>
      </c>
      <c r="K752" t="s">
        <v>109</v>
      </c>
    </row>
    <row r="753" spans="1:11" hidden="1" x14ac:dyDescent="0.3">
      <c r="A753" t="s">
        <v>40</v>
      </c>
      <c r="B753" t="s">
        <v>49</v>
      </c>
      <c r="C753" t="s">
        <v>71</v>
      </c>
      <c r="D753">
        <v>30.22362</v>
      </c>
      <c r="E753">
        <f>Tableau2[[#This Row],[Potential (PJ)]]/3.6*1000</f>
        <v>8395.4500000000007</v>
      </c>
      <c r="F753">
        <v>2.2196232890037662</v>
      </c>
      <c r="G753">
        <f>Tableau2[[#This Row],[Cost (€/GJ)]]/1000000*3600</f>
        <v>7.9906438404135586E-3</v>
      </c>
      <c r="H753">
        <v>3.86607608129234</v>
      </c>
      <c r="I753">
        <f>Tableau2[[#This Row],[GHG (kgCO2eq/GJ)]]/1000*3.6</f>
        <v>1.3917873892652425E-2</v>
      </c>
      <c r="J753" t="s">
        <v>104</v>
      </c>
      <c r="K753" t="s">
        <v>108</v>
      </c>
    </row>
    <row r="754" spans="1:11" hidden="1" x14ac:dyDescent="0.3">
      <c r="A754" t="s">
        <v>40</v>
      </c>
      <c r="B754" t="s">
        <v>49</v>
      </c>
      <c r="C754" t="s">
        <v>72</v>
      </c>
      <c r="D754">
        <v>2.5</v>
      </c>
      <c r="E754">
        <f>Tableau2[[#This Row],[Potential (PJ)]]/3.6*1000</f>
        <v>694.44444444444446</v>
      </c>
      <c r="F754">
        <v>2.9279600000000001</v>
      </c>
      <c r="G754">
        <f>Tableau2[[#This Row],[Cost (€/GJ)]]/1000000*3600</f>
        <v>1.0540655999999999E-2</v>
      </c>
      <c r="H754">
        <v>3.86607608129234</v>
      </c>
      <c r="I754">
        <f>Tableau2[[#This Row],[GHG (kgCO2eq/GJ)]]/1000*3.6</f>
        <v>1.3917873892652425E-2</v>
      </c>
      <c r="J754" t="s">
        <v>104</v>
      </c>
      <c r="K754" t="s">
        <v>108</v>
      </c>
    </row>
    <row r="755" spans="1:11" hidden="1" x14ac:dyDescent="0.3">
      <c r="A755" t="s">
        <v>40</v>
      </c>
      <c r="B755" t="s">
        <v>58</v>
      </c>
      <c r="C755" t="s">
        <v>95</v>
      </c>
      <c r="D755">
        <v>0.69694</v>
      </c>
      <c r="E755">
        <f>Tableau2[[#This Row],[Potential (PJ)]]/3.6*1000</f>
        <v>193.59444444444443</v>
      </c>
      <c r="F755">
        <v>2.611679541997876</v>
      </c>
      <c r="G755">
        <f>Tableau2[[#This Row],[Cost (€/GJ)]]/1000000*3600</f>
        <v>9.4020463511923537E-3</v>
      </c>
      <c r="H755">
        <v>2.9521711768407801</v>
      </c>
      <c r="I755">
        <f>Tableau2[[#This Row],[GHG (kgCO2eq/GJ)]]/1000*3.6</f>
        <v>1.0627816236626808E-2</v>
      </c>
      <c r="J755" t="s">
        <v>104</v>
      </c>
      <c r="K755" t="s">
        <v>108</v>
      </c>
    </row>
    <row r="756" spans="1:11" hidden="1" x14ac:dyDescent="0.3">
      <c r="A756" t="s">
        <v>40</v>
      </c>
      <c r="B756" t="s">
        <v>50</v>
      </c>
      <c r="C756" t="s">
        <v>73</v>
      </c>
      <c r="D756">
        <v>0.3</v>
      </c>
      <c r="E756">
        <f>Tableau2[[#This Row],[Potential (PJ)]]/3.6*1000</f>
        <v>83.333333333333329</v>
      </c>
      <c r="F756">
        <v>5.1550000000000002</v>
      </c>
      <c r="G756">
        <f>Tableau2[[#This Row],[Cost (€/GJ)]]/1000000*3600</f>
        <v>1.8558000000000002E-2</v>
      </c>
      <c r="H756">
        <v>20.723404255319149</v>
      </c>
      <c r="I756">
        <f>Tableau2[[#This Row],[GHG (kgCO2eq/GJ)]]/1000*3.6</f>
        <v>7.4604255319148938E-2</v>
      </c>
      <c r="J756" t="s">
        <v>105</v>
      </c>
      <c r="K756" t="s">
        <v>108</v>
      </c>
    </row>
    <row r="757" spans="1:11" hidden="1" x14ac:dyDescent="0.3">
      <c r="A757" t="s">
        <v>40</v>
      </c>
      <c r="B757" t="s">
        <v>50</v>
      </c>
      <c r="C757" t="s">
        <v>74</v>
      </c>
      <c r="D757">
        <v>1.1000000000000001</v>
      </c>
      <c r="E757">
        <f>Tableau2[[#This Row],[Potential (PJ)]]/3.6*1000</f>
        <v>305.5555555555556</v>
      </c>
      <c r="F757">
        <v>3.7850909090909091</v>
      </c>
      <c r="G757">
        <f>Tableau2[[#This Row],[Cost (€/GJ)]]/1000000*3600</f>
        <v>1.3626327272727272E-2</v>
      </c>
      <c r="H757">
        <v>2.0635593220338988</v>
      </c>
      <c r="I757">
        <f>Tableau2[[#This Row],[GHG (kgCO2eq/GJ)]]/1000*3.6</f>
        <v>7.4288135593220351E-3</v>
      </c>
      <c r="J757" t="s">
        <v>105</v>
      </c>
      <c r="K757" t="s">
        <v>108</v>
      </c>
    </row>
    <row r="758" spans="1:11" hidden="1" x14ac:dyDescent="0.3">
      <c r="A758" t="s">
        <v>40</v>
      </c>
      <c r="B758" t="s">
        <v>51</v>
      </c>
      <c r="C758" t="s">
        <v>75</v>
      </c>
      <c r="D758">
        <v>1.194029</v>
      </c>
      <c r="E758">
        <f>Tableau2[[#This Row],[Potential (PJ)]]/3.6*1000</f>
        <v>331.67472222222221</v>
      </c>
      <c r="F758">
        <v>0.100770655995726</v>
      </c>
      <c r="G758">
        <f>Tableau2[[#This Row],[Cost (€/GJ)]]/1000000*3600</f>
        <v>3.627743615846136E-4</v>
      </c>
      <c r="H758">
        <v>11.74</v>
      </c>
      <c r="I758">
        <f>Tableau2[[#This Row],[GHG (kgCO2eq/GJ)]]/1000*3.6</f>
        <v>4.2264000000000003E-2</v>
      </c>
      <c r="J758" t="s">
        <v>104</v>
      </c>
      <c r="K758" t="s">
        <v>108</v>
      </c>
    </row>
    <row r="759" spans="1:11" hidden="1" x14ac:dyDescent="0.3">
      <c r="A759" t="s">
        <v>40</v>
      </c>
      <c r="B759" t="s">
        <v>60</v>
      </c>
      <c r="C759" t="s">
        <v>98</v>
      </c>
      <c r="D759">
        <v>0.12501999999999999</v>
      </c>
      <c r="E759">
        <f>Tableau2[[#This Row],[Potential (PJ)]]/3.6*1000</f>
        <v>34.727777777777774</v>
      </c>
      <c r="F759">
        <v>28.73254564983888</v>
      </c>
      <c r="G759">
        <f>Tableau2[[#This Row],[Cost (€/GJ)]]/1000000*3600</f>
        <v>0.10343716433941996</v>
      </c>
      <c r="H759">
        <v>37.6</v>
      </c>
      <c r="I759">
        <f>Tableau2[[#This Row],[GHG (kgCO2eq/GJ)]]/1000*3.6</f>
        <v>0.13536000000000001</v>
      </c>
      <c r="J759" t="s">
        <v>107</v>
      </c>
      <c r="K759" t="s">
        <v>109</v>
      </c>
    </row>
    <row r="760" spans="1:11" hidden="1" x14ac:dyDescent="0.3">
      <c r="A760" t="s">
        <v>40</v>
      </c>
      <c r="B760" t="s">
        <v>52</v>
      </c>
      <c r="C760" t="s">
        <v>76</v>
      </c>
      <c r="D760">
        <v>9.5000000000000001E-2</v>
      </c>
      <c r="E760">
        <f>Tableau2[[#This Row],[Potential (PJ)]]/3.6*1000</f>
        <v>26.388888888888889</v>
      </c>
      <c r="F760">
        <v>5.4702337500000002</v>
      </c>
      <c r="G760">
        <f>Tableau2[[#This Row],[Cost (€/GJ)]]/1000000*3600</f>
        <v>1.9692841500000002E-2</v>
      </c>
      <c r="H760">
        <v>12.68872359754714</v>
      </c>
      <c r="I760">
        <f>Tableau2[[#This Row],[GHG (kgCO2eq/GJ)]]/1000*3.6</f>
        <v>4.5679404951169705E-2</v>
      </c>
      <c r="J760" t="s">
        <v>105</v>
      </c>
      <c r="K760" t="s">
        <v>108</v>
      </c>
    </row>
    <row r="761" spans="1:11" hidden="1" x14ac:dyDescent="0.3">
      <c r="A761" t="s">
        <v>40</v>
      </c>
      <c r="B761" t="s">
        <v>53</v>
      </c>
      <c r="C761" t="s">
        <v>77</v>
      </c>
      <c r="D761">
        <v>2.7</v>
      </c>
      <c r="E761">
        <f>Tableau2[[#This Row],[Potential (PJ)]]/3.6*1000</f>
        <v>750</v>
      </c>
      <c r="F761">
        <v>2.9280740740740741</v>
      </c>
      <c r="G761">
        <f>Tableau2[[#This Row],[Cost (€/GJ)]]/1000000*3600</f>
        <v>1.0541066666666666E-2</v>
      </c>
      <c r="H761">
        <v>3.86607608129234</v>
      </c>
      <c r="I761">
        <f>Tableau2[[#This Row],[GHG (kgCO2eq/GJ)]]/1000*3.6</f>
        <v>1.3917873892652425E-2</v>
      </c>
      <c r="J761" t="s">
        <v>104</v>
      </c>
      <c r="K761" t="s">
        <v>108</v>
      </c>
    </row>
    <row r="762" spans="1:11" hidden="1" x14ac:dyDescent="0.3">
      <c r="A762" t="s">
        <v>40</v>
      </c>
      <c r="B762" t="s">
        <v>61</v>
      </c>
      <c r="C762" t="s">
        <v>99</v>
      </c>
      <c r="D762">
        <v>2.5</v>
      </c>
      <c r="E762">
        <f>Tableau2[[#This Row],[Potential (PJ)]]/3.6*1000</f>
        <v>694.44444444444446</v>
      </c>
      <c r="F762">
        <v>1.4086799999999999</v>
      </c>
      <c r="G762">
        <f>Tableau2[[#This Row],[Cost (€/GJ)]]/1000000*3600</f>
        <v>5.0712479999999996E-3</v>
      </c>
      <c r="H762">
        <v>2.9245635910224439</v>
      </c>
      <c r="I762">
        <f>Tableau2[[#This Row],[GHG (kgCO2eq/GJ)]]/1000*3.6</f>
        <v>1.0528428927680798E-2</v>
      </c>
      <c r="J762" t="s">
        <v>104</v>
      </c>
      <c r="K762" t="s">
        <v>108</v>
      </c>
    </row>
    <row r="763" spans="1:11" hidden="1" x14ac:dyDescent="0.3">
      <c r="A763" t="s">
        <v>40</v>
      </c>
      <c r="B763" t="s">
        <v>62</v>
      </c>
      <c r="C763" t="s">
        <v>100</v>
      </c>
      <c r="D763">
        <v>0.60000000000000009</v>
      </c>
      <c r="E763">
        <f>Tableau2[[#This Row],[Potential (PJ)]]/3.6*1000</f>
        <v>166.66666666666669</v>
      </c>
      <c r="F763">
        <v>0.76666666666666672</v>
      </c>
      <c r="G763">
        <f>Tableau2[[#This Row],[Cost (€/GJ)]]/1000000*3600</f>
        <v>2.7600000000000003E-3</v>
      </c>
      <c r="H763">
        <v>2.6764106050305911</v>
      </c>
      <c r="I763">
        <f>Tableau2[[#This Row],[GHG (kgCO2eq/GJ)]]/1000*3.6</f>
        <v>9.6350781781101291E-3</v>
      </c>
      <c r="J763" t="s">
        <v>104</v>
      </c>
      <c r="K763" t="s">
        <v>108</v>
      </c>
    </row>
    <row r="764" spans="1:11" hidden="1" x14ac:dyDescent="0.3">
      <c r="A764" t="s">
        <v>40</v>
      </c>
      <c r="B764" t="s">
        <v>54</v>
      </c>
      <c r="C764" t="s">
        <v>78</v>
      </c>
      <c r="D764">
        <v>32.200000000000003</v>
      </c>
      <c r="E764">
        <f>Tableau2[[#This Row],[Potential (PJ)]]/3.6*1000</f>
        <v>8944.4444444444453</v>
      </c>
      <c r="F764">
        <v>2.922496894409937</v>
      </c>
      <c r="G764">
        <f>Tableau2[[#This Row],[Cost (€/GJ)]]/1000000*3600</f>
        <v>1.0520988819875773E-2</v>
      </c>
      <c r="H764">
        <v>3.86607608129234</v>
      </c>
      <c r="I764">
        <f>Tableau2[[#This Row],[GHG (kgCO2eq/GJ)]]/1000*3.6</f>
        <v>1.3917873892652425E-2</v>
      </c>
      <c r="J764" t="s">
        <v>104</v>
      </c>
      <c r="K764" t="s">
        <v>108</v>
      </c>
    </row>
    <row r="765" spans="1:11" hidden="1" x14ac:dyDescent="0.3">
      <c r="A765" t="s">
        <v>41</v>
      </c>
      <c r="B765" t="s">
        <v>46</v>
      </c>
      <c r="C765" t="s">
        <v>64</v>
      </c>
      <c r="D765">
        <v>2.6599999999999999E-2</v>
      </c>
      <c r="E765">
        <f>Tableau2[[#This Row],[Potential (PJ)]]/3.6*1000</f>
        <v>7.3888888888888884</v>
      </c>
      <c r="F765">
        <v>5.4136635338345869</v>
      </c>
      <c r="G765">
        <f>Tableau2[[#This Row],[Cost (€/GJ)]]/1000000*3600</f>
        <v>1.9489188721804513E-2</v>
      </c>
      <c r="H765">
        <v>2.9521711768407801</v>
      </c>
      <c r="I765">
        <f>Tableau2[[#This Row],[GHG (kgCO2eq/GJ)]]/1000*3.6</f>
        <v>1.0627816236626808E-2</v>
      </c>
      <c r="J765" t="s">
        <v>104</v>
      </c>
      <c r="K765" t="s">
        <v>108</v>
      </c>
    </row>
    <row r="766" spans="1:11" hidden="1" x14ac:dyDescent="0.3">
      <c r="A766" t="s">
        <v>41</v>
      </c>
      <c r="B766" t="s">
        <v>46</v>
      </c>
      <c r="C766" t="s">
        <v>79</v>
      </c>
      <c r="D766">
        <v>8.6</v>
      </c>
      <c r="E766">
        <f>Tableau2[[#This Row],[Potential (PJ)]]/3.6*1000</f>
        <v>2388.8888888888887</v>
      </c>
      <c r="F766">
        <v>3.7859767441860459</v>
      </c>
      <c r="G766">
        <f>Tableau2[[#This Row],[Cost (€/GJ)]]/1000000*3600</f>
        <v>1.3629516279069765E-2</v>
      </c>
      <c r="H766">
        <v>6.8428961748633883</v>
      </c>
      <c r="I766">
        <f>Tableau2[[#This Row],[GHG (kgCO2eq/GJ)]]/1000*3.6</f>
        <v>2.4634426229508198E-2</v>
      </c>
      <c r="J766" t="s">
        <v>104</v>
      </c>
      <c r="K766" t="s">
        <v>108</v>
      </c>
    </row>
    <row r="767" spans="1:11" hidden="1" x14ac:dyDescent="0.3">
      <c r="A767" t="s">
        <v>41</v>
      </c>
      <c r="B767" t="s">
        <v>46</v>
      </c>
      <c r="C767" t="s">
        <v>80</v>
      </c>
      <c r="D767">
        <v>0.1036</v>
      </c>
      <c r="E767">
        <f>Tableau2[[#This Row],[Potential (PJ)]]/3.6*1000</f>
        <v>28.777777777777779</v>
      </c>
      <c r="F767">
        <v>0.2002697235333783</v>
      </c>
      <c r="G767">
        <f>Tableau2[[#This Row],[Cost (€/GJ)]]/1000000*3600</f>
        <v>7.2097100472016181E-4</v>
      </c>
      <c r="H767">
        <v>28.139870918023309</v>
      </c>
      <c r="I767">
        <f>Tableau2[[#This Row],[GHG (kgCO2eq/GJ)]]/1000*3.6</f>
        <v>0.10130353530488391</v>
      </c>
      <c r="J767" t="s">
        <v>105</v>
      </c>
      <c r="K767" t="s">
        <v>108</v>
      </c>
    </row>
    <row r="768" spans="1:11" hidden="1" x14ac:dyDescent="0.3">
      <c r="A768" t="s">
        <v>41</v>
      </c>
      <c r="B768" t="s">
        <v>46</v>
      </c>
      <c r="C768" t="s">
        <v>81</v>
      </c>
      <c r="D768">
        <v>6.2300000000000001E-2</v>
      </c>
      <c r="E768">
        <f>Tableau2[[#This Row],[Potential (PJ)]]/3.6*1000</f>
        <v>17.305555555555557</v>
      </c>
      <c r="F768">
        <v>0.36251468860164521</v>
      </c>
      <c r="G768">
        <f>Tableau2[[#This Row],[Cost (€/GJ)]]/1000000*3600</f>
        <v>1.3050528789659227E-3</v>
      </c>
      <c r="H768">
        <v>8.9647473560517046</v>
      </c>
      <c r="I768">
        <f>Tableau2[[#This Row],[GHG (kgCO2eq/GJ)]]/1000*3.6</f>
        <v>3.2273090481786136E-2</v>
      </c>
      <c r="J768" t="s">
        <v>105</v>
      </c>
      <c r="K768" t="s">
        <v>108</v>
      </c>
    </row>
    <row r="769" spans="1:11" hidden="1" x14ac:dyDescent="0.3">
      <c r="A769" t="s">
        <v>41</v>
      </c>
      <c r="B769" t="s">
        <v>46</v>
      </c>
      <c r="C769" t="s">
        <v>66</v>
      </c>
      <c r="D769">
        <v>2.2000000000000002</v>
      </c>
      <c r="E769">
        <f>Tableau2[[#This Row],[Potential (PJ)]]/3.6*1000</f>
        <v>611.1111111111112</v>
      </c>
      <c r="F769">
        <v>3.909045454545454</v>
      </c>
      <c r="G769">
        <f>Tableau2[[#This Row],[Cost (€/GJ)]]/1000000*3600</f>
        <v>1.4072563636363633E-2</v>
      </c>
      <c r="H769">
        <v>6.8428961748633883</v>
      </c>
      <c r="I769">
        <f>Tableau2[[#This Row],[GHG (kgCO2eq/GJ)]]/1000*3.6</f>
        <v>2.4634426229508198E-2</v>
      </c>
      <c r="J769" t="s">
        <v>104</v>
      </c>
      <c r="K769" t="s">
        <v>108</v>
      </c>
    </row>
    <row r="770" spans="1:11" hidden="1" x14ac:dyDescent="0.3">
      <c r="A770" t="s">
        <v>41</v>
      </c>
      <c r="B770" t="s">
        <v>46</v>
      </c>
      <c r="C770" t="s">
        <v>82</v>
      </c>
      <c r="D770">
        <v>1.6</v>
      </c>
      <c r="E770">
        <f>Tableau2[[#This Row],[Potential (PJ)]]/3.6*1000</f>
        <v>444.44444444444446</v>
      </c>
      <c r="F770">
        <v>2.3864999999999998</v>
      </c>
      <c r="G770">
        <f>Tableau2[[#This Row],[Cost (€/GJ)]]/1000000*3600</f>
        <v>8.591399999999999E-3</v>
      </c>
      <c r="H770">
        <v>6.8428961748633883</v>
      </c>
      <c r="I770">
        <f>Tableau2[[#This Row],[GHG (kgCO2eq/GJ)]]/1000*3.6</f>
        <v>2.4634426229508198E-2</v>
      </c>
      <c r="J770" t="s">
        <v>104</v>
      </c>
      <c r="K770" t="s">
        <v>108</v>
      </c>
    </row>
    <row r="771" spans="1:11" hidden="1" x14ac:dyDescent="0.3">
      <c r="A771" t="s">
        <v>41</v>
      </c>
      <c r="B771" t="s">
        <v>46</v>
      </c>
      <c r="C771" t="s">
        <v>84</v>
      </c>
      <c r="D771">
        <v>0.1</v>
      </c>
      <c r="E771">
        <f>Tableau2[[#This Row],[Potential (PJ)]]/3.6*1000</f>
        <v>27.777777777777779</v>
      </c>
      <c r="F771">
        <v>2.15</v>
      </c>
      <c r="G771">
        <f>Tableau2[[#This Row],[Cost (€/GJ)]]/1000000*3600</f>
        <v>7.7399999999999995E-3</v>
      </c>
      <c r="H771">
        <v>28.139870918023309</v>
      </c>
      <c r="I771">
        <f>Tableau2[[#This Row],[GHG (kgCO2eq/GJ)]]/1000*3.6</f>
        <v>0.10130353530488391</v>
      </c>
      <c r="J771" t="s">
        <v>105</v>
      </c>
      <c r="K771" t="s">
        <v>108</v>
      </c>
    </row>
    <row r="772" spans="1:11" hidden="1" x14ac:dyDescent="0.3">
      <c r="A772" t="s">
        <v>41</v>
      </c>
      <c r="B772" t="s">
        <v>55</v>
      </c>
      <c r="C772" t="s">
        <v>86</v>
      </c>
      <c r="D772">
        <v>3.9E-2</v>
      </c>
      <c r="E772">
        <f>Tableau2[[#This Row],[Potential (PJ)]]/3.6*1000</f>
        <v>10.833333333333334</v>
      </c>
      <c r="F772">
        <v>17.356000000000002</v>
      </c>
      <c r="G772">
        <f>Tableau2[[#This Row],[Cost (€/GJ)]]/1000000*3600</f>
        <v>6.2481600000000005E-2</v>
      </c>
      <c r="H772">
        <v>9</v>
      </c>
      <c r="I772">
        <f>Tableau2[[#This Row],[GHG (kgCO2eq/GJ)]]/1000*3.6</f>
        <v>3.2399999999999998E-2</v>
      </c>
      <c r="J772" t="s">
        <v>106</v>
      </c>
      <c r="K772" t="s">
        <v>109</v>
      </c>
    </row>
    <row r="773" spans="1:11" hidden="1" x14ac:dyDescent="0.3">
      <c r="A773" t="s">
        <v>41</v>
      </c>
      <c r="B773" t="s">
        <v>55</v>
      </c>
      <c r="C773" t="s">
        <v>87</v>
      </c>
      <c r="D773">
        <v>0.76640000000000008</v>
      </c>
      <c r="E773">
        <f>Tableau2[[#This Row],[Potential (PJ)]]/3.6*1000</f>
        <v>212.88888888888891</v>
      </c>
      <c r="F773">
        <v>15.88</v>
      </c>
      <c r="G773">
        <f>Tableau2[[#This Row],[Cost (€/GJ)]]/1000000*3600</f>
        <v>5.7168000000000004E-2</v>
      </c>
      <c r="H773">
        <v>9</v>
      </c>
      <c r="I773">
        <f>Tableau2[[#This Row],[GHG (kgCO2eq/GJ)]]/1000*3.6</f>
        <v>3.2399999999999998E-2</v>
      </c>
      <c r="J773" t="s">
        <v>106</v>
      </c>
      <c r="K773" t="s">
        <v>109</v>
      </c>
    </row>
    <row r="774" spans="1:11" hidden="1" x14ac:dyDescent="0.3">
      <c r="A774" t="s">
        <v>41</v>
      </c>
      <c r="B774" t="s">
        <v>55</v>
      </c>
      <c r="C774" t="s">
        <v>88</v>
      </c>
      <c r="D774">
        <v>1.5778000000000001</v>
      </c>
      <c r="E774">
        <f>Tableau2[[#This Row],[Potential (PJ)]]/3.6*1000</f>
        <v>438.27777777777777</v>
      </c>
      <c r="F774">
        <v>14.911</v>
      </c>
      <c r="G774">
        <f>Tableau2[[#This Row],[Cost (€/GJ)]]/1000000*3600</f>
        <v>5.3679600000000001E-2</v>
      </c>
      <c r="H774">
        <v>9</v>
      </c>
      <c r="I774">
        <f>Tableau2[[#This Row],[GHG (kgCO2eq/GJ)]]/1000*3.6</f>
        <v>3.2399999999999998E-2</v>
      </c>
      <c r="J774" t="s">
        <v>106</v>
      </c>
      <c r="K774" t="s">
        <v>109</v>
      </c>
    </row>
    <row r="775" spans="1:11" hidden="1" x14ac:dyDescent="0.3">
      <c r="A775" t="s">
        <v>41</v>
      </c>
      <c r="B775" t="s">
        <v>55</v>
      </c>
      <c r="C775" t="s">
        <v>91</v>
      </c>
      <c r="D775">
        <v>0.22189999999999999</v>
      </c>
      <c r="E775">
        <f>Tableau2[[#This Row],[Potential (PJ)]]/3.6*1000</f>
        <v>61.638888888888879</v>
      </c>
      <c r="F775">
        <v>16.141999999999999</v>
      </c>
      <c r="G775">
        <f>Tableau2[[#This Row],[Cost (€/GJ)]]/1000000*3600</f>
        <v>5.8111199999999995E-2</v>
      </c>
      <c r="H775">
        <v>9</v>
      </c>
      <c r="I775">
        <f>Tableau2[[#This Row],[GHG (kgCO2eq/GJ)]]/1000*3.6</f>
        <v>3.2399999999999998E-2</v>
      </c>
      <c r="J775" t="s">
        <v>106</v>
      </c>
      <c r="K775" t="s">
        <v>109</v>
      </c>
    </row>
    <row r="776" spans="1:11" hidden="1" x14ac:dyDescent="0.3">
      <c r="A776" t="s">
        <v>41</v>
      </c>
      <c r="B776" t="s">
        <v>55</v>
      </c>
      <c r="C776" t="s">
        <v>92</v>
      </c>
      <c r="D776">
        <v>9.9239999999999995E-2</v>
      </c>
      <c r="E776">
        <f>Tableau2[[#This Row],[Potential (PJ)]]/3.6*1000</f>
        <v>27.566666666666663</v>
      </c>
      <c r="F776">
        <v>15.88</v>
      </c>
      <c r="G776">
        <f>Tableau2[[#This Row],[Cost (€/GJ)]]/1000000*3600</f>
        <v>5.7168000000000004E-2</v>
      </c>
      <c r="H776">
        <v>9</v>
      </c>
      <c r="I776">
        <f>Tableau2[[#This Row],[GHG (kgCO2eq/GJ)]]/1000*3.6</f>
        <v>3.2399999999999998E-2</v>
      </c>
      <c r="J776" t="s">
        <v>106</v>
      </c>
      <c r="K776" t="s">
        <v>109</v>
      </c>
    </row>
    <row r="777" spans="1:11" hidden="1" x14ac:dyDescent="0.3">
      <c r="A777" t="s">
        <v>41</v>
      </c>
      <c r="B777" t="s">
        <v>56</v>
      </c>
      <c r="C777" t="s">
        <v>93</v>
      </c>
      <c r="D777">
        <v>8.7918000000000003</v>
      </c>
      <c r="E777">
        <f>Tableau2[[#This Row],[Potential (PJ)]]/3.6*1000</f>
        <v>2442.1666666666665</v>
      </c>
      <c r="F777">
        <v>2.9493975903614462</v>
      </c>
      <c r="G777">
        <f>Tableau2[[#This Row],[Cost (€/GJ)]]/1000000*3600</f>
        <v>1.0617831325301207E-2</v>
      </c>
      <c r="H777">
        <v>15.9</v>
      </c>
      <c r="I777">
        <f>Tableau2[[#This Row],[GHG (kgCO2eq/GJ)]]/1000*3.6</f>
        <v>5.7240000000000006E-2</v>
      </c>
      <c r="J777" t="s">
        <v>106</v>
      </c>
      <c r="K777" t="s">
        <v>109</v>
      </c>
    </row>
    <row r="778" spans="1:11" hidden="1" x14ac:dyDescent="0.3">
      <c r="A778" t="s">
        <v>41</v>
      </c>
      <c r="B778" t="s">
        <v>47</v>
      </c>
      <c r="C778" t="s">
        <v>68</v>
      </c>
      <c r="D778">
        <v>1.7</v>
      </c>
      <c r="E778">
        <f>Tableau2[[#This Row],[Potential (PJ)]]/3.6*1000</f>
        <v>472.22222222222223</v>
      </c>
      <c r="F778">
        <v>3.4799411764705881</v>
      </c>
      <c r="G778">
        <f>Tableau2[[#This Row],[Cost (€/GJ)]]/1000000*3600</f>
        <v>1.2527788235294117E-2</v>
      </c>
      <c r="H778">
        <v>22.8</v>
      </c>
      <c r="I778">
        <f>Tableau2[[#This Row],[GHG (kgCO2eq/GJ)]]/1000*3.6</f>
        <v>8.208E-2</v>
      </c>
      <c r="J778" t="s">
        <v>104</v>
      </c>
      <c r="K778" t="s">
        <v>109</v>
      </c>
    </row>
    <row r="779" spans="1:11" hidden="1" x14ac:dyDescent="0.3">
      <c r="A779" t="s">
        <v>41</v>
      </c>
      <c r="B779" t="s">
        <v>47</v>
      </c>
      <c r="C779" t="s">
        <v>69</v>
      </c>
      <c r="D779">
        <v>1.2</v>
      </c>
      <c r="E779">
        <f>Tableau2[[#This Row],[Potential (PJ)]]/3.6*1000</f>
        <v>333.33333333333331</v>
      </c>
      <c r="F779">
        <v>3.477583333333333</v>
      </c>
      <c r="G779">
        <f>Tableau2[[#This Row],[Cost (€/GJ)]]/1000000*3600</f>
        <v>1.2519299999999999E-2</v>
      </c>
      <c r="H779">
        <v>22.8</v>
      </c>
      <c r="I779">
        <f>Tableau2[[#This Row],[GHG (kgCO2eq/GJ)]]/1000*3.6</f>
        <v>8.208E-2</v>
      </c>
      <c r="J779" t="s">
        <v>104</v>
      </c>
      <c r="K779" t="s">
        <v>109</v>
      </c>
    </row>
    <row r="780" spans="1:11" hidden="1" x14ac:dyDescent="0.3">
      <c r="A780" t="s">
        <v>41</v>
      </c>
      <c r="B780" t="s">
        <v>57</v>
      </c>
      <c r="C780" t="s">
        <v>94</v>
      </c>
      <c r="D780">
        <v>1.4</v>
      </c>
      <c r="E780">
        <f>Tableau2[[#This Row],[Potential (PJ)]]/3.6*1000</f>
        <v>388.88888888888886</v>
      </c>
      <c r="F780">
        <v>8.1337142857142855</v>
      </c>
      <c r="G780">
        <f>Tableau2[[#This Row],[Cost (€/GJ)]]/1000000*3600</f>
        <v>2.9281371428571429E-2</v>
      </c>
      <c r="H780">
        <v>14.9</v>
      </c>
      <c r="I780">
        <f>Tableau2[[#This Row],[GHG (kgCO2eq/GJ)]]/1000*3.6</f>
        <v>5.364E-2</v>
      </c>
      <c r="J780" t="s">
        <v>104</v>
      </c>
      <c r="K780" t="s">
        <v>109</v>
      </c>
    </row>
    <row r="781" spans="1:11" hidden="1" x14ac:dyDescent="0.3">
      <c r="A781" t="s">
        <v>41</v>
      </c>
      <c r="B781" t="s">
        <v>49</v>
      </c>
      <c r="C781" t="s">
        <v>71</v>
      </c>
      <c r="D781">
        <v>31.0349</v>
      </c>
      <c r="E781">
        <f>Tableau2[[#This Row],[Potential (PJ)]]/3.6*1000</f>
        <v>8620.8055555555566</v>
      </c>
      <c r="F781">
        <v>2.1006631820949959</v>
      </c>
      <c r="G781">
        <f>Tableau2[[#This Row],[Cost (€/GJ)]]/1000000*3600</f>
        <v>7.5623874555419846E-3</v>
      </c>
      <c r="H781">
        <v>3.86607608129234</v>
      </c>
      <c r="I781">
        <f>Tableau2[[#This Row],[GHG (kgCO2eq/GJ)]]/1000*3.6</f>
        <v>1.3917873892652425E-2</v>
      </c>
      <c r="J781" t="s">
        <v>104</v>
      </c>
      <c r="K781" t="s">
        <v>108</v>
      </c>
    </row>
    <row r="782" spans="1:11" hidden="1" x14ac:dyDescent="0.3">
      <c r="A782" t="s">
        <v>41</v>
      </c>
      <c r="B782" t="s">
        <v>49</v>
      </c>
      <c r="C782" t="s">
        <v>72</v>
      </c>
      <c r="D782">
        <v>0.89999999999999991</v>
      </c>
      <c r="E782">
        <f>Tableau2[[#This Row],[Potential (PJ)]]/3.6*1000</f>
        <v>249.99999999999997</v>
      </c>
      <c r="F782">
        <v>2.7874444444444451</v>
      </c>
      <c r="G782">
        <f>Tableau2[[#This Row],[Cost (€/GJ)]]/1000000*3600</f>
        <v>1.0034800000000002E-2</v>
      </c>
      <c r="H782">
        <v>3.86607608129234</v>
      </c>
      <c r="I782">
        <f>Tableau2[[#This Row],[GHG (kgCO2eq/GJ)]]/1000*3.6</f>
        <v>1.3917873892652425E-2</v>
      </c>
      <c r="J782" t="s">
        <v>104</v>
      </c>
      <c r="K782" t="s">
        <v>108</v>
      </c>
    </row>
    <row r="783" spans="1:11" hidden="1" x14ac:dyDescent="0.3">
      <c r="A783" t="s">
        <v>41</v>
      </c>
      <c r="B783" t="s">
        <v>58</v>
      </c>
      <c r="C783" t="s">
        <v>95</v>
      </c>
      <c r="D783">
        <v>2.98726</v>
      </c>
      <c r="E783">
        <f>Tableau2[[#This Row],[Potential (PJ)]]/3.6*1000</f>
        <v>829.79444444444437</v>
      </c>
      <c r="F783">
        <v>0</v>
      </c>
      <c r="G783">
        <f>Tableau2[[#This Row],[Cost (€/GJ)]]/1000000*3600</f>
        <v>0</v>
      </c>
      <c r="H783">
        <v>2.9521711768407801</v>
      </c>
      <c r="I783">
        <f>Tableau2[[#This Row],[GHG (kgCO2eq/GJ)]]/1000*3.6</f>
        <v>1.0627816236626808E-2</v>
      </c>
      <c r="J783" t="s">
        <v>104</v>
      </c>
      <c r="K783" t="s">
        <v>108</v>
      </c>
    </row>
    <row r="784" spans="1:11" hidden="1" x14ac:dyDescent="0.3">
      <c r="A784" t="s">
        <v>41</v>
      </c>
      <c r="B784" t="s">
        <v>50</v>
      </c>
      <c r="C784" t="s">
        <v>73</v>
      </c>
      <c r="D784">
        <v>1.7</v>
      </c>
      <c r="E784">
        <f>Tableau2[[#This Row],[Potential (PJ)]]/3.6*1000</f>
        <v>472.22222222222223</v>
      </c>
      <c r="F784">
        <v>5.1363529411764697</v>
      </c>
      <c r="G784">
        <f>Tableau2[[#This Row],[Cost (€/GJ)]]/1000000*3600</f>
        <v>1.8490870588235293E-2</v>
      </c>
      <c r="H784">
        <v>20.723404255319149</v>
      </c>
      <c r="I784">
        <f>Tableau2[[#This Row],[GHG (kgCO2eq/GJ)]]/1000*3.6</f>
        <v>7.4604255319148938E-2</v>
      </c>
      <c r="J784" t="s">
        <v>105</v>
      </c>
      <c r="K784" t="s">
        <v>108</v>
      </c>
    </row>
    <row r="785" spans="1:11" hidden="1" x14ac:dyDescent="0.3">
      <c r="A785" t="s">
        <v>41</v>
      </c>
      <c r="B785" t="s">
        <v>50</v>
      </c>
      <c r="C785" t="s">
        <v>74</v>
      </c>
      <c r="D785">
        <v>10.7</v>
      </c>
      <c r="E785">
        <f>Tableau2[[#This Row],[Potential (PJ)]]/3.6*1000</f>
        <v>2972.2222222222217</v>
      </c>
      <c r="F785">
        <v>3.373654205607477</v>
      </c>
      <c r="G785">
        <f>Tableau2[[#This Row],[Cost (€/GJ)]]/1000000*3600</f>
        <v>1.2145155140186917E-2</v>
      </c>
      <c r="H785">
        <v>2.0635593220338988</v>
      </c>
      <c r="I785">
        <f>Tableau2[[#This Row],[GHG (kgCO2eq/GJ)]]/1000*3.6</f>
        <v>7.4288135593220351E-3</v>
      </c>
      <c r="J785" t="s">
        <v>105</v>
      </c>
      <c r="K785" t="s">
        <v>108</v>
      </c>
    </row>
    <row r="786" spans="1:11" hidden="1" x14ac:dyDescent="0.3">
      <c r="A786" t="s">
        <v>41</v>
      </c>
      <c r="B786" t="s">
        <v>59</v>
      </c>
      <c r="C786" t="s">
        <v>96</v>
      </c>
      <c r="D786">
        <v>6.93E-2</v>
      </c>
      <c r="E786">
        <f>Tableau2[[#This Row],[Potential (PJ)]]/3.6*1000</f>
        <v>19.25</v>
      </c>
      <c r="F786">
        <v>30.006</v>
      </c>
      <c r="G786">
        <f>Tableau2[[#This Row],[Cost (€/GJ)]]/1000000*3600</f>
        <v>0.1080216</v>
      </c>
      <c r="H786">
        <v>1</v>
      </c>
      <c r="I786">
        <f>Tableau2[[#This Row],[GHG (kgCO2eq/GJ)]]/1000*3.6</f>
        <v>3.6000000000000003E-3</v>
      </c>
      <c r="J786" t="s">
        <v>107</v>
      </c>
      <c r="K786" t="s">
        <v>109</v>
      </c>
    </row>
    <row r="787" spans="1:11" hidden="1" x14ac:dyDescent="0.3">
      <c r="A787" t="s">
        <v>41</v>
      </c>
      <c r="B787" t="s">
        <v>59</v>
      </c>
      <c r="C787" t="s">
        <v>97</v>
      </c>
      <c r="D787">
        <v>4.2000000000000006E-3</v>
      </c>
      <c r="E787">
        <f>Tableau2[[#This Row],[Potential (PJ)]]/3.6*1000</f>
        <v>1.1666666666666667</v>
      </c>
      <c r="F787">
        <v>15.95225176342919</v>
      </c>
      <c r="G787">
        <f>Tableau2[[#This Row],[Cost (€/GJ)]]/1000000*3600</f>
        <v>5.7428106348345088E-2</v>
      </c>
      <c r="H787">
        <v>1</v>
      </c>
      <c r="I787">
        <f>Tableau2[[#This Row],[GHG (kgCO2eq/GJ)]]/1000*3.6</f>
        <v>3.6000000000000003E-3</v>
      </c>
      <c r="J787" t="s">
        <v>107</v>
      </c>
      <c r="K787" t="s">
        <v>109</v>
      </c>
    </row>
    <row r="788" spans="1:11" hidden="1" x14ac:dyDescent="0.3">
      <c r="A788" t="s">
        <v>41</v>
      </c>
      <c r="B788" t="s">
        <v>51</v>
      </c>
      <c r="C788" t="s">
        <v>75</v>
      </c>
      <c r="D788">
        <v>5.0767680000000004</v>
      </c>
      <c r="E788">
        <f>Tableau2[[#This Row],[Potential (PJ)]]/3.6*1000</f>
        <v>1410.2133333333334</v>
      </c>
      <c r="F788">
        <v>1.5225544497392701E-2</v>
      </c>
      <c r="G788">
        <f>Tableau2[[#This Row],[Cost (€/GJ)]]/1000000*3600</f>
        <v>5.481196019061372E-5</v>
      </c>
      <c r="H788">
        <v>11.74</v>
      </c>
      <c r="I788">
        <f>Tableau2[[#This Row],[GHG (kgCO2eq/GJ)]]/1000*3.6</f>
        <v>4.2264000000000003E-2</v>
      </c>
      <c r="J788" t="s">
        <v>104</v>
      </c>
      <c r="K788" t="s">
        <v>108</v>
      </c>
    </row>
    <row r="789" spans="1:11" hidden="1" x14ac:dyDescent="0.3">
      <c r="A789" t="s">
        <v>41</v>
      </c>
      <c r="B789" t="s">
        <v>60</v>
      </c>
      <c r="C789" t="s">
        <v>98</v>
      </c>
      <c r="D789">
        <v>1.15541</v>
      </c>
      <c r="E789">
        <f>Tableau2[[#This Row],[Potential (PJ)]]/3.6*1000</f>
        <v>320.94722222222219</v>
      </c>
      <c r="F789">
        <v>18.367346938775508</v>
      </c>
      <c r="G789">
        <f>Tableau2[[#This Row],[Cost (€/GJ)]]/1000000*3600</f>
        <v>6.6122448979591825E-2</v>
      </c>
      <c r="H789">
        <v>18.8</v>
      </c>
      <c r="I789">
        <f>Tableau2[[#This Row],[GHG (kgCO2eq/GJ)]]/1000*3.6</f>
        <v>6.7680000000000004E-2</v>
      </c>
      <c r="J789" t="s">
        <v>107</v>
      </c>
      <c r="K789" t="s">
        <v>109</v>
      </c>
    </row>
    <row r="790" spans="1:11" hidden="1" x14ac:dyDescent="0.3">
      <c r="A790" t="s">
        <v>41</v>
      </c>
      <c r="B790" t="s">
        <v>52</v>
      </c>
      <c r="C790" t="s">
        <v>76</v>
      </c>
      <c r="D790">
        <v>2E-3</v>
      </c>
      <c r="E790">
        <f>Tableau2[[#This Row],[Potential (PJ)]]/3.6*1000</f>
        <v>0.55555555555555558</v>
      </c>
      <c r="F790">
        <v>5.4702337500000002</v>
      </c>
      <c r="G790">
        <f>Tableau2[[#This Row],[Cost (€/GJ)]]/1000000*3600</f>
        <v>1.9692841500000002E-2</v>
      </c>
      <c r="H790">
        <v>12.68872359754714</v>
      </c>
      <c r="I790">
        <f>Tableau2[[#This Row],[GHG (kgCO2eq/GJ)]]/1000*3.6</f>
        <v>4.5679404951169705E-2</v>
      </c>
      <c r="J790" t="s">
        <v>105</v>
      </c>
      <c r="K790" t="s">
        <v>108</v>
      </c>
    </row>
    <row r="791" spans="1:11" hidden="1" x14ac:dyDescent="0.3">
      <c r="A791" t="s">
        <v>41</v>
      </c>
      <c r="B791" t="s">
        <v>53</v>
      </c>
      <c r="C791" t="s">
        <v>77</v>
      </c>
      <c r="D791">
        <v>1</v>
      </c>
      <c r="E791">
        <f>Tableau2[[#This Row],[Potential (PJ)]]/3.6*1000</f>
        <v>277.77777777777777</v>
      </c>
      <c r="F791">
        <v>2.7873000000000001</v>
      </c>
      <c r="G791">
        <f>Tableau2[[#This Row],[Cost (€/GJ)]]/1000000*3600</f>
        <v>1.003428E-2</v>
      </c>
      <c r="H791">
        <v>3.86607608129234</v>
      </c>
      <c r="I791">
        <f>Tableau2[[#This Row],[GHG (kgCO2eq/GJ)]]/1000*3.6</f>
        <v>1.3917873892652425E-2</v>
      </c>
      <c r="J791" t="s">
        <v>104</v>
      </c>
      <c r="K791" t="s">
        <v>108</v>
      </c>
    </row>
    <row r="792" spans="1:11" hidden="1" x14ac:dyDescent="0.3">
      <c r="A792" t="s">
        <v>41</v>
      </c>
      <c r="B792" t="s">
        <v>61</v>
      </c>
      <c r="C792" t="s">
        <v>99</v>
      </c>
      <c r="D792">
        <v>5.7</v>
      </c>
      <c r="E792">
        <f>Tableau2[[#This Row],[Potential (PJ)]]/3.6*1000</f>
        <v>1583.3333333333333</v>
      </c>
      <c r="F792">
        <v>1.725228070175439</v>
      </c>
      <c r="G792">
        <f>Tableau2[[#This Row],[Cost (€/GJ)]]/1000000*3600</f>
        <v>6.2108210526315806E-3</v>
      </c>
      <c r="H792">
        <v>2.9245635910224439</v>
      </c>
      <c r="I792">
        <f>Tableau2[[#This Row],[GHG (kgCO2eq/GJ)]]/1000*3.6</f>
        <v>1.0528428927680798E-2</v>
      </c>
      <c r="J792" t="s">
        <v>104</v>
      </c>
      <c r="K792" t="s">
        <v>108</v>
      </c>
    </row>
    <row r="793" spans="1:11" hidden="1" x14ac:dyDescent="0.3">
      <c r="A793" t="s">
        <v>41</v>
      </c>
      <c r="B793" t="s">
        <v>62</v>
      </c>
      <c r="C793" t="s">
        <v>100</v>
      </c>
      <c r="D793">
        <v>1.7</v>
      </c>
      <c r="E793">
        <f>Tableau2[[#This Row],[Potential (PJ)]]/3.6*1000</f>
        <v>472.22222222222223</v>
      </c>
      <c r="F793">
        <v>0.67647058823529405</v>
      </c>
      <c r="G793">
        <f>Tableau2[[#This Row],[Cost (€/GJ)]]/1000000*3600</f>
        <v>2.4352941176470585E-3</v>
      </c>
      <c r="H793">
        <v>2.6764106050305911</v>
      </c>
      <c r="I793">
        <f>Tableau2[[#This Row],[GHG (kgCO2eq/GJ)]]/1000*3.6</f>
        <v>9.6350781781101291E-3</v>
      </c>
      <c r="J793" t="s">
        <v>104</v>
      </c>
      <c r="K793" t="s">
        <v>108</v>
      </c>
    </row>
    <row r="794" spans="1:11" hidden="1" x14ac:dyDescent="0.3">
      <c r="A794" t="s">
        <v>41</v>
      </c>
      <c r="B794" t="s">
        <v>54</v>
      </c>
      <c r="C794" t="s">
        <v>78</v>
      </c>
      <c r="D794">
        <v>35.6</v>
      </c>
      <c r="E794">
        <f>Tableau2[[#This Row],[Potential (PJ)]]/3.6*1000</f>
        <v>9888.8888888888887</v>
      </c>
      <c r="F794">
        <v>2.7726797752808992</v>
      </c>
      <c r="G794">
        <f>Tableau2[[#This Row],[Cost (€/GJ)]]/1000000*3600</f>
        <v>9.9816471910112378E-3</v>
      </c>
      <c r="H794">
        <v>3.86607608129234</v>
      </c>
      <c r="I794">
        <f>Tableau2[[#This Row],[GHG (kgCO2eq/GJ)]]/1000*3.6</f>
        <v>1.3917873892652425E-2</v>
      </c>
      <c r="J794" t="s">
        <v>104</v>
      </c>
      <c r="K794" t="s">
        <v>108</v>
      </c>
    </row>
    <row r="795" spans="1:11" hidden="1" x14ac:dyDescent="0.3">
      <c r="A795" t="s">
        <v>42</v>
      </c>
      <c r="B795" t="s">
        <v>46</v>
      </c>
      <c r="C795" t="s">
        <v>63</v>
      </c>
      <c r="D795">
        <v>2.6345999999999998</v>
      </c>
      <c r="E795">
        <f>Tableau2[[#This Row],[Potential (PJ)]]/3.6*1000</f>
        <v>731.83333333333326</v>
      </c>
      <c r="F795">
        <v>2.9286474973375931</v>
      </c>
      <c r="G795">
        <f>Tableau2[[#This Row],[Cost (€/GJ)]]/1000000*3600</f>
        <v>1.0543130990415334E-2</v>
      </c>
      <c r="H795">
        <v>3.950479233226837</v>
      </c>
      <c r="I795">
        <f>Tableau2[[#This Row],[GHG (kgCO2eq/GJ)]]/1000*3.6</f>
        <v>1.4221725239616614E-2</v>
      </c>
      <c r="J795" t="s">
        <v>104</v>
      </c>
      <c r="K795" t="s">
        <v>108</v>
      </c>
    </row>
    <row r="796" spans="1:11" hidden="1" x14ac:dyDescent="0.3">
      <c r="A796" t="s">
        <v>42</v>
      </c>
      <c r="B796" t="s">
        <v>46</v>
      </c>
      <c r="C796" t="s">
        <v>64</v>
      </c>
      <c r="D796">
        <v>1.78881</v>
      </c>
      <c r="E796">
        <f>Tableau2[[#This Row],[Potential (PJ)]]/3.6*1000</f>
        <v>496.89166666666665</v>
      </c>
      <c r="F796">
        <v>5.7800758828494923</v>
      </c>
      <c r="G796">
        <f>Tableau2[[#This Row],[Cost (€/GJ)]]/1000000*3600</f>
        <v>2.0808273178258171E-2</v>
      </c>
      <c r="H796">
        <v>2.9521711768407801</v>
      </c>
      <c r="I796">
        <f>Tableau2[[#This Row],[GHG (kgCO2eq/GJ)]]/1000*3.6</f>
        <v>1.0627816236626808E-2</v>
      </c>
      <c r="J796" t="s">
        <v>104</v>
      </c>
      <c r="K796" t="s">
        <v>108</v>
      </c>
    </row>
    <row r="797" spans="1:11" hidden="1" x14ac:dyDescent="0.3">
      <c r="A797" t="s">
        <v>42</v>
      </c>
      <c r="B797" t="s">
        <v>46</v>
      </c>
      <c r="C797" t="s">
        <v>65</v>
      </c>
      <c r="D797">
        <v>10.5</v>
      </c>
      <c r="E797">
        <f>Tableau2[[#This Row],[Potential (PJ)]]/3.6*1000</f>
        <v>2916.6666666666665</v>
      </c>
      <c r="F797">
        <v>4.5247999999999999</v>
      </c>
      <c r="G797">
        <f>Tableau2[[#This Row],[Cost (€/GJ)]]/1000000*3600</f>
        <v>1.628928E-2</v>
      </c>
      <c r="H797">
        <v>2.9521711768407801</v>
      </c>
      <c r="I797">
        <f>Tableau2[[#This Row],[GHG (kgCO2eq/GJ)]]/1000*3.6</f>
        <v>1.0627816236626808E-2</v>
      </c>
      <c r="J797" t="s">
        <v>104</v>
      </c>
      <c r="K797" t="s">
        <v>108</v>
      </c>
    </row>
    <row r="798" spans="1:11" hidden="1" x14ac:dyDescent="0.3">
      <c r="A798" t="s">
        <v>42</v>
      </c>
      <c r="B798" t="s">
        <v>46</v>
      </c>
      <c r="C798" t="s">
        <v>67</v>
      </c>
      <c r="D798">
        <v>7.8</v>
      </c>
      <c r="E798">
        <f>Tableau2[[#This Row],[Potential (PJ)]]/3.6*1000</f>
        <v>2166.6666666666665</v>
      </c>
      <c r="F798">
        <v>5.91</v>
      </c>
      <c r="G798">
        <f>Tableau2[[#This Row],[Cost (€/GJ)]]/1000000*3600</f>
        <v>2.1276E-2</v>
      </c>
      <c r="H798">
        <v>2.9521711768407801</v>
      </c>
      <c r="I798">
        <f>Tableau2[[#This Row],[GHG (kgCO2eq/GJ)]]/1000*3.6</f>
        <v>1.0627816236626808E-2</v>
      </c>
      <c r="J798" t="s">
        <v>104</v>
      </c>
      <c r="K798" t="s">
        <v>108</v>
      </c>
    </row>
    <row r="799" spans="1:11" hidden="1" x14ac:dyDescent="0.3">
      <c r="A799" t="s">
        <v>42</v>
      </c>
      <c r="B799" t="s">
        <v>46</v>
      </c>
      <c r="C799" t="s">
        <v>85</v>
      </c>
      <c r="D799">
        <v>2.1</v>
      </c>
      <c r="E799">
        <f>Tableau2[[#This Row],[Potential (PJ)]]/3.6*1000</f>
        <v>583.33333333333337</v>
      </c>
      <c r="F799">
        <v>4.2039999999999997</v>
      </c>
      <c r="G799">
        <f>Tableau2[[#This Row],[Cost (€/GJ)]]/1000000*3600</f>
        <v>1.5134399999999999E-2</v>
      </c>
      <c r="H799">
        <v>2.9521711768407801</v>
      </c>
      <c r="I799">
        <f>Tableau2[[#This Row],[GHG (kgCO2eq/GJ)]]/1000*3.6</f>
        <v>1.0627816236626808E-2</v>
      </c>
      <c r="J799" t="s">
        <v>104</v>
      </c>
      <c r="K799" t="s">
        <v>108</v>
      </c>
    </row>
    <row r="800" spans="1:11" hidden="1" x14ac:dyDescent="0.3">
      <c r="A800" t="s">
        <v>42</v>
      </c>
      <c r="B800" t="s">
        <v>47</v>
      </c>
      <c r="C800" t="s">
        <v>68</v>
      </c>
      <c r="D800">
        <v>162.30000000000001</v>
      </c>
      <c r="E800">
        <f>Tableau2[[#This Row],[Potential (PJ)]]/3.6*1000</f>
        <v>45083.333333333336</v>
      </c>
      <c r="F800">
        <v>3.359999999999999</v>
      </c>
      <c r="G800">
        <f>Tableau2[[#This Row],[Cost (€/GJ)]]/1000000*3600</f>
        <v>1.2095999999999997E-2</v>
      </c>
      <c r="I800">
        <f>Tableau2[[#This Row],[GHG (kgCO2eq/GJ)]]/1000*3.6</f>
        <v>0</v>
      </c>
      <c r="J800" t="s">
        <v>104</v>
      </c>
      <c r="K800" t="s">
        <v>109</v>
      </c>
    </row>
    <row r="801" spans="1:11" hidden="1" x14ac:dyDescent="0.3">
      <c r="A801" t="s">
        <v>42</v>
      </c>
      <c r="B801" t="s">
        <v>47</v>
      </c>
      <c r="C801" t="s">
        <v>69</v>
      </c>
      <c r="D801">
        <v>113.5</v>
      </c>
      <c r="E801">
        <f>Tableau2[[#This Row],[Potential (PJ)]]/3.6*1000</f>
        <v>31527.777777777777</v>
      </c>
      <c r="F801">
        <v>3.355</v>
      </c>
      <c r="G801">
        <f>Tableau2[[#This Row],[Cost (€/GJ)]]/1000000*3600</f>
        <v>1.2078E-2</v>
      </c>
      <c r="I801">
        <f>Tableau2[[#This Row],[GHG (kgCO2eq/GJ)]]/1000*3.6</f>
        <v>0</v>
      </c>
      <c r="J801" t="s">
        <v>104</v>
      </c>
      <c r="K801" t="s">
        <v>109</v>
      </c>
    </row>
    <row r="802" spans="1:11" hidden="1" x14ac:dyDescent="0.3">
      <c r="A802" t="s">
        <v>42</v>
      </c>
      <c r="B802" t="s">
        <v>48</v>
      </c>
      <c r="C802" t="s">
        <v>70</v>
      </c>
      <c r="D802">
        <v>60.2</v>
      </c>
      <c r="E802">
        <f>Tableau2[[#This Row],[Potential (PJ)]]/3.6*1000</f>
        <v>16722.222222222223</v>
      </c>
      <c r="F802">
        <v>8.8789999999999996</v>
      </c>
      <c r="G802">
        <f>Tableau2[[#This Row],[Cost (€/GJ)]]/1000000*3600</f>
        <v>3.1964399999999997E-2</v>
      </c>
      <c r="I802">
        <f>Tableau2[[#This Row],[GHG (kgCO2eq/GJ)]]/1000*3.6</f>
        <v>0</v>
      </c>
      <c r="J802" t="s">
        <v>104</v>
      </c>
      <c r="K802" t="s">
        <v>109</v>
      </c>
    </row>
    <row r="803" spans="1:11" hidden="1" x14ac:dyDescent="0.3">
      <c r="A803" t="s">
        <v>42</v>
      </c>
      <c r="B803" t="s">
        <v>49</v>
      </c>
      <c r="C803" t="s">
        <v>71</v>
      </c>
      <c r="D803">
        <v>5.6460000000000003E-2</v>
      </c>
      <c r="E803">
        <f>Tableau2[[#This Row],[Potential (PJ)]]/3.6*1000</f>
        <v>15.683333333333334</v>
      </c>
      <c r="F803">
        <v>2.9359999999999999</v>
      </c>
      <c r="G803">
        <f>Tableau2[[#This Row],[Cost (€/GJ)]]/1000000*3600</f>
        <v>1.05696E-2</v>
      </c>
      <c r="H803">
        <v>3.86607608129234</v>
      </c>
      <c r="I803">
        <f>Tableau2[[#This Row],[GHG (kgCO2eq/GJ)]]/1000*3.6</f>
        <v>1.3917873892652425E-2</v>
      </c>
      <c r="J803" t="s">
        <v>104</v>
      </c>
      <c r="K803" t="s">
        <v>108</v>
      </c>
    </row>
    <row r="804" spans="1:11" hidden="1" x14ac:dyDescent="0.3">
      <c r="A804" t="s">
        <v>42</v>
      </c>
      <c r="B804" t="s">
        <v>52</v>
      </c>
      <c r="C804" t="s">
        <v>76</v>
      </c>
      <c r="D804">
        <v>10.148</v>
      </c>
      <c r="E804">
        <f>Tableau2[[#This Row],[Potential (PJ)]]/3.6*1000</f>
        <v>2818.8888888888887</v>
      </c>
      <c r="F804">
        <v>0</v>
      </c>
      <c r="G804">
        <f>Tableau2[[#This Row],[Cost (€/GJ)]]/1000000*3600</f>
        <v>0</v>
      </c>
      <c r="H804">
        <v>12.68872359754714</v>
      </c>
      <c r="I804">
        <f>Tableau2[[#This Row],[GHG (kgCO2eq/GJ)]]/1000*3.6</f>
        <v>4.5679404951169705E-2</v>
      </c>
      <c r="J804" t="s">
        <v>105</v>
      </c>
      <c r="K804" t="s">
        <v>108</v>
      </c>
    </row>
    <row r="805" spans="1:11" hidden="1" x14ac:dyDescent="0.3">
      <c r="A805" t="s">
        <v>43</v>
      </c>
      <c r="B805" t="s">
        <v>49</v>
      </c>
      <c r="C805" t="s">
        <v>71</v>
      </c>
      <c r="D805">
        <v>124.74547</v>
      </c>
      <c r="E805">
        <f>Tableau2[[#This Row],[Potential (PJ)]]/3.6*1000</f>
        <v>34651.51944444445</v>
      </c>
      <c r="F805">
        <v>0</v>
      </c>
      <c r="G805">
        <f>Tableau2[[#This Row],[Cost (€/GJ)]]/1000000*3600</f>
        <v>0</v>
      </c>
      <c r="I805">
        <f>Tableau2[[#This Row],[GHG (kgCO2eq/GJ)]]/1000*3.6</f>
        <v>0</v>
      </c>
      <c r="J805" t="s">
        <v>104</v>
      </c>
      <c r="K805" t="s">
        <v>108</v>
      </c>
    </row>
    <row r="806" spans="1:11" hidden="1" x14ac:dyDescent="0.3">
      <c r="A806" t="s">
        <v>43</v>
      </c>
      <c r="B806" t="s">
        <v>49</v>
      </c>
      <c r="C806" t="s">
        <v>72</v>
      </c>
      <c r="D806">
        <v>22.7</v>
      </c>
      <c r="E806">
        <f>Tableau2[[#This Row],[Potential (PJ)]]/3.6*1000</f>
        <v>6305.5555555555557</v>
      </c>
      <c r="F806">
        <v>0</v>
      </c>
      <c r="G806">
        <f>Tableau2[[#This Row],[Cost (€/GJ)]]/1000000*3600</f>
        <v>0</v>
      </c>
      <c r="I806">
        <f>Tableau2[[#This Row],[GHG (kgCO2eq/GJ)]]/1000*3.6</f>
        <v>0</v>
      </c>
      <c r="J806" t="s">
        <v>104</v>
      </c>
      <c r="K806" t="s">
        <v>108</v>
      </c>
    </row>
    <row r="807" spans="1:11" hidden="1" x14ac:dyDescent="0.3">
      <c r="A807" t="s">
        <v>43</v>
      </c>
      <c r="B807" t="s">
        <v>53</v>
      </c>
      <c r="C807" t="s">
        <v>77</v>
      </c>
      <c r="D807">
        <v>23.7</v>
      </c>
      <c r="E807">
        <f>Tableau2[[#This Row],[Potential (PJ)]]/3.6*1000</f>
        <v>6583.333333333333</v>
      </c>
      <c r="F807">
        <v>0</v>
      </c>
      <c r="G807">
        <f>Tableau2[[#This Row],[Cost (€/GJ)]]/1000000*3600</f>
        <v>0</v>
      </c>
      <c r="I807">
        <f>Tableau2[[#This Row],[GHG (kgCO2eq/GJ)]]/1000*3.6</f>
        <v>0</v>
      </c>
      <c r="J807" t="s">
        <v>104</v>
      </c>
      <c r="K807" t="s">
        <v>108</v>
      </c>
    </row>
    <row r="808" spans="1:11" hidden="1" x14ac:dyDescent="0.3">
      <c r="A808" t="s">
        <v>43</v>
      </c>
      <c r="B808" t="s">
        <v>54</v>
      </c>
      <c r="C808" t="s">
        <v>78</v>
      </c>
      <c r="D808">
        <v>129.9</v>
      </c>
      <c r="E808">
        <f>Tableau2[[#This Row],[Potential (PJ)]]/3.6*1000</f>
        <v>36083.333333333336</v>
      </c>
      <c r="F808">
        <v>0</v>
      </c>
      <c r="G808">
        <f>Tableau2[[#This Row],[Cost (€/GJ)]]/1000000*3600</f>
        <v>0</v>
      </c>
      <c r="I808">
        <f>Tableau2[[#This Row],[GHG (kgCO2eq/GJ)]]/1000*3.6</f>
        <v>0</v>
      </c>
      <c r="J808" t="s">
        <v>104</v>
      </c>
      <c r="K808" t="s">
        <v>108</v>
      </c>
    </row>
    <row r="809" spans="1:11" hidden="1" x14ac:dyDescent="0.3">
      <c r="A809" t="s">
        <v>44</v>
      </c>
      <c r="B809" t="s">
        <v>46</v>
      </c>
      <c r="C809" t="s">
        <v>64</v>
      </c>
      <c r="D809">
        <v>6.5159999999999996E-2</v>
      </c>
      <c r="E809">
        <f>Tableau2[[#This Row],[Potential (PJ)]]/3.6*1000</f>
        <v>18.099999999999998</v>
      </c>
      <c r="F809">
        <v>2.670555555555556</v>
      </c>
      <c r="G809">
        <f>Tableau2[[#This Row],[Cost (€/GJ)]]/1000000*3600</f>
        <v>9.614000000000001E-3</v>
      </c>
      <c r="H809">
        <v>2.9521711768407801</v>
      </c>
      <c r="I809">
        <f>Tableau2[[#This Row],[GHG (kgCO2eq/GJ)]]/1000*3.6</f>
        <v>1.0627816236626808E-2</v>
      </c>
      <c r="J809" t="s">
        <v>104</v>
      </c>
      <c r="K809" t="s">
        <v>108</v>
      </c>
    </row>
    <row r="810" spans="1:11" hidden="1" x14ac:dyDescent="0.3">
      <c r="A810" t="s">
        <v>44</v>
      </c>
      <c r="B810" t="s">
        <v>46</v>
      </c>
      <c r="C810" t="s">
        <v>79</v>
      </c>
      <c r="D810">
        <v>53</v>
      </c>
      <c r="E810">
        <f>Tableau2[[#This Row],[Potential (PJ)]]/3.6*1000</f>
        <v>14722.222222222221</v>
      </c>
      <c r="F810">
        <v>3.9120433962264149</v>
      </c>
      <c r="G810">
        <f>Tableau2[[#This Row],[Cost (€/GJ)]]/1000000*3600</f>
        <v>1.4083356226415093E-2</v>
      </c>
      <c r="H810">
        <v>6.8428961748633883</v>
      </c>
      <c r="I810">
        <f>Tableau2[[#This Row],[GHG (kgCO2eq/GJ)]]/1000*3.6</f>
        <v>2.4634426229508198E-2</v>
      </c>
      <c r="J810" t="s">
        <v>104</v>
      </c>
      <c r="K810" t="s">
        <v>108</v>
      </c>
    </row>
    <row r="811" spans="1:11" hidden="1" x14ac:dyDescent="0.3">
      <c r="A811" t="s">
        <v>44</v>
      </c>
      <c r="B811" t="s">
        <v>46</v>
      </c>
      <c r="C811" t="s">
        <v>80</v>
      </c>
      <c r="D811">
        <v>3.0402</v>
      </c>
      <c r="E811">
        <f>Tableau2[[#This Row],[Potential (PJ)]]/3.6*1000</f>
        <v>844.5</v>
      </c>
      <c r="F811">
        <v>4.7201618341200263E-2</v>
      </c>
      <c r="G811">
        <f>Tableau2[[#This Row],[Cost (€/GJ)]]/1000000*3600</f>
        <v>1.6992582602832094E-4</v>
      </c>
      <c r="H811">
        <v>28.139870918023309</v>
      </c>
      <c r="I811">
        <f>Tableau2[[#This Row],[GHG (kgCO2eq/GJ)]]/1000*3.6</f>
        <v>0.10130353530488391</v>
      </c>
      <c r="J811" t="s">
        <v>105</v>
      </c>
      <c r="K811" t="s">
        <v>108</v>
      </c>
    </row>
    <row r="812" spans="1:11" hidden="1" x14ac:dyDescent="0.3">
      <c r="A812" t="s">
        <v>44</v>
      </c>
      <c r="B812" t="s">
        <v>46</v>
      </c>
      <c r="C812" t="s">
        <v>81</v>
      </c>
      <c r="D812">
        <v>0.3639</v>
      </c>
      <c r="E812">
        <f>Tableau2[[#This Row],[Potential (PJ)]]/3.6*1000</f>
        <v>101.08333333333333</v>
      </c>
      <c r="F812">
        <v>0.69388954171562867</v>
      </c>
      <c r="G812">
        <f>Tableau2[[#This Row],[Cost (€/GJ)]]/1000000*3600</f>
        <v>2.4980023501762635E-3</v>
      </c>
      <c r="H812">
        <v>8.9647473560517046</v>
      </c>
      <c r="I812">
        <f>Tableau2[[#This Row],[GHG (kgCO2eq/GJ)]]/1000*3.6</f>
        <v>3.2273090481786136E-2</v>
      </c>
      <c r="J812" t="s">
        <v>105</v>
      </c>
      <c r="K812" t="s">
        <v>108</v>
      </c>
    </row>
    <row r="813" spans="1:11" hidden="1" x14ac:dyDescent="0.3">
      <c r="A813" t="s">
        <v>44</v>
      </c>
      <c r="B813" t="s">
        <v>46</v>
      </c>
      <c r="C813" t="s">
        <v>82</v>
      </c>
      <c r="D813">
        <v>7</v>
      </c>
      <c r="E813">
        <f>Tableau2[[#This Row],[Potential (PJ)]]/3.6*1000</f>
        <v>1944.4444444444443</v>
      </c>
      <c r="F813">
        <v>2.475685714285714</v>
      </c>
      <c r="G813">
        <f>Tableau2[[#This Row],[Cost (€/GJ)]]/1000000*3600</f>
        <v>8.9124685714285692E-3</v>
      </c>
      <c r="H813">
        <v>6.8428961748633883</v>
      </c>
      <c r="I813">
        <f>Tableau2[[#This Row],[GHG (kgCO2eq/GJ)]]/1000*3.6</f>
        <v>2.4634426229508198E-2</v>
      </c>
      <c r="J813" t="s">
        <v>104</v>
      </c>
      <c r="K813" t="s">
        <v>108</v>
      </c>
    </row>
    <row r="814" spans="1:11" hidden="1" x14ac:dyDescent="0.3">
      <c r="A814" t="s">
        <v>44</v>
      </c>
      <c r="B814" t="s">
        <v>46</v>
      </c>
      <c r="C814" t="s">
        <v>84</v>
      </c>
      <c r="D814">
        <v>1.3</v>
      </c>
      <c r="E814">
        <f>Tableau2[[#This Row],[Potential (PJ)]]/3.6*1000</f>
        <v>361.11111111111109</v>
      </c>
      <c r="F814">
        <v>2.5623076923076922</v>
      </c>
      <c r="G814">
        <f>Tableau2[[#This Row],[Cost (€/GJ)]]/1000000*3600</f>
        <v>9.2243076923076931E-3</v>
      </c>
      <c r="H814">
        <v>28.139870918023309</v>
      </c>
      <c r="I814">
        <f>Tableau2[[#This Row],[GHG (kgCO2eq/GJ)]]/1000*3.6</f>
        <v>0.10130353530488391</v>
      </c>
      <c r="J814" t="s">
        <v>105</v>
      </c>
      <c r="K814" t="s">
        <v>108</v>
      </c>
    </row>
    <row r="815" spans="1:11" hidden="1" x14ac:dyDescent="0.3">
      <c r="A815" t="s">
        <v>44</v>
      </c>
      <c r="B815" t="s">
        <v>55</v>
      </c>
      <c r="C815" t="s">
        <v>86</v>
      </c>
      <c r="D815">
        <v>3.1061000000000001</v>
      </c>
      <c r="E815">
        <f>Tableau2[[#This Row],[Potential (PJ)]]/3.6*1000</f>
        <v>862.80555555555566</v>
      </c>
      <c r="F815">
        <v>18.461000000000009</v>
      </c>
      <c r="G815">
        <f>Tableau2[[#This Row],[Cost (€/GJ)]]/1000000*3600</f>
        <v>6.6459600000000035E-2</v>
      </c>
      <c r="H815">
        <v>11.6</v>
      </c>
      <c r="I815">
        <f>Tableau2[[#This Row],[GHG (kgCO2eq/GJ)]]/1000*3.6</f>
        <v>4.1759999999999999E-2</v>
      </c>
      <c r="J815" t="s">
        <v>106</v>
      </c>
      <c r="K815" t="s">
        <v>109</v>
      </c>
    </row>
    <row r="816" spans="1:11" hidden="1" x14ac:dyDescent="0.3">
      <c r="A816" t="s">
        <v>44</v>
      </c>
      <c r="B816" t="s">
        <v>55</v>
      </c>
      <c r="C816" t="s">
        <v>89</v>
      </c>
      <c r="D816">
        <v>3.923</v>
      </c>
      <c r="E816">
        <f>Tableau2[[#This Row],[Potential (PJ)]]/3.6*1000</f>
        <v>1089.7222222222222</v>
      </c>
      <c r="F816">
        <v>0</v>
      </c>
      <c r="G816">
        <f>Tableau2[[#This Row],[Cost (€/GJ)]]/1000000*3600</f>
        <v>0</v>
      </c>
      <c r="H816">
        <v>11.6</v>
      </c>
      <c r="I816">
        <f>Tableau2[[#This Row],[GHG (kgCO2eq/GJ)]]/1000*3.6</f>
        <v>4.1759999999999999E-2</v>
      </c>
      <c r="J816" t="s">
        <v>106</v>
      </c>
      <c r="K816" t="s">
        <v>109</v>
      </c>
    </row>
    <row r="817" spans="1:11" hidden="1" x14ac:dyDescent="0.3">
      <c r="A817" t="s">
        <v>44</v>
      </c>
      <c r="B817" t="s">
        <v>55</v>
      </c>
      <c r="C817" t="s">
        <v>92</v>
      </c>
      <c r="D817">
        <v>15.23157</v>
      </c>
      <c r="E817">
        <f>Tableau2[[#This Row],[Potential (PJ)]]/3.6*1000</f>
        <v>4230.9916666666659</v>
      </c>
      <c r="F817">
        <v>18.32500000000001</v>
      </c>
      <c r="G817">
        <f>Tableau2[[#This Row],[Cost (€/GJ)]]/1000000*3600</f>
        <v>6.5970000000000029E-2</v>
      </c>
      <c r="H817">
        <v>11.6</v>
      </c>
      <c r="I817">
        <f>Tableau2[[#This Row],[GHG (kgCO2eq/GJ)]]/1000*3.6</f>
        <v>4.1759999999999999E-2</v>
      </c>
      <c r="J817" t="s">
        <v>106</v>
      </c>
      <c r="K817" t="s">
        <v>109</v>
      </c>
    </row>
    <row r="818" spans="1:11" hidden="1" x14ac:dyDescent="0.3">
      <c r="A818" t="s">
        <v>44</v>
      </c>
      <c r="B818" t="s">
        <v>56</v>
      </c>
      <c r="C818" t="s">
        <v>93</v>
      </c>
      <c r="D818">
        <v>67.979600000000005</v>
      </c>
      <c r="E818">
        <f>Tableau2[[#This Row],[Potential (PJ)]]/3.6*1000</f>
        <v>18883.222222222223</v>
      </c>
      <c r="F818">
        <v>2.939759036144578</v>
      </c>
      <c r="G818">
        <f>Tableau2[[#This Row],[Cost (€/GJ)]]/1000000*3600</f>
        <v>1.0583132530120481E-2</v>
      </c>
      <c r="H818">
        <v>28.8</v>
      </c>
      <c r="I818">
        <f>Tableau2[[#This Row],[GHG (kgCO2eq/GJ)]]/1000*3.6</f>
        <v>0.10367999999999999</v>
      </c>
      <c r="J818" t="s">
        <v>106</v>
      </c>
      <c r="K818" t="s">
        <v>109</v>
      </c>
    </row>
    <row r="819" spans="1:11" hidden="1" x14ac:dyDescent="0.3">
      <c r="A819" t="s">
        <v>44</v>
      </c>
      <c r="B819" t="s">
        <v>47</v>
      </c>
      <c r="C819" t="s">
        <v>68</v>
      </c>
      <c r="D819">
        <v>17.399999999999999</v>
      </c>
      <c r="E819">
        <f>Tableau2[[#This Row],[Potential (PJ)]]/3.6*1000</f>
        <v>4833.333333333333</v>
      </c>
      <c r="F819">
        <v>6.6176896551724136</v>
      </c>
      <c r="G819">
        <f>Tableau2[[#This Row],[Cost (€/GJ)]]/1000000*3600</f>
        <v>2.3823682758620686E-2</v>
      </c>
      <c r="H819">
        <v>15.6</v>
      </c>
      <c r="I819">
        <f>Tableau2[[#This Row],[GHG (kgCO2eq/GJ)]]/1000*3.6</f>
        <v>5.6160000000000002E-2</v>
      </c>
      <c r="J819" t="s">
        <v>104</v>
      </c>
      <c r="K819" t="s">
        <v>109</v>
      </c>
    </row>
    <row r="820" spans="1:11" hidden="1" x14ac:dyDescent="0.3">
      <c r="A820" t="s">
        <v>44</v>
      </c>
      <c r="B820" t="s">
        <v>47</v>
      </c>
      <c r="C820" t="s">
        <v>69</v>
      </c>
      <c r="D820">
        <v>10.3</v>
      </c>
      <c r="E820">
        <f>Tableau2[[#This Row],[Potential (PJ)]]/3.6*1000</f>
        <v>2861.1111111111113</v>
      </c>
      <c r="F820">
        <v>7.0226990291262128</v>
      </c>
      <c r="G820">
        <f>Tableau2[[#This Row],[Cost (€/GJ)]]/1000000*3600</f>
        <v>2.5281716504854366E-2</v>
      </c>
      <c r="H820">
        <v>15.6</v>
      </c>
      <c r="I820">
        <f>Tableau2[[#This Row],[GHG (kgCO2eq/GJ)]]/1000*3.6</f>
        <v>5.6160000000000002E-2</v>
      </c>
      <c r="J820" t="s">
        <v>104</v>
      </c>
      <c r="K820" t="s">
        <v>109</v>
      </c>
    </row>
    <row r="821" spans="1:11" hidden="1" x14ac:dyDescent="0.3">
      <c r="A821" t="s">
        <v>44</v>
      </c>
      <c r="B821" t="s">
        <v>57</v>
      </c>
      <c r="C821" t="s">
        <v>94</v>
      </c>
      <c r="D821">
        <v>27.8</v>
      </c>
      <c r="E821">
        <f>Tableau2[[#This Row],[Potential (PJ)]]/3.6*1000</f>
        <v>7722.2222222222226</v>
      </c>
      <c r="F821">
        <v>9.8978776978417269</v>
      </c>
      <c r="G821">
        <f>Tableau2[[#This Row],[Cost (€/GJ)]]/1000000*3600</f>
        <v>3.5632359712230215E-2</v>
      </c>
      <c r="H821">
        <v>24.4</v>
      </c>
      <c r="I821">
        <f>Tableau2[[#This Row],[GHG (kgCO2eq/GJ)]]/1000*3.6</f>
        <v>8.7840000000000001E-2</v>
      </c>
      <c r="J821" t="s">
        <v>104</v>
      </c>
      <c r="K821" t="s">
        <v>109</v>
      </c>
    </row>
    <row r="822" spans="1:11" hidden="1" x14ac:dyDescent="0.3">
      <c r="A822" t="s">
        <v>44</v>
      </c>
      <c r="B822" t="s">
        <v>49</v>
      </c>
      <c r="C822" t="s">
        <v>71</v>
      </c>
      <c r="D822">
        <v>38.27158</v>
      </c>
      <c r="E822">
        <f>Tableau2[[#This Row],[Potential (PJ)]]/3.6*1000</f>
        <v>10630.994444444445</v>
      </c>
      <c r="F822">
        <v>2.8644541354185011</v>
      </c>
      <c r="G822">
        <f>Tableau2[[#This Row],[Cost (€/GJ)]]/1000000*3600</f>
        <v>1.0312034887506604E-2</v>
      </c>
      <c r="H822">
        <v>3.86607608129234</v>
      </c>
      <c r="I822">
        <f>Tableau2[[#This Row],[GHG (kgCO2eq/GJ)]]/1000*3.6</f>
        <v>1.3917873892652425E-2</v>
      </c>
      <c r="J822" t="s">
        <v>104</v>
      </c>
      <c r="K822" t="s">
        <v>108</v>
      </c>
    </row>
    <row r="823" spans="1:11" hidden="1" x14ac:dyDescent="0.3">
      <c r="A823" t="s">
        <v>44</v>
      </c>
      <c r="B823" t="s">
        <v>49</v>
      </c>
      <c r="C823" t="s">
        <v>72</v>
      </c>
      <c r="D823">
        <v>2.7</v>
      </c>
      <c r="E823">
        <f>Tableau2[[#This Row],[Potential (PJ)]]/3.6*1000</f>
        <v>750</v>
      </c>
      <c r="F823">
        <v>2.2758148148148152</v>
      </c>
      <c r="G823">
        <f>Tableau2[[#This Row],[Cost (€/GJ)]]/1000000*3600</f>
        <v>8.1929333333333344E-3</v>
      </c>
      <c r="H823">
        <v>3.86607608129234</v>
      </c>
      <c r="I823">
        <f>Tableau2[[#This Row],[GHG (kgCO2eq/GJ)]]/1000*3.6</f>
        <v>1.3917873892652425E-2</v>
      </c>
      <c r="J823" t="s">
        <v>104</v>
      </c>
      <c r="K823" t="s">
        <v>108</v>
      </c>
    </row>
    <row r="824" spans="1:11" hidden="1" x14ac:dyDescent="0.3">
      <c r="A824" t="s">
        <v>44</v>
      </c>
      <c r="B824" t="s">
        <v>58</v>
      </c>
      <c r="C824" t="s">
        <v>95</v>
      </c>
      <c r="D824">
        <v>14.477729999999999</v>
      </c>
      <c r="E824">
        <f>Tableau2[[#This Row],[Potential (PJ)]]/3.6*1000</f>
        <v>4021.5916666666667</v>
      </c>
      <c r="F824">
        <v>1.87967281887423</v>
      </c>
      <c r="G824">
        <f>Tableau2[[#This Row],[Cost (€/GJ)]]/1000000*3600</f>
        <v>6.7668221479472278E-3</v>
      </c>
      <c r="H824">
        <v>2.9521711768407801</v>
      </c>
      <c r="I824">
        <f>Tableau2[[#This Row],[GHG (kgCO2eq/GJ)]]/1000*3.6</f>
        <v>1.0627816236626808E-2</v>
      </c>
      <c r="J824" t="s">
        <v>104</v>
      </c>
      <c r="K824" t="s">
        <v>108</v>
      </c>
    </row>
    <row r="825" spans="1:11" hidden="1" x14ac:dyDescent="0.3">
      <c r="A825" t="s">
        <v>44</v>
      </c>
      <c r="B825" t="s">
        <v>50</v>
      </c>
      <c r="C825" t="s">
        <v>73</v>
      </c>
      <c r="D825">
        <v>11.5</v>
      </c>
      <c r="E825">
        <f>Tableau2[[#This Row],[Potential (PJ)]]/3.6*1000</f>
        <v>3194.4444444444443</v>
      </c>
      <c r="F825">
        <v>5.973947826086957</v>
      </c>
      <c r="G825">
        <f>Tableau2[[#This Row],[Cost (€/GJ)]]/1000000*3600</f>
        <v>2.1506212173913044E-2</v>
      </c>
      <c r="H825">
        <v>20.723404255319149</v>
      </c>
      <c r="I825">
        <f>Tableau2[[#This Row],[GHG (kgCO2eq/GJ)]]/1000*3.6</f>
        <v>7.4604255319148938E-2</v>
      </c>
      <c r="J825" t="s">
        <v>105</v>
      </c>
      <c r="K825" t="s">
        <v>108</v>
      </c>
    </row>
    <row r="826" spans="1:11" hidden="1" x14ac:dyDescent="0.3">
      <c r="A826" t="s">
        <v>44</v>
      </c>
      <c r="B826" t="s">
        <v>50</v>
      </c>
      <c r="C826" t="s">
        <v>74</v>
      </c>
      <c r="D826">
        <v>149.9</v>
      </c>
      <c r="E826">
        <f>Tableau2[[#This Row],[Potential (PJ)]]/3.6*1000</f>
        <v>41638.888888888891</v>
      </c>
      <c r="F826">
        <v>6.6237591727818543</v>
      </c>
      <c r="G826">
        <f>Tableau2[[#This Row],[Cost (€/GJ)]]/1000000*3600</f>
        <v>2.3845533022014677E-2</v>
      </c>
      <c r="H826">
        <v>2.0635593220338988</v>
      </c>
      <c r="I826">
        <f>Tableau2[[#This Row],[GHG (kgCO2eq/GJ)]]/1000*3.6</f>
        <v>7.4288135593220351E-3</v>
      </c>
      <c r="J826" t="s">
        <v>105</v>
      </c>
      <c r="K826" t="s">
        <v>108</v>
      </c>
    </row>
    <row r="827" spans="1:11" hidden="1" x14ac:dyDescent="0.3">
      <c r="A827" t="s">
        <v>44</v>
      </c>
      <c r="B827" t="s">
        <v>51</v>
      </c>
      <c r="C827" t="s">
        <v>75</v>
      </c>
      <c r="D827">
        <v>23.80012</v>
      </c>
      <c r="E827">
        <f>Tableau2[[#This Row],[Potential (PJ)]]/3.6*1000</f>
        <v>6611.1444444444442</v>
      </c>
      <c r="F827">
        <v>2.8167468324634001E-2</v>
      </c>
      <c r="G827">
        <f>Tableau2[[#This Row],[Cost (€/GJ)]]/1000000*3600</f>
        <v>1.014028859686824E-4</v>
      </c>
      <c r="H827">
        <v>11.74</v>
      </c>
      <c r="I827">
        <f>Tableau2[[#This Row],[GHG (kgCO2eq/GJ)]]/1000*3.6</f>
        <v>4.2264000000000003E-2</v>
      </c>
      <c r="J827" t="s">
        <v>104</v>
      </c>
      <c r="K827" t="s">
        <v>108</v>
      </c>
    </row>
    <row r="828" spans="1:11" hidden="1" x14ac:dyDescent="0.3">
      <c r="A828" t="s">
        <v>44</v>
      </c>
      <c r="B828" t="s">
        <v>60</v>
      </c>
      <c r="C828" t="s">
        <v>98</v>
      </c>
      <c r="D828">
        <v>8.9805200000000003</v>
      </c>
      <c r="E828">
        <f>Tableau2[[#This Row],[Potential (PJ)]]/3.6*1000</f>
        <v>2494.588888888889</v>
      </c>
      <c r="F828">
        <v>19.60257787325456</v>
      </c>
      <c r="G828">
        <f>Tableau2[[#This Row],[Cost (€/GJ)]]/1000000*3600</f>
        <v>7.0569280343716415E-2</v>
      </c>
      <c r="H828">
        <v>20.6</v>
      </c>
      <c r="I828">
        <f>Tableau2[[#This Row],[GHG (kgCO2eq/GJ)]]/1000*3.6</f>
        <v>7.4160000000000004E-2</v>
      </c>
      <c r="J828" t="s">
        <v>107</v>
      </c>
      <c r="K828" t="s">
        <v>109</v>
      </c>
    </row>
    <row r="829" spans="1:11" hidden="1" x14ac:dyDescent="0.3">
      <c r="A829" t="s">
        <v>44</v>
      </c>
      <c r="B829" t="s">
        <v>52</v>
      </c>
      <c r="C829" t="s">
        <v>76</v>
      </c>
      <c r="D829">
        <v>0.22</v>
      </c>
      <c r="E829">
        <f>Tableau2[[#This Row],[Potential (PJ)]]/3.6*1000</f>
        <v>61.111111111111107</v>
      </c>
      <c r="F829">
        <v>5.4702337500000002</v>
      </c>
      <c r="G829">
        <f>Tableau2[[#This Row],[Cost (€/GJ)]]/1000000*3600</f>
        <v>1.9692841500000002E-2</v>
      </c>
      <c r="H829">
        <v>12.68872359754714</v>
      </c>
      <c r="I829">
        <f>Tableau2[[#This Row],[GHG (kgCO2eq/GJ)]]/1000*3.6</f>
        <v>4.5679404951169705E-2</v>
      </c>
      <c r="J829" t="s">
        <v>105</v>
      </c>
      <c r="K829" t="s">
        <v>108</v>
      </c>
    </row>
    <row r="830" spans="1:11" hidden="1" x14ac:dyDescent="0.3">
      <c r="A830" t="s">
        <v>44</v>
      </c>
      <c r="B830" t="s">
        <v>53</v>
      </c>
      <c r="C830" t="s">
        <v>77</v>
      </c>
      <c r="D830">
        <v>4.3</v>
      </c>
      <c r="E830">
        <f>Tableau2[[#This Row],[Potential (PJ)]]/3.6*1000</f>
        <v>1194.4444444444443</v>
      </c>
      <c r="F830">
        <v>2.2205116279069772</v>
      </c>
      <c r="G830">
        <f>Tableau2[[#This Row],[Cost (€/GJ)]]/1000000*3600</f>
        <v>7.9938418604651174E-3</v>
      </c>
      <c r="H830">
        <v>3.86607608129234</v>
      </c>
      <c r="I830">
        <f>Tableau2[[#This Row],[GHG (kgCO2eq/GJ)]]/1000*3.6</f>
        <v>1.3917873892652425E-2</v>
      </c>
      <c r="J830" t="s">
        <v>104</v>
      </c>
      <c r="K830" t="s">
        <v>108</v>
      </c>
    </row>
    <row r="831" spans="1:11" hidden="1" x14ac:dyDescent="0.3">
      <c r="A831" t="s">
        <v>44</v>
      </c>
      <c r="B831" t="s">
        <v>61</v>
      </c>
      <c r="C831" t="s">
        <v>99</v>
      </c>
      <c r="D831">
        <v>8.4</v>
      </c>
      <c r="E831">
        <f>Tableau2[[#This Row],[Potential (PJ)]]/3.6*1000</f>
        <v>2333.3333333333335</v>
      </c>
      <c r="F831">
        <v>1.528357142857143</v>
      </c>
      <c r="G831">
        <f>Tableau2[[#This Row],[Cost (€/GJ)]]/1000000*3600</f>
        <v>5.5020857142857142E-3</v>
      </c>
      <c r="H831">
        <v>2.9245635910224439</v>
      </c>
      <c r="I831">
        <f>Tableau2[[#This Row],[GHG (kgCO2eq/GJ)]]/1000*3.6</f>
        <v>1.0528428927680798E-2</v>
      </c>
      <c r="J831" t="s">
        <v>104</v>
      </c>
      <c r="K831" t="s">
        <v>108</v>
      </c>
    </row>
    <row r="832" spans="1:11" hidden="1" x14ac:dyDescent="0.3">
      <c r="A832" t="s">
        <v>44</v>
      </c>
      <c r="B832" t="s">
        <v>62</v>
      </c>
      <c r="C832" t="s">
        <v>100</v>
      </c>
      <c r="D832">
        <v>2.4</v>
      </c>
      <c r="E832">
        <f>Tableau2[[#This Row],[Potential (PJ)]]/3.6*1000</f>
        <v>666.66666666666663</v>
      </c>
      <c r="F832">
        <v>7.9166666666666677E-2</v>
      </c>
      <c r="G832">
        <f>Tableau2[[#This Row],[Cost (€/GJ)]]/1000000*3600</f>
        <v>2.8500000000000004E-4</v>
      </c>
      <c r="H832">
        <v>2.6764106050305911</v>
      </c>
      <c r="I832">
        <f>Tableau2[[#This Row],[GHG (kgCO2eq/GJ)]]/1000*3.6</f>
        <v>9.6350781781101291E-3</v>
      </c>
      <c r="J832" t="s">
        <v>104</v>
      </c>
      <c r="K832" t="s">
        <v>108</v>
      </c>
    </row>
    <row r="833" spans="1:11" hidden="1" x14ac:dyDescent="0.3">
      <c r="A833" t="s">
        <v>44</v>
      </c>
      <c r="B833" t="s">
        <v>54</v>
      </c>
      <c r="C833" t="s">
        <v>78</v>
      </c>
      <c r="D833">
        <v>61.6</v>
      </c>
      <c r="E833">
        <f>Tableau2[[#This Row],[Potential (PJ)]]/3.6*1000</f>
        <v>17111.111111111109</v>
      </c>
      <c r="F833">
        <v>4.6396120129870129</v>
      </c>
      <c r="G833">
        <f>Tableau2[[#This Row],[Cost (€/GJ)]]/1000000*3600</f>
        <v>1.6702603246753246E-2</v>
      </c>
      <c r="H833">
        <v>3.86607608129234</v>
      </c>
      <c r="I833">
        <f>Tableau2[[#This Row],[GHG (kgCO2eq/GJ)]]/1000*3.6</f>
        <v>1.3917873892652425E-2</v>
      </c>
      <c r="J833" t="s">
        <v>104</v>
      </c>
      <c r="K833" t="s">
        <v>108</v>
      </c>
    </row>
    <row r="834" spans="1:11" hidden="1" x14ac:dyDescent="0.3">
      <c r="A834" t="s">
        <v>45</v>
      </c>
      <c r="B834" t="s">
        <v>46</v>
      </c>
      <c r="C834" t="s">
        <v>64</v>
      </c>
      <c r="D834">
        <v>1.4319999999999999E-2</v>
      </c>
      <c r="E834">
        <f>Tableau2[[#This Row],[Potential (PJ)]]/3.6*1000</f>
        <v>3.977777777777777</v>
      </c>
      <c r="F834">
        <v>2.262</v>
      </c>
      <c r="G834">
        <f>Tableau2[[#This Row],[Cost (€/GJ)]]/1000000*3600</f>
        <v>8.1431999999999997E-3</v>
      </c>
      <c r="H834">
        <v>2.9521711768407801</v>
      </c>
      <c r="I834">
        <f>Tableau2[[#This Row],[GHG (kgCO2eq/GJ)]]/1000*3.6</f>
        <v>1.0627816236626808E-2</v>
      </c>
      <c r="J834" t="s">
        <v>104</v>
      </c>
      <c r="K834" t="s">
        <v>108</v>
      </c>
    </row>
    <row r="835" spans="1:11" hidden="1" x14ac:dyDescent="0.3">
      <c r="A835" t="s">
        <v>45</v>
      </c>
      <c r="B835" t="s">
        <v>46</v>
      </c>
      <c r="C835" t="s">
        <v>79</v>
      </c>
      <c r="D835">
        <v>1.7</v>
      </c>
      <c r="E835">
        <f>Tableau2[[#This Row],[Potential (PJ)]]/3.6*1000</f>
        <v>472.22222222222223</v>
      </c>
      <c r="F835">
        <v>0</v>
      </c>
      <c r="G835">
        <f>Tableau2[[#This Row],[Cost (€/GJ)]]/1000000*3600</f>
        <v>0</v>
      </c>
      <c r="H835">
        <v>6.8428961748633883</v>
      </c>
      <c r="I835">
        <f>Tableau2[[#This Row],[GHG (kgCO2eq/GJ)]]/1000*3.6</f>
        <v>2.4634426229508198E-2</v>
      </c>
      <c r="J835" t="s">
        <v>104</v>
      </c>
      <c r="K835" t="s">
        <v>108</v>
      </c>
    </row>
    <row r="836" spans="1:11" hidden="1" x14ac:dyDescent="0.3">
      <c r="A836" t="s">
        <v>45</v>
      </c>
      <c r="B836" t="s">
        <v>46</v>
      </c>
      <c r="C836" t="s">
        <v>66</v>
      </c>
      <c r="D836">
        <v>0.2</v>
      </c>
      <c r="E836">
        <f>Tableau2[[#This Row],[Potential (PJ)]]/3.6*1000</f>
        <v>55.555555555555557</v>
      </c>
      <c r="F836">
        <v>2.677</v>
      </c>
      <c r="G836">
        <f>Tableau2[[#This Row],[Cost (€/GJ)]]/1000000*3600</f>
        <v>9.6372000000000003E-3</v>
      </c>
      <c r="H836">
        <v>6.8428961748633883</v>
      </c>
      <c r="I836">
        <f>Tableau2[[#This Row],[GHG (kgCO2eq/GJ)]]/1000*3.6</f>
        <v>2.4634426229508198E-2</v>
      </c>
      <c r="J836" t="s">
        <v>104</v>
      </c>
      <c r="K836" t="s">
        <v>108</v>
      </c>
    </row>
    <row r="837" spans="1:11" hidden="1" x14ac:dyDescent="0.3">
      <c r="A837" t="s">
        <v>45</v>
      </c>
      <c r="B837" t="s">
        <v>47</v>
      </c>
      <c r="C837" t="s">
        <v>68</v>
      </c>
      <c r="D837">
        <v>24.7</v>
      </c>
      <c r="E837">
        <f>Tableau2[[#This Row],[Potential (PJ)]]/3.6*1000</f>
        <v>6861.1111111111104</v>
      </c>
      <c r="F837">
        <v>3.915</v>
      </c>
      <c r="G837">
        <f>Tableau2[[#This Row],[Cost (€/GJ)]]/1000000*3600</f>
        <v>1.4093999999999999E-2</v>
      </c>
      <c r="I837">
        <f>Tableau2[[#This Row],[GHG (kgCO2eq/GJ)]]/1000*3.6</f>
        <v>0</v>
      </c>
      <c r="J837" t="s">
        <v>104</v>
      </c>
      <c r="K837" t="s">
        <v>109</v>
      </c>
    </row>
    <row r="838" spans="1:11" hidden="1" x14ac:dyDescent="0.3">
      <c r="A838" t="s">
        <v>45</v>
      </c>
      <c r="B838" t="s">
        <v>47</v>
      </c>
      <c r="C838" t="s">
        <v>69</v>
      </c>
      <c r="D838">
        <v>17.3</v>
      </c>
      <c r="E838">
        <f>Tableau2[[#This Row],[Potential (PJ)]]/3.6*1000</f>
        <v>4805.5555555555557</v>
      </c>
      <c r="F838">
        <v>3.907</v>
      </c>
      <c r="G838">
        <f>Tableau2[[#This Row],[Cost (€/GJ)]]/1000000*3600</f>
        <v>1.40652E-2</v>
      </c>
      <c r="I838">
        <f>Tableau2[[#This Row],[GHG (kgCO2eq/GJ)]]/1000*3.6</f>
        <v>0</v>
      </c>
      <c r="J838" t="s">
        <v>104</v>
      </c>
      <c r="K838" t="s">
        <v>109</v>
      </c>
    </row>
    <row r="839" spans="1:11" hidden="1" x14ac:dyDescent="0.3">
      <c r="A839" t="s">
        <v>45</v>
      </c>
      <c r="B839" t="s">
        <v>48</v>
      </c>
      <c r="C839" t="s">
        <v>70</v>
      </c>
      <c r="D839">
        <v>9.1</v>
      </c>
      <c r="E839">
        <f>Tableau2[[#This Row],[Potential (PJ)]]/3.6*1000</f>
        <v>2527.7777777777778</v>
      </c>
      <c r="F839">
        <v>10.081</v>
      </c>
      <c r="G839">
        <f>Tableau2[[#This Row],[Cost (€/GJ)]]/1000000*3600</f>
        <v>3.6291599999999993E-2</v>
      </c>
      <c r="I839">
        <f>Tableau2[[#This Row],[GHG (kgCO2eq/GJ)]]/1000*3.6</f>
        <v>0</v>
      </c>
      <c r="J839" t="s">
        <v>104</v>
      </c>
      <c r="K839" t="s">
        <v>109</v>
      </c>
    </row>
    <row r="840" spans="1:11" hidden="1" x14ac:dyDescent="0.3">
      <c r="A840" t="s">
        <v>45</v>
      </c>
      <c r="B840" t="s">
        <v>49</v>
      </c>
      <c r="C840" t="s">
        <v>71</v>
      </c>
      <c r="D840">
        <v>0.58609</v>
      </c>
      <c r="E840">
        <f>Tableau2[[#This Row],[Potential (PJ)]]/3.6*1000</f>
        <v>162.80277777777778</v>
      </c>
      <c r="F840">
        <v>0</v>
      </c>
      <c r="G840">
        <f>Tableau2[[#This Row],[Cost (€/GJ)]]/1000000*3600</f>
        <v>0</v>
      </c>
      <c r="H840">
        <v>3.86607608129234</v>
      </c>
      <c r="I840">
        <f>Tableau2[[#This Row],[GHG (kgCO2eq/GJ)]]/1000*3.6</f>
        <v>1.3917873892652425E-2</v>
      </c>
      <c r="J840" t="s">
        <v>104</v>
      </c>
      <c r="K840" t="s">
        <v>108</v>
      </c>
    </row>
    <row r="841" spans="1:11" hidden="1" x14ac:dyDescent="0.3">
      <c r="A841" t="s">
        <v>45</v>
      </c>
      <c r="B841" t="s">
        <v>50</v>
      </c>
      <c r="C841" t="s">
        <v>73</v>
      </c>
      <c r="D841">
        <v>0.1</v>
      </c>
      <c r="E841">
        <f>Tableau2[[#This Row],[Potential (PJ)]]/3.6*1000</f>
        <v>27.777777777777779</v>
      </c>
      <c r="F841">
        <v>5.4240000000000004</v>
      </c>
      <c r="G841">
        <f>Tableau2[[#This Row],[Cost (€/GJ)]]/1000000*3600</f>
        <v>1.9526399999999999E-2</v>
      </c>
      <c r="H841">
        <v>20.723404255319149</v>
      </c>
      <c r="I841">
        <f>Tableau2[[#This Row],[GHG (kgCO2eq/GJ)]]/1000*3.6</f>
        <v>7.4604255319148938E-2</v>
      </c>
      <c r="J841" t="s">
        <v>105</v>
      </c>
      <c r="K841" t="s">
        <v>108</v>
      </c>
    </row>
    <row r="842" spans="1:11" hidden="1" x14ac:dyDescent="0.3">
      <c r="A842" t="s">
        <v>45</v>
      </c>
      <c r="B842" t="s">
        <v>50</v>
      </c>
      <c r="C842" t="s">
        <v>74</v>
      </c>
      <c r="D842">
        <v>0.1</v>
      </c>
      <c r="E842">
        <f>Tableau2[[#This Row],[Potential (PJ)]]/3.6*1000</f>
        <v>27.777777777777779</v>
      </c>
      <c r="F842">
        <v>3.484</v>
      </c>
      <c r="G842">
        <f>Tableau2[[#This Row],[Cost (€/GJ)]]/1000000*3600</f>
        <v>1.25424E-2</v>
      </c>
      <c r="H842">
        <v>2.0635593220338988</v>
      </c>
      <c r="I842">
        <f>Tableau2[[#This Row],[GHG (kgCO2eq/GJ)]]/1000*3.6</f>
        <v>7.4288135593220351E-3</v>
      </c>
      <c r="J842" t="s">
        <v>105</v>
      </c>
      <c r="K842" t="s">
        <v>108</v>
      </c>
    </row>
    <row r="843" spans="1:11" hidden="1" x14ac:dyDescent="0.3">
      <c r="A843" t="s">
        <v>45</v>
      </c>
      <c r="B843" t="s">
        <v>52</v>
      </c>
      <c r="C843" t="s">
        <v>76</v>
      </c>
      <c r="D843">
        <v>5.8999999999999997E-2</v>
      </c>
      <c r="E843">
        <f>Tableau2[[#This Row],[Potential (PJ)]]/3.6*1000</f>
        <v>16.388888888888886</v>
      </c>
      <c r="F843">
        <v>0</v>
      </c>
      <c r="G843">
        <f>Tableau2[[#This Row],[Cost (€/GJ)]]/1000000*3600</f>
        <v>0</v>
      </c>
      <c r="H843">
        <v>12.68872359754714</v>
      </c>
      <c r="I843">
        <f>Tableau2[[#This Row],[GHG (kgCO2eq/GJ)]]/1000*3.6</f>
        <v>4.5679404951169705E-2</v>
      </c>
      <c r="J843" t="s">
        <v>105</v>
      </c>
      <c r="K843" t="s">
        <v>108</v>
      </c>
    </row>
    <row r="844" spans="1:11" hidden="1" x14ac:dyDescent="0.3">
      <c r="A844" t="s">
        <v>45</v>
      </c>
      <c r="B844" t="s">
        <v>54</v>
      </c>
      <c r="C844" t="s">
        <v>78</v>
      </c>
      <c r="D844">
        <v>2.2000000000000002</v>
      </c>
      <c r="E844">
        <f>Tableau2[[#This Row],[Potential (PJ)]]/3.6*1000</f>
        <v>611.1111111111112</v>
      </c>
      <c r="F844">
        <v>0</v>
      </c>
      <c r="G844">
        <f>Tableau2[[#This Row],[Cost (€/GJ)]]/1000000*3600</f>
        <v>0</v>
      </c>
      <c r="H844">
        <v>3.86607608129234</v>
      </c>
      <c r="I844">
        <f>Tableau2[[#This Row],[GHG (kgCO2eq/GJ)]]/1000*3.6</f>
        <v>1.3917873892652425E-2</v>
      </c>
      <c r="J844" t="s">
        <v>104</v>
      </c>
      <c r="K844" t="s">
        <v>108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808"/>
  <sheetViews>
    <sheetView tabSelected="1" workbookViewId="0">
      <selection activeCell="I318" sqref="I318"/>
    </sheetView>
  </sheetViews>
  <sheetFormatPr baseColWidth="10" defaultColWidth="8.88671875" defaultRowHeight="14.4" x14ac:dyDescent="0.3"/>
  <cols>
    <col min="2" max="2" width="10.109375" customWidth="1"/>
    <col min="4" max="5" width="14" customWidth="1"/>
    <col min="8" max="9" width="18.6640625" customWidth="1"/>
    <col min="10" max="10" width="10.44140625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115</v>
      </c>
      <c r="F1" s="1" t="s">
        <v>112</v>
      </c>
      <c r="G1" s="1" t="s">
        <v>110</v>
      </c>
      <c r="H1" s="2" t="s">
        <v>4</v>
      </c>
      <c r="I1" s="2" t="s">
        <v>111</v>
      </c>
      <c r="J1" s="2" t="s">
        <v>5</v>
      </c>
      <c r="K1" s="2" t="s">
        <v>6</v>
      </c>
    </row>
    <row r="2" spans="1:11" hidden="1" x14ac:dyDescent="0.3">
      <c r="A2" t="s">
        <v>7</v>
      </c>
      <c r="B2" t="s">
        <v>46</v>
      </c>
      <c r="C2" t="s">
        <v>63</v>
      </c>
      <c r="D2">
        <v>1.55E-2</v>
      </c>
      <c r="E2">
        <f>Tableau1[[#This Row],[Potential (PJ)]]/3.6*1000</f>
        <v>4.3055555555555554</v>
      </c>
      <c r="F2">
        <v>2.9286474973375931</v>
      </c>
      <c r="G2">
        <f>Tableau1[[#This Row],[Cost (€/GJ)]]/1000*3.6</f>
        <v>1.0543130990415334E-2</v>
      </c>
      <c r="H2">
        <v>3.950479233226837</v>
      </c>
      <c r="I2">
        <f>Tableau1[[#This Row],[GHG (kgCO2eq/GJ)]]/1000*3.6</f>
        <v>1.4221725239616614E-2</v>
      </c>
      <c r="J2" t="s">
        <v>104</v>
      </c>
      <c r="K2" t="s">
        <v>108</v>
      </c>
    </row>
    <row r="3" spans="1:11" hidden="1" x14ac:dyDescent="0.3">
      <c r="A3" t="s">
        <v>7</v>
      </c>
      <c r="B3" t="s">
        <v>46</v>
      </c>
      <c r="C3" t="s">
        <v>64</v>
      </c>
      <c r="D3">
        <v>8.6449999999999999E-2</v>
      </c>
      <c r="E3">
        <f>Tableau1[[#This Row],[Potential (PJ)]]/3.6*1000</f>
        <v>24.013888888888886</v>
      </c>
      <c r="F3">
        <v>5.0540000000000003</v>
      </c>
      <c r="G3">
        <f>Tableau1[[#This Row],[Cost (€/GJ)]]/1000*3.6</f>
        <v>1.8194400000000003E-2</v>
      </c>
      <c r="H3">
        <v>2.9521711768407801</v>
      </c>
      <c r="I3">
        <f>Tableau1[[#This Row],[GHG (kgCO2eq/GJ)]]/1000*3.6</f>
        <v>1.0627816236626808E-2</v>
      </c>
      <c r="J3" t="s">
        <v>104</v>
      </c>
      <c r="K3" t="s">
        <v>108</v>
      </c>
    </row>
    <row r="4" spans="1:11" hidden="1" x14ac:dyDescent="0.3">
      <c r="A4" t="s">
        <v>7</v>
      </c>
      <c r="B4" t="s">
        <v>46</v>
      </c>
      <c r="C4" t="s">
        <v>65</v>
      </c>
      <c r="D4">
        <v>0.1</v>
      </c>
      <c r="E4">
        <f>Tableau1[[#This Row],[Potential (PJ)]]/3.6*1000</f>
        <v>27.777777777777779</v>
      </c>
      <c r="F4">
        <v>4.3550000000000004</v>
      </c>
      <c r="G4">
        <f>Tableau1[[#This Row],[Cost (€/GJ)]]/1000*3.6</f>
        <v>1.5678000000000001E-2</v>
      </c>
      <c r="H4">
        <v>2.9521711768407801</v>
      </c>
      <c r="I4">
        <f>Tableau1[[#This Row],[GHG (kgCO2eq/GJ)]]/1000*3.6</f>
        <v>1.0627816236626808E-2</v>
      </c>
      <c r="J4" t="s">
        <v>104</v>
      </c>
      <c r="K4" t="s">
        <v>108</v>
      </c>
    </row>
    <row r="5" spans="1:11" hidden="1" x14ac:dyDescent="0.3">
      <c r="A5" t="s">
        <v>7</v>
      </c>
      <c r="B5" t="s">
        <v>46</v>
      </c>
      <c r="C5" t="s">
        <v>66</v>
      </c>
      <c r="D5">
        <v>0.1</v>
      </c>
      <c r="E5">
        <f>Tableau1[[#This Row],[Potential (PJ)]]/3.6*1000</f>
        <v>27.777777777777779</v>
      </c>
      <c r="F5">
        <v>1.6639999999999999</v>
      </c>
      <c r="G5">
        <f>Tableau1[[#This Row],[Cost (€/GJ)]]/1000*3.6</f>
        <v>5.9903999999999999E-3</v>
      </c>
      <c r="H5">
        <v>6.8428961748633883</v>
      </c>
      <c r="I5">
        <f>Tableau1[[#This Row],[GHG (kgCO2eq/GJ)]]/1000*3.6</f>
        <v>2.4634426229508198E-2</v>
      </c>
      <c r="J5" t="s">
        <v>104</v>
      </c>
      <c r="K5" t="s">
        <v>108</v>
      </c>
    </row>
    <row r="6" spans="1:11" hidden="1" x14ac:dyDescent="0.3">
      <c r="A6" t="s">
        <v>7</v>
      </c>
      <c r="B6" t="s">
        <v>47</v>
      </c>
      <c r="C6" t="s">
        <v>68</v>
      </c>
      <c r="D6">
        <v>16.8</v>
      </c>
      <c r="E6">
        <f>Tableau1[[#This Row],[Potential (PJ)]]/3.6*1000</f>
        <v>4666.666666666667</v>
      </c>
      <c r="F6">
        <v>3.3370000000000002</v>
      </c>
      <c r="G6">
        <f>Tableau1[[#This Row],[Cost (€/GJ)]]/1000*3.6</f>
        <v>1.20132E-2</v>
      </c>
      <c r="H6">
        <v>14.1</v>
      </c>
      <c r="I6">
        <f>Tableau1[[#This Row],[GHG (kgCO2eq/GJ)]]/1000*3.6</f>
        <v>5.076E-2</v>
      </c>
      <c r="J6" t="s">
        <v>104</v>
      </c>
      <c r="K6" t="s">
        <v>109</v>
      </c>
    </row>
    <row r="7" spans="1:11" hidden="1" x14ac:dyDescent="0.3">
      <c r="A7" t="s">
        <v>7</v>
      </c>
      <c r="B7" t="s">
        <v>47</v>
      </c>
      <c r="C7" t="s">
        <v>69</v>
      </c>
      <c r="D7">
        <v>11.8</v>
      </c>
      <c r="E7">
        <f>Tableau1[[#This Row],[Potential (PJ)]]/3.6*1000</f>
        <v>3277.7777777777778</v>
      </c>
      <c r="F7">
        <v>3.3279999999999998</v>
      </c>
      <c r="G7">
        <f>Tableau1[[#This Row],[Cost (€/GJ)]]/1000*3.6</f>
        <v>1.19808E-2</v>
      </c>
      <c r="H7">
        <v>14.1</v>
      </c>
      <c r="I7">
        <f>Tableau1[[#This Row],[GHG (kgCO2eq/GJ)]]/1000*3.6</f>
        <v>5.076E-2</v>
      </c>
      <c r="J7" t="s">
        <v>104</v>
      </c>
      <c r="K7" t="s">
        <v>109</v>
      </c>
    </row>
    <row r="8" spans="1:11" hidden="1" x14ac:dyDescent="0.3">
      <c r="A8" t="s">
        <v>7</v>
      </c>
      <c r="B8" t="s">
        <v>48</v>
      </c>
      <c r="C8" t="s">
        <v>70</v>
      </c>
      <c r="D8">
        <v>6.2</v>
      </c>
      <c r="E8">
        <f>Tableau1[[#This Row],[Potential (PJ)]]/3.6*1000</f>
        <v>1722.2222222222224</v>
      </c>
      <c r="F8">
        <v>8.8049999999999997</v>
      </c>
      <c r="G8">
        <f>Tableau1[[#This Row],[Cost (€/GJ)]]/1000*3.6</f>
        <v>3.1698000000000004E-2</v>
      </c>
      <c r="H8">
        <v>0</v>
      </c>
      <c r="I8">
        <f>Tableau1[[#This Row],[GHG (kgCO2eq/GJ)]]/1000*3.6</f>
        <v>0</v>
      </c>
      <c r="J8" t="s">
        <v>104</v>
      </c>
      <c r="K8" t="s">
        <v>109</v>
      </c>
    </row>
    <row r="9" spans="1:11" hidden="1" x14ac:dyDescent="0.3">
      <c r="A9" t="s">
        <v>7</v>
      </c>
      <c r="B9" t="s">
        <v>49</v>
      </c>
      <c r="C9" t="s">
        <v>71</v>
      </c>
      <c r="D9">
        <v>0.94596999999999998</v>
      </c>
      <c r="E9">
        <f>Tableau1[[#This Row],[Potential (PJ)]]/3.6*1000</f>
        <v>262.76944444444445</v>
      </c>
      <c r="F9">
        <v>0</v>
      </c>
      <c r="G9">
        <f>Tableau1[[#This Row],[Cost (€/GJ)]]/1000*3.6</f>
        <v>0</v>
      </c>
      <c r="H9">
        <v>3.86607608129234</v>
      </c>
      <c r="I9">
        <f>Tableau1[[#This Row],[GHG (kgCO2eq/GJ)]]/1000*3.6</f>
        <v>1.3917873892652425E-2</v>
      </c>
      <c r="J9" t="s">
        <v>104</v>
      </c>
      <c r="K9" t="s">
        <v>108</v>
      </c>
    </row>
    <row r="10" spans="1:11" hidden="1" x14ac:dyDescent="0.3">
      <c r="A10" t="s">
        <v>7</v>
      </c>
      <c r="B10" t="s">
        <v>49</v>
      </c>
      <c r="C10" t="s">
        <v>72</v>
      </c>
      <c r="D10">
        <v>0.3</v>
      </c>
      <c r="E10">
        <f>Tableau1[[#This Row],[Potential (PJ)]]/3.6*1000</f>
        <v>83.333333333333329</v>
      </c>
      <c r="F10">
        <v>0</v>
      </c>
      <c r="G10">
        <f>Tableau1[[#This Row],[Cost (€/GJ)]]/1000*3.6</f>
        <v>0</v>
      </c>
      <c r="H10">
        <v>3.86607608129234</v>
      </c>
      <c r="I10">
        <f>Tableau1[[#This Row],[GHG (kgCO2eq/GJ)]]/1000*3.6</f>
        <v>1.3917873892652425E-2</v>
      </c>
      <c r="J10" t="s">
        <v>104</v>
      </c>
      <c r="K10" t="s">
        <v>108</v>
      </c>
    </row>
    <row r="11" spans="1:11" hidden="1" x14ac:dyDescent="0.3">
      <c r="A11" t="s">
        <v>7</v>
      </c>
      <c r="B11" t="s">
        <v>50</v>
      </c>
      <c r="C11" t="s">
        <v>73</v>
      </c>
      <c r="D11">
        <v>0.2</v>
      </c>
      <c r="E11">
        <f>Tableau1[[#This Row],[Potential (PJ)]]/3.6*1000</f>
        <v>55.555555555555557</v>
      </c>
      <c r="F11">
        <v>5.4240000000000004</v>
      </c>
      <c r="G11">
        <f>Tableau1[[#This Row],[Cost (€/GJ)]]/1000*3.6</f>
        <v>1.9526399999999999E-2</v>
      </c>
      <c r="H11">
        <v>20.723404255319149</v>
      </c>
      <c r="I11">
        <f>Tableau1[[#This Row],[GHG (kgCO2eq/GJ)]]/1000*3.6</f>
        <v>7.4604255319148938E-2</v>
      </c>
      <c r="J11" t="s">
        <v>105</v>
      </c>
      <c r="K11" t="s">
        <v>108</v>
      </c>
    </row>
    <row r="12" spans="1:11" hidden="1" x14ac:dyDescent="0.3">
      <c r="A12" t="s">
        <v>7</v>
      </c>
      <c r="B12" t="s">
        <v>50</v>
      </c>
      <c r="C12" t="s">
        <v>74</v>
      </c>
      <c r="D12">
        <v>0.6</v>
      </c>
      <c r="E12">
        <f>Tableau1[[#This Row],[Potential (PJ)]]/3.6*1000</f>
        <v>166.66666666666666</v>
      </c>
      <c r="F12">
        <v>3.484</v>
      </c>
      <c r="G12">
        <f>Tableau1[[#This Row],[Cost (€/GJ)]]/1000*3.6</f>
        <v>1.25424E-2</v>
      </c>
      <c r="H12">
        <v>2.0635593220338988</v>
      </c>
      <c r="I12">
        <f>Tableau1[[#This Row],[GHG (kgCO2eq/GJ)]]/1000*3.6</f>
        <v>7.4288135593220351E-3</v>
      </c>
      <c r="J12" t="s">
        <v>105</v>
      </c>
      <c r="K12" t="s">
        <v>108</v>
      </c>
    </row>
    <row r="13" spans="1:11" hidden="1" x14ac:dyDescent="0.3">
      <c r="A13" t="s">
        <v>7</v>
      </c>
      <c r="B13" t="s">
        <v>51</v>
      </c>
      <c r="C13" t="s">
        <v>75</v>
      </c>
      <c r="D13">
        <v>0.80851099999999998</v>
      </c>
      <c r="E13">
        <f>Tableau1[[#This Row],[Potential (PJ)]]/3.6*1000</f>
        <v>224.58638888888888</v>
      </c>
      <c r="F13">
        <v>8.4863973360258194E-2</v>
      </c>
      <c r="G13">
        <f>Tableau1[[#This Row],[Cost (€/GJ)]]/1000*3.6</f>
        <v>3.0551030409692949E-4</v>
      </c>
      <c r="H13">
        <v>11.74</v>
      </c>
      <c r="I13">
        <f>Tableau1[[#This Row],[GHG (kgCO2eq/GJ)]]/1000*3.6</f>
        <v>4.2264000000000003E-2</v>
      </c>
      <c r="J13" t="s">
        <v>104</v>
      </c>
      <c r="K13" t="s">
        <v>108</v>
      </c>
    </row>
    <row r="14" spans="1:11" hidden="1" x14ac:dyDescent="0.3">
      <c r="A14" t="s">
        <v>7</v>
      </c>
      <c r="B14" t="s">
        <v>52</v>
      </c>
      <c r="C14" t="s">
        <v>76</v>
      </c>
      <c r="D14">
        <v>2.5000000000000001E-2</v>
      </c>
      <c r="E14">
        <f>Tableau1[[#This Row],[Potential (PJ)]]/3.6*1000</f>
        <v>6.9444444444444446</v>
      </c>
      <c r="F14">
        <v>6.1837425000000001</v>
      </c>
      <c r="G14">
        <f>Tableau1[[#This Row],[Cost (€/GJ)]]/1000*3.6</f>
        <v>2.2261473000000004E-2</v>
      </c>
      <c r="H14">
        <v>12.68872359754714</v>
      </c>
      <c r="I14">
        <f>Tableau1[[#This Row],[GHG (kgCO2eq/GJ)]]/1000*3.6</f>
        <v>4.5679404951169705E-2</v>
      </c>
      <c r="J14" t="s">
        <v>105</v>
      </c>
      <c r="K14" t="s">
        <v>108</v>
      </c>
    </row>
    <row r="15" spans="1:11" hidden="1" x14ac:dyDescent="0.3">
      <c r="A15" t="s">
        <v>7</v>
      </c>
      <c r="B15" t="s">
        <v>53</v>
      </c>
      <c r="C15" t="s">
        <v>77</v>
      </c>
      <c r="D15">
        <v>1.0592600000000001</v>
      </c>
      <c r="E15">
        <f>Tableau1[[#This Row],[Potential (PJ)]]/3.6*1000</f>
        <v>294.23888888888888</v>
      </c>
      <c r="F15">
        <v>0</v>
      </c>
      <c r="G15">
        <f>Tableau1[[#This Row],[Cost (€/GJ)]]/1000*3.6</f>
        <v>0</v>
      </c>
      <c r="H15">
        <v>3.86607608129234</v>
      </c>
      <c r="I15">
        <f>Tableau1[[#This Row],[GHG (kgCO2eq/GJ)]]/1000*3.6</f>
        <v>1.3917873892652425E-2</v>
      </c>
      <c r="J15" t="s">
        <v>104</v>
      </c>
      <c r="K15" t="s">
        <v>108</v>
      </c>
    </row>
    <row r="16" spans="1:11" hidden="1" x14ac:dyDescent="0.3">
      <c r="A16" t="s">
        <v>7</v>
      </c>
      <c r="B16" t="s">
        <v>54</v>
      </c>
      <c r="C16" t="s">
        <v>78</v>
      </c>
      <c r="D16">
        <v>3.9</v>
      </c>
      <c r="E16">
        <f>Tableau1[[#This Row],[Potential (PJ)]]/3.6*1000</f>
        <v>1083.3333333333333</v>
      </c>
      <c r="F16">
        <v>0</v>
      </c>
      <c r="G16">
        <f>Tableau1[[#This Row],[Cost (€/GJ)]]/1000*3.6</f>
        <v>0</v>
      </c>
      <c r="H16">
        <v>3.86607608129234</v>
      </c>
      <c r="I16">
        <f>Tableau1[[#This Row],[GHG (kgCO2eq/GJ)]]/1000*3.6</f>
        <v>1.3917873892652425E-2</v>
      </c>
      <c r="J16" t="s">
        <v>104</v>
      </c>
      <c r="K16" t="s">
        <v>108</v>
      </c>
    </row>
    <row r="17" spans="1:11" hidden="1" x14ac:dyDescent="0.3">
      <c r="A17" t="s">
        <v>8</v>
      </c>
      <c r="B17" t="s">
        <v>46</v>
      </c>
      <c r="C17" t="s">
        <v>79</v>
      </c>
      <c r="D17">
        <v>4.5999999999999996</v>
      </c>
      <c r="E17">
        <f>Tableau1[[#This Row],[Potential (PJ)]]/3.6*1000</f>
        <v>1277.7777777777776</v>
      </c>
      <c r="F17">
        <v>9.3649999999999984</v>
      </c>
      <c r="G17">
        <f>Tableau1[[#This Row],[Cost (€/GJ)]]/1000*3.6</f>
        <v>3.3713999999999994E-2</v>
      </c>
      <c r="H17">
        <v>6.8428961748633883</v>
      </c>
      <c r="I17">
        <f>Tableau1[[#This Row],[GHG (kgCO2eq/GJ)]]/1000*3.6</f>
        <v>2.4634426229508198E-2</v>
      </c>
      <c r="J17" t="s">
        <v>104</v>
      </c>
      <c r="K17" t="s">
        <v>108</v>
      </c>
    </row>
    <row r="18" spans="1:11" hidden="1" x14ac:dyDescent="0.3">
      <c r="A18" t="s">
        <v>8</v>
      </c>
      <c r="B18" t="s">
        <v>46</v>
      </c>
      <c r="C18" t="s">
        <v>80</v>
      </c>
      <c r="D18">
        <v>6.7324999999999999</v>
      </c>
      <c r="E18">
        <f>Tableau1[[#This Row],[Potential (PJ)]]/3.6*1000</f>
        <v>1870.1388888888887</v>
      </c>
      <c r="F18">
        <v>0.71274443695212408</v>
      </c>
      <c r="G18">
        <f>Tableau1[[#This Row],[Cost (€/GJ)]]/1000*3.6</f>
        <v>2.5658799730276468E-3</v>
      </c>
      <c r="H18">
        <v>28.139870918023309</v>
      </c>
      <c r="I18">
        <f>Tableau1[[#This Row],[GHG (kgCO2eq/GJ)]]/1000*3.6</f>
        <v>0.10130353530488391</v>
      </c>
      <c r="J18" t="s">
        <v>105</v>
      </c>
      <c r="K18" t="s">
        <v>108</v>
      </c>
    </row>
    <row r="19" spans="1:11" hidden="1" x14ac:dyDescent="0.3">
      <c r="A19" t="s">
        <v>8</v>
      </c>
      <c r="B19" t="s">
        <v>46</v>
      </c>
      <c r="C19" t="s">
        <v>81</v>
      </c>
      <c r="D19">
        <v>1.5723</v>
      </c>
      <c r="E19">
        <f>Tableau1[[#This Row],[Potential (PJ)]]/3.6*1000</f>
        <v>436.75</v>
      </c>
      <c r="F19">
        <v>1.242655699177438</v>
      </c>
      <c r="G19">
        <f>Tableau1[[#This Row],[Cost (€/GJ)]]/1000*3.6</f>
        <v>4.4735605170387769E-3</v>
      </c>
      <c r="H19">
        <v>8.9647473560517046</v>
      </c>
      <c r="I19">
        <f>Tableau1[[#This Row],[GHG (kgCO2eq/GJ)]]/1000*3.6</f>
        <v>3.2273090481786136E-2</v>
      </c>
      <c r="J19" t="s">
        <v>105</v>
      </c>
      <c r="K19" t="s">
        <v>108</v>
      </c>
    </row>
    <row r="20" spans="1:11" hidden="1" x14ac:dyDescent="0.3">
      <c r="A20" t="s">
        <v>8</v>
      </c>
      <c r="B20" t="s">
        <v>46</v>
      </c>
      <c r="C20" t="s">
        <v>66</v>
      </c>
      <c r="D20">
        <v>1.1000000000000001</v>
      </c>
      <c r="E20">
        <f>Tableau1[[#This Row],[Potential (PJ)]]/3.6*1000</f>
        <v>305.5555555555556</v>
      </c>
      <c r="F20">
        <v>9.8734545454545461</v>
      </c>
      <c r="G20">
        <f>Tableau1[[#This Row],[Cost (€/GJ)]]/1000*3.6</f>
        <v>3.554443636363637E-2</v>
      </c>
      <c r="H20">
        <v>6.8428961748633883</v>
      </c>
      <c r="I20">
        <f>Tableau1[[#This Row],[GHG (kgCO2eq/GJ)]]/1000*3.6</f>
        <v>2.4634426229508198E-2</v>
      </c>
      <c r="J20" t="s">
        <v>104</v>
      </c>
      <c r="K20" t="s">
        <v>108</v>
      </c>
    </row>
    <row r="21" spans="1:11" hidden="1" x14ac:dyDescent="0.3">
      <c r="A21" t="s">
        <v>8</v>
      </c>
      <c r="B21" t="s">
        <v>46</v>
      </c>
      <c r="C21" t="s">
        <v>82</v>
      </c>
      <c r="D21">
        <v>0.4</v>
      </c>
      <c r="E21">
        <f>Tableau1[[#This Row],[Potential (PJ)]]/3.6*1000</f>
        <v>111.11111111111111</v>
      </c>
      <c r="F21">
        <v>5.8112499999999994</v>
      </c>
      <c r="G21">
        <f>Tableau1[[#This Row],[Cost (€/GJ)]]/1000*3.6</f>
        <v>2.0920499999999998E-2</v>
      </c>
      <c r="H21">
        <v>6.8428961748633883</v>
      </c>
      <c r="I21">
        <f>Tableau1[[#This Row],[GHG (kgCO2eq/GJ)]]/1000*3.6</f>
        <v>2.4634426229508198E-2</v>
      </c>
      <c r="J21" t="s">
        <v>104</v>
      </c>
      <c r="K21" t="s">
        <v>108</v>
      </c>
    </row>
    <row r="22" spans="1:11" hidden="1" x14ac:dyDescent="0.3">
      <c r="A22" t="s">
        <v>8</v>
      </c>
      <c r="B22" t="s">
        <v>46</v>
      </c>
      <c r="C22" t="s">
        <v>83</v>
      </c>
      <c r="D22">
        <v>0.1</v>
      </c>
      <c r="E22">
        <f>Tableau1[[#This Row],[Potential (PJ)]]/3.6*1000</f>
        <v>27.777777777777779</v>
      </c>
      <c r="F22">
        <v>0</v>
      </c>
      <c r="G22">
        <f>Tableau1[[#This Row],[Cost (€/GJ)]]/1000*3.6</f>
        <v>0</v>
      </c>
      <c r="H22">
        <v>6.8428961748633883</v>
      </c>
      <c r="I22">
        <f>Tableau1[[#This Row],[GHG (kgCO2eq/GJ)]]/1000*3.6</f>
        <v>2.4634426229508198E-2</v>
      </c>
      <c r="J22" t="s">
        <v>104</v>
      </c>
      <c r="K22" t="s">
        <v>108</v>
      </c>
    </row>
    <row r="23" spans="1:11" hidden="1" x14ac:dyDescent="0.3">
      <c r="A23" t="s">
        <v>8</v>
      </c>
      <c r="B23" t="s">
        <v>46</v>
      </c>
      <c r="C23" t="s">
        <v>84</v>
      </c>
      <c r="D23">
        <v>0.1</v>
      </c>
      <c r="E23">
        <f>Tableau1[[#This Row],[Potential (PJ)]]/3.6*1000</f>
        <v>27.777777777777779</v>
      </c>
      <c r="F23">
        <v>4.5339999999999998</v>
      </c>
      <c r="G23">
        <f>Tableau1[[#This Row],[Cost (€/GJ)]]/1000*3.6</f>
        <v>1.6322400000000001E-2</v>
      </c>
      <c r="H23">
        <v>28.139870918023309</v>
      </c>
      <c r="I23">
        <f>Tableau1[[#This Row],[GHG (kgCO2eq/GJ)]]/1000*3.6</f>
        <v>0.10130353530488391</v>
      </c>
      <c r="J23" t="s">
        <v>105</v>
      </c>
      <c r="K23" t="s">
        <v>108</v>
      </c>
    </row>
    <row r="24" spans="1:11" hidden="1" x14ac:dyDescent="0.3">
      <c r="A24" t="s">
        <v>8</v>
      </c>
      <c r="B24" t="s">
        <v>46</v>
      </c>
      <c r="C24" t="s">
        <v>85</v>
      </c>
      <c r="D24">
        <v>0.1</v>
      </c>
      <c r="E24">
        <f>Tableau1[[#This Row],[Potential (PJ)]]/3.6*1000</f>
        <v>27.777777777777779</v>
      </c>
      <c r="F24">
        <v>3.7989999999999999</v>
      </c>
      <c r="G24">
        <f>Tableau1[[#This Row],[Cost (€/GJ)]]/1000*3.6</f>
        <v>1.36764E-2</v>
      </c>
      <c r="H24">
        <v>2.9521711768407801</v>
      </c>
      <c r="I24">
        <f>Tableau1[[#This Row],[GHG (kgCO2eq/GJ)]]/1000*3.6</f>
        <v>1.0627816236626808E-2</v>
      </c>
      <c r="J24" t="s">
        <v>104</v>
      </c>
      <c r="K24" t="s">
        <v>108</v>
      </c>
    </row>
    <row r="25" spans="1:11" hidden="1" x14ac:dyDescent="0.3">
      <c r="A25" t="s">
        <v>8</v>
      </c>
      <c r="B25" t="s">
        <v>55</v>
      </c>
      <c r="C25" t="s">
        <v>86</v>
      </c>
      <c r="D25">
        <v>0.11169999999999999</v>
      </c>
      <c r="E25">
        <f>Tableau1[[#This Row],[Potential (PJ)]]/3.6*1000</f>
        <v>31.027777777777775</v>
      </c>
      <c r="F25">
        <v>15.507999999999999</v>
      </c>
      <c r="G25">
        <f>Tableau1[[#This Row],[Cost (€/GJ)]]/1000*3.6</f>
        <v>5.5828799999999998E-2</v>
      </c>
      <c r="H25">
        <v>9.3000000000000007</v>
      </c>
      <c r="I25">
        <f>Tableau1[[#This Row],[GHG (kgCO2eq/GJ)]]/1000*3.6</f>
        <v>3.3480000000000003E-2</v>
      </c>
      <c r="J25" t="s">
        <v>106</v>
      </c>
      <c r="K25" t="s">
        <v>109</v>
      </c>
    </row>
    <row r="26" spans="1:11" hidden="1" x14ac:dyDescent="0.3">
      <c r="A26" t="s">
        <v>8</v>
      </c>
      <c r="B26" t="s">
        <v>55</v>
      </c>
      <c r="C26" t="s">
        <v>87</v>
      </c>
      <c r="D26">
        <v>0.38100000000000001</v>
      </c>
      <c r="E26">
        <f>Tableau1[[#This Row],[Potential (PJ)]]/3.6*1000</f>
        <v>105.83333333333333</v>
      </c>
      <c r="F26">
        <v>17.648</v>
      </c>
      <c r="G26">
        <f>Tableau1[[#This Row],[Cost (€/GJ)]]/1000*3.6</f>
        <v>6.35328E-2</v>
      </c>
      <c r="H26">
        <v>9.3000000000000007</v>
      </c>
      <c r="I26">
        <f>Tableau1[[#This Row],[GHG (kgCO2eq/GJ)]]/1000*3.6</f>
        <v>3.3480000000000003E-2</v>
      </c>
      <c r="J26" t="s">
        <v>106</v>
      </c>
      <c r="K26" t="s">
        <v>109</v>
      </c>
    </row>
    <row r="27" spans="1:11" hidden="1" x14ac:dyDescent="0.3">
      <c r="A27" t="s">
        <v>8</v>
      </c>
      <c r="B27" t="s">
        <v>55</v>
      </c>
      <c r="C27" t="s">
        <v>88</v>
      </c>
      <c r="D27">
        <v>0.74129999999999996</v>
      </c>
      <c r="E27">
        <f>Tableau1[[#This Row],[Potential (PJ)]]/3.6*1000</f>
        <v>205.91666666666663</v>
      </c>
      <c r="F27">
        <v>15.755000000000001</v>
      </c>
      <c r="G27">
        <f>Tableau1[[#This Row],[Cost (€/GJ)]]/1000*3.6</f>
        <v>5.6718000000000005E-2</v>
      </c>
      <c r="H27">
        <v>9.3000000000000007</v>
      </c>
      <c r="I27">
        <f>Tableau1[[#This Row],[GHG (kgCO2eq/GJ)]]/1000*3.6</f>
        <v>3.3480000000000003E-2</v>
      </c>
      <c r="J27" t="s">
        <v>106</v>
      </c>
      <c r="K27" t="s">
        <v>109</v>
      </c>
    </row>
    <row r="28" spans="1:11" hidden="1" x14ac:dyDescent="0.3">
      <c r="A28" t="s">
        <v>8</v>
      </c>
      <c r="B28" t="s">
        <v>55</v>
      </c>
      <c r="C28" t="s">
        <v>89</v>
      </c>
      <c r="D28">
        <v>0.1336</v>
      </c>
      <c r="E28">
        <f>Tableau1[[#This Row],[Potential (PJ)]]/3.6*1000</f>
        <v>37.111111111111107</v>
      </c>
      <c r="F28">
        <v>0</v>
      </c>
      <c r="G28">
        <f>Tableau1[[#This Row],[Cost (€/GJ)]]/1000*3.6</f>
        <v>0</v>
      </c>
      <c r="H28">
        <v>9.3000000000000007</v>
      </c>
      <c r="I28">
        <f>Tableau1[[#This Row],[GHG (kgCO2eq/GJ)]]/1000*3.6</f>
        <v>3.3480000000000003E-2</v>
      </c>
      <c r="J28" t="s">
        <v>106</v>
      </c>
      <c r="K28" t="s">
        <v>109</v>
      </c>
    </row>
    <row r="29" spans="1:11" hidden="1" x14ac:dyDescent="0.3">
      <c r="A29" t="s">
        <v>8</v>
      </c>
      <c r="B29" t="s">
        <v>55</v>
      </c>
      <c r="C29" t="s">
        <v>91</v>
      </c>
      <c r="D29">
        <v>9.69E-2</v>
      </c>
      <c r="E29">
        <f>Tableau1[[#This Row],[Potential (PJ)]]/3.6*1000</f>
        <v>26.916666666666664</v>
      </c>
      <c r="F29">
        <v>14.819000000000001</v>
      </c>
      <c r="G29">
        <f>Tableau1[[#This Row],[Cost (€/GJ)]]/1000*3.6</f>
        <v>5.3348400000000004E-2</v>
      </c>
      <c r="H29">
        <v>9.3000000000000007</v>
      </c>
      <c r="I29">
        <f>Tableau1[[#This Row],[GHG (kgCO2eq/GJ)]]/1000*3.6</f>
        <v>3.3480000000000003E-2</v>
      </c>
      <c r="J29" t="s">
        <v>106</v>
      </c>
      <c r="K29" t="s">
        <v>109</v>
      </c>
    </row>
    <row r="30" spans="1:11" hidden="1" x14ac:dyDescent="0.3">
      <c r="A30" t="s">
        <v>8</v>
      </c>
      <c r="B30" t="s">
        <v>55</v>
      </c>
      <c r="C30" t="s">
        <v>92</v>
      </c>
      <c r="D30">
        <v>0.49289000000000011</v>
      </c>
      <c r="E30">
        <f>Tableau1[[#This Row],[Potential (PJ)]]/3.6*1000</f>
        <v>136.91388888888892</v>
      </c>
      <c r="F30">
        <v>17.648</v>
      </c>
      <c r="G30">
        <f>Tableau1[[#This Row],[Cost (€/GJ)]]/1000*3.6</f>
        <v>6.35328E-2</v>
      </c>
      <c r="H30">
        <v>9.3000000000000007</v>
      </c>
      <c r="I30">
        <f>Tableau1[[#This Row],[GHG (kgCO2eq/GJ)]]/1000*3.6</f>
        <v>3.3480000000000003E-2</v>
      </c>
      <c r="J30" t="s">
        <v>106</v>
      </c>
      <c r="K30" t="s">
        <v>109</v>
      </c>
    </row>
    <row r="31" spans="1:11" hidden="1" x14ac:dyDescent="0.3">
      <c r="A31" t="s">
        <v>8</v>
      </c>
      <c r="B31" t="s">
        <v>56</v>
      </c>
      <c r="C31" t="s">
        <v>93</v>
      </c>
      <c r="D31">
        <v>14.3353</v>
      </c>
      <c r="E31">
        <f>Tableau1[[#This Row],[Potential (PJ)]]/3.6*1000</f>
        <v>3982.0277777777778</v>
      </c>
      <c r="F31">
        <v>2.939759036144578</v>
      </c>
      <c r="G31">
        <f>Tableau1[[#This Row],[Cost (€/GJ)]]/1000*3.6</f>
        <v>1.0583132530120481E-2</v>
      </c>
      <c r="H31">
        <v>16.899999999999999</v>
      </c>
      <c r="I31">
        <f>Tableau1[[#This Row],[GHG (kgCO2eq/GJ)]]/1000*3.6</f>
        <v>6.0839999999999998E-2</v>
      </c>
      <c r="J31" t="s">
        <v>106</v>
      </c>
      <c r="K31" t="s">
        <v>109</v>
      </c>
    </row>
    <row r="32" spans="1:11" hidden="1" x14ac:dyDescent="0.3">
      <c r="A32" t="s">
        <v>8</v>
      </c>
      <c r="B32" t="s">
        <v>47</v>
      </c>
      <c r="C32" t="s">
        <v>68</v>
      </c>
      <c r="D32">
        <v>3.5</v>
      </c>
      <c r="E32">
        <f>Tableau1[[#This Row],[Potential (PJ)]]/3.6*1000</f>
        <v>972.22222222222217</v>
      </c>
      <c r="F32">
        <v>5.5668000000000006</v>
      </c>
      <c r="G32">
        <f>Tableau1[[#This Row],[Cost (€/GJ)]]/1000*3.6</f>
        <v>2.0040480000000003E-2</v>
      </c>
      <c r="H32">
        <v>21.1</v>
      </c>
      <c r="I32">
        <f>Tableau1[[#This Row],[GHG (kgCO2eq/GJ)]]/1000*3.6</f>
        <v>7.596E-2</v>
      </c>
      <c r="J32" t="s">
        <v>104</v>
      </c>
      <c r="K32" t="s">
        <v>109</v>
      </c>
    </row>
    <row r="33" spans="1:11" hidden="1" x14ac:dyDescent="0.3">
      <c r="A33" t="s">
        <v>8</v>
      </c>
      <c r="B33" t="s">
        <v>47</v>
      </c>
      <c r="C33" t="s">
        <v>69</v>
      </c>
      <c r="D33">
        <v>3.9</v>
      </c>
      <c r="E33">
        <f>Tableau1[[#This Row],[Potential (PJ)]]/3.6*1000</f>
        <v>1083.3333333333333</v>
      </c>
      <c r="F33">
        <v>4.9321282051282047</v>
      </c>
      <c r="G33">
        <f>Tableau1[[#This Row],[Cost (€/GJ)]]/1000*3.6</f>
        <v>1.7755661538461535E-2</v>
      </c>
      <c r="H33">
        <v>21.1</v>
      </c>
      <c r="I33">
        <f>Tableau1[[#This Row],[GHG (kgCO2eq/GJ)]]/1000*3.6</f>
        <v>7.596E-2</v>
      </c>
      <c r="J33" t="s">
        <v>104</v>
      </c>
      <c r="K33" t="s">
        <v>109</v>
      </c>
    </row>
    <row r="34" spans="1:11" hidden="1" x14ac:dyDescent="0.3">
      <c r="A34" t="s">
        <v>8</v>
      </c>
      <c r="B34" t="s">
        <v>57</v>
      </c>
      <c r="C34" t="s">
        <v>94</v>
      </c>
      <c r="D34">
        <v>3.3</v>
      </c>
      <c r="E34">
        <f>Tableau1[[#This Row],[Potential (PJ)]]/3.6*1000</f>
        <v>916.66666666666663</v>
      </c>
      <c r="F34">
        <v>10.41630303030303</v>
      </c>
      <c r="G34">
        <f>Tableau1[[#This Row],[Cost (€/GJ)]]/1000*3.6</f>
        <v>3.7498690909090915E-2</v>
      </c>
      <c r="H34">
        <v>14.9</v>
      </c>
      <c r="I34">
        <f>Tableau1[[#This Row],[GHG (kgCO2eq/GJ)]]/1000*3.6</f>
        <v>5.364E-2</v>
      </c>
      <c r="J34" t="s">
        <v>104</v>
      </c>
      <c r="K34" t="s">
        <v>109</v>
      </c>
    </row>
    <row r="35" spans="1:11" hidden="1" x14ac:dyDescent="0.3">
      <c r="A35" t="s">
        <v>8</v>
      </c>
      <c r="B35" t="s">
        <v>49</v>
      </c>
      <c r="C35" t="s">
        <v>71</v>
      </c>
      <c r="D35">
        <v>17.392569999999999</v>
      </c>
      <c r="E35">
        <f>Tableau1[[#This Row],[Potential (PJ)]]/3.6*1000</f>
        <v>4831.2694444444442</v>
      </c>
      <c r="F35">
        <v>4.7068404859086383</v>
      </c>
      <c r="G35">
        <f>Tableau1[[#This Row],[Cost (€/GJ)]]/1000*3.6</f>
        <v>1.6944625749271098E-2</v>
      </c>
      <c r="H35">
        <v>3.86607608129234</v>
      </c>
      <c r="I35">
        <f>Tableau1[[#This Row],[GHG (kgCO2eq/GJ)]]/1000*3.6</f>
        <v>1.3917873892652425E-2</v>
      </c>
      <c r="J35" t="s">
        <v>104</v>
      </c>
      <c r="K35" t="s">
        <v>108</v>
      </c>
    </row>
    <row r="36" spans="1:11" hidden="1" x14ac:dyDescent="0.3">
      <c r="A36" t="s">
        <v>8</v>
      </c>
      <c r="B36" t="s">
        <v>49</v>
      </c>
      <c r="C36" t="s">
        <v>72</v>
      </c>
      <c r="D36">
        <v>2.1</v>
      </c>
      <c r="E36">
        <f>Tableau1[[#This Row],[Potential (PJ)]]/3.6*1000</f>
        <v>583.33333333333337</v>
      </c>
      <c r="F36">
        <v>3.7676666666666669</v>
      </c>
      <c r="G36">
        <f>Tableau1[[#This Row],[Cost (€/GJ)]]/1000*3.6</f>
        <v>1.3563600000000002E-2</v>
      </c>
      <c r="H36">
        <v>3.86607608129234</v>
      </c>
      <c r="I36">
        <f>Tableau1[[#This Row],[GHG (kgCO2eq/GJ)]]/1000*3.6</f>
        <v>1.3917873892652425E-2</v>
      </c>
      <c r="J36" t="s">
        <v>104</v>
      </c>
      <c r="K36" t="s">
        <v>108</v>
      </c>
    </row>
    <row r="37" spans="1:11" hidden="1" x14ac:dyDescent="0.3">
      <c r="A37" t="s">
        <v>8</v>
      </c>
      <c r="B37" t="s">
        <v>58</v>
      </c>
      <c r="C37" t="s">
        <v>95</v>
      </c>
      <c r="D37">
        <v>0.14038</v>
      </c>
      <c r="E37">
        <f>Tableau1[[#This Row],[Potential (PJ)]]/3.6*1000</f>
        <v>38.99444444444444</v>
      </c>
      <c r="F37">
        <v>2.604294272688418</v>
      </c>
      <c r="G37">
        <f>Tableau1[[#This Row],[Cost (€/GJ)]]/1000*3.6</f>
        <v>9.3754593816783045E-3</v>
      </c>
      <c r="H37">
        <v>2.9521711768407801</v>
      </c>
      <c r="I37">
        <f>Tableau1[[#This Row],[GHG (kgCO2eq/GJ)]]/1000*3.6</f>
        <v>1.0627816236626808E-2</v>
      </c>
      <c r="J37" t="s">
        <v>104</v>
      </c>
      <c r="K37" t="s">
        <v>108</v>
      </c>
    </row>
    <row r="38" spans="1:11" hidden="1" x14ac:dyDescent="0.3">
      <c r="A38" t="s">
        <v>8</v>
      </c>
      <c r="B38" t="s">
        <v>50</v>
      </c>
      <c r="C38" t="s">
        <v>74</v>
      </c>
      <c r="D38">
        <v>0.3</v>
      </c>
      <c r="E38">
        <f>Tableau1[[#This Row],[Potential (PJ)]]/3.6*1000</f>
        <v>83.333333333333329</v>
      </c>
      <c r="F38">
        <v>6.5229999999999997</v>
      </c>
      <c r="G38">
        <f>Tableau1[[#This Row],[Cost (€/GJ)]]/1000*3.6</f>
        <v>2.3482799999999998E-2</v>
      </c>
      <c r="H38">
        <v>2.0635593220338988</v>
      </c>
      <c r="I38">
        <f>Tableau1[[#This Row],[GHG (kgCO2eq/GJ)]]/1000*3.6</f>
        <v>7.4288135593220351E-3</v>
      </c>
      <c r="J38" t="s">
        <v>105</v>
      </c>
      <c r="K38" t="s">
        <v>108</v>
      </c>
    </row>
    <row r="39" spans="1:11" hidden="1" x14ac:dyDescent="0.3">
      <c r="A39" t="s">
        <v>8</v>
      </c>
      <c r="B39" t="s">
        <v>59</v>
      </c>
      <c r="C39" t="s">
        <v>96</v>
      </c>
      <c r="D39">
        <v>5.4100000000000002E-2</v>
      </c>
      <c r="E39">
        <f>Tableau1[[#This Row],[Potential (PJ)]]/3.6*1000</f>
        <v>15.027777777777779</v>
      </c>
      <c r="F39">
        <v>28.414000000000009</v>
      </c>
      <c r="G39">
        <f>Tableau1[[#This Row],[Cost (€/GJ)]]/1000*3.6</f>
        <v>0.10229040000000003</v>
      </c>
      <c r="H39">
        <v>16.899999999999999</v>
      </c>
      <c r="I39">
        <f>Tableau1[[#This Row],[GHG (kgCO2eq/GJ)]]/1000*3.6</f>
        <v>6.0839999999999998E-2</v>
      </c>
      <c r="J39" t="s">
        <v>107</v>
      </c>
      <c r="K39" t="s">
        <v>109</v>
      </c>
    </row>
    <row r="40" spans="1:11" hidden="1" x14ac:dyDescent="0.3">
      <c r="A40" t="s">
        <v>8</v>
      </c>
      <c r="B40" t="s">
        <v>59</v>
      </c>
      <c r="C40" t="s">
        <v>97</v>
      </c>
      <c r="D40">
        <v>1.5239</v>
      </c>
      <c r="E40">
        <f>Tableau1[[#This Row],[Potential (PJ)]]/3.6*1000</f>
        <v>423.30555555555554</v>
      </c>
      <c r="F40">
        <v>16.657623440043409</v>
      </c>
      <c r="G40">
        <f>Tableau1[[#This Row],[Cost (€/GJ)]]/1000*3.6</f>
        <v>5.9967444384156271E-2</v>
      </c>
      <c r="H40">
        <v>16.899999999999999</v>
      </c>
      <c r="I40">
        <f>Tableau1[[#This Row],[GHG (kgCO2eq/GJ)]]/1000*3.6</f>
        <v>6.0839999999999998E-2</v>
      </c>
      <c r="J40" t="s">
        <v>107</v>
      </c>
      <c r="K40" t="s">
        <v>109</v>
      </c>
    </row>
    <row r="41" spans="1:11" hidden="1" x14ac:dyDescent="0.3">
      <c r="A41" t="s">
        <v>8</v>
      </c>
      <c r="B41" t="s">
        <v>51</v>
      </c>
      <c r="C41" t="s">
        <v>75</v>
      </c>
      <c r="D41">
        <v>5.9134289999999998</v>
      </c>
      <c r="E41">
        <f>Tableau1[[#This Row],[Potential (PJ)]]/3.6*1000</f>
        <v>1642.6191666666666</v>
      </c>
      <c r="F41">
        <v>0.121204460168129</v>
      </c>
      <c r="G41">
        <f>Tableau1[[#This Row],[Cost (€/GJ)]]/1000*3.6</f>
        <v>4.3633605660526443E-4</v>
      </c>
      <c r="H41">
        <v>11.74</v>
      </c>
      <c r="I41">
        <f>Tableau1[[#This Row],[GHG (kgCO2eq/GJ)]]/1000*3.6</f>
        <v>4.2264000000000003E-2</v>
      </c>
      <c r="J41" t="s">
        <v>104</v>
      </c>
      <c r="K41" t="s">
        <v>108</v>
      </c>
    </row>
    <row r="42" spans="1:11" hidden="1" x14ac:dyDescent="0.3">
      <c r="A42" t="s">
        <v>8</v>
      </c>
      <c r="B42" t="s">
        <v>60</v>
      </c>
      <c r="C42" t="s">
        <v>98</v>
      </c>
      <c r="D42">
        <v>2.7139600000000002</v>
      </c>
      <c r="E42">
        <f>Tableau1[[#This Row],[Potential (PJ)]]/3.6*1000</f>
        <v>753.87777777777774</v>
      </c>
      <c r="F42">
        <v>20.300751879699249</v>
      </c>
      <c r="G42">
        <f>Tableau1[[#This Row],[Cost (€/GJ)]]/1000*3.6</f>
        <v>7.3082706766917305E-2</v>
      </c>
      <c r="H42">
        <v>21</v>
      </c>
      <c r="I42">
        <f>Tableau1[[#This Row],[GHG (kgCO2eq/GJ)]]/1000*3.6</f>
        <v>7.5600000000000001E-2</v>
      </c>
      <c r="J42" t="s">
        <v>107</v>
      </c>
      <c r="K42" t="s">
        <v>109</v>
      </c>
    </row>
    <row r="43" spans="1:11" hidden="1" x14ac:dyDescent="0.3">
      <c r="A43" t="s">
        <v>8</v>
      </c>
      <c r="B43" t="s">
        <v>52</v>
      </c>
      <c r="C43" t="s">
        <v>76</v>
      </c>
      <c r="D43">
        <v>3.0510000000000002</v>
      </c>
      <c r="E43">
        <f>Tableau1[[#This Row],[Potential (PJ)]]/3.6*1000</f>
        <v>847.5</v>
      </c>
      <c r="F43">
        <v>6.1837425000000001</v>
      </c>
      <c r="G43">
        <f>Tableau1[[#This Row],[Cost (€/GJ)]]/1000*3.6</f>
        <v>2.2261473000000004E-2</v>
      </c>
      <c r="H43">
        <v>12.68872359754714</v>
      </c>
      <c r="I43">
        <f>Tableau1[[#This Row],[GHG (kgCO2eq/GJ)]]/1000*3.6</f>
        <v>4.5679404951169705E-2</v>
      </c>
      <c r="J43" t="s">
        <v>105</v>
      </c>
      <c r="K43" t="s">
        <v>108</v>
      </c>
    </row>
    <row r="44" spans="1:11" hidden="1" x14ac:dyDescent="0.3">
      <c r="A44" t="s">
        <v>8</v>
      </c>
      <c r="B44" t="s">
        <v>53</v>
      </c>
      <c r="C44" t="s">
        <v>77</v>
      </c>
      <c r="D44">
        <v>11.388439999999999</v>
      </c>
      <c r="E44">
        <f>Tableau1[[#This Row],[Potential (PJ)]]/3.6*1000</f>
        <v>3163.4555555555553</v>
      </c>
      <c r="F44">
        <v>3.7665179014860688</v>
      </c>
      <c r="G44">
        <f>Tableau1[[#This Row],[Cost (€/GJ)]]/1000*3.6</f>
        <v>1.3559464445349849E-2</v>
      </c>
      <c r="H44">
        <v>3.86607608129234</v>
      </c>
      <c r="I44">
        <f>Tableau1[[#This Row],[GHG (kgCO2eq/GJ)]]/1000*3.6</f>
        <v>1.3917873892652425E-2</v>
      </c>
      <c r="J44" t="s">
        <v>104</v>
      </c>
      <c r="K44" t="s">
        <v>108</v>
      </c>
    </row>
    <row r="45" spans="1:11" hidden="1" x14ac:dyDescent="0.3">
      <c r="A45" t="s">
        <v>8</v>
      </c>
      <c r="B45" t="s">
        <v>61</v>
      </c>
      <c r="C45" t="s">
        <v>99</v>
      </c>
      <c r="D45">
        <v>4.0999999999999996</v>
      </c>
      <c r="E45">
        <f>Tableau1[[#This Row],[Potential (PJ)]]/3.6*1000</f>
        <v>1138.8888888888889</v>
      </c>
      <c r="F45">
        <v>1.974390243902439</v>
      </c>
      <c r="G45">
        <f>Tableau1[[#This Row],[Cost (€/GJ)]]/1000*3.6</f>
        <v>7.1078048780487801E-3</v>
      </c>
      <c r="H45">
        <v>2.9245635910224439</v>
      </c>
      <c r="I45">
        <f>Tableau1[[#This Row],[GHG (kgCO2eq/GJ)]]/1000*3.6</f>
        <v>1.0528428927680798E-2</v>
      </c>
      <c r="J45" t="s">
        <v>104</v>
      </c>
      <c r="K45" t="s">
        <v>108</v>
      </c>
    </row>
    <row r="46" spans="1:11" hidden="1" x14ac:dyDescent="0.3">
      <c r="A46" t="s">
        <v>8</v>
      </c>
      <c r="B46" t="s">
        <v>62</v>
      </c>
      <c r="C46" t="s">
        <v>100</v>
      </c>
      <c r="D46">
        <v>1.5</v>
      </c>
      <c r="E46">
        <f>Tableau1[[#This Row],[Potential (PJ)]]/3.6*1000</f>
        <v>416.66666666666663</v>
      </c>
      <c r="F46">
        <v>0.33333333333333331</v>
      </c>
      <c r="G46">
        <f>Tableau1[[#This Row],[Cost (€/GJ)]]/1000*3.6</f>
        <v>1.1999999999999999E-3</v>
      </c>
      <c r="H46">
        <v>2.6764106050305911</v>
      </c>
      <c r="I46">
        <f>Tableau1[[#This Row],[GHG (kgCO2eq/GJ)]]/1000*3.6</f>
        <v>9.6350781781101291E-3</v>
      </c>
      <c r="J46" t="s">
        <v>104</v>
      </c>
      <c r="K46" t="s">
        <v>108</v>
      </c>
    </row>
    <row r="47" spans="1:11" hidden="1" x14ac:dyDescent="0.3">
      <c r="A47" t="s">
        <v>8</v>
      </c>
      <c r="B47" t="s">
        <v>54</v>
      </c>
      <c r="C47" t="s">
        <v>78</v>
      </c>
      <c r="D47">
        <v>95.7</v>
      </c>
      <c r="E47">
        <f>Tableau1[[#This Row],[Potential (PJ)]]/3.6*1000</f>
        <v>26583.333333333332</v>
      </c>
      <c r="F47">
        <v>7.8016802507836989</v>
      </c>
      <c r="G47">
        <f>Tableau1[[#This Row],[Cost (€/GJ)]]/1000*3.6</f>
        <v>2.8086048902821317E-2</v>
      </c>
      <c r="H47">
        <v>3.86607608129234</v>
      </c>
      <c r="I47">
        <f>Tableau1[[#This Row],[GHG (kgCO2eq/GJ)]]/1000*3.6</f>
        <v>1.3917873892652425E-2</v>
      </c>
      <c r="J47" t="s">
        <v>104</v>
      </c>
      <c r="K47" t="s">
        <v>108</v>
      </c>
    </row>
    <row r="48" spans="1:11" hidden="1" x14ac:dyDescent="0.3">
      <c r="A48" t="s">
        <v>9</v>
      </c>
      <c r="B48" t="s">
        <v>46</v>
      </c>
      <c r="C48" t="s">
        <v>63</v>
      </c>
      <c r="D48">
        <v>1E-4</v>
      </c>
      <c r="E48">
        <f>Tableau1[[#This Row],[Potential (PJ)]]/3.6*1000</f>
        <v>2.777777777777778E-2</v>
      </c>
      <c r="F48">
        <v>2.9286474973375931</v>
      </c>
      <c r="G48">
        <f>Tableau1[[#This Row],[Cost (€/GJ)]]/1000*3.6</f>
        <v>1.0543130990415334E-2</v>
      </c>
      <c r="H48">
        <v>3.950479233226837</v>
      </c>
      <c r="I48">
        <f>Tableau1[[#This Row],[GHG (kgCO2eq/GJ)]]/1000*3.6</f>
        <v>1.4221725239616614E-2</v>
      </c>
      <c r="J48" t="s">
        <v>104</v>
      </c>
      <c r="K48" t="s">
        <v>108</v>
      </c>
    </row>
    <row r="49" spans="1:11" hidden="1" x14ac:dyDescent="0.3">
      <c r="A49" t="s">
        <v>9</v>
      </c>
      <c r="B49" t="s">
        <v>46</v>
      </c>
      <c r="C49" t="s">
        <v>64</v>
      </c>
      <c r="D49">
        <v>0.17757000000000001</v>
      </c>
      <c r="E49">
        <f>Tableau1[[#This Row],[Potential (PJ)]]/3.6*1000</f>
        <v>49.325000000000003</v>
      </c>
      <c r="F49">
        <v>5.2389999999999999</v>
      </c>
      <c r="G49">
        <f>Tableau1[[#This Row],[Cost (€/GJ)]]/1000*3.6</f>
        <v>1.8860399999999999E-2</v>
      </c>
      <c r="H49">
        <v>2.9521711768407801</v>
      </c>
      <c r="I49">
        <f>Tableau1[[#This Row],[GHG (kgCO2eq/GJ)]]/1000*3.6</f>
        <v>1.0627816236626808E-2</v>
      </c>
      <c r="J49" t="s">
        <v>104</v>
      </c>
      <c r="K49" t="s">
        <v>108</v>
      </c>
    </row>
    <row r="50" spans="1:11" hidden="1" x14ac:dyDescent="0.3">
      <c r="A50" t="s">
        <v>9</v>
      </c>
      <c r="B50" t="s">
        <v>46</v>
      </c>
      <c r="C50" t="s">
        <v>65</v>
      </c>
      <c r="D50">
        <v>0.1</v>
      </c>
      <c r="E50">
        <f>Tableau1[[#This Row],[Potential (PJ)]]/3.6*1000</f>
        <v>27.777777777777779</v>
      </c>
      <c r="F50">
        <v>4.4119999999999999</v>
      </c>
      <c r="G50">
        <f>Tableau1[[#This Row],[Cost (€/GJ)]]/1000*3.6</f>
        <v>1.58832E-2</v>
      </c>
      <c r="H50">
        <v>2.9521711768407801</v>
      </c>
      <c r="I50">
        <f>Tableau1[[#This Row],[GHG (kgCO2eq/GJ)]]/1000*3.6</f>
        <v>1.0627816236626808E-2</v>
      </c>
      <c r="J50" t="s">
        <v>104</v>
      </c>
      <c r="K50" t="s">
        <v>108</v>
      </c>
    </row>
    <row r="51" spans="1:11" hidden="1" x14ac:dyDescent="0.3">
      <c r="A51" t="s">
        <v>9</v>
      </c>
      <c r="B51" t="s">
        <v>46</v>
      </c>
      <c r="C51" t="s">
        <v>66</v>
      </c>
      <c r="D51">
        <v>0.5</v>
      </c>
      <c r="E51">
        <f>Tableau1[[#This Row],[Potential (PJ)]]/3.6*1000</f>
        <v>138.88888888888889</v>
      </c>
      <c r="F51">
        <v>2.3980000000000001</v>
      </c>
      <c r="G51">
        <f>Tableau1[[#This Row],[Cost (€/GJ)]]/1000*3.6</f>
        <v>8.6327999999999995E-3</v>
      </c>
      <c r="H51">
        <v>6.8428961748633883</v>
      </c>
      <c r="I51">
        <f>Tableau1[[#This Row],[GHG (kgCO2eq/GJ)]]/1000*3.6</f>
        <v>2.4634426229508198E-2</v>
      </c>
      <c r="J51" t="s">
        <v>104</v>
      </c>
      <c r="K51" t="s">
        <v>108</v>
      </c>
    </row>
    <row r="52" spans="1:11" hidden="1" x14ac:dyDescent="0.3">
      <c r="A52" t="s">
        <v>9</v>
      </c>
      <c r="B52" t="s">
        <v>47</v>
      </c>
      <c r="C52" t="s">
        <v>68</v>
      </c>
      <c r="D52">
        <v>37.4</v>
      </c>
      <c r="E52">
        <f>Tableau1[[#This Row],[Potential (PJ)]]/3.6*1000</f>
        <v>10388.888888888887</v>
      </c>
      <c r="F52">
        <v>3.894000000000001</v>
      </c>
      <c r="G52">
        <f>Tableau1[[#This Row],[Cost (€/GJ)]]/1000*3.6</f>
        <v>1.4018400000000004E-2</v>
      </c>
      <c r="I52">
        <f>Tableau1[[#This Row],[GHG (kgCO2eq/GJ)]]/1000*3.6</f>
        <v>0</v>
      </c>
      <c r="J52" t="s">
        <v>104</v>
      </c>
      <c r="K52" t="s">
        <v>109</v>
      </c>
    </row>
    <row r="53" spans="1:11" hidden="1" x14ac:dyDescent="0.3">
      <c r="A53" t="s">
        <v>9</v>
      </c>
      <c r="B53" t="s">
        <v>47</v>
      </c>
      <c r="C53" t="s">
        <v>69</v>
      </c>
      <c r="D53">
        <v>26.2</v>
      </c>
      <c r="E53">
        <f>Tableau1[[#This Row],[Potential (PJ)]]/3.6*1000</f>
        <v>7277.7777777777774</v>
      </c>
      <c r="F53">
        <v>3.8809999999999998</v>
      </c>
      <c r="G53">
        <f>Tableau1[[#This Row],[Cost (€/GJ)]]/1000*3.6</f>
        <v>1.3971600000000001E-2</v>
      </c>
      <c r="I53">
        <f>Tableau1[[#This Row],[GHG (kgCO2eq/GJ)]]/1000*3.6</f>
        <v>0</v>
      </c>
      <c r="J53" t="s">
        <v>104</v>
      </c>
      <c r="K53" t="s">
        <v>109</v>
      </c>
    </row>
    <row r="54" spans="1:11" hidden="1" x14ac:dyDescent="0.3">
      <c r="A54" t="s">
        <v>9</v>
      </c>
      <c r="B54" t="s">
        <v>48</v>
      </c>
      <c r="C54" t="s">
        <v>70</v>
      </c>
      <c r="D54">
        <v>13.8</v>
      </c>
      <c r="E54">
        <f>Tableau1[[#This Row],[Potential (PJ)]]/3.6*1000</f>
        <v>3833.3333333333335</v>
      </c>
      <c r="F54">
        <v>10.019</v>
      </c>
      <c r="G54">
        <f>Tableau1[[#This Row],[Cost (€/GJ)]]/1000*3.6</f>
        <v>3.60684E-2</v>
      </c>
      <c r="I54">
        <f>Tableau1[[#This Row],[GHG (kgCO2eq/GJ)]]/1000*3.6</f>
        <v>0</v>
      </c>
      <c r="J54" t="s">
        <v>104</v>
      </c>
      <c r="K54" t="s">
        <v>109</v>
      </c>
    </row>
    <row r="55" spans="1:11" hidden="1" x14ac:dyDescent="0.3">
      <c r="A55" t="s">
        <v>9</v>
      </c>
      <c r="B55" t="s">
        <v>49</v>
      </c>
      <c r="C55" t="s">
        <v>71</v>
      </c>
      <c r="D55">
        <v>1.0560799999999999</v>
      </c>
      <c r="E55">
        <f>Tableau1[[#This Row],[Potential (PJ)]]/3.6*1000</f>
        <v>293.35555555555555</v>
      </c>
      <c r="F55">
        <v>0</v>
      </c>
      <c r="G55">
        <f>Tableau1[[#This Row],[Cost (€/GJ)]]/1000*3.6</f>
        <v>0</v>
      </c>
      <c r="H55">
        <v>3.86607608129234</v>
      </c>
      <c r="I55">
        <f>Tableau1[[#This Row],[GHG (kgCO2eq/GJ)]]/1000*3.6</f>
        <v>1.3917873892652425E-2</v>
      </c>
      <c r="J55" t="s">
        <v>104</v>
      </c>
      <c r="K55" t="s">
        <v>108</v>
      </c>
    </row>
    <row r="56" spans="1:11" hidden="1" x14ac:dyDescent="0.3">
      <c r="A56" t="s">
        <v>9</v>
      </c>
      <c r="B56" t="s">
        <v>49</v>
      </c>
      <c r="C56" t="s">
        <v>72</v>
      </c>
      <c r="D56">
        <v>0.4</v>
      </c>
      <c r="E56">
        <f>Tableau1[[#This Row],[Potential (PJ)]]/3.6*1000</f>
        <v>111.11111111111111</v>
      </c>
      <c r="F56">
        <v>0</v>
      </c>
      <c r="G56">
        <f>Tableau1[[#This Row],[Cost (€/GJ)]]/1000*3.6</f>
        <v>0</v>
      </c>
      <c r="H56">
        <v>3.86607608129234</v>
      </c>
      <c r="I56">
        <f>Tableau1[[#This Row],[GHG (kgCO2eq/GJ)]]/1000*3.6</f>
        <v>1.3917873892652425E-2</v>
      </c>
      <c r="J56" t="s">
        <v>104</v>
      </c>
      <c r="K56" t="s">
        <v>108</v>
      </c>
    </row>
    <row r="57" spans="1:11" hidden="1" x14ac:dyDescent="0.3">
      <c r="A57" t="s">
        <v>9</v>
      </c>
      <c r="B57" t="s">
        <v>50</v>
      </c>
      <c r="C57" t="s">
        <v>73</v>
      </c>
      <c r="D57">
        <v>0.2</v>
      </c>
      <c r="E57">
        <f>Tableau1[[#This Row],[Potential (PJ)]]/3.6*1000</f>
        <v>55.555555555555557</v>
      </c>
      <c r="F57">
        <v>5.4240000000000004</v>
      </c>
      <c r="G57">
        <f>Tableau1[[#This Row],[Cost (€/GJ)]]/1000*3.6</f>
        <v>1.9526399999999999E-2</v>
      </c>
      <c r="H57">
        <v>20.723404255319149</v>
      </c>
      <c r="I57">
        <f>Tableau1[[#This Row],[GHG (kgCO2eq/GJ)]]/1000*3.6</f>
        <v>7.4604255319148938E-2</v>
      </c>
      <c r="J57" t="s">
        <v>105</v>
      </c>
      <c r="K57" t="s">
        <v>108</v>
      </c>
    </row>
    <row r="58" spans="1:11" hidden="1" x14ac:dyDescent="0.3">
      <c r="A58" t="s">
        <v>9</v>
      </c>
      <c r="B58" t="s">
        <v>50</v>
      </c>
      <c r="C58" t="s">
        <v>74</v>
      </c>
      <c r="D58">
        <v>0.6</v>
      </c>
      <c r="E58">
        <f>Tableau1[[#This Row],[Potential (PJ)]]/3.6*1000</f>
        <v>166.66666666666666</v>
      </c>
      <c r="F58">
        <v>3.484</v>
      </c>
      <c r="G58">
        <f>Tableau1[[#This Row],[Cost (€/GJ)]]/1000*3.6</f>
        <v>1.25424E-2</v>
      </c>
      <c r="H58">
        <v>2.0635593220338988</v>
      </c>
      <c r="I58">
        <f>Tableau1[[#This Row],[GHG (kgCO2eq/GJ)]]/1000*3.6</f>
        <v>7.4288135593220351E-3</v>
      </c>
      <c r="J58" t="s">
        <v>105</v>
      </c>
      <c r="K58" t="s">
        <v>108</v>
      </c>
    </row>
    <row r="59" spans="1:11" hidden="1" x14ac:dyDescent="0.3">
      <c r="A59" t="s">
        <v>9</v>
      </c>
      <c r="B59" t="s">
        <v>51</v>
      </c>
      <c r="C59" t="s">
        <v>75</v>
      </c>
      <c r="D59">
        <v>1.4822709999999999</v>
      </c>
      <c r="E59">
        <f>Tableau1[[#This Row],[Potential (PJ)]]/3.6*1000</f>
        <v>411.74194444444441</v>
      </c>
      <c r="F59">
        <v>1.60046712556123E-2</v>
      </c>
      <c r="G59">
        <f>Tableau1[[#This Row],[Cost (€/GJ)]]/1000*3.6</f>
        <v>5.7616816520204286E-5</v>
      </c>
      <c r="H59">
        <v>11.74</v>
      </c>
      <c r="I59">
        <f>Tableau1[[#This Row],[GHG (kgCO2eq/GJ)]]/1000*3.6</f>
        <v>4.2264000000000003E-2</v>
      </c>
      <c r="J59" t="s">
        <v>104</v>
      </c>
      <c r="K59" t="s">
        <v>108</v>
      </c>
    </row>
    <row r="60" spans="1:11" hidden="1" x14ac:dyDescent="0.3">
      <c r="A60" t="s">
        <v>9</v>
      </c>
      <c r="B60" t="s">
        <v>52</v>
      </c>
      <c r="C60" t="s">
        <v>76</v>
      </c>
      <c r="D60">
        <v>0.11</v>
      </c>
      <c r="E60">
        <f>Tableau1[[#This Row],[Potential (PJ)]]/3.6*1000</f>
        <v>30.555555555555554</v>
      </c>
      <c r="F60">
        <v>6.1837425000000001</v>
      </c>
      <c r="G60">
        <f>Tableau1[[#This Row],[Cost (€/GJ)]]/1000*3.6</f>
        <v>2.2261473000000004E-2</v>
      </c>
      <c r="H60">
        <v>12.68872359754714</v>
      </c>
      <c r="I60">
        <f>Tableau1[[#This Row],[GHG (kgCO2eq/GJ)]]/1000*3.6</f>
        <v>4.5679404951169705E-2</v>
      </c>
      <c r="J60" t="s">
        <v>105</v>
      </c>
      <c r="K60" t="s">
        <v>108</v>
      </c>
    </row>
    <row r="61" spans="1:11" hidden="1" x14ac:dyDescent="0.3">
      <c r="A61" t="s">
        <v>9</v>
      </c>
      <c r="B61" t="s">
        <v>53</v>
      </c>
      <c r="C61" t="s">
        <v>77</v>
      </c>
      <c r="D61">
        <v>4.9986899999999999</v>
      </c>
      <c r="E61">
        <f>Tableau1[[#This Row],[Potential (PJ)]]/3.6*1000</f>
        <v>1388.5250000000001</v>
      </c>
      <c r="F61">
        <v>0</v>
      </c>
      <c r="G61">
        <f>Tableau1[[#This Row],[Cost (€/GJ)]]/1000*3.6</f>
        <v>0</v>
      </c>
      <c r="H61">
        <v>3.86607608129234</v>
      </c>
      <c r="I61">
        <f>Tableau1[[#This Row],[GHG (kgCO2eq/GJ)]]/1000*3.6</f>
        <v>1.3917873892652425E-2</v>
      </c>
      <c r="J61" t="s">
        <v>104</v>
      </c>
      <c r="K61" t="s">
        <v>108</v>
      </c>
    </row>
    <row r="62" spans="1:11" hidden="1" x14ac:dyDescent="0.3">
      <c r="A62" t="s">
        <v>9</v>
      </c>
      <c r="B62" t="s">
        <v>54</v>
      </c>
      <c r="C62" t="s">
        <v>78</v>
      </c>
      <c r="D62">
        <v>12.2</v>
      </c>
      <c r="E62">
        <f>Tableau1[[#This Row],[Potential (PJ)]]/3.6*1000</f>
        <v>3388.8888888888882</v>
      </c>
      <c r="F62">
        <v>0</v>
      </c>
      <c r="G62">
        <f>Tableau1[[#This Row],[Cost (€/GJ)]]/1000*3.6</f>
        <v>0</v>
      </c>
      <c r="H62">
        <v>3.86607608129234</v>
      </c>
      <c r="I62">
        <f>Tableau1[[#This Row],[GHG (kgCO2eq/GJ)]]/1000*3.6</f>
        <v>1.3917873892652425E-2</v>
      </c>
      <c r="J62" t="s">
        <v>104</v>
      </c>
      <c r="K62" t="s">
        <v>108</v>
      </c>
    </row>
    <row r="63" spans="1:11" hidden="1" x14ac:dyDescent="0.3">
      <c r="A63" t="s">
        <v>10</v>
      </c>
      <c r="B63" t="s">
        <v>46</v>
      </c>
      <c r="C63" t="s">
        <v>79</v>
      </c>
      <c r="D63">
        <v>1.3</v>
      </c>
      <c r="E63">
        <f>Tableau1[[#This Row],[Potential (PJ)]]/3.6*1000</f>
        <v>361.11111111111109</v>
      </c>
      <c r="F63">
        <v>4.3883846153846164</v>
      </c>
      <c r="G63">
        <f>Tableau1[[#This Row],[Cost (€/GJ)]]/1000*3.6</f>
        <v>1.5798184615384618E-2</v>
      </c>
      <c r="H63">
        <v>6.8428961748633883</v>
      </c>
      <c r="I63">
        <f>Tableau1[[#This Row],[GHG (kgCO2eq/GJ)]]/1000*3.6</f>
        <v>2.4634426229508198E-2</v>
      </c>
      <c r="J63" t="s">
        <v>104</v>
      </c>
      <c r="K63" t="s">
        <v>108</v>
      </c>
    </row>
    <row r="64" spans="1:11" hidden="1" x14ac:dyDescent="0.3">
      <c r="A64" t="s">
        <v>10</v>
      </c>
      <c r="B64" t="s">
        <v>46</v>
      </c>
      <c r="C64" t="s">
        <v>80</v>
      </c>
      <c r="D64">
        <v>0.44130000000000003</v>
      </c>
      <c r="E64">
        <f>Tableau1[[#This Row],[Potential (PJ)]]/3.6*1000</f>
        <v>122.58333333333334</v>
      </c>
      <c r="F64">
        <v>1.026972353337829</v>
      </c>
      <c r="G64">
        <f>Tableau1[[#This Row],[Cost (€/GJ)]]/1000*3.6</f>
        <v>3.6971004720161844E-3</v>
      </c>
      <c r="H64">
        <v>28.139870918023309</v>
      </c>
      <c r="I64">
        <f>Tableau1[[#This Row],[GHG (kgCO2eq/GJ)]]/1000*3.6</f>
        <v>0.10130353530488391</v>
      </c>
      <c r="J64" t="s">
        <v>105</v>
      </c>
      <c r="K64" t="s">
        <v>108</v>
      </c>
    </row>
    <row r="65" spans="1:11" hidden="1" x14ac:dyDescent="0.3">
      <c r="A65" t="s">
        <v>10</v>
      </c>
      <c r="B65" t="s">
        <v>46</v>
      </c>
      <c r="C65" t="s">
        <v>81</v>
      </c>
      <c r="D65">
        <v>0.92369999999999997</v>
      </c>
      <c r="E65">
        <f>Tableau1[[#This Row],[Potential (PJ)]]/3.6*1000</f>
        <v>256.58333333333331</v>
      </c>
      <c r="F65">
        <v>1.078730904817861</v>
      </c>
      <c r="G65">
        <f>Tableau1[[#This Row],[Cost (€/GJ)]]/1000*3.6</f>
        <v>3.8834312573442996E-3</v>
      </c>
      <c r="H65">
        <v>8.9647473560517046</v>
      </c>
      <c r="I65">
        <f>Tableau1[[#This Row],[GHG (kgCO2eq/GJ)]]/1000*3.6</f>
        <v>3.2273090481786136E-2</v>
      </c>
      <c r="J65" t="s">
        <v>105</v>
      </c>
      <c r="K65" t="s">
        <v>108</v>
      </c>
    </row>
    <row r="66" spans="1:11" hidden="1" x14ac:dyDescent="0.3">
      <c r="A66" t="s">
        <v>10</v>
      </c>
      <c r="B66" t="s">
        <v>46</v>
      </c>
      <c r="C66" t="s">
        <v>66</v>
      </c>
      <c r="D66">
        <v>0.3</v>
      </c>
      <c r="E66">
        <f>Tableau1[[#This Row],[Potential (PJ)]]/3.6*1000</f>
        <v>83.333333333333329</v>
      </c>
      <c r="F66">
        <v>4.6900000000000004</v>
      </c>
      <c r="G66">
        <f>Tableau1[[#This Row],[Cost (€/GJ)]]/1000*3.6</f>
        <v>1.6884000000000003E-2</v>
      </c>
      <c r="H66">
        <v>6.8428961748633883</v>
      </c>
      <c r="I66">
        <f>Tableau1[[#This Row],[GHG (kgCO2eq/GJ)]]/1000*3.6</f>
        <v>2.4634426229508198E-2</v>
      </c>
      <c r="J66" t="s">
        <v>104</v>
      </c>
      <c r="K66" t="s">
        <v>108</v>
      </c>
    </row>
    <row r="67" spans="1:11" hidden="1" x14ac:dyDescent="0.3">
      <c r="A67" t="s">
        <v>10</v>
      </c>
      <c r="B67" t="s">
        <v>46</v>
      </c>
      <c r="C67" t="s">
        <v>83</v>
      </c>
      <c r="D67">
        <v>0.3</v>
      </c>
      <c r="E67">
        <f>Tableau1[[#This Row],[Potential (PJ)]]/3.6*1000</f>
        <v>83.333333333333329</v>
      </c>
      <c r="F67">
        <v>0</v>
      </c>
      <c r="G67">
        <f>Tableau1[[#This Row],[Cost (€/GJ)]]/1000*3.6</f>
        <v>0</v>
      </c>
      <c r="H67">
        <v>6.8428961748633883</v>
      </c>
      <c r="I67">
        <f>Tableau1[[#This Row],[GHG (kgCO2eq/GJ)]]/1000*3.6</f>
        <v>2.4634426229508198E-2</v>
      </c>
      <c r="J67" t="s">
        <v>104</v>
      </c>
      <c r="K67" t="s">
        <v>108</v>
      </c>
    </row>
    <row r="68" spans="1:11" hidden="1" x14ac:dyDescent="0.3">
      <c r="A68" t="s">
        <v>10</v>
      </c>
      <c r="B68" t="s">
        <v>46</v>
      </c>
      <c r="C68" t="s">
        <v>84</v>
      </c>
      <c r="D68">
        <v>0.3</v>
      </c>
      <c r="E68">
        <f>Tableau1[[#This Row],[Potential (PJ)]]/3.6*1000</f>
        <v>83.333333333333329</v>
      </c>
      <c r="F68">
        <v>2.5766666666666662</v>
      </c>
      <c r="G68">
        <f>Tableau1[[#This Row],[Cost (€/GJ)]]/1000*3.6</f>
        <v>9.2759999999999995E-3</v>
      </c>
      <c r="H68">
        <v>28.139870918023309</v>
      </c>
      <c r="I68">
        <f>Tableau1[[#This Row],[GHG (kgCO2eq/GJ)]]/1000*3.6</f>
        <v>0.10130353530488391</v>
      </c>
      <c r="J68" t="s">
        <v>105</v>
      </c>
      <c r="K68" t="s">
        <v>108</v>
      </c>
    </row>
    <row r="69" spans="1:11" hidden="1" x14ac:dyDescent="0.3">
      <c r="A69" t="s">
        <v>10</v>
      </c>
      <c r="B69" t="s">
        <v>55</v>
      </c>
      <c r="C69" t="s">
        <v>86</v>
      </c>
      <c r="D69">
        <v>1.1568000000000001</v>
      </c>
      <c r="E69">
        <f>Tableau1[[#This Row],[Potential (PJ)]]/3.6*1000</f>
        <v>321.33333333333337</v>
      </c>
      <c r="F69">
        <v>16.411999999999999</v>
      </c>
      <c r="G69">
        <f>Tableau1[[#This Row],[Cost (€/GJ)]]/1000*3.6</f>
        <v>5.9083200000000002E-2</v>
      </c>
      <c r="H69">
        <v>26.3</v>
      </c>
      <c r="I69">
        <f>Tableau1[[#This Row],[GHG (kgCO2eq/GJ)]]/1000*3.6</f>
        <v>9.468E-2</v>
      </c>
      <c r="J69" t="s">
        <v>106</v>
      </c>
      <c r="K69" t="s">
        <v>109</v>
      </c>
    </row>
    <row r="70" spans="1:11" hidden="1" x14ac:dyDescent="0.3">
      <c r="A70" t="s">
        <v>10</v>
      </c>
      <c r="B70" t="s">
        <v>55</v>
      </c>
      <c r="C70" t="s">
        <v>88</v>
      </c>
      <c r="D70">
        <v>1.1521999999999999</v>
      </c>
      <c r="E70">
        <f>Tableau1[[#This Row],[Potential (PJ)]]/3.6*1000</f>
        <v>320.05555555555554</v>
      </c>
      <c r="F70">
        <v>10.111000000000001</v>
      </c>
      <c r="G70">
        <f>Tableau1[[#This Row],[Cost (€/GJ)]]/1000*3.6</f>
        <v>3.6399600000000004E-2</v>
      </c>
      <c r="H70">
        <v>26.3</v>
      </c>
      <c r="I70">
        <f>Tableau1[[#This Row],[GHG (kgCO2eq/GJ)]]/1000*3.6</f>
        <v>9.468E-2</v>
      </c>
      <c r="J70" t="s">
        <v>106</v>
      </c>
      <c r="K70" t="s">
        <v>109</v>
      </c>
    </row>
    <row r="71" spans="1:11" hidden="1" x14ac:dyDescent="0.3">
      <c r="A71" t="s">
        <v>10</v>
      </c>
      <c r="B71" t="s">
        <v>55</v>
      </c>
      <c r="C71" t="s">
        <v>92</v>
      </c>
      <c r="D71">
        <v>3.2894999999999999</v>
      </c>
      <c r="E71">
        <f>Tableau1[[#This Row],[Potential (PJ)]]/3.6*1000</f>
        <v>913.75</v>
      </c>
      <c r="F71">
        <v>17.815999999999999</v>
      </c>
      <c r="G71">
        <f>Tableau1[[#This Row],[Cost (€/GJ)]]/1000*3.6</f>
        <v>6.4137600000000003E-2</v>
      </c>
      <c r="H71">
        <v>26.3</v>
      </c>
      <c r="I71">
        <f>Tableau1[[#This Row],[GHG (kgCO2eq/GJ)]]/1000*3.6</f>
        <v>9.468E-2</v>
      </c>
      <c r="J71" t="s">
        <v>106</v>
      </c>
      <c r="K71" t="s">
        <v>109</v>
      </c>
    </row>
    <row r="72" spans="1:11" hidden="1" x14ac:dyDescent="0.3">
      <c r="A72" t="s">
        <v>10</v>
      </c>
      <c r="B72" t="s">
        <v>56</v>
      </c>
      <c r="C72" t="s">
        <v>93</v>
      </c>
      <c r="D72">
        <v>36.4009</v>
      </c>
      <c r="E72">
        <f>Tableau1[[#This Row],[Potential (PJ)]]/3.6*1000</f>
        <v>10111.361111111109</v>
      </c>
      <c r="F72">
        <v>2.939759036144578</v>
      </c>
      <c r="G72">
        <f>Tableau1[[#This Row],[Cost (€/GJ)]]/1000*3.6</f>
        <v>1.0583132530120481E-2</v>
      </c>
      <c r="H72">
        <v>31.2</v>
      </c>
      <c r="I72">
        <f>Tableau1[[#This Row],[GHG (kgCO2eq/GJ)]]/1000*3.6</f>
        <v>0.11232</v>
      </c>
      <c r="J72" t="s">
        <v>106</v>
      </c>
      <c r="K72" t="s">
        <v>109</v>
      </c>
    </row>
    <row r="73" spans="1:11" hidden="1" x14ac:dyDescent="0.3">
      <c r="A73" t="s">
        <v>10</v>
      </c>
      <c r="B73" t="s">
        <v>47</v>
      </c>
      <c r="C73" t="s">
        <v>68</v>
      </c>
      <c r="D73">
        <v>1.2</v>
      </c>
      <c r="E73">
        <f>Tableau1[[#This Row],[Potential (PJ)]]/3.6*1000</f>
        <v>333.33333333333331</v>
      </c>
      <c r="F73">
        <v>6.3516666666666666</v>
      </c>
      <c r="G73">
        <f>Tableau1[[#This Row],[Cost (€/GJ)]]/1000*3.6</f>
        <v>2.2866000000000001E-2</v>
      </c>
      <c r="H73">
        <v>20.5</v>
      </c>
      <c r="I73">
        <f>Tableau1[[#This Row],[GHG (kgCO2eq/GJ)]]/1000*3.6</f>
        <v>7.3800000000000004E-2</v>
      </c>
      <c r="J73" t="s">
        <v>104</v>
      </c>
      <c r="K73" t="s">
        <v>109</v>
      </c>
    </row>
    <row r="74" spans="1:11" hidden="1" x14ac:dyDescent="0.3">
      <c r="A74" t="s">
        <v>10</v>
      </c>
      <c r="B74" t="s">
        <v>47</v>
      </c>
      <c r="C74" t="s">
        <v>69</v>
      </c>
      <c r="D74">
        <v>1.3</v>
      </c>
      <c r="E74">
        <f>Tableau1[[#This Row],[Potential (PJ)]]/3.6*1000</f>
        <v>361.11111111111109</v>
      </c>
      <c r="F74">
        <v>5.367</v>
      </c>
      <c r="G74">
        <f>Tableau1[[#This Row],[Cost (€/GJ)]]/1000*3.6</f>
        <v>1.93212E-2</v>
      </c>
      <c r="H74">
        <v>20.5</v>
      </c>
      <c r="I74">
        <f>Tableau1[[#This Row],[GHG (kgCO2eq/GJ)]]/1000*3.6</f>
        <v>7.3800000000000004E-2</v>
      </c>
      <c r="J74" t="s">
        <v>104</v>
      </c>
      <c r="K74" t="s">
        <v>109</v>
      </c>
    </row>
    <row r="75" spans="1:11" hidden="1" x14ac:dyDescent="0.3">
      <c r="A75" t="s">
        <v>10</v>
      </c>
      <c r="B75" t="s">
        <v>57</v>
      </c>
      <c r="C75" t="s">
        <v>94</v>
      </c>
      <c r="D75">
        <v>1.3</v>
      </c>
      <c r="E75">
        <f>Tableau1[[#This Row],[Potential (PJ)]]/3.6*1000</f>
        <v>361.11111111111109</v>
      </c>
      <c r="F75">
        <v>10.667538461538459</v>
      </c>
      <c r="G75">
        <f>Tableau1[[#This Row],[Cost (€/GJ)]]/1000*3.6</f>
        <v>3.8403138461538457E-2</v>
      </c>
      <c r="H75">
        <v>16.399999999999999</v>
      </c>
      <c r="I75">
        <f>Tableau1[[#This Row],[GHG (kgCO2eq/GJ)]]/1000*3.6</f>
        <v>5.9039999999999995E-2</v>
      </c>
      <c r="J75" t="s">
        <v>104</v>
      </c>
      <c r="K75" t="s">
        <v>109</v>
      </c>
    </row>
    <row r="76" spans="1:11" hidden="1" x14ac:dyDescent="0.3">
      <c r="A76" t="s">
        <v>10</v>
      </c>
      <c r="B76" t="s">
        <v>49</v>
      </c>
      <c r="C76" t="s">
        <v>71</v>
      </c>
      <c r="D76">
        <v>3.6816900000000001</v>
      </c>
      <c r="E76">
        <f>Tableau1[[#This Row],[Potential (PJ)]]/3.6*1000</f>
        <v>1022.6916666666668</v>
      </c>
      <c r="F76">
        <v>4.797817447965472</v>
      </c>
      <c r="G76">
        <f>Tableau1[[#This Row],[Cost (€/GJ)]]/1000*3.6</f>
        <v>1.7272142812675702E-2</v>
      </c>
      <c r="H76">
        <v>3.86607608129234</v>
      </c>
      <c r="I76">
        <f>Tableau1[[#This Row],[GHG (kgCO2eq/GJ)]]/1000*3.6</f>
        <v>1.3917873892652425E-2</v>
      </c>
      <c r="J76" t="s">
        <v>104</v>
      </c>
      <c r="K76" t="s">
        <v>108</v>
      </c>
    </row>
    <row r="77" spans="1:11" hidden="1" x14ac:dyDescent="0.3">
      <c r="A77" t="s">
        <v>10</v>
      </c>
      <c r="B77" t="s">
        <v>49</v>
      </c>
      <c r="C77" t="s">
        <v>72</v>
      </c>
      <c r="D77">
        <v>0.4</v>
      </c>
      <c r="E77">
        <f>Tableau1[[#This Row],[Potential (PJ)]]/3.6*1000</f>
        <v>111.11111111111111</v>
      </c>
      <c r="F77">
        <v>3.8432499999999998</v>
      </c>
      <c r="G77">
        <f>Tableau1[[#This Row],[Cost (€/GJ)]]/1000*3.6</f>
        <v>1.3835699999999999E-2</v>
      </c>
      <c r="H77">
        <v>3.86607608129234</v>
      </c>
      <c r="I77">
        <f>Tableau1[[#This Row],[GHG (kgCO2eq/GJ)]]/1000*3.6</f>
        <v>1.3917873892652425E-2</v>
      </c>
      <c r="J77" t="s">
        <v>104</v>
      </c>
      <c r="K77" t="s">
        <v>108</v>
      </c>
    </row>
    <row r="78" spans="1:11" hidden="1" x14ac:dyDescent="0.3">
      <c r="A78" t="s">
        <v>10</v>
      </c>
      <c r="B78" t="s">
        <v>58</v>
      </c>
      <c r="C78" t="s">
        <v>95</v>
      </c>
      <c r="D78">
        <v>1.43411</v>
      </c>
      <c r="E78">
        <f>Tableau1[[#This Row],[Potential (PJ)]]/3.6*1000</f>
        <v>398.36388888888882</v>
      </c>
      <c r="F78">
        <v>2.8526374964263561</v>
      </c>
      <c r="G78">
        <f>Tableau1[[#This Row],[Cost (€/GJ)]]/1000*3.6</f>
        <v>1.0269494987134881E-2</v>
      </c>
      <c r="H78">
        <v>2.9521711768407801</v>
      </c>
      <c r="I78">
        <f>Tableau1[[#This Row],[GHG (kgCO2eq/GJ)]]/1000*3.6</f>
        <v>1.0627816236626808E-2</v>
      </c>
      <c r="J78" t="s">
        <v>104</v>
      </c>
      <c r="K78" t="s">
        <v>108</v>
      </c>
    </row>
    <row r="79" spans="1:11" hidden="1" x14ac:dyDescent="0.3">
      <c r="A79" t="s">
        <v>10</v>
      </c>
      <c r="B79" t="s">
        <v>50</v>
      </c>
      <c r="C79" t="s">
        <v>73</v>
      </c>
      <c r="D79">
        <v>3.5</v>
      </c>
      <c r="E79">
        <f>Tableau1[[#This Row],[Potential (PJ)]]/3.6*1000</f>
        <v>972.22222222222217</v>
      </c>
      <c r="F79">
        <v>5.6719428571428576</v>
      </c>
      <c r="G79">
        <f>Tableau1[[#This Row],[Cost (€/GJ)]]/1000*3.6</f>
        <v>2.0418994285714288E-2</v>
      </c>
      <c r="H79">
        <v>20.723404255319149</v>
      </c>
      <c r="I79">
        <f>Tableau1[[#This Row],[GHG (kgCO2eq/GJ)]]/1000*3.6</f>
        <v>7.4604255319148938E-2</v>
      </c>
      <c r="J79" t="s">
        <v>105</v>
      </c>
      <c r="K79" t="s">
        <v>108</v>
      </c>
    </row>
    <row r="80" spans="1:11" hidden="1" x14ac:dyDescent="0.3">
      <c r="A80" t="s">
        <v>10</v>
      </c>
      <c r="B80" t="s">
        <v>50</v>
      </c>
      <c r="C80" t="s">
        <v>74</v>
      </c>
      <c r="D80">
        <v>7.4</v>
      </c>
      <c r="E80">
        <f>Tableau1[[#This Row],[Potential (PJ)]]/3.6*1000</f>
        <v>2055.5555555555557</v>
      </c>
      <c r="F80">
        <v>6.4680135135135144</v>
      </c>
      <c r="G80">
        <f>Tableau1[[#This Row],[Cost (€/GJ)]]/1000*3.6</f>
        <v>2.3284848648648653E-2</v>
      </c>
      <c r="H80">
        <v>2.0635593220338988</v>
      </c>
      <c r="I80">
        <f>Tableau1[[#This Row],[GHG (kgCO2eq/GJ)]]/1000*3.6</f>
        <v>7.4288135593220351E-3</v>
      </c>
      <c r="J80" t="s">
        <v>105</v>
      </c>
      <c r="K80" t="s">
        <v>108</v>
      </c>
    </row>
    <row r="81" spans="1:11" hidden="1" x14ac:dyDescent="0.3">
      <c r="A81" t="s">
        <v>10</v>
      </c>
      <c r="B81" t="s">
        <v>51</v>
      </c>
      <c r="C81" t="s">
        <v>75</v>
      </c>
      <c r="D81">
        <v>29.179120000000001</v>
      </c>
      <c r="E81">
        <f>Tableau1[[#This Row],[Potential (PJ)]]/3.6*1000</f>
        <v>8105.311111111112</v>
      </c>
      <c r="F81">
        <v>3.8988243619640303E-2</v>
      </c>
      <c r="G81">
        <f>Tableau1[[#This Row],[Cost (€/GJ)]]/1000*3.6</f>
        <v>1.403576770307051E-4</v>
      </c>
      <c r="H81">
        <v>11.74</v>
      </c>
      <c r="I81">
        <f>Tableau1[[#This Row],[GHG (kgCO2eq/GJ)]]/1000*3.6</f>
        <v>4.2264000000000003E-2</v>
      </c>
      <c r="J81" t="s">
        <v>104</v>
      </c>
      <c r="K81" t="s">
        <v>108</v>
      </c>
    </row>
    <row r="82" spans="1:11" hidden="1" x14ac:dyDescent="0.3">
      <c r="A82" t="s">
        <v>10</v>
      </c>
      <c r="B82" t="s">
        <v>60</v>
      </c>
      <c r="C82" t="s">
        <v>98</v>
      </c>
      <c r="D82">
        <v>8.5169999999999996E-2</v>
      </c>
      <c r="E82">
        <f>Tableau1[[#This Row],[Potential (PJ)]]/3.6*1000</f>
        <v>23.658333333333331</v>
      </c>
      <c r="F82">
        <v>24.86573576799141</v>
      </c>
      <c r="G82">
        <f>Tableau1[[#This Row],[Cost (€/GJ)]]/1000*3.6</f>
        <v>8.9516648764769072E-2</v>
      </c>
      <c r="H82">
        <v>37.799999999999997</v>
      </c>
      <c r="I82">
        <f>Tableau1[[#This Row],[GHG (kgCO2eq/GJ)]]/1000*3.6</f>
        <v>0.13608000000000001</v>
      </c>
      <c r="J82" t="s">
        <v>107</v>
      </c>
      <c r="K82" t="s">
        <v>109</v>
      </c>
    </row>
    <row r="83" spans="1:11" hidden="1" x14ac:dyDescent="0.3">
      <c r="A83" t="s">
        <v>10</v>
      </c>
      <c r="B83" t="s">
        <v>52</v>
      </c>
      <c r="C83" t="s">
        <v>76</v>
      </c>
      <c r="D83">
        <v>10.784000000000001</v>
      </c>
      <c r="E83">
        <f>Tableau1[[#This Row],[Potential (PJ)]]/3.6*1000</f>
        <v>2995.5555555555557</v>
      </c>
      <c r="F83">
        <v>6.1837425000000001</v>
      </c>
      <c r="G83">
        <f>Tableau1[[#This Row],[Cost (€/GJ)]]/1000*3.6</f>
        <v>2.2261473000000004E-2</v>
      </c>
      <c r="H83">
        <v>12.68872359754714</v>
      </c>
      <c r="I83">
        <f>Tableau1[[#This Row],[GHG (kgCO2eq/GJ)]]/1000*3.6</f>
        <v>4.5679404951169705E-2</v>
      </c>
      <c r="J83" t="s">
        <v>105</v>
      </c>
      <c r="K83" t="s">
        <v>108</v>
      </c>
    </row>
    <row r="84" spans="1:11" hidden="1" x14ac:dyDescent="0.3">
      <c r="A84" t="s">
        <v>10</v>
      </c>
      <c r="B84" t="s">
        <v>53</v>
      </c>
      <c r="C84" t="s">
        <v>77</v>
      </c>
      <c r="D84">
        <v>1.65591</v>
      </c>
      <c r="E84">
        <f>Tableau1[[#This Row],[Potential (PJ)]]/3.6*1000</f>
        <v>459.97499999999997</v>
      </c>
      <c r="F84">
        <v>3.845241118176713</v>
      </c>
      <c r="G84">
        <f>Tableau1[[#This Row],[Cost (€/GJ)]]/1000*3.6</f>
        <v>1.3842868025436167E-2</v>
      </c>
      <c r="H84">
        <v>3.86607608129234</v>
      </c>
      <c r="I84">
        <f>Tableau1[[#This Row],[GHG (kgCO2eq/GJ)]]/1000*3.6</f>
        <v>1.3917873892652425E-2</v>
      </c>
      <c r="J84" t="s">
        <v>104</v>
      </c>
      <c r="K84" t="s">
        <v>108</v>
      </c>
    </row>
    <row r="85" spans="1:11" hidden="1" x14ac:dyDescent="0.3">
      <c r="A85" t="s">
        <v>10</v>
      </c>
      <c r="B85" t="s">
        <v>61</v>
      </c>
      <c r="C85" t="s">
        <v>99</v>
      </c>
      <c r="D85">
        <v>2.6</v>
      </c>
      <c r="E85">
        <f>Tableau1[[#This Row],[Potential (PJ)]]/3.6*1000</f>
        <v>722.22222222222217</v>
      </c>
      <c r="F85">
        <v>1.9930000000000001</v>
      </c>
      <c r="G85">
        <f>Tableau1[[#This Row],[Cost (€/GJ)]]/1000*3.6</f>
        <v>7.1748000000000003E-3</v>
      </c>
      <c r="H85">
        <v>2.9245635910224439</v>
      </c>
      <c r="I85">
        <f>Tableau1[[#This Row],[GHG (kgCO2eq/GJ)]]/1000*3.6</f>
        <v>1.0528428927680798E-2</v>
      </c>
      <c r="J85" t="s">
        <v>104</v>
      </c>
      <c r="K85" t="s">
        <v>108</v>
      </c>
    </row>
    <row r="86" spans="1:11" hidden="1" x14ac:dyDescent="0.3">
      <c r="A86" t="s">
        <v>10</v>
      </c>
      <c r="B86" t="s">
        <v>62</v>
      </c>
      <c r="C86" t="s">
        <v>100</v>
      </c>
      <c r="D86">
        <v>1.3</v>
      </c>
      <c r="E86">
        <f>Tableau1[[#This Row],[Potential (PJ)]]/3.6*1000</f>
        <v>361.11111111111109</v>
      </c>
      <c r="F86">
        <v>0.45384615384615379</v>
      </c>
      <c r="G86">
        <f>Tableau1[[#This Row],[Cost (€/GJ)]]/1000*3.6</f>
        <v>1.6338461538461537E-3</v>
      </c>
      <c r="H86">
        <v>2.6764106050305911</v>
      </c>
      <c r="I86">
        <f>Tableau1[[#This Row],[GHG (kgCO2eq/GJ)]]/1000*3.6</f>
        <v>9.6350781781101291E-3</v>
      </c>
      <c r="J86" t="s">
        <v>104</v>
      </c>
      <c r="K86" t="s">
        <v>108</v>
      </c>
    </row>
    <row r="87" spans="1:11" hidden="1" x14ac:dyDescent="0.3">
      <c r="A87" t="s">
        <v>10</v>
      </c>
      <c r="B87" t="s">
        <v>54</v>
      </c>
      <c r="C87" t="s">
        <v>78</v>
      </c>
      <c r="D87">
        <v>15.9</v>
      </c>
      <c r="E87">
        <f>Tableau1[[#This Row],[Potential (PJ)]]/3.6*1000</f>
        <v>4416.666666666667</v>
      </c>
      <c r="F87">
        <v>7.9604968553459106</v>
      </c>
      <c r="G87">
        <f>Tableau1[[#This Row],[Cost (€/GJ)]]/1000*3.6</f>
        <v>2.8657788679245282E-2</v>
      </c>
      <c r="H87">
        <v>3.86607608129234</v>
      </c>
      <c r="I87">
        <f>Tableau1[[#This Row],[GHG (kgCO2eq/GJ)]]/1000*3.6</f>
        <v>1.3917873892652425E-2</v>
      </c>
      <c r="J87" t="s">
        <v>104</v>
      </c>
      <c r="K87" t="s">
        <v>108</v>
      </c>
    </row>
    <row r="88" spans="1:11" hidden="1" x14ac:dyDescent="0.3">
      <c r="A88" t="s">
        <v>11</v>
      </c>
      <c r="B88" t="s">
        <v>46</v>
      </c>
      <c r="C88" t="s">
        <v>64</v>
      </c>
      <c r="D88">
        <v>1.277E-2</v>
      </c>
      <c r="E88">
        <f>Tableau1[[#This Row],[Potential (PJ)]]/3.6*1000</f>
        <v>3.5472222222222221</v>
      </c>
      <c r="F88">
        <v>4.5469537979639778</v>
      </c>
      <c r="G88">
        <f>Tableau1[[#This Row],[Cost (€/GJ)]]/1000*3.6</f>
        <v>1.636903367267032E-2</v>
      </c>
      <c r="H88">
        <v>2.9521711768407801</v>
      </c>
      <c r="I88">
        <f>Tableau1[[#This Row],[GHG (kgCO2eq/GJ)]]/1000*3.6</f>
        <v>1.0627816236626808E-2</v>
      </c>
      <c r="J88" t="s">
        <v>104</v>
      </c>
      <c r="K88" t="s">
        <v>108</v>
      </c>
    </row>
    <row r="89" spans="1:11" hidden="1" x14ac:dyDescent="0.3">
      <c r="A89" t="s">
        <v>11</v>
      </c>
      <c r="B89" t="s">
        <v>46</v>
      </c>
      <c r="C89" t="s">
        <v>79</v>
      </c>
      <c r="D89">
        <v>9.3000000000000007</v>
      </c>
      <c r="E89">
        <f>Tableau1[[#This Row],[Potential (PJ)]]/3.6*1000</f>
        <v>2583.3333333333335</v>
      </c>
      <c r="F89">
        <v>2.5734623655913982</v>
      </c>
      <c r="G89">
        <f>Tableau1[[#This Row],[Cost (€/GJ)]]/1000*3.6</f>
        <v>9.2644645161290336E-3</v>
      </c>
      <c r="H89">
        <v>6.8428961748633883</v>
      </c>
      <c r="I89">
        <f>Tableau1[[#This Row],[GHG (kgCO2eq/GJ)]]/1000*3.6</f>
        <v>2.4634426229508198E-2</v>
      </c>
      <c r="J89" t="s">
        <v>104</v>
      </c>
      <c r="K89" t="s">
        <v>108</v>
      </c>
    </row>
    <row r="90" spans="1:11" hidden="1" x14ac:dyDescent="0.3">
      <c r="A90" t="s">
        <v>11</v>
      </c>
      <c r="B90" t="s">
        <v>46</v>
      </c>
      <c r="C90" t="s">
        <v>80</v>
      </c>
      <c r="D90">
        <v>0.30449999999999999</v>
      </c>
      <c r="E90">
        <f>Tableau1[[#This Row],[Potential (PJ)]]/3.6*1000</f>
        <v>84.583333333333329</v>
      </c>
      <c r="F90">
        <v>0.44234659474039112</v>
      </c>
      <c r="G90">
        <f>Tableau1[[#This Row],[Cost (€/GJ)]]/1000*3.6</f>
        <v>1.5924477410654081E-3</v>
      </c>
      <c r="H90">
        <v>28.139870918023309</v>
      </c>
      <c r="I90">
        <f>Tableau1[[#This Row],[GHG (kgCO2eq/GJ)]]/1000*3.6</f>
        <v>0.10130353530488391</v>
      </c>
      <c r="J90" t="s">
        <v>105</v>
      </c>
      <c r="K90" t="s">
        <v>108</v>
      </c>
    </row>
    <row r="91" spans="1:11" hidden="1" x14ac:dyDescent="0.3">
      <c r="A91" t="s">
        <v>11</v>
      </c>
      <c r="B91" t="s">
        <v>46</v>
      </c>
      <c r="C91" t="s">
        <v>81</v>
      </c>
      <c r="D91">
        <v>9.7000000000000003E-3</v>
      </c>
      <c r="E91">
        <f>Tableau1[[#This Row],[Potential (PJ)]]/3.6*1000</f>
        <v>2.6944444444444446</v>
      </c>
      <c r="F91">
        <v>2.839600470035252</v>
      </c>
      <c r="G91">
        <f>Tableau1[[#This Row],[Cost (€/GJ)]]/1000*3.6</f>
        <v>1.0222561692126908E-2</v>
      </c>
      <c r="H91">
        <v>8.9647473560517046</v>
      </c>
      <c r="I91">
        <f>Tableau1[[#This Row],[GHG (kgCO2eq/GJ)]]/1000*3.6</f>
        <v>3.2273090481786136E-2</v>
      </c>
      <c r="J91" t="s">
        <v>105</v>
      </c>
      <c r="K91" t="s">
        <v>108</v>
      </c>
    </row>
    <row r="92" spans="1:11" hidden="1" x14ac:dyDescent="0.3">
      <c r="A92" t="s">
        <v>11</v>
      </c>
      <c r="B92" t="s">
        <v>46</v>
      </c>
      <c r="C92" t="s">
        <v>66</v>
      </c>
      <c r="D92">
        <v>0.8</v>
      </c>
      <c r="E92">
        <f>Tableau1[[#This Row],[Potential (PJ)]]/3.6*1000</f>
        <v>222.22222222222223</v>
      </c>
      <c r="F92">
        <v>2.70275</v>
      </c>
      <c r="G92">
        <f>Tableau1[[#This Row],[Cost (€/GJ)]]/1000*3.6</f>
        <v>9.7298999999999997E-3</v>
      </c>
      <c r="H92">
        <v>6.8428961748633883</v>
      </c>
      <c r="I92">
        <f>Tableau1[[#This Row],[GHG (kgCO2eq/GJ)]]/1000*3.6</f>
        <v>2.4634426229508198E-2</v>
      </c>
      <c r="J92" t="s">
        <v>104</v>
      </c>
      <c r="K92" t="s">
        <v>108</v>
      </c>
    </row>
    <row r="93" spans="1:11" hidden="1" x14ac:dyDescent="0.3">
      <c r="A93" t="s">
        <v>11</v>
      </c>
      <c r="B93" t="s">
        <v>46</v>
      </c>
      <c r="C93" t="s">
        <v>82</v>
      </c>
      <c r="D93">
        <v>2.1</v>
      </c>
      <c r="E93">
        <f>Tableau1[[#This Row],[Potential (PJ)]]/3.6*1000</f>
        <v>583.33333333333337</v>
      </c>
      <c r="F93">
        <v>1.626095238095238</v>
      </c>
      <c r="G93">
        <f>Tableau1[[#This Row],[Cost (€/GJ)]]/1000*3.6</f>
        <v>5.8539428571428576E-3</v>
      </c>
      <c r="H93">
        <v>6.8428961748633883</v>
      </c>
      <c r="I93">
        <f>Tableau1[[#This Row],[GHG (kgCO2eq/GJ)]]/1000*3.6</f>
        <v>2.4634426229508198E-2</v>
      </c>
      <c r="J93" t="s">
        <v>104</v>
      </c>
      <c r="K93" t="s">
        <v>108</v>
      </c>
    </row>
    <row r="94" spans="1:11" hidden="1" x14ac:dyDescent="0.3">
      <c r="A94" t="s">
        <v>11</v>
      </c>
      <c r="B94" t="s">
        <v>46</v>
      </c>
      <c r="C94" t="s">
        <v>83</v>
      </c>
      <c r="D94">
        <v>1.6800000000000001E-3</v>
      </c>
      <c r="E94">
        <f>Tableau1[[#This Row],[Potential (PJ)]]/3.6*1000</f>
        <v>0.46666666666666667</v>
      </c>
      <c r="F94">
        <v>2.5579999999999998</v>
      </c>
      <c r="G94">
        <f>Tableau1[[#This Row],[Cost (€/GJ)]]/1000*3.6</f>
        <v>9.2087999999999996E-3</v>
      </c>
      <c r="H94">
        <v>6.8428961748633883</v>
      </c>
      <c r="I94">
        <f>Tableau1[[#This Row],[GHG (kgCO2eq/GJ)]]/1000*3.6</f>
        <v>2.4634426229508198E-2</v>
      </c>
      <c r="J94" t="s">
        <v>104</v>
      </c>
      <c r="K94" t="s">
        <v>108</v>
      </c>
    </row>
    <row r="95" spans="1:11" hidden="1" x14ac:dyDescent="0.3">
      <c r="A95" t="s">
        <v>11</v>
      </c>
      <c r="B95" t="s">
        <v>55</v>
      </c>
      <c r="C95" t="s">
        <v>86</v>
      </c>
      <c r="D95">
        <v>2.4451999999999998</v>
      </c>
      <c r="E95">
        <f>Tableau1[[#This Row],[Potential (PJ)]]/3.6*1000</f>
        <v>679.22222222222217</v>
      </c>
      <c r="F95">
        <v>15.287000000000001</v>
      </c>
      <c r="G95">
        <f>Tableau1[[#This Row],[Cost (€/GJ)]]/1000*3.6</f>
        <v>5.5033200000000004E-2</v>
      </c>
      <c r="H95">
        <v>9.1999999999999993</v>
      </c>
      <c r="I95">
        <f>Tableau1[[#This Row],[GHG (kgCO2eq/GJ)]]/1000*3.6</f>
        <v>3.3120000000000004E-2</v>
      </c>
      <c r="J95" t="s">
        <v>106</v>
      </c>
      <c r="K95" t="s">
        <v>109</v>
      </c>
    </row>
    <row r="96" spans="1:11" hidden="1" x14ac:dyDescent="0.3">
      <c r="A96" t="s">
        <v>11</v>
      </c>
      <c r="B96" t="s">
        <v>55</v>
      </c>
      <c r="C96" t="s">
        <v>87</v>
      </c>
      <c r="D96">
        <v>2.1019999999999999</v>
      </c>
      <c r="E96">
        <f>Tableau1[[#This Row],[Potential (PJ)]]/3.6*1000</f>
        <v>583.8888888888888</v>
      </c>
      <c r="F96">
        <v>15.510999999999999</v>
      </c>
      <c r="G96">
        <f>Tableau1[[#This Row],[Cost (€/GJ)]]/1000*3.6</f>
        <v>5.5839599999999996E-2</v>
      </c>
      <c r="H96">
        <v>9.1999999999999993</v>
      </c>
      <c r="I96">
        <f>Tableau1[[#This Row],[GHG (kgCO2eq/GJ)]]/1000*3.6</f>
        <v>3.3120000000000004E-2</v>
      </c>
      <c r="J96" t="s">
        <v>106</v>
      </c>
      <c r="K96" t="s">
        <v>109</v>
      </c>
    </row>
    <row r="97" spans="1:11" hidden="1" x14ac:dyDescent="0.3">
      <c r="A97" t="s">
        <v>11</v>
      </c>
      <c r="B97" t="s">
        <v>55</v>
      </c>
      <c r="C97" t="s">
        <v>88</v>
      </c>
      <c r="D97">
        <v>2.8576999999999999</v>
      </c>
      <c r="E97">
        <f>Tableau1[[#This Row],[Potential (PJ)]]/3.6*1000</f>
        <v>793.80555555555554</v>
      </c>
      <c r="F97">
        <v>16.786000000000001</v>
      </c>
      <c r="G97">
        <f>Tableau1[[#This Row],[Cost (€/GJ)]]/1000*3.6</f>
        <v>6.0429600000000007E-2</v>
      </c>
      <c r="H97">
        <v>9.1999999999999993</v>
      </c>
      <c r="I97">
        <f>Tableau1[[#This Row],[GHG (kgCO2eq/GJ)]]/1000*3.6</f>
        <v>3.3120000000000004E-2</v>
      </c>
      <c r="J97" t="s">
        <v>106</v>
      </c>
      <c r="K97" t="s">
        <v>109</v>
      </c>
    </row>
    <row r="98" spans="1:11" hidden="1" x14ac:dyDescent="0.3">
      <c r="A98" t="s">
        <v>11</v>
      </c>
      <c r="B98" t="s">
        <v>55</v>
      </c>
      <c r="C98" t="s">
        <v>89</v>
      </c>
      <c r="D98">
        <v>8.9999999999999998E-4</v>
      </c>
      <c r="E98">
        <f>Tableau1[[#This Row],[Potential (PJ)]]/3.6*1000</f>
        <v>0.25</v>
      </c>
      <c r="F98">
        <v>0</v>
      </c>
      <c r="G98">
        <f>Tableau1[[#This Row],[Cost (€/GJ)]]/1000*3.6</f>
        <v>0</v>
      </c>
      <c r="H98">
        <v>9.1999999999999993</v>
      </c>
      <c r="I98">
        <f>Tableau1[[#This Row],[GHG (kgCO2eq/GJ)]]/1000*3.6</f>
        <v>3.3120000000000004E-2</v>
      </c>
      <c r="J98" t="s">
        <v>106</v>
      </c>
      <c r="K98" t="s">
        <v>109</v>
      </c>
    </row>
    <row r="99" spans="1:11" hidden="1" x14ac:dyDescent="0.3">
      <c r="A99" t="s">
        <v>11</v>
      </c>
      <c r="B99" t="s">
        <v>55</v>
      </c>
      <c r="C99" t="s">
        <v>92</v>
      </c>
      <c r="D99">
        <v>2.2937500000000002</v>
      </c>
      <c r="E99">
        <f>Tableau1[[#This Row],[Potential (PJ)]]/3.6*1000</f>
        <v>637.15277777777783</v>
      </c>
      <c r="F99">
        <v>15.510999999999999</v>
      </c>
      <c r="G99">
        <f>Tableau1[[#This Row],[Cost (€/GJ)]]/1000*3.6</f>
        <v>5.5839599999999996E-2</v>
      </c>
      <c r="H99">
        <v>9.1999999999999993</v>
      </c>
      <c r="I99">
        <f>Tableau1[[#This Row],[GHG (kgCO2eq/GJ)]]/1000*3.6</f>
        <v>3.3120000000000004E-2</v>
      </c>
      <c r="J99" t="s">
        <v>106</v>
      </c>
      <c r="K99" t="s">
        <v>109</v>
      </c>
    </row>
    <row r="100" spans="1:11" hidden="1" x14ac:dyDescent="0.3">
      <c r="A100" t="s">
        <v>11</v>
      </c>
      <c r="B100" t="s">
        <v>56</v>
      </c>
      <c r="C100" t="s">
        <v>93</v>
      </c>
      <c r="D100">
        <v>11.674799999999999</v>
      </c>
      <c r="E100">
        <f>Tableau1[[#This Row],[Potential (PJ)]]/3.6*1000</f>
        <v>3243</v>
      </c>
      <c r="F100">
        <v>6.7759036144578308</v>
      </c>
      <c r="G100">
        <f>Tableau1[[#This Row],[Cost (€/GJ)]]/1000*3.6</f>
        <v>2.4393253012048192E-2</v>
      </c>
      <c r="H100">
        <v>22.9</v>
      </c>
      <c r="I100">
        <f>Tableau1[[#This Row],[GHG (kgCO2eq/GJ)]]/1000*3.6</f>
        <v>8.2439999999999999E-2</v>
      </c>
      <c r="J100" t="s">
        <v>106</v>
      </c>
      <c r="K100" t="s">
        <v>109</v>
      </c>
    </row>
    <row r="101" spans="1:11" hidden="1" x14ac:dyDescent="0.3">
      <c r="A101" t="s">
        <v>11</v>
      </c>
      <c r="B101" t="s">
        <v>47</v>
      </c>
      <c r="C101" t="s">
        <v>68</v>
      </c>
      <c r="D101">
        <v>15.7</v>
      </c>
      <c r="E101">
        <f>Tableau1[[#This Row],[Potential (PJ)]]/3.6*1000</f>
        <v>4361.1111111111104</v>
      </c>
      <c r="F101">
        <v>2.9275923566878981</v>
      </c>
      <c r="G101">
        <f>Tableau1[[#This Row],[Cost (€/GJ)]]/1000*3.6</f>
        <v>1.0539332484076434E-2</v>
      </c>
      <c r="H101">
        <v>15</v>
      </c>
      <c r="I101">
        <f>Tableau1[[#This Row],[GHG (kgCO2eq/GJ)]]/1000*3.6</f>
        <v>5.3999999999999999E-2</v>
      </c>
      <c r="J101" t="s">
        <v>104</v>
      </c>
      <c r="K101" t="s">
        <v>109</v>
      </c>
    </row>
    <row r="102" spans="1:11" hidden="1" x14ac:dyDescent="0.3">
      <c r="A102" t="s">
        <v>11</v>
      </c>
      <c r="B102" t="s">
        <v>47</v>
      </c>
      <c r="C102" t="s">
        <v>69</v>
      </c>
      <c r="D102">
        <v>12.4</v>
      </c>
      <c r="E102">
        <f>Tableau1[[#This Row],[Potential (PJ)]]/3.6*1000</f>
        <v>3444.4444444444448</v>
      </c>
      <c r="F102">
        <v>2.8039999999999998</v>
      </c>
      <c r="G102">
        <f>Tableau1[[#This Row],[Cost (€/GJ)]]/1000*3.6</f>
        <v>1.0094399999999998E-2</v>
      </c>
      <c r="H102">
        <v>15</v>
      </c>
      <c r="I102">
        <f>Tableau1[[#This Row],[GHG (kgCO2eq/GJ)]]/1000*3.6</f>
        <v>5.3999999999999999E-2</v>
      </c>
      <c r="J102" t="s">
        <v>104</v>
      </c>
      <c r="K102" t="s">
        <v>109</v>
      </c>
    </row>
    <row r="103" spans="1:11" hidden="1" x14ac:dyDescent="0.3">
      <c r="A103" t="s">
        <v>11</v>
      </c>
      <c r="B103" t="s">
        <v>57</v>
      </c>
      <c r="C103" t="s">
        <v>94</v>
      </c>
      <c r="D103">
        <v>9.6999999999999993</v>
      </c>
      <c r="E103">
        <f>Tableau1[[#This Row],[Potential (PJ)]]/3.6*1000</f>
        <v>2694.4444444444443</v>
      </c>
      <c r="F103">
        <v>7.035721649484536</v>
      </c>
      <c r="G103">
        <f>Tableau1[[#This Row],[Cost (€/GJ)]]/1000*3.6</f>
        <v>2.5328597938144331E-2</v>
      </c>
      <c r="H103">
        <v>15.6</v>
      </c>
      <c r="I103">
        <f>Tableau1[[#This Row],[GHG (kgCO2eq/GJ)]]/1000*3.6</f>
        <v>5.6160000000000002E-2</v>
      </c>
      <c r="J103" t="s">
        <v>104</v>
      </c>
      <c r="K103" t="s">
        <v>109</v>
      </c>
    </row>
    <row r="104" spans="1:11" hidden="1" x14ac:dyDescent="0.3">
      <c r="A104" t="s">
        <v>11</v>
      </c>
      <c r="B104" t="s">
        <v>49</v>
      </c>
      <c r="C104" t="s">
        <v>71</v>
      </c>
      <c r="D104">
        <v>8.1647099999999995</v>
      </c>
      <c r="E104">
        <f>Tableau1[[#This Row],[Potential (PJ)]]/3.6*1000</f>
        <v>2267.9749999999999</v>
      </c>
      <c r="F104">
        <v>2.335841350152057</v>
      </c>
      <c r="G104">
        <f>Tableau1[[#This Row],[Cost (€/GJ)]]/1000*3.6</f>
        <v>8.4090288605474049E-3</v>
      </c>
      <c r="H104">
        <v>3.86607608129234</v>
      </c>
      <c r="I104">
        <f>Tableau1[[#This Row],[GHG (kgCO2eq/GJ)]]/1000*3.6</f>
        <v>1.3917873892652425E-2</v>
      </c>
      <c r="J104" t="s">
        <v>104</v>
      </c>
      <c r="K104" t="s">
        <v>108</v>
      </c>
    </row>
    <row r="105" spans="1:11" hidden="1" x14ac:dyDescent="0.3">
      <c r="A105" t="s">
        <v>11</v>
      </c>
      <c r="B105" t="s">
        <v>49</v>
      </c>
      <c r="C105" t="s">
        <v>72</v>
      </c>
      <c r="D105">
        <v>1.2</v>
      </c>
      <c r="E105">
        <f>Tableau1[[#This Row],[Potential (PJ)]]/3.6*1000</f>
        <v>333.33333333333331</v>
      </c>
      <c r="F105">
        <v>3.1644166666666669</v>
      </c>
      <c r="G105">
        <f>Tableau1[[#This Row],[Cost (€/GJ)]]/1000*3.6</f>
        <v>1.1391900000000002E-2</v>
      </c>
      <c r="H105">
        <v>3.86607608129234</v>
      </c>
      <c r="I105">
        <f>Tableau1[[#This Row],[GHG (kgCO2eq/GJ)]]/1000*3.6</f>
        <v>1.3917873892652425E-2</v>
      </c>
      <c r="J105" t="s">
        <v>104</v>
      </c>
      <c r="K105" t="s">
        <v>108</v>
      </c>
    </row>
    <row r="106" spans="1:11" hidden="1" x14ac:dyDescent="0.3">
      <c r="A106" t="s">
        <v>11</v>
      </c>
      <c r="B106" t="s">
        <v>58</v>
      </c>
      <c r="C106" t="s">
        <v>95</v>
      </c>
      <c r="D106">
        <v>0.88824999999999998</v>
      </c>
      <c r="E106">
        <f>Tableau1[[#This Row],[Potential (PJ)]]/3.6*1000</f>
        <v>246.73611111111111</v>
      </c>
      <c r="F106">
        <v>2.91</v>
      </c>
      <c r="G106">
        <f>Tableau1[[#This Row],[Cost (€/GJ)]]/1000*3.6</f>
        <v>1.0476000000000001E-2</v>
      </c>
      <c r="H106">
        <v>2.9521711768407801</v>
      </c>
      <c r="I106">
        <f>Tableau1[[#This Row],[GHG (kgCO2eq/GJ)]]/1000*3.6</f>
        <v>1.0627816236626808E-2</v>
      </c>
      <c r="J106" t="s">
        <v>104</v>
      </c>
      <c r="K106" t="s">
        <v>108</v>
      </c>
    </row>
    <row r="107" spans="1:11" hidden="1" x14ac:dyDescent="0.3">
      <c r="A107" t="s">
        <v>11</v>
      </c>
      <c r="B107" t="s">
        <v>50</v>
      </c>
      <c r="C107" t="s">
        <v>73</v>
      </c>
      <c r="D107">
        <v>0.1</v>
      </c>
      <c r="E107">
        <f>Tableau1[[#This Row],[Potential (PJ)]]/3.6*1000</f>
        <v>27.777777777777779</v>
      </c>
      <c r="F107">
        <v>5.101</v>
      </c>
      <c r="G107">
        <f>Tableau1[[#This Row],[Cost (€/GJ)]]/1000*3.6</f>
        <v>1.8363600000000001E-2</v>
      </c>
      <c r="H107">
        <v>20.723404255319149</v>
      </c>
      <c r="I107">
        <f>Tableau1[[#This Row],[GHG (kgCO2eq/GJ)]]/1000*3.6</f>
        <v>7.4604255319148938E-2</v>
      </c>
      <c r="J107" t="s">
        <v>105</v>
      </c>
      <c r="K107" t="s">
        <v>108</v>
      </c>
    </row>
    <row r="108" spans="1:11" hidden="1" x14ac:dyDescent="0.3">
      <c r="A108" t="s">
        <v>11</v>
      </c>
      <c r="B108" t="s">
        <v>50</v>
      </c>
      <c r="C108" t="s">
        <v>74</v>
      </c>
      <c r="D108">
        <v>3</v>
      </c>
      <c r="E108">
        <f>Tableau1[[#This Row],[Potential (PJ)]]/3.6*1000</f>
        <v>833.33333333333326</v>
      </c>
      <c r="F108">
        <v>3.3926333333333329</v>
      </c>
      <c r="G108">
        <f>Tableau1[[#This Row],[Cost (€/GJ)]]/1000*3.6</f>
        <v>1.2213479999999999E-2</v>
      </c>
      <c r="H108">
        <v>2.0635593220338988</v>
      </c>
      <c r="I108">
        <f>Tableau1[[#This Row],[GHG (kgCO2eq/GJ)]]/1000*3.6</f>
        <v>7.4288135593220351E-3</v>
      </c>
      <c r="J108" t="s">
        <v>105</v>
      </c>
      <c r="K108" t="s">
        <v>108</v>
      </c>
    </row>
    <row r="109" spans="1:11" hidden="1" x14ac:dyDescent="0.3">
      <c r="A109" t="s">
        <v>11</v>
      </c>
      <c r="B109" t="s">
        <v>59</v>
      </c>
      <c r="C109" t="s">
        <v>96</v>
      </c>
      <c r="D109">
        <v>0.1832</v>
      </c>
      <c r="E109">
        <f>Tableau1[[#This Row],[Potential (PJ)]]/3.6*1000</f>
        <v>50.888888888888886</v>
      </c>
      <c r="F109">
        <v>31.494</v>
      </c>
      <c r="G109">
        <f>Tableau1[[#This Row],[Cost (€/GJ)]]/1000*3.6</f>
        <v>0.1133784</v>
      </c>
      <c r="H109">
        <v>15.4</v>
      </c>
      <c r="I109">
        <f>Tableau1[[#This Row],[GHG (kgCO2eq/GJ)]]/1000*3.6</f>
        <v>5.5440000000000003E-2</v>
      </c>
      <c r="J109" t="s">
        <v>107</v>
      </c>
      <c r="K109" t="s">
        <v>109</v>
      </c>
    </row>
    <row r="110" spans="1:11" hidden="1" x14ac:dyDescent="0.3">
      <c r="A110" t="s">
        <v>11</v>
      </c>
      <c r="B110" t="s">
        <v>59</v>
      </c>
      <c r="C110" t="s">
        <v>97</v>
      </c>
      <c r="D110">
        <v>5.2123999999999997</v>
      </c>
      <c r="E110">
        <f>Tableau1[[#This Row],[Potential (PJ)]]/3.6*1000</f>
        <v>1447.8888888888887</v>
      </c>
      <c r="F110">
        <v>13.4020618556701</v>
      </c>
      <c r="G110">
        <f>Tableau1[[#This Row],[Cost (€/GJ)]]/1000*3.6</f>
        <v>4.8247422680412363E-2</v>
      </c>
      <c r="H110">
        <v>15.4</v>
      </c>
      <c r="I110">
        <f>Tableau1[[#This Row],[GHG (kgCO2eq/GJ)]]/1000*3.6</f>
        <v>5.5440000000000003E-2</v>
      </c>
      <c r="J110" t="s">
        <v>107</v>
      </c>
      <c r="K110" t="s">
        <v>109</v>
      </c>
    </row>
    <row r="111" spans="1:11" hidden="1" x14ac:dyDescent="0.3">
      <c r="A111" t="s">
        <v>11</v>
      </c>
      <c r="B111" t="s">
        <v>51</v>
      </c>
      <c r="C111" t="s">
        <v>75</v>
      </c>
      <c r="D111">
        <v>2.6210589999999998</v>
      </c>
      <c r="E111">
        <f>Tableau1[[#This Row],[Potential (PJ)]]/3.6*1000</f>
        <v>728.0719444444444</v>
      </c>
      <c r="F111">
        <v>4.6244869946206997E-5</v>
      </c>
      <c r="G111">
        <f>Tableau1[[#This Row],[Cost (€/GJ)]]/1000*3.6</f>
        <v>1.6648153180634518E-7</v>
      </c>
      <c r="H111">
        <v>11.74</v>
      </c>
      <c r="I111">
        <f>Tableau1[[#This Row],[GHG (kgCO2eq/GJ)]]/1000*3.6</f>
        <v>4.2264000000000003E-2</v>
      </c>
      <c r="J111" t="s">
        <v>104</v>
      </c>
      <c r="K111" t="s">
        <v>108</v>
      </c>
    </row>
    <row r="112" spans="1:11" hidden="1" x14ac:dyDescent="0.3">
      <c r="A112" t="s">
        <v>11</v>
      </c>
      <c r="B112" t="s">
        <v>60</v>
      </c>
      <c r="C112" t="s">
        <v>98</v>
      </c>
      <c r="D112">
        <v>23.229559999999999</v>
      </c>
      <c r="E112">
        <f>Tableau1[[#This Row],[Potential (PJ)]]/3.6*1000</f>
        <v>6452.6555555555551</v>
      </c>
      <c r="F112">
        <v>15.789473684210529</v>
      </c>
      <c r="G112">
        <f>Tableau1[[#This Row],[Cost (€/GJ)]]/1000*3.6</f>
        <v>5.6842105263157909E-2</v>
      </c>
      <c r="H112">
        <v>1.5</v>
      </c>
      <c r="I112">
        <f>Tableau1[[#This Row],[GHG (kgCO2eq/GJ)]]/1000*3.6</f>
        <v>5.4000000000000003E-3</v>
      </c>
      <c r="J112" t="s">
        <v>107</v>
      </c>
      <c r="K112" t="s">
        <v>109</v>
      </c>
    </row>
    <row r="113" spans="1:11" hidden="1" x14ac:dyDescent="0.3">
      <c r="A113" t="s">
        <v>11</v>
      </c>
      <c r="B113" t="s">
        <v>53</v>
      </c>
      <c r="C113" t="s">
        <v>77</v>
      </c>
      <c r="D113">
        <v>3.58108</v>
      </c>
      <c r="E113">
        <f>Tableau1[[#This Row],[Potential (PJ)]]/3.6*1000</f>
        <v>994.74444444444441</v>
      </c>
      <c r="F113">
        <v>3.1646302623789468</v>
      </c>
      <c r="G113">
        <f>Tableau1[[#This Row],[Cost (€/GJ)]]/1000*3.6</f>
        <v>1.139266894456421E-2</v>
      </c>
      <c r="H113">
        <v>3.86607608129234</v>
      </c>
      <c r="I113">
        <f>Tableau1[[#This Row],[GHG (kgCO2eq/GJ)]]/1000*3.6</f>
        <v>1.3917873892652425E-2</v>
      </c>
      <c r="J113" t="s">
        <v>104</v>
      </c>
      <c r="K113" t="s">
        <v>108</v>
      </c>
    </row>
    <row r="114" spans="1:11" hidden="1" x14ac:dyDescent="0.3">
      <c r="A114" t="s">
        <v>11</v>
      </c>
      <c r="B114" t="s">
        <v>61</v>
      </c>
      <c r="C114" t="s">
        <v>99</v>
      </c>
      <c r="D114">
        <v>0.3</v>
      </c>
      <c r="E114">
        <f>Tableau1[[#This Row],[Potential (PJ)]]/3.6*1000</f>
        <v>83.333333333333329</v>
      </c>
      <c r="F114">
        <v>1.4273333333333329</v>
      </c>
      <c r="G114">
        <f>Tableau1[[#This Row],[Cost (€/GJ)]]/1000*3.6</f>
        <v>5.1383999999999987E-3</v>
      </c>
      <c r="H114">
        <v>2.9245635910224439</v>
      </c>
      <c r="I114">
        <f>Tableau1[[#This Row],[GHG (kgCO2eq/GJ)]]/1000*3.6</f>
        <v>1.0528428927680798E-2</v>
      </c>
      <c r="J114" t="s">
        <v>104</v>
      </c>
      <c r="K114" t="s">
        <v>108</v>
      </c>
    </row>
    <row r="115" spans="1:11" hidden="1" x14ac:dyDescent="0.3">
      <c r="A115" t="s">
        <v>11</v>
      </c>
      <c r="B115" t="s">
        <v>54</v>
      </c>
      <c r="C115" t="s">
        <v>78</v>
      </c>
      <c r="D115">
        <v>25.6</v>
      </c>
      <c r="E115">
        <f>Tableau1[[#This Row],[Potential (PJ)]]/3.6*1000</f>
        <v>7111.1111111111113</v>
      </c>
      <c r="F115">
        <v>3.1166406250000001</v>
      </c>
      <c r="G115">
        <f>Tableau1[[#This Row],[Cost (€/GJ)]]/1000*3.6</f>
        <v>1.121990625E-2</v>
      </c>
      <c r="H115">
        <v>3.86607608129234</v>
      </c>
      <c r="I115">
        <f>Tableau1[[#This Row],[GHG (kgCO2eq/GJ)]]/1000*3.6</f>
        <v>1.3917873892652425E-2</v>
      </c>
      <c r="J115" t="s">
        <v>104</v>
      </c>
      <c r="K115" t="s">
        <v>108</v>
      </c>
    </row>
    <row r="116" spans="1:11" hidden="1" x14ac:dyDescent="0.3">
      <c r="A116" t="s">
        <v>12</v>
      </c>
      <c r="B116" t="s">
        <v>49</v>
      </c>
      <c r="C116" t="s">
        <v>71</v>
      </c>
      <c r="D116">
        <v>9.3137299999999996</v>
      </c>
      <c r="E116">
        <f>Tableau1[[#This Row],[Potential (PJ)]]/3.6*1000</f>
        <v>2587.1472222222224</v>
      </c>
      <c r="F116">
        <v>0</v>
      </c>
      <c r="G116">
        <f>Tableau1[[#This Row],[Cost (€/GJ)]]/1000*3.6</f>
        <v>0</v>
      </c>
      <c r="H116">
        <v>3.86607608129234</v>
      </c>
      <c r="I116">
        <f>Tableau1[[#This Row],[GHG (kgCO2eq/GJ)]]/1000*3.6</f>
        <v>1.3917873892652425E-2</v>
      </c>
      <c r="J116" t="s">
        <v>104</v>
      </c>
      <c r="K116" t="s">
        <v>108</v>
      </c>
    </row>
    <row r="117" spans="1:11" hidden="1" x14ac:dyDescent="0.3">
      <c r="A117" t="s">
        <v>12</v>
      </c>
      <c r="B117" t="s">
        <v>49</v>
      </c>
      <c r="C117" t="s">
        <v>72</v>
      </c>
      <c r="D117">
        <v>0.8</v>
      </c>
      <c r="E117">
        <f>Tableau1[[#This Row],[Potential (PJ)]]/3.6*1000</f>
        <v>222.22222222222223</v>
      </c>
      <c r="F117">
        <v>0</v>
      </c>
      <c r="G117">
        <f>Tableau1[[#This Row],[Cost (€/GJ)]]/1000*3.6</f>
        <v>0</v>
      </c>
      <c r="H117">
        <v>3.86607608129234</v>
      </c>
      <c r="I117">
        <f>Tableau1[[#This Row],[GHG (kgCO2eq/GJ)]]/1000*3.6</f>
        <v>1.3917873892652425E-2</v>
      </c>
      <c r="J117" t="s">
        <v>104</v>
      </c>
      <c r="K117" t="s">
        <v>108</v>
      </c>
    </row>
    <row r="118" spans="1:11" hidden="1" x14ac:dyDescent="0.3">
      <c r="A118" t="s">
        <v>12</v>
      </c>
      <c r="B118" t="s">
        <v>51</v>
      </c>
      <c r="C118" t="s">
        <v>75</v>
      </c>
      <c r="D118">
        <v>21.234490000000001</v>
      </c>
      <c r="E118">
        <f>Tableau1[[#This Row],[Potential (PJ)]]/3.6*1000</f>
        <v>5898.469444444444</v>
      </c>
      <c r="F118">
        <v>0.121204460168129</v>
      </c>
      <c r="G118">
        <f>Tableau1[[#This Row],[Cost (€/GJ)]]/1000*3.6</f>
        <v>4.3633605660526443E-4</v>
      </c>
      <c r="H118">
        <v>11.74</v>
      </c>
      <c r="I118">
        <f>Tableau1[[#This Row],[GHG (kgCO2eq/GJ)]]/1000*3.6</f>
        <v>4.2264000000000003E-2</v>
      </c>
      <c r="J118" t="s">
        <v>104</v>
      </c>
      <c r="K118" t="s">
        <v>108</v>
      </c>
    </row>
    <row r="119" spans="1:11" hidden="1" x14ac:dyDescent="0.3">
      <c r="A119" t="s">
        <v>12</v>
      </c>
      <c r="B119" t="s">
        <v>53</v>
      </c>
      <c r="C119" t="s">
        <v>77</v>
      </c>
      <c r="D119">
        <v>2.79643</v>
      </c>
      <c r="E119">
        <f>Tableau1[[#This Row],[Potential (PJ)]]/3.6*1000</f>
        <v>776.78611111111104</v>
      </c>
      <c r="F119">
        <v>0</v>
      </c>
      <c r="G119">
        <f>Tableau1[[#This Row],[Cost (€/GJ)]]/1000*3.6</f>
        <v>0</v>
      </c>
      <c r="H119">
        <v>3.86607608129234</v>
      </c>
      <c r="I119">
        <f>Tableau1[[#This Row],[GHG (kgCO2eq/GJ)]]/1000*3.6</f>
        <v>1.3917873892652425E-2</v>
      </c>
      <c r="J119" t="s">
        <v>104</v>
      </c>
      <c r="K119" t="s">
        <v>108</v>
      </c>
    </row>
    <row r="120" spans="1:11" hidden="1" x14ac:dyDescent="0.3">
      <c r="A120" t="s">
        <v>12</v>
      </c>
      <c r="B120" t="s">
        <v>54</v>
      </c>
      <c r="C120" t="s">
        <v>78</v>
      </c>
      <c r="D120">
        <v>34.299999999999997</v>
      </c>
      <c r="E120">
        <f>Tableau1[[#This Row],[Potential (PJ)]]/3.6*1000</f>
        <v>9527.7777777777774</v>
      </c>
      <c r="F120">
        <v>0</v>
      </c>
      <c r="G120">
        <f>Tableau1[[#This Row],[Cost (€/GJ)]]/1000*3.6</f>
        <v>0</v>
      </c>
      <c r="H120">
        <v>3.86607608129234</v>
      </c>
      <c r="I120">
        <f>Tableau1[[#This Row],[GHG (kgCO2eq/GJ)]]/1000*3.6</f>
        <v>1.3917873892652425E-2</v>
      </c>
      <c r="J120" t="s">
        <v>104</v>
      </c>
      <c r="K120" t="s">
        <v>108</v>
      </c>
    </row>
    <row r="121" spans="1:11" hidden="1" x14ac:dyDescent="0.3">
      <c r="A121" t="s">
        <v>13</v>
      </c>
      <c r="B121" t="s">
        <v>46</v>
      </c>
      <c r="C121" t="s">
        <v>63</v>
      </c>
      <c r="D121">
        <v>6.8999999999999999E-3</v>
      </c>
      <c r="E121">
        <f>Tableau1[[#This Row],[Potential (PJ)]]/3.6*1000</f>
        <v>1.9166666666666665</v>
      </c>
      <c r="F121">
        <v>2.9286474973375931</v>
      </c>
      <c r="G121">
        <f>Tableau1[[#This Row],[Cost (€/GJ)]]/1000*3.6</f>
        <v>1.0543130990415334E-2</v>
      </c>
      <c r="H121">
        <v>3.950479233226837</v>
      </c>
      <c r="I121">
        <f>Tableau1[[#This Row],[GHG (kgCO2eq/GJ)]]/1000*3.6</f>
        <v>1.4221725239616614E-2</v>
      </c>
      <c r="J121" t="s">
        <v>104</v>
      </c>
      <c r="K121" t="s">
        <v>108</v>
      </c>
    </row>
    <row r="122" spans="1:11" hidden="1" x14ac:dyDescent="0.3">
      <c r="A122" t="s">
        <v>13</v>
      </c>
      <c r="B122" t="s">
        <v>46</v>
      </c>
      <c r="C122" t="s">
        <v>64</v>
      </c>
      <c r="D122">
        <v>2.1099999999999999E-3</v>
      </c>
      <c r="E122">
        <f>Tableau1[[#This Row],[Potential (PJ)]]/3.6*1000</f>
        <v>0.58611111111111103</v>
      </c>
      <c r="F122">
        <v>4.5860000000000003</v>
      </c>
      <c r="G122">
        <f>Tableau1[[#This Row],[Cost (€/GJ)]]/1000*3.6</f>
        <v>1.6509600000000003E-2</v>
      </c>
      <c r="H122">
        <v>2.9521711768407801</v>
      </c>
      <c r="I122">
        <f>Tableau1[[#This Row],[GHG (kgCO2eq/GJ)]]/1000*3.6</f>
        <v>1.0627816236626808E-2</v>
      </c>
      <c r="J122" t="s">
        <v>104</v>
      </c>
      <c r="K122" t="s">
        <v>108</v>
      </c>
    </row>
    <row r="123" spans="1:11" hidden="1" x14ac:dyDescent="0.3">
      <c r="A123" t="s">
        <v>13</v>
      </c>
      <c r="B123" t="s">
        <v>46</v>
      </c>
      <c r="C123" t="s">
        <v>80</v>
      </c>
      <c r="D123">
        <v>9.5100000000000004E-2</v>
      </c>
      <c r="E123">
        <f>Tableau1[[#This Row],[Potential (PJ)]]/3.6*1000</f>
        <v>26.416666666666668</v>
      </c>
      <c r="F123">
        <v>1.2157788267026299</v>
      </c>
      <c r="G123">
        <f>Tableau1[[#This Row],[Cost (€/GJ)]]/1000*3.6</f>
        <v>4.3768037761294683E-3</v>
      </c>
      <c r="H123">
        <v>28.139870918023309</v>
      </c>
      <c r="I123">
        <f>Tableau1[[#This Row],[GHG (kgCO2eq/GJ)]]/1000*3.6</f>
        <v>0.10130353530488391</v>
      </c>
      <c r="J123" t="s">
        <v>105</v>
      </c>
      <c r="K123" t="s">
        <v>108</v>
      </c>
    </row>
    <row r="124" spans="1:11" hidden="1" x14ac:dyDescent="0.3">
      <c r="A124" t="s">
        <v>13</v>
      </c>
      <c r="B124" t="s">
        <v>46</v>
      </c>
      <c r="C124" t="s">
        <v>81</v>
      </c>
      <c r="D124">
        <v>2.3999999999999998E-3</v>
      </c>
      <c r="E124">
        <f>Tableau1[[#This Row],[Potential (PJ)]]/3.6*1000</f>
        <v>0.66666666666666663</v>
      </c>
      <c r="F124">
        <v>3.252643948296122</v>
      </c>
      <c r="G124">
        <f>Tableau1[[#This Row],[Cost (€/GJ)]]/1000*3.6</f>
        <v>1.170951821386604E-2</v>
      </c>
      <c r="H124">
        <v>8.9647473560517046</v>
      </c>
      <c r="I124">
        <f>Tableau1[[#This Row],[GHG (kgCO2eq/GJ)]]/1000*3.6</f>
        <v>3.2273090481786136E-2</v>
      </c>
      <c r="J124" t="s">
        <v>105</v>
      </c>
      <c r="K124" t="s">
        <v>108</v>
      </c>
    </row>
    <row r="125" spans="1:11" hidden="1" x14ac:dyDescent="0.3">
      <c r="A125" t="s">
        <v>13</v>
      </c>
      <c r="B125" t="s">
        <v>47</v>
      </c>
      <c r="C125" t="s">
        <v>68</v>
      </c>
      <c r="D125">
        <v>0.3</v>
      </c>
      <c r="E125">
        <f>Tableau1[[#This Row],[Potential (PJ)]]/3.6*1000</f>
        <v>83.333333333333329</v>
      </c>
      <c r="F125">
        <v>5.6669999999999998</v>
      </c>
      <c r="G125">
        <f>Tableau1[[#This Row],[Cost (€/GJ)]]/1000*3.6</f>
        <v>2.0401200000000001E-2</v>
      </c>
      <c r="H125">
        <v>13.5</v>
      </c>
      <c r="I125">
        <f>Tableau1[[#This Row],[GHG (kgCO2eq/GJ)]]/1000*3.6</f>
        <v>4.8599999999999997E-2</v>
      </c>
      <c r="J125" t="s">
        <v>104</v>
      </c>
      <c r="K125" t="s">
        <v>109</v>
      </c>
    </row>
    <row r="126" spans="1:11" hidden="1" x14ac:dyDescent="0.3">
      <c r="A126" t="s">
        <v>13</v>
      </c>
      <c r="B126" t="s">
        <v>48</v>
      </c>
      <c r="C126" t="s">
        <v>70</v>
      </c>
      <c r="D126">
        <v>0.1</v>
      </c>
      <c r="E126">
        <f>Tableau1[[#This Row],[Potential (PJ)]]/3.6*1000</f>
        <v>27.777777777777779</v>
      </c>
      <c r="F126">
        <v>13.723000000000001</v>
      </c>
      <c r="G126">
        <f>Tableau1[[#This Row],[Cost (€/GJ)]]/1000*3.6</f>
        <v>4.9402800000000004E-2</v>
      </c>
      <c r="H126">
        <v>0</v>
      </c>
      <c r="I126">
        <f>Tableau1[[#This Row],[GHG (kgCO2eq/GJ)]]/1000*3.6</f>
        <v>0</v>
      </c>
      <c r="J126" t="s">
        <v>104</v>
      </c>
      <c r="K126" t="s">
        <v>109</v>
      </c>
    </row>
    <row r="127" spans="1:11" hidden="1" x14ac:dyDescent="0.3">
      <c r="A127" t="s">
        <v>13</v>
      </c>
      <c r="B127" t="s">
        <v>50</v>
      </c>
      <c r="C127" t="s">
        <v>73</v>
      </c>
      <c r="D127">
        <v>0.6</v>
      </c>
      <c r="E127">
        <f>Tableau1[[#This Row],[Potential (PJ)]]/3.6*1000</f>
        <v>166.66666666666666</v>
      </c>
      <c r="F127">
        <v>5.37</v>
      </c>
      <c r="G127">
        <f>Tableau1[[#This Row],[Cost (€/GJ)]]/1000*3.6</f>
        <v>1.9331999999999998E-2</v>
      </c>
      <c r="H127">
        <v>20.723404255319149</v>
      </c>
      <c r="I127">
        <f>Tableau1[[#This Row],[GHG (kgCO2eq/GJ)]]/1000*3.6</f>
        <v>7.4604255319148938E-2</v>
      </c>
      <c r="J127" t="s">
        <v>105</v>
      </c>
      <c r="K127" t="s">
        <v>108</v>
      </c>
    </row>
    <row r="128" spans="1:11" hidden="1" x14ac:dyDescent="0.3">
      <c r="A128" t="s">
        <v>13</v>
      </c>
      <c r="B128" t="s">
        <v>50</v>
      </c>
      <c r="C128" t="s">
        <v>74</v>
      </c>
      <c r="D128">
        <v>2.7</v>
      </c>
      <c r="E128">
        <f>Tableau1[[#This Row],[Potential (PJ)]]/3.6*1000</f>
        <v>750</v>
      </c>
      <c r="F128">
        <v>4.4320000000000004</v>
      </c>
      <c r="G128">
        <f>Tableau1[[#This Row],[Cost (€/GJ)]]/1000*3.6</f>
        <v>1.5955200000000003E-2</v>
      </c>
      <c r="H128">
        <v>2.0635593220338988</v>
      </c>
      <c r="I128">
        <f>Tableau1[[#This Row],[GHG (kgCO2eq/GJ)]]/1000*3.6</f>
        <v>7.4288135593220351E-3</v>
      </c>
      <c r="J128" t="s">
        <v>105</v>
      </c>
      <c r="K128" t="s">
        <v>108</v>
      </c>
    </row>
    <row r="129" spans="1:11" hidden="1" x14ac:dyDescent="0.3">
      <c r="A129" t="s">
        <v>13</v>
      </c>
      <c r="B129" t="s">
        <v>51</v>
      </c>
      <c r="C129" t="s">
        <v>75</v>
      </c>
      <c r="D129">
        <v>1.92526</v>
      </c>
      <c r="E129">
        <f>Tableau1[[#This Row],[Potential (PJ)]]/3.6*1000</f>
        <v>534.79444444444448</v>
      </c>
      <c r="F129">
        <v>3.49699074910945E-3</v>
      </c>
      <c r="G129">
        <f>Tableau1[[#This Row],[Cost (€/GJ)]]/1000*3.6</f>
        <v>1.2589166696794021E-5</v>
      </c>
      <c r="H129">
        <v>11.74</v>
      </c>
      <c r="I129">
        <f>Tableau1[[#This Row],[GHG (kgCO2eq/GJ)]]/1000*3.6</f>
        <v>4.2264000000000003E-2</v>
      </c>
      <c r="J129" t="s">
        <v>104</v>
      </c>
      <c r="K129" t="s">
        <v>108</v>
      </c>
    </row>
    <row r="130" spans="1:11" hidden="1" x14ac:dyDescent="0.3">
      <c r="A130" t="s">
        <v>13</v>
      </c>
      <c r="B130" t="s">
        <v>52</v>
      </c>
      <c r="C130" t="s">
        <v>76</v>
      </c>
      <c r="D130">
        <v>2E-3</v>
      </c>
      <c r="E130">
        <f>Tableau1[[#This Row],[Potential (PJ)]]/3.6*1000</f>
        <v>0.55555555555555558</v>
      </c>
      <c r="F130">
        <v>6.1837425000000001</v>
      </c>
      <c r="G130">
        <f>Tableau1[[#This Row],[Cost (€/GJ)]]/1000*3.6</f>
        <v>2.2261473000000004E-2</v>
      </c>
      <c r="H130">
        <v>12.68872359754714</v>
      </c>
      <c r="I130">
        <f>Tableau1[[#This Row],[GHG (kgCO2eq/GJ)]]/1000*3.6</f>
        <v>4.5679404951169705E-2</v>
      </c>
      <c r="J130" t="s">
        <v>105</v>
      </c>
      <c r="K130" t="s">
        <v>108</v>
      </c>
    </row>
    <row r="131" spans="1:11" hidden="1" x14ac:dyDescent="0.3">
      <c r="A131" t="s">
        <v>14</v>
      </c>
      <c r="B131" t="s">
        <v>46</v>
      </c>
      <c r="C131" t="s">
        <v>64</v>
      </c>
      <c r="D131">
        <v>2.777E-2</v>
      </c>
      <c r="E131">
        <f>Tableau1[[#This Row],[Potential (PJ)]]/3.6*1000</f>
        <v>7.7138888888888886</v>
      </c>
      <c r="F131">
        <v>4.4511800504141146</v>
      </c>
      <c r="G131">
        <f>Tableau1[[#This Row],[Cost (€/GJ)]]/1000*3.6</f>
        <v>1.6024248181490813E-2</v>
      </c>
      <c r="H131">
        <v>2.9521711768407801</v>
      </c>
      <c r="I131">
        <f>Tableau1[[#This Row],[GHG (kgCO2eq/GJ)]]/1000*3.6</f>
        <v>1.0627816236626808E-2</v>
      </c>
      <c r="J131" t="s">
        <v>104</v>
      </c>
      <c r="K131" t="s">
        <v>108</v>
      </c>
    </row>
    <row r="132" spans="1:11" hidden="1" x14ac:dyDescent="0.3">
      <c r="A132" t="s">
        <v>14</v>
      </c>
      <c r="B132" t="s">
        <v>46</v>
      </c>
      <c r="C132" t="s">
        <v>79</v>
      </c>
      <c r="D132">
        <v>20.2</v>
      </c>
      <c r="E132">
        <f>Tableau1[[#This Row],[Potential (PJ)]]/3.6*1000</f>
        <v>5611.1111111111104</v>
      </c>
      <c r="F132">
        <v>3.8976336633663369</v>
      </c>
      <c r="G132">
        <f>Tableau1[[#This Row],[Cost (€/GJ)]]/1000*3.6</f>
        <v>1.4031481188118812E-2</v>
      </c>
      <c r="H132">
        <v>6.8428961748633883</v>
      </c>
      <c r="I132">
        <f>Tableau1[[#This Row],[GHG (kgCO2eq/GJ)]]/1000*3.6</f>
        <v>2.4634426229508198E-2</v>
      </c>
      <c r="J132" t="s">
        <v>104</v>
      </c>
      <c r="K132" t="s">
        <v>108</v>
      </c>
    </row>
    <row r="133" spans="1:11" hidden="1" x14ac:dyDescent="0.3">
      <c r="A133" t="s">
        <v>14</v>
      </c>
      <c r="B133" t="s">
        <v>46</v>
      </c>
      <c r="C133" t="s">
        <v>80</v>
      </c>
      <c r="D133">
        <v>0.38950000000000001</v>
      </c>
      <c r="E133">
        <f>Tableau1[[#This Row],[Potential (PJ)]]/3.6*1000</f>
        <v>108.19444444444444</v>
      </c>
      <c r="F133">
        <v>0.48482805124747141</v>
      </c>
      <c r="G133">
        <f>Tableau1[[#This Row],[Cost (€/GJ)]]/1000*3.6</f>
        <v>1.7453809844908972E-3</v>
      </c>
      <c r="H133">
        <v>28.139870918023309</v>
      </c>
      <c r="I133">
        <f>Tableau1[[#This Row],[GHG (kgCO2eq/GJ)]]/1000*3.6</f>
        <v>0.10130353530488391</v>
      </c>
      <c r="J133" t="s">
        <v>105</v>
      </c>
      <c r="K133" t="s">
        <v>108</v>
      </c>
    </row>
    <row r="134" spans="1:11" hidden="1" x14ac:dyDescent="0.3">
      <c r="A134" t="s">
        <v>14</v>
      </c>
      <c r="B134" t="s">
        <v>46</v>
      </c>
      <c r="C134" t="s">
        <v>81</v>
      </c>
      <c r="D134">
        <v>0.24840000000000001</v>
      </c>
      <c r="E134">
        <f>Tableau1[[#This Row],[Potential (PJ)]]/3.6*1000</f>
        <v>69</v>
      </c>
      <c r="F134">
        <v>1.2338425381903639</v>
      </c>
      <c r="G134">
        <f>Tableau1[[#This Row],[Cost (€/GJ)]]/1000*3.6</f>
        <v>4.4418331374853105E-3</v>
      </c>
      <c r="H134">
        <v>8.9647473560517046</v>
      </c>
      <c r="I134">
        <f>Tableau1[[#This Row],[GHG (kgCO2eq/GJ)]]/1000*3.6</f>
        <v>3.2273090481786136E-2</v>
      </c>
      <c r="J134" t="s">
        <v>105</v>
      </c>
      <c r="K134" t="s">
        <v>108</v>
      </c>
    </row>
    <row r="135" spans="1:11" hidden="1" x14ac:dyDescent="0.3">
      <c r="A135" t="s">
        <v>14</v>
      </c>
      <c r="B135" t="s">
        <v>46</v>
      </c>
      <c r="C135" t="s">
        <v>66</v>
      </c>
      <c r="D135">
        <v>0.2</v>
      </c>
      <c r="E135">
        <f>Tableau1[[#This Row],[Potential (PJ)]]/3.6*1000</f>
        <v>55.555555555555557</v>
      </c>
      <c r="F135">
        <v>4.1859999999999999</v>
      </c>
      <c r="G135">
        <f>Tableau1[[#This Row],[Cost (€/GJ)]]/1000*3.6</f>
        <v>1.5069599999999999E-2</v>
      </c>
      <c r="H135">
        <v>6.8428961748633883</v>
      </c>
      <c r="I135">
        <f>Tableau1[[#This Row],[GHG (kgCO2eq/GJ)]]/1000*3.6</f>
        <v>2.4634426229508198E-2</v>
      </c>
      <c r="J135" t="s">
        <v>104</v>
      </c>
      <c r="K135" t="s">
        <v>108</v>
      </c>
    </row>
    <row r="136" spans="1:11" hidden="1" x14ac:dyDescent="0.3">
      <c r="A136" t="s">
        <v>14</v>
      </c>
      <c r="B136" t="s">
        <v>46</v>
      </c>
      <c r="C136" t="s">
        <v>82</v>
      </c>
      <c r="D136">
        <v>1.2</v>
      </c>
      <c r="E136">
        <f>Tableau1[[#This Row],[Potential (PJ)]]/3.6*1000</f>
        <v>333.33333333333331</v>
      </c>
      <c r="F136">
        <v>2.444</v>
      </c>
      <c r="G136">
        <f>Tableau1[[#This Row],[Cost (€/GJ)]]/1000*3.6</f>
        <v>8.7983999999999996E-3</v>
      </c>
      <c r="H136">
        <v>6.8428961748633883</v>
      </c>
      <c r="I136">
        <f>Tableau1[[#This Row],[GHG (kgCO2eq/GJ)]]/1000*3.6</f>
        <v>2.4634426229508198E-2</v>
      </c>
      <c r="J136" t="s">
        <v>104</v>
      </c>
      <c r="K136" t="s">
        <v>108</v>
      </c>
    </row>
    <row r="137" spans="1:11" hidden="1" x14ac:dyDescent="0.3">
      <c r="A137" t="s">
        <v>14</v>
      </c>
      <c r="B137" t="s">
        <v>46</v>
      </c>
      <c r="C137" t="s">
        <v>84</v>
      </c>
      <c r="D137">
        <v>0.4</v>
      </c>
      <c r="E137">
        <f>Tableau1[[#This Row],[Potential (PJ)]]/3.6*1000</f>
        <v>111.11111111111111</v>
      </c>
      <c r="F137">
        <v>2.2362500000000001</v>
      </c>
      <c r="G137">
        <f>Tableau1[[#This Row],[Cost (€/GJ)]]/1000*3.6</f>
        <v>8.0505000000000004E-3</v>
      </c>
      <c r="H137">
        <v>28.139870918023309</v>
      </c>
      <c r="I137">
        <f>Tableau1[[#This Row],[GHG (kgCO2eq/GJ)]]/1000*3.6</f>
        <v>0.10130353530488391</v>
      </c>
      <c r="J137" t="s">
        <v>105</v>
      </c>
      <c r="K137" t="s">
        <v>108</v>
      </c>
    </row>
    <row r="138" spans="1:11" hidden="1" x14ac:dyDescent="0.3">
      <c r="A138" t="s">
        <v>14</v>
      </c>
      <c r="B138" t="s">
        <v>55</v>
      </c>
      <c r="C138" t="s">
        <v>86</v>
      </c>
      <c r="D138">
        <v>0.8508</v>
      </c>
      <c r="E138">
        <f>Tableau1[[#This Row],[Potential (PJ)]]/3.6*1000</f>
        <v>236.33333333333334</v>
      </c>
      <c r="F138">
        <v>16.027000000000001</v>
      </c>
      <c r="G138">
        <f>Tableau1[[#This Row],[Cost (€/GJ)]]/1000*3.6</f>
        <v>5.7697199999999997E-2</v>
      </c>
      <c r="H138">
        <v>11.7</v>
      </c>
      <c r="I138">
        <f>Tableau1[[#This Row],[GHG (kgCO2eq/GJ)]]/1000*3.6</f>
        <v>4.2119999999999998E-2</v>
      </c>
      <c r="J138" t="s">
        <v>106</v>
      </c>
      <c r="K138" t="s">
        <v>109</v>
      </c>
    </row>
    <row r="139" spans="1:11" hidden="1" x14ac:dyDescent="0.3">
      <c r="A139" t="s">
        <v>14</v>
      </c>
      <c r="B139" t="s">
        <v>55</v>
      </c>
      <c r="C139" t="s">
        <v>88</v>
      </c>
      <c r="D139">
        <v>0.79759999999999998</v>
      </c>
      <c r="E139">
        <f>Tableau1[[#This Row],[Potential (PJ)]]/3.6*1000</f>
        <v>221.55555555555554</v>
      </c>
      <c r="F139">
        <v>16.309999999999999</v>
      </c>
      <c r="G139">
        <f>Tableau1[[#This Row],[Cost (€/GJ)]]/1000*3.6</f>
        <v>5.8715999999999997E-2</v>
      </c>
      <c r="H139">
        <v>11.7</v>
      </c>
      <c r="I139">
        <f>Tableau1[[#This Row],[GHG (kgCO2eq/GJ)]]/1000*3.6</f>
        <v>4.2119999999999998E-2</v>
      </c>
      <c r="J139" t="s">
        <v>106</v>
      </c>
      <c r="K139" t="s">
        <v>109</v>
      </c>
    </row>
    <row r="140" spans="1:11" hidden="1" x14ac:dyDescent="0.3">
      <c r="A140" t="s">
        <v>14</v>
      </c>
      <c r="B140" t="s">
        <v>55</v>
      </c>
      <c r="C140" t="s">
        <v>89</v>
      </c>
      <c r="D140">
        <v>0.1061</v>
      </c>
      <c r="E140">
        <f>Tableau1[[#This Row],[Potential (PJ)]]/3.6*1000</f>
        <v>29.472222222222221</v>
      </c>
      <c r="F140">
        <v>0</v>
      </c>
      <c r="G140">
        <f>Tableau1[[#This Row],[Cost (€/GJ)]]/1000*3.6</f>
        <v>0</v>
      </c>
      <c r="H140">
        <v>11.7</v>
      </c>
      <c r="I140">
        <f>Tableau1[[#This Row],[GHG (kgCO2eq/GJ)]]/1000*3.6</f>
        <v>4.2119999999999998E-2</v>
      </c>
      <c r="J140" t="s">
        <v>106</v>
      </c>
      <c r="K140" t="s">
        <v>109</v>
      </c>
    </row>
    <row r="141" spans="1:11" hidden="1" x14ac:dyDescent="0.3">
      <c r="A141" t="s">
        <v>14</v>
      </c>
      <c r="B141" t="s">
        <v>55</v>
      </c>
      <c r="C141" t="s">
        <v>90</v>
      </c>
      <c r="D141">
        <v>7.1999999999999998E-3</v>
      </c>
      <c r="E141">
        <f>Tableau1[[#This Row],[Potential (PJ)]]/3.6*1000</f>
        <v>2</v>
      </c>
      <c r="F141">
        <v>13.617000000000001</v>
      </c>
      <c r="G141">
        <f>Tableau1[[#This Row],[Cost (€/GJ)]]/1000*3.6</f>
        <v>4.9021200000000001E-2</v>
      </c>
      <c r="H141">
        <v>11.7</v>
      </c>
      <c r="I141">
        <f>Tableau1[[#This Row],[GHG (kgCO2eq/GJ)]]/1000*3.6</f>
        <v>4.2119999999999998E-2</v>
      </c>
      <c r="J141" t="s">
        <v>106</v>
      </c>
      <c r="K141" t="s">
        <v>109</v>
      </c>
    </row>
    <row r="142" spans="1:11" hidden="1" x14ac:dyDescent="0.3">
      <c r="A142" t="s">
        <v>14</v>
      </c>
      <c r="B142" t="s">
        <v>55</v>
      </c>
      <c r="C142" t="s">
        <v>91</v>
      </c>
      <c r="D142">
        <v>0.33069999999999999</v>
      </c>
      <c r="E142">
        <f>Tableau1[[#This Row],[Potential (PJ)]]/3.6*1000</f>
        <v>91.8611111111111</v>
      </c>
      <c r="F142">
        <v>14.637</v>
      </c>
      <c r="G142">
        <f>Tableau1[[#This Row],[Cost (€/GJ)]]/1000*3.6</f>
        <v>5.2693200000000003E-2</v>
      </c>
      <c r="H142">
        <v>11.7</v>
      </c>
      <c r="I142">
        <f>Tableau1[[#This Row],[GHG (kgCO2eq/GJ)]]/1000*3.6</f>
        <v>4.2119999999999998E-2</v>
      </c>
      <c r="J142" t="s">
        <v>106</v>
      </c>
      <c r="K142" t="s">
        <v>109</v>
      </c>
    </row>
    <row r="143" spans="1:11" hidden="1" x14ac:dyDescent="0.3">
      <c r="A143" t="s">
        <v>14</v>
      </c>
      <c r="B143" t="s">
        <v>55</v>
      </c>
      <c r="C143" t="s">
        <v>92</v>
      </c>
      <c r="D143">
        <v>0.87702000000000002</v>
      </c>
      <c r="E143">
        <f>Tableau1[[#This Row],[Potential (PJ)]]/3.6*1000</f>
        <v>243.61666666666667</v>
      </c>
      <c r="F143">
        <v>14.288</v>
      </c>
      <c r="G143">
        <f>Tableau1[[#This Row],[Cost (€/GJ)]]/1000*3.6</f>
        <v>5.1436800000000005E-2</v>
      </c>
      <c r="H143">
        <v>11.7</v>
      </c>
      <c r="I143">
        <f>Tableau1[[#This Row],[GHG (kgCO2eq/GJ)]]/1000*3.6</f>
        <v>4.2119999999999998E-2</v>
      </c>
      <c r="J143" t="s">
        <v>106</v>
      </c>
      <c r="K143" t="s">
        <v>109</v>
      </c>
    </row>
    <row r="144" spans="1:11" hidden="1" x14ac:dyDescent="0.3">
      <c r="A144" t="s">
        <v>14</v>
      </c>
      <c r="B144" t="s">
        <v>56</v>
      </c>
      <c r="C144" t="s">
        <v>93</v>
      </c>
      <c r="D144">
        <v>34.388100000000001</v>
      </c>
      <c r="E144">
        <f>Tableau1[[#This Row],[Potential (PJ)]]/3.6*1000</f>
        <v>9552.25</v>
      </c>
      <c r="F144">
        <v>2.9493975903614462</v>
      </c>
      <c r="G144">
        <f>Tableau1[[#This Row],[Cost (€/GJ)]]/1000*3.6</f>
        <v>1.0617831325301207E-2</v>
      </c>
      <c r="H144">
        <v>20.3</v>
      </c>
      <c r="I144">
        <f>Tableau1[[#This Row],[GHG (kgCO2eq/GJ)]]/1000*3.6</f>
        <v>7.3080000000000006E-2</v>
      </c>
      <c r="J144" t="s">
        <v>106</v>
      </c>
      <c r="K144" t="s">
        <v>109</v>
      </c>
    </row>
    <row r="145" spans="1:11" hidden="1" x14ac:dyDescent="0.3">
      <c r="A145" t="s">
        <v>14</v>
      </c>
      <c r="B145" t="s">
        <v>47</v>
      </c>
      <c r="C145" t="s">
        <v>68</v>
      </c>
      <c r="D145">
        <v>5.2</v>
      </c>
      <c r="E145">
        <f>Tableau1[[#This Row],[Potential (PJ)]]/3.6*1000</f>
        <v>1444.4444444444443</v>
      </c>
      <c r="F145">
        <v>3.3403461538461539</v>
      </c>
      <c r="G145">
        <f>Tableau1[[#This Row],[Cost (€/GJ)]]/1000*3.6</f>
        <v>1.2025246153846154E-2</v>
      </c>
      <c r="H145">
        <v>18.100000000000001</v>
      </c>
      <c r="I145">
        <f>Tableau1[[#This Row],[GHG (kgCO2eq/GJ)]]/1000*3.6</f>
        <v>6.516000000000001E-2</v>
      </c>
      <c r="J145" t="s">
        <v>104</v>
      </c>
      <c r="K145" t="s">
        <v>109</v>
      </c>
    </row>
    <row r="146" spans="1:11" hidden="1" x14ac:dyDescent="0.3">
      <c r="A146" t="s">
        <v>14</v>
      </c>
      <c r="B146" t="s">
        <v>47</v>
      </c>
      <c r="C146" t="s">
        <v>69</v>
      </c>
      <c r="D146">
        <v>4.7</v>
      </c>
      <c r="E146">
        <f>Tableau1[[#This Row],[Potential (PJ)]]/3.6*1000</f>
        <v>1305.5555555555557</v>
      </c>
      <c r="F146">
        <v>2.9682127659574471</v>
      </c>
      <c r="G146">
        <f>Tableau1[[#This Row],[Cost (€/GJ)]]/1000*3.6</f>
        <v>1.068556595744681E-2</v>
      </c>
      <c r="H146">
        <v>18.100000000000001</v>
      </c>
      <c r="I146">
        <f>Tableau1[[#This Row],[GHG (kgCO2eq/GJ)]]/1000*3.6</f>
        <v>6.516000000000001E-2</v>
      </c>
      <c r="J146" t="s">
        <v>104</v>
      </c>
      <c r="K146" t="s">
        <v>109</v>
      </c>
    </row>
    <row r="147" spans="1:11" hidden="1" x14ac:dyDescent="0.3">
      <c r="A147" t="s">
        <v>14</v>
      </c>
      <c r="B147" t="s">
        <v>57</v>
      </c>
      <c r="C147" t="s">
        <v>94</v>
      </c>
      <c r="D147">
        <v>4</v>
      </c>
      <c r="E147">
        <f>Tableau1[[#This Row],[Potential (PJ)]]/3.6*1000</f>
        <v>1111.1111111111111</v>
      </c>
      <c r="F147">
        <v>7.1358250000000014</v>
      </c>
      <c r="G147">
        <f>Tableau1[[#This Row],[Cost (€/GJ)]]/1000*3.6</f>
        <v>2.5688970000000005E-2</v>
      </c>
      <c r="H147">
        <v>14.2</v>
      </c>
      <c r="I147">
        <f>Tableau1[[#This Row],[GHG (kgCO2eq/GJ)]]/1000*3.6</f>
        <v>5.1119999999999999E-2</v>
      </c>
      <c r="J147" t="s">
        <v>104</v>
      </c>
      <c r="K147" t="s">
        <v>109</v>
      </c>
    </row>
    <row r="148" spans="1:11" hidden="1" x14ac:dyDescent="0.3">
      <c r="A148" t="s">
        <v>14</v>
      </c>
      <c r="B148" t="s">
        <v>49</v>
      </c>
      <c r="C148" t="s">
        <v>71</v>
      </c>
      <c r="D148">
        <v>11.684839999999999</v>
      </c>
      <c r="E148">
        <f>Tableau1[[#This Row],[Potential (PJ)]]/3.6*1000</f>
        <v>3245.7888888888888</v>
      </c>
      <c r="F148">
        <v>4.4674316730053647</v>
      </c>
      <c r="G148">
        <f>Tableau1[[#This Row],[Cost (€/GJ)]]/1000*3.6</f>
        <v>1.6082754022819314E-2</v>
      </c>
      <c r="H148">
        <v>3.86607608129234</v>
      </c>
      <c r="I148">
        <f>Tableau1[[#This Row],[GHG (kgCO2eq/GJ)]]/1000*3.6</f>
        <v>1.3917873892652425E-2</v>
      </c>
      <c r="J148" t="s">
        <v>104</v>
      </c>
      <c r="K148" t="s">
        <v>108</v>
      </c>
    </row>
    <row r="149" spans="1:11" hidden="1" x14ac:dyDescent="0.3">
      <c r="A149" t="s">
        <v>14</v>
      </c>
      <c r="B149" t="s">
        <v>49</v>
      </c>
      <c r="C149" t="s">
        <v>72</v>
      </c>
      <c r="D149">
        <v>0.8</v>
      </c>
      <c r="E149">
        <f>Tableau1[[#This Row],[Potential (PJ)]]/3.6*1000</f>
        <v>222.22222222222223</v>
      </c>
      <c r="F149">
        <v>3.5843750000000001</v>
      </c>
      <c r="G149">
        <f>Tableau1[[#This Row],[Cost (€/GJ)]]/1000*3.6</f>
        <v>1.290375E-2</v>
      </c>
      <c r="H149">
        <v>3.86607608129234</v>
      </c>
      <c r="I149">
        <f>Tableau1[[#This Row],[GHG (kgCO2eq/GJ)]]/1000*3.6</f>
        <v>1.3917873892652425E-2</v>
      </c>
      <c r="J149" t="s">
        <v>104</v>
      </c>
      <c r="K149" t="s">
        <v>108</v>
      </c>
    </row>
    <row r="150" spans="1:11" hidden="1" x14ac:dyDescent="0.3">
      <c r="A150" t="s">
        <v>14</v>
      </c>
      <c r="B150" t="s">
        <v>58</v>
      </c>
      <c r="C150" t="s">
        <v>95</v>
      </c>
      <c r="D150">
        <v>1.7742199999999999</v>
      </c>
      <c r="E150">
        <f>Tableau1[[#This Row],[Potential (PJ)]]/3.6*1000</f>
        <v>492.83888888888885</v>
      </c>
      <c r="F150">
        <v>3.0483154851145851</v>
      </c>
      <c r="G150">
        <f>Tableau1[[#This Row],[Cost (€/GJ)]]/1000*3.6</f>
        <v>1.0973935746412507E-2</v>
      </c>
      <c r="H150">
        <v>2.9521711768407801</v>
      </c>
      <c r="I150">
        <f>Tableau1[[#This Row],[GHG (kgCO2eq/GJ)]]/1000*3.6</f>
        <v>1.0627816236626808E-2</v>
      </c>
      <c r="J150" t="s">
        <v>104</v>
      </c>
      <c r="K150" t="s">
        <v>108</v>
      </c>
    </row>
    <row r="151" spans="1:11" hidden="1" x14ac:dyDescent="0.3">
      <c r="A151" t="s">
        <v>14</v>
      </c>
      <c r="B151" t="s">
        <v>50</v>
      </c>
      <c r="C151" t="s">
        <v>73</v>
      </c>
      <c r="D151">
        <v>3.5</v>
      </c>
      <c r="E151">
        <f>Tableau1[[#This Row],[Potential (PJ)]]/3.6*1000</f>
        <v>972.22222222222217</v>
      </c>
      <c r="F151">
        <v>5.0970285714285719</v>
      </c>
      <c r="G151">
        <f>Tableau1[[#This Row],[Cost (€/GJ)]]/1000*3.6</f>
        <v>1.8349302857142858E-2</v>
      </c>
      <c r="H151">
        <v>20.723404255319149</v>
      </c>
      <c r="I151">
        <f>Tableau1[[#This Row],[GHG (kgCO2eq/GJ)]]/1000*3.6</f>
        <v>7.4604255319148938E-2</v>
      </c>
      <c r="J151" t="s">
        <v>105</v>
      </c>
      <c r="K151" t="s">
        <v>108</v>
      </c>
    </row>
    <row r="152" spans="1:11" hidden="1" x14ac:dyDescent="0.3">
      <c r="A152" t="s">
        <v>14</v>
      </c>
      <c r="B152" t="s">
        <v>50</v>
      </c>
      <c r="C152" t="s">
        <v>74</v>
      </c>
      <c r="D152">
        <v>31.2</v>
      </c>
      <c r="E152">
        <f>Tableau1[[#This Row],[Potential (PJ)]]/3.6*1000</f>
        <v>8666.6666666666661</v>
      </c>
      <c r="F152">
        <v>3.652397435897436</v>
      </c>
      <c r="G152">
        <f>Tableau1[[#This Row],[Cost (€/GJ)]]/1000*3.6</f>
        <v>1.3148630769230771E-2</v>
      </c>
      <c r="H152">
        <v>2.0635593220338988</v>
      </c>
      <c r="I152">
        <f>Tableau1[[#This Row],[GHG (kgCO2eq/GJ)]]/1000*3.6</f>
        <v>7.4288135593220351E-3</v>
      </c>
      <c r="J152" t="s">
        <v>105</v>
      </c>
      <c r="K152" t="s">
        <v>108</v>
      </c>
    </row>
    <row r="153" spans="1:11" hidden="1" x14ac:dyDescent="0.3">
      <c r="A153" t="s">
        <v>14</v>
      </c>
      <c r="B153" t="s">
        <v>59</v>
      </c>
      <c r="C153" t="s">
        <v>96</v>
      </c>
      <c r="D153">
        <v>0.19889999999999999</v>
      </c>
      <c r="E153">
        <f>Tableau1[[#This Row],[Potential (PJ)]]/3.6*1000</f>
        <v>55.249999999999993</v>
      </c>
      <c r="F153">
        <v>30.024000000000001</v>
      </c>
      <c r="G153">
        <f>Tableau1[[#This Row],[Cost (€/GJ)]]/1000*3.6</f>
        <v>0.10808640000000001</v>
      </c>
      <c r="H153">
        <v>8.4</v>
      </c>
      <c r="I153">
        <f>Tableau1[[#This Row],[GHG (kgCO2eq/GJ)]]/1000*3.6</f>
        <v>3.0240000000000006E-2</v>
      </c>
      <c r="J153" t="s">
        <v>107</v>
      </c>
      <c r="K153" t="s">
        <v>109</v>
      </c>
    </row>
    <row r="154" spans="1:11" hidden="1" x14ac:dyDescent="0.3">
      <c r="A154" t="s">
        <v>14</v>
      </c>
      <c r="B154" t="s">
        <v>59</v>
      </c>
      <c r="C154" t="s">
        <v>97</v>
      </c>
      <c r="D154">
        <v>0.1095</v>
      </c>
      <c r="E154">
        <f>Tableau1[[#This Row],[Potential (PJ)]]/3.6*1000</f>
        <v>30.416666666666664</v>
      </c>
      <c r="F154">
        <v>14.81280520889853</v>
      </c>
      <c r="G154">
        <f>Tableau1[[#This Row],[Cost (€/GJ)]]/1000*3.6</f>
        <v>5.3326098752034708E-2</v>
      </c>
      <c r="H154">
        <v>8.4</v>
      </c>
      <c r="I154">
        <f>Tableau1[[#This Row],[GHG (kgCO2eq/GJ)]]/1000*3.6</f>
        <v>3.0240000000000006E-2</v>
      </c>
      <c r="J154" t="s">
        <v>107</v>
      </c>
      <c r="K154" t="s">
        <v>109</v>
      </c>
    </row>
    <row r="155" spans="1:11" hidden="1" x14ac:dyDescent="0.3">
      <c r="A155" t="s">
        <v>14</v>
      </c>
      <c r="B155" t="s">
        <v>51</v>
      </c>
      <c r="C155" t="s">
        <v>75</v>
      </c>
      <c r="D155">
        <v>2.9046249999999998</v>
      </c>
      <c r="E155">
        <f>Tableau1[[#This Row],[Potential (PJ)]]/3.6*1000</f>
        <v>806.84027777777771</v>
      </c>
      <c r="F155">
        <v>1.6564974598615601E-4</v>
      </c>
      <c r="G155">
        <f>Tableau1[[#This Row],[Cost (€/GJ)]]/1000*3.6</f>
        <v>5.9633908555016168E-7</v>
      </c>
      <c r="H155">
        <v>11.74</v>
      </c>
      <c r="I155">
        <f>Tableau1[[#This Row],[GHG (kgCO2eq/GJ)]]/1000*3.6</f>
        <v>4.2264000000000003E-2</v>
      </c>
      <c r="J155" t="s">
        <v>104</v>
      </c>
      <c r="K155" t="s">
        <v>108</v>
      </c>
    </row>
    <row r="156" spans="1:11" hidden="1" x14ac:dyDescent="0.3">
      <c r="A156" t="s">
        <v>14</v>
      </c>
      <c r="B156" t="s">
        <v>60</v>
      </c>
      <c r="C156" t="s">
        <v>98</v>
      </c>
      <c r="D156">
        <v>2.9122499999999998</v>
      </c>
      <c r="E156">
        <f>Tableau1[[#This Row],[Potential (PJ)]]/3.6*1000</f>
        <v>808.95833333333326</v>
      </c>
      <c r="F156">
        <v>16.380236305048339</v>
      </c>
      <c r="G156">
        <f>Tableau1[[#This Row],[Cost (€/GJ)]]/1000*3.6</f>
        <v>5.8968850698174029E-2</v>
      </c>
      <c r="H156">
        <v>27.8</v>
      </c>
      <c r="I156">
        <f>Tableau1[[#This Row],[GHG (kgCO2eq/GJ)]]/1000*3.6</f>
        <v>0.10008</v>
      </c>
      <c r="J156" t="s">
        <v>107</v>
      </c>
      <c r="K156" t="s">
        <v>109</v>
      </c>
    </row>
    <row r="157" spans="1:11" hidden="1" x14ac:dyDescent="0.3">
      <c r="A157" t="s">
        <v>14</v>
      </c>
      <c r="B157" t="s">
        <v>52</v>
      </c>
      <c r="C157" t="s">
        <v>76</v>
      </c>
      <c r="D157">
        <v>0.34799999999999998</v>
      </c>
      <c r="E157">
        <f>Tableau1[[#This Row],[Potential (PJ)]]/3.6*1000</f>
        <v>96.666666666666657</v>
      </c>
      <c r="F157">
        <v>6.1837425000000001</v>
      </c>
      <c r="G157">
        <f>Tableau1[[#This Row],[Cost (€/GJ)]]/1000*3.6</f>
        <v>2.2261473000000004E-2</v>
      </c>
      <c r="H157">
        <v>12.68872359754714</v>
      </c>
      <c r="I157">
        <f>Tableau1[[#This Row],[GHG (kgCO2eq/GJ)]]/1000*3.6</f>
        <v>4.5679404951169705E-2</v>
      </c>
      <c r="J157" t="s">
        <v>105</v>
      </c>
      <c r="K157" t="s">
        <v>108</v>
      </c>
    </row>
    <row r="158" spans="1:11" hidden="1" x14ac:dyDescent="0.3">
      <c r="A158" t="s">
        <v>14</v>
      </c>
      <c r="B158" t="s">
        <v>53</v>
      </c>
      <c r="C158" t="s">
        <v>77</v>
      </c>
      <c r="D158">
        <v>4.2085900000000001</v>
      </c>
      <c r="E158">
        <f>Tableau1[[#This Row],[Potential (PJ)]]/3.6*1000</f>
        <v>1169.0527777777777</v>
      </c>
      <c r="F158">
        <v>3.5846269154277319</v>
      </c>
      <c r="G158">
        <f>Tableau1[[#This Row],[Cost (€/GJ)]]/1000*3.6</f>
        <v>1.2904656895539835E-2</v>
      </c>
      <c r="H158">
        <v>3.86607608129234</v>
      </c>
      <c r="I158">
        <f>Tableau1[[#This Row],[GHG (kgCO2eq/GJ)]]/1000*3.6</f>
        <v>1.3917873892652425E-2</v>
      </c>
      <c r="J158" t="s">
        <v>104</v>
      </c>
      <c r="K158" t="s">
        <v>108</v>
      </c>
    </row>
    <row r="159" spans="1:11" hidden="1" x14ac:dyDescent="0.3">
      <c r="A159" t="s">
        <v>14</v>
      </c>
      <c r="B159" t="s">
        <v>61</v>
      </c>
      <c r="C159" t="s">
        <v>99</v>
      </c>
      <c r="D159">
        <v>3.7</v>
      </c>
      <c r="E159">
        <f>Tableau1[[#This Row],[Potential (PJ)]]/3.6*1000</f>
        <v>1027.7777777777778</v>
      </c>
      <c r="F159">
        <v>1.54954054054054</v>
      </c>
      <c r="G159">
        <f>Tableau1[[#This Row],[Cost (€/GJ)]]/1000*3.6</f>
        <v>5.5783459459459441E-3</v>
      </c>
      <c r="H159">
        <v>2.9245635910224439</v>
      </c>
      <c r="I159">
        <f>Tableau1[[#This Row],[GHG (kgCO2eq/GJ)]]/1000*3.6</f>
        <v>1.0528428927680798E-2</v>
      </c>
      <c r="J159" t="s">
        <v>104</v>
      </c>
      <c r="K159" t="s">
        <v>108</v>
      </c>
    </row>
    <row r="160" spans="1:11" hidden="1" x14ac:dyDescent="0.3">
      <c r="A160" t="s">
        <v>14</v>
      </c>
      <c r="B160" t="s">
        <v>62</v>
      </c>
      <c r="C160" t="s">
        <v>100</v>
      </c>
      <c r="D160">
        <v>1.5</v>
      </c>
      <c r="E160">
        <f>Tableau1[[#This Row],[Potential (PJ)]]/3.6*1000</f>
        <v>416.66666666666663</v>
      </c>
      <c r="F160">
        <v>0.43999999999999989</v>
      </c>
      <c r="G160">
        <f>Tableau1[[#This Row],[Cost (€/GJ)]]/1000*3.6</f>
        <v>1.5839999999999997E-3</v>
      </c>
      <c r="H160">
        <v>2.6764106050305911</v>
      </c>
      <c r="I160">
        <f>Tableau1[[#This Row],[GHG (kgCO2eq/GJ)]]/1000*3.6</f>
        <v>9.6350781781101291E-3</v>
      </c>
      <c r="J160" t="s">
        <v>104</v>
      </c>
      <c r="K160" t="s">
        <v>108</v>
      </c>
    </row>
    <row r="161" spans="1:11" hidden="1" x14ac:dyDescent="0.3">
      <c r="A161" t="s">
        <v>14</v>
      </c>
      <c r="B161" t="s">
        <v>54</v>
      </c>
      <c r="C161" t="s">
        <v>78</v>
      </c>
      <c r="D161">
        <v>61.4</v>
      </c>
      <c r="E161">
        <f>Tableau1[[#This Row],[Potential (PJ)]]/3.6*1000</f>
        <v>17055.555555555555</v>
      </c>
      <c r="F161">
        <v>7.495597719869707</v>
      </c>
      <c r="G161">
        <f>Tableau1[[#This Row],[Cost (€/GJ)]]/1000*3.6</f>
        <v>2.6984151791530946E-2</v>
      </c>
      <c r="H161">
        <v>3.86607608129234</v>
      </c>
      <c r="I161">
        <f>Tableau1[[#This Row],[GHG (kgCO2eq/GJ)]]/1000*3.6</f>
        <v>1.3917873892652425E-2</v>
      </c>
      <c r="J161" t="s">
        <v>104</v>
      </c>
      <c r="K161" t="s">
        <v>108</v>
      </c>
    </row>
    <row r="162" spans="1:11" hidden="1" x14ac:dyDescent="0.3">
      <c r="A162" t="s">
        <v>15</v>
      </c>
      <c r="B162" t="s">
        <v>46</v>
      </c>
      <c r="C162" t="s">
        <v>64</v>
      </c>
      <c r="D162">
        <v>5.407E-2</v>
      </c>
      <c r="E162">
        <f>Tableau1[[#This Row],[Potential (PJ)]]/3.6*1000</f>
        <v>15.019444444444444</v>
      </c>
      <c r="F162">
        <v>2.5210889587571672</v>
      </c>
      <c r="G162">
        <f>Tableau1[[#This Row],[Cost (€/GJ)]]/1000*3.6</f>
        <v>9.0759202515258031E-3</v>
      </c>
      <c r="H162">
        <v>2.9521711768407801</v>
      </c>
      <c r="I162">
        <f>Tableau1[[#This Row],[GHG (kgCO2eq/GJ)]]/1000*3.6</f>
        <v>1.0627816236626808E-2</v>
      </c>
      <c r="J162" t="s">
        <v>104</v>
      </c>
      <c r="K162" t="s">
        <v>108</v>
      </c>
    </row>
    <row r="163" spans="1:11" hidden="1" x14ac:dyDescent="0.3">
      <c r="A163" t="s">
        <v>15</v>
      </c>
      <c r="B163" t="s">
        <v>46</v>
      </c>
      <c r="C163" t="s">
        <v>79</v>
      </c>
      <c r="D163">
        <v>48.9</v>
      </c>
      <c r="E163">
        <f>Tableau1[[#This Row],[Potential (PJ)]]/3.6*1000</f>
        <v>13583.333333333332</v>
      </c>
      <c r="F163">
        <v>5.1067341513292437</v>
      </c>
      <c r="G163">
        <f>Tableau1[[#This Row],[Cost (€/GJ)]]/1000*3.6</f>
        <v>1.8384242944785276E-2</v>
      </c>
      <c r="H163">
        <v>6.8428961748633883</v>
      </c>
      <c r="I163">
        <f>Tableau1[[#This Row],[GHG (kgCO2eq/GJ)]]/1000*3.6</f>
        <v>2.4634426229508198E-2</v>
      </c>
      <c r="J163" t="s">
        <v>104</v>
      </c>
      <c r="K163" t="s">
        <v>108</v>
      </c>
    </row>
    <row r="164" spans="1:11" hidden="1" x14ac:dyDescent="0.3">
      <c r="A164" t="s">
        <v>15</v>
      </c>
      <c r="B164" t="s">
        <v>46</v>
      </c>
      <c r="C164" t="s">
        <v>80</v>
      </c>
      <c r="D164">
        <v>22.206199999999999</v>
      </c>
      <c r="E164">
        <f>Tableau1[[#This Row],[Potential (PJ)]]/3.6*1000</f>
        <v>6168.3888888888878</v>
      </c>
      <c r="F164">
        <v>1.21105866486851</v>
      </c>
      <c r="G164">
        <f>Tableau1[[#This Row],[Cost (€/GJ)]]/1000*3.6</f>
        <v>4.3598111935266356E-3</v>
      </c>
      <c r="H164">
        <v>28.139870918023309</v>
      </c>
      <c r="I164">
        <f>Tableau1[[#This Row],[GHG (kgCO2eq/GJ)]]/1000*3.6</f>
        <v>0.10130353530488391</v>
      </c>
      <c r="J164" t="s">
        <v>105</v>
      </c>
      <c r="K164" t="s">
        <v>108</v>
      </c>
    </row>
    <row r="165" spans="1:11" hidden="1" x14ac:dyDescent="0.3">
      <c r="A165" t="s">
        <v>15</v>
      </c>
      <c r="B165" t="s">
        <v>46</v>
      </c>
      <c r="C165" t="s">
        <v>81</v>
      </c>
      <c r="D165">
        <v>47.450099999999999</v>
      </c>
      <c r="E165">
        <f>Tableau1[[#This Row],[Potential (PJ)]]/3.6*1000</f>
        <v>13180.583333333332</v>
      </c>
      <c r="F165">
        <v>1.7549941245593419</v>
      </c>
      <c r="G165">
        <f>Tableau1[[#This Row],[Cost (€/GJ)]]/1000*3.6</f>
        <v>6.3179788484136312E-3</v>
      </c>
      <c r="H165">
        <v>8.9647473560517046</v>
      </c>
      <c r="I165">
        <f>Tableau1[[#This Row],[GHG (kgCO2eq/GJ)]]/1000*3.6</f>
        <v>3.2273090481786136E-2</v>
      </c>
      <c r="J165" t="s">
        <v>105</v>
      </c>
      <c r="K165" t="s">
        <v>108</v>
      </c>
    </row>
    <row r="166" spans="1:11" hidden="1" x14ac:dyDescent="0.3">
      <c r="A166" t="s">
        <v>15</v>
      </c>
      <c r="B166" t="s">
        <v>46</v>
      </c>
      <c r="C166" t="s">
        <v>66</v>
      </c>
      <c r="D166">
        <v>2</v>
      </c>
      <c r="E166">
        <f>Tableau1[[#This Row],[Potential (PJ)]]/3.6*1000</f>
        <v>555.55555555555554</v>
      </c>
      <c r="F166">
        <v>5.3141499999999997</v>
      </c>
      <c r="G166">
        <f>Tableau1[[#This Row],[Cost (€/GJ)]]/1000*3.6</f>
        <v>1.9130940000000003E-2</v>
      </c>
      <c r="H166">
        <v>6.8428961748633883</v>
      </c>
      <c r="I166">
        <f>Tableau1[[#This Row],[GHG (kgCO2eq/GJ)]]/1000*3.6</f>
        <v>2.4634426229508198E-2</v>
      </c>
      <c r="J166" t="s">
        <v>104</v>
      </c>
      <c r="K166" t="s">
        <v>108</v>
      </c>
    </row>
    <row r="167" spans="1:11" hidden="1" x14ac:dyDescent="0.3">
      <c r="A167" t="s">
        <v>15</v>
      </c>
      <c r="B167" t="s">
        <v>46</v>
      </c>
      <c r="C167" t="s">
        <v>82</v>
      </c>
      <c r="D167">
        <v>1.9</v>
      </c>
      <c r="E167">
        <f>Tableau1[[#This Row],[Potential (PJ)]]/3.6*1000</f>
        <v>527.77777777777783</v>
      </c>
      <c r="F167">
        <v>3.2055789473684211</v>
      </c>
      <c r="G167">
        <f>Tableau1[[#This Row],[Cost (€/GJ)]]/1000*3.6</f>
        <v>1.1540084210526318E-2</v>
      </c>
      <c r="H167">
        <v>6.8428961748633883</v>
      </c>
      <c r="I167">
        <f>Tableau1[[#This Row],[GHG (kgCO2eq/GJ)]]/1000*3.6</f>
        <v>2.4634426229508198E-2</v>
      </c>
      <c r="J167" t="s">
        <v>104</v>
      </c>
      <c r="K167" t="s">
        <v>108</v>
      </c>
    </row>
    <row r="168" spans="1:11" hidden="1" x14ac:dyDescent="0.3">
      <c r="A168" t="s">
        <v>15</v>
      </c>
      <c r="B168" t="s">
        <v>46</v>
      </c>
      <c r="C168" t="s">
        <v>84</v>
      </c>
      <c r="D168">
        <v>0.60000000000000009</v>
      </c>
      <c r="E168">
        <f>Tableau1[[#This Row],[Potential (PJ)]]/3.6*1000</f>
        <v>166.66666666666669</v>
      </c>
      <c r="F168">
        <v>2.9535</v>
      </c>
      <c r="G168">
        <f>Tableau1[[#This Row],[Cost (€/GJ)]]/1000*3.6</f>
        <v>1.0632600000000001E-2</v>
      </c>
      <c r="H168">
        <v>28.139870918023309</v>
      </c>
      <c r="I168">
        <f>Tableau1[[#This Row],[GHG (kgCO2eq/GJ)]]/1000*3.6</f>
        <v>0.10130353530488391</v>
      </c>
      <c r="J168" t="s">
        <v>105</v>
      </c>
      <c r="K168" t="s">
        <v>108</v>
      </c>
    </row>
    <row r="169" spans="1:11" hidden="1" x14ac:dyDescent="0.3">
      <c r="A169" t="s">
        <v>15</v>
      </c>
      <c r="B169" t="s">
        <v>46</v>
      </c>
      <c r="C169" t="s">
        <v>85</v>
      </c>
      <c r="D169">
        <v>0.1</v>
      </c>
      <c r="E169">
        <f>Tableau1[[#This Row],[Potential (PJ)]]/3.6*1000</f>
        <v>27.777777777777779</v>
      </c>
      <c r="F169">
        <v>3.867</v>
      </c>
      <c r="G169">
        <f>Tableau1[[#This Row],[Cost (€/GJ)]]/1000*3.6</f>
        <v>1.39212E-2</v>
      </c>
      <c r="H169">
        <v>2.9521711768407801</v>
      </c>
      <c r="I169">
        <f>Tableau1[[#This Row],[GHG (kgCO2eq/GJ)]]/1000*3.6</f>
        <v>1.0627816236626808E-2</v>
      </c>
      <c r="J169" t="s">
        <v>104</v>
      </c>
      <c r="K169" t="s">
        <v>108</v>
      </c>
    </row>
    <row r="170" spans="1:11" hidden="1" x14ac:dyDescent="0.3">
      <c r="A170" t="s">
        <v>15</v>
      </c>
      <c r="B170" t="s">
        <v>55</v>
      </c>
      <c r="C170" t="s">
        <v>86</v>
      </c>
      <c r="D170">
        <v>0.19040000000000001</v>
      </c>
      <c r="E170">
        <f>Tableau1[[#This Row],[Potential (PJ)]]/3.6*1000</f>
        <v>52.888888888888886</v>
      </c>
      <c r="F170">
        <v>17.73800000000001</v>
      </c>
      <c r="G170">
        <f>Tableau1[[#This Row],[Cost (€/GJ)]]/1000*3.6</f>
        <v>6.3856800000000047E-2</v>
      </c>
      <c r="H170">
        <v>6.7</v>
      </c>
      <c r="I170">
        <f>Tableau1[[#This Row],[GHG (kgCO2eq/GJ)]]/1000*3.6</f>
        <v>2.4120000000000003E-2</v>
      </c>
      <c r="J170" t="s">
        <v>106</v>
      </c>
      <c r="K170" t="s">
        <v>109</v>
      </c>
    </row>
    <row r="171" spans="1:11" hidden="1" x14ac:dyDescent="0.3">
      <c r="A171" t="s">
        <v>15</v>
      </c>
      <c r="B171" t="s">
        <v>55</v>
      </c>
      <c r="C171" t="s">
        <v>87</v>
      </c>
      <c r="D171">
        <v>0.1348</v>
      </c>
      <c r="E171">
        <f>Tableau1[[#This Row],[Potential (PJ)]]/3.6*1000</f>
        <v>37.44444444444445</v>
      </c>
      <c r="F171">
        <v>18.88999999999999</v>
      </c>
      <c r="G171">
        <f>Tableau1[[#This Row],[Cost (€/GJ)]]/1000*3.6</f>
        <v>6.8003999999999967E-2</v>
      </c>
      <c r="H171">
        <v>6.7</v>
      </c>
      <c r="I171">
        <f>Tableau1[[#This Row],[GHG (kgCO2eq/GJ)]]/1000*3.6</f>
        <v>2.4120000000000003E-2</v>
      </c>
      <c r="J171" t="s">
        <v>106</v>
      </c>
      <c r="K171" t="s">
        <v>109</v>
      </c>
    </row>
    <row r="172" spans="1:11" hidden="1" x14ac:dyDescent="0.3">
      <c r="A172" t="s">
        <v>15</v>
      </c>
      <c r="B172" t="s">
        <v>55</v>
      </c>
      <c r="C172" t="s">
        <v>88</v>
      </c>
      <c r="D172">
        <v>0.77980000000000005</v>
      </c>
      <c r="E172">
        <f>Tableau1[[#This Row],[Potential (PJ)]]/3.6*1000</f>
        <v>216.61111111111111</v>
      </c>
      <c r="F172">
        <v>18.000999999999991</v>
      </c>
      <c r="G172">
        <f>Tableau1[[#This Row],[Cost (€/GJ)]]/1000*3.6</f>
        <v>6.4803599999999961E-2</v>
      </c>
      <c r="H172">
        <v>6.7</v>
      </c>
      <c r="I172">
        <f>Tableau1[[#This Row],[GHG (kgCO2eq/GJ)]]/1000*3.6</f>
        <v>2.4120000000000003E-2</v>
      </c>
      <c r="J172" t="s">
        <v>106</v>
      </c>
      <c r="K172" t="s">
        <v>109</v>
      </c>
    </row>
    <row r="173" spans="1:11" hidden="1" x14ac:dyDescent="0.3">
      <c r="A173" t="s">
        <v>15</v>
      </c>
      <c r="B173" t="s">
        <v>55</v>
      </c>
      <c r="C173" t="s">
        <v>89</v>
      </c>
      <c r="D173">
        <v>0.24660000000000001</v>
      </c>
      <c r="E173">
        <f>Tableau1[[#This Row],[Potential (PJ)]]/3.6*1000</f>
        <v>68.5</v>
      </c>
      <c r="F173">
        <v>0</v>
      </c>
      <c r="G173">
        <f>Tableau1[[#This Row],[Cost (€/GJ)]]/1000*3.6</f>
        <v>0</v>
      </c>
      <c r="H173">
        <v>6.7</v>
      </c>
      <c r="I173">
        <f>Tableau1[[#This Row],[GHG (kgCO2eq/GJ)]]/1000*3.6</f>
        <v>2.4120000000000003E-2</v>
      </c>
      <c r="J173" t="s">
        <v>106</v>
      </c>
      <c r="K173" t="s">
        <v>109</v>
      </c>
    </row>
    <row r="174" spans="1:11" hidden="1" x14ac:dyDescent="0.3">
      <c r="A174" t="s">
        <v>15</v>
      </c>
      <c r="B174" t="s">
        <v>55</v>
      </c>
      <c r="C174" t="s">
        <v>90</v>
      </c>
      <c r="D174">
        <v>0.1022</v>
      </c>
      <c r="E174">
        <f>Tableau1[[#This Row],[Potential (PJ)]]/3.6*1000</f>
        <v>28.388888888888886</v>
      </c>
      <c r="F174">
        <v>19.126999999999988</v>
      </c>
      <c r="G174">
        <f>Tableau1[[#This Row],[Cost (€/GJ)]]/1000*3.6</f>
        <v>6.8857199999999952E-2</v>
      </c>
      <c r="H174">
        <v>6.7</v>
      </c>
      <c r="I174">
        <f>Tableau1[[#This Row],[GHG (kgCO2eq/GJ)]]/1000*3.6</f>
        <v>2.4120000000000003E-2</v>
      </c>
      <c r="J174" t="s">
        <v>106</v>
      </c>
      <c r="K174" t="s">
        <v>109</v>
      </c>
    </row>
    <row r="175" spans="1:11" hidden="1" x14ac:dyDescent="0.3">
      <c r="A175" t="s">
        <v>15</v>
      </c>
      <c r="B175" t="s">
        <v>55</v>
      </c>
      <c r="C175" t="s">
        <v>91</v>
      </c>
      <c r="D175">
        <v>4.5792999999999999</v>
      </c>
      <c r="E175">
        <f>Tableau1[[#This Row],[Potential (PJ)]]/3.6*1000</f>
        <v>1272.0277777777778</v>
      </c>
      <c r="F175">
        <v>16.501999999999999</v>
      </c>
      <c r="G175">
        <f>Tableau1[[#This Row],[Cost (€/GJ)]]/1000*3.6</f>
        <v>5.94072E-2</v>
      </c>
      <c r="H175">
        <v>6.7</v>
      </c>
      <c r="I175">
        <f>Tableau1[[#This Row],[GHG (kgCO2eq/GJ)]]/1000*3.6</f>
        <v>2.4120000000000003E-2</v>
      </c>
      <c r="J175" t="s">
        <v>106</v>
      </c>
      <c r="K175" t="s">
        <v>109</v>
      </c>
    </row>
    <row r="176" spans="1:11" hidden="1" x14ac:dyDescent="0.3">
      <c r="A176" t="s">
        <v>15</v>
      </c>
      <c r="B176" t="s">
        <v>55</v>
      </c>
      <c r="C176" t="s">
        <v>92</v>
      </c>
      <c r="D176">
        <v>2.2654000000000001</v>
      </c>
      <c r="E176">
        <f>Tableau1[[#This Row],[Potential (PJ)]]/3.6*1000</f>
        <v>629.27777777777783</v>
      </c>
      <c r="F176">
        <v>18.88999999999999</v>
      </c>
      <c r="G176">
        <f>Tableau1[[#This Row],[Cost (€/GJ)]]/1000*3.6</f>
        <v>6.8003999999999967E-2</v>
      </c>
      <c r="H176">
        <v>6.7</v>
      </c>
      <c r="I176">
        <f>Tableau1[[#This Row],[GHG (kgCO2eq/GJ)]]/1000*3.6</f>
        <v>2.4120000000000003E-2</v>
      </c>
      <c r="J176" t="s">
        <v>106</v>
      </c>
      <c r="K176" t="s">
        <v>109</v>
      </c>
    </row>
    <row r="177" spans="1:11" hidden="1" x14ac:dyDescent="0.3">
      <c r="A177" t="s">
        <v>15</v>
      </c>
      <c r="B177" t="s">
        <v>56</v>
      </c>
      <c r="C177" t="s">
        <v>93</v>
      </c>
      <c r="D177">
        <v>43.513800000000003</v>
      </c>
      <c r="E177">
        <f>Tableau1[[#This Row],[Potential (PJ)]]/3.6*1000</f>
        <v>12087.166666666666</v>
      </c>
      <c r="F177">
        <v>2.939759036144578</v>
      </c>
      <c r="G177">
        <f>Tableau1[[#This Row],[Cost (€/GJ)]]/1000*3.6</f>
        <v>1.0583132530120481E-2</v>
      </c>
      <c r="H177">
        <v>22.3</v>
      </c>
      <c r="I177">
        <f>Tableau1[[#This Row],[GHG (kgCO2eq/GJ)]]/1000*3.6</f>
        <v>8.0280000000000004E-2</v>
      </c>
      <c r="J177" t="s">
        <v>106</v>
      </c>
      <c r="K177" t="s">
        <v>109</v>
      </c>
    </row>
    <row r="178" spans="1:11" hidden="1" x14ac:dyDescent="0.3">
      <c r="A178" t="s">
        <v>15</v>
      </c>
      <c r="B178" t="s">
        <v>47</v>
      </c>
      <c r="C178" t="s">
        <v>68</v>
      </c>
      <c r="D178">
        <v>55.5</v>
      </c>
      <c r="E178">
        <f>Tableau1[[#This Row],[Potential (PJ)]]/3.6*1000</f>
        <v>15416.666666666666</v>
      </c>
      <c r="F178">
        <v>5.7367927927927926</v>
      </c>
      <c r="G178">
        <f>Tableau1[[#This Row],[Cost (€/GJ)]]/1000*3.6</f>
        <v>2.0652454054054054E-2</v>
      </c>
      <c r="H178">
        <v>25.4</v>
      </c>
      <c r="I178">
        <f>Tableau1[[#This Row],[GHG (kgCO2eq/GJ)]]/1000*3.6</f>
        <v>9.1439999999999994E-2</v>
      </c>
      <c r="J178" t="s">
        <v>104</v>
      </c>
      <c r="K178" t="s">
        <v>109</v>
      </c>
    </row>
    <row r="179" spans="1:11" hidden="1" x14ac:dyDescent="0.3">
      <c r="A179" t="s">
        <v>15</v>
      </c>
      <c r="B179" t="s">
        <v>47</v>
      </c>
      <c r="C179" t="s">
        <v>69</v>
      </c>
      <c r="D179">
        <v>59.7</v>
      </c>
      <c r="E179">
        <f>Tableau1[[#This Row],[Potential (PJ)]]/3.6*1000</f>
        <v>16583.333333333332</v>
      </c>
      <c r="F179">
        <v>4.9387403685092126</v>
      </c>
      <c r="G179">
        <f>Tableau1[[#This Row],[Cost (€/GJ)]]/1000*3.6</f>
        <v>1.7779465326633166E-2</v>
      </c>
      <c r="H179">
        <v>25.4</v>
      </c>
      <c r="I179">
        <f>Tableau1[[#This Row],[GHG (kgCO2eq/GJ)]]/1000*3.6</f>
        <v>9.1439999999999994E-2</v>
      </c>
      <c r="J179" t="s">
        <v>104</v>
      </c>
      <c r="K179" t="s">
        <v>109</v>
      </c>
    </row>
    <row r="180" spans="1:11" hidden="1" x14ac:dyDescent="0.3">
      <c r="A180" t="s">
        <v>15</v>
      </c>
      <c r="B180" t="s">
        <v>57</v>
      </c>
      <c r="C180" t="s">
        <v>94</v>
      </c>
      <c r="D180">
        <v>45.7</v>
      </c>
      <c r="E180">
        <f>Tableau1[[#This Row],[Potential (PJ)]]/3.6*1000</f>
        <v>12694.444444444445</v>
      </c>
      <c r="F180">
        <v>9.3249015317286652</v>
      </c>
      <c r="G180">
        <f>Tableau1[[#This Row],[Cost (€/GJ)]]/1000*3.6</f>
        <v>3.3569645514223194E-2</v>
      </c>
      <c r="H180">
        <v>23.7</v>
      </c>
      <c r="I180">
        <f>Tableau1[[#This Row],[GHG (kgCO2eq/GJ)]]/1000*3.6</f>
        <v>8.5319999999999993E-2</v>
      </c>
      <c r="J180" t="s">
        <v>104</v>
      </c>
      <c r="K180" t="s">
        <v>109</v>
      </c>
    </row>
    <row r="181" spans="1:11" hidden="1" x14ac:dyDescent="0.3">
      <c r="A181" t="s">
        <v>15</v>
      </c>
      <c r="B181" t="s">
        <v>49</v>
      </c>
      <c r="C181" t="s">
        <v>71</v>
      </c>
      <c r="D181">
        <v>71.281379999999999</v>
      </c>
      <c r="E181">
        <f>Tableau1[[#This Row],[Potential (PJ)]]/3.6*1000</f>
        <v>19800.383333333331</v>
      </c>
      <c r="F181">
        <v>4.7643773726041783</v>
      </c>
      <c r="G181">
        <f>Tableau1[[#This Row],[Cost (€/GJ)]]/1000*3.6</f>
        <v>1.7151758541375045E-2</v>
      </c>
      <c r="H181">
        <v>3.86607608129234</v>
      </c>
      <c r="I181">
        <f>Tableau1[[#This Row],[GHG (kgCO2eq/GJ)]]/1000*3.6</f>
        <v>1.3917873892652425E-2</v>
      </c>
      <c r="J181" t="s">
        <v>104</v>
      </c>
      <c r="K181" t="s">
        <v>108</v>
      </c>
    </row>
    <row r="182" spans="1:11" hidden="1" x14ac:dyDescent="0.3">
      <c r="A182" t="s">
        <v>15</v>
      </c>
      <c r="B182" t="s">
        <v>49</v>
      </c>
      <c r="C182" t="s">
        <v>72</v>
      </c>
      <c r="D182">
        <v>4.7</v>
      </c>
      <c r="E182">
        <f>Tableau1[[#This Row],[Potential (PJ)]]/3.6*1000</f>
        <v>1305.5555555555557</v>
      </c>
      <c r="F182">
        <v>3.819914893617022</v>
      </c>
      <c r="G182">
        <f>Tableau1[[#This Row],[Cost (€/GJ)]]/1000*3.6</f>
        <v>1.375169361702128E-2</v>
      </c>
      <c r="H182">
        <v>3.86607608129234</v>
      </c>
      <c r="I182">
        <f>Tableau1[[#This Row],[GHG (kgCO2eq/GJ)]]/1000*3.6</f>
        <v>1.3917873892652425E-2</v>
      </c>
      <c r="J182" t="s">
        <v>104</v>
      </c>
      <c r="K182" t="s">
        <v>108</v>
      </c>
    </row>
    <row r="183" spans="1:11" hidden="1" x14ac:dyDescent="0.3">
      <c r="A183" t="s">
        <v>15</v>
      </c>
      <c r="B183" t="s">
        <v>58</v>
      </c>
      <c r="C183" t="s">
        <v>95</v>
      </c>
      <c r="D183">
        <v>3.34802</v>
      </c>
      <c r="E183">
        <f>Tableau1[[#This Row],[Potential (PJ)]]/3.6*1000</f>
        <v>930.00555555555547</v>
      </c>
      <c r="F183">
        <v>2.623656256533712</v>
      </c>
      <c r="G183">
        <f>Tableau1[[#This Row],[Cost (€/GJ)]]/1000*3.6</f>
        <v>9.4451625235213634E-3</v>
      </c>
      <c r="H183">
        <v>2.9521711768407801</v>
      </c>
      <c r="I183">
        <f>Tableau1[[#This Row],[GHG (kgCO2eq/GJ)]]/1000*3.6</f>
        <v>1.0627816236626808E-2</v>
      </c>
      <c r="J183" t="s">
        <v>104</v>
      </c>
      <c r="K183" t="s">
        <v>108</v>
      </c>
    </row>
    <row r="184" spans="1:11" hidden="1" x14ac:dyDescent="0.3">
      <c r="A184" t="s">
        <v>15</v>
      </c>
      <c r="B184" t="s">
        <v>50</v>
      </c>
      <c r="C184" t="s">
        <v>73</v>
      </c>
      <c r="D184">
        <v>18.399999999999999</v>
      </c>
      <c r="E184">
        <f>Tableau1[[#This Row],[Potential (PJ)]]/3.6*1000</f>
        <v>5111.1111111111104</v>
      </c>
      <c r="F184">
        <v>5.6635108695652177</v>
      </c>
      <c r="G184">
        <f>Tableau1[[#This Row],[Cost (€/GJ)]]/1000*3.6</f>
        <v>2.0388639130434785E-2</v>
      </c>
      <c r="H184">
        <v>20.723404255319149</v>
      </c>
      <c r="I184">
        <f>Tableau1[[#This Row],[GHG (kgCO2eq/GJ)]]/1000*3.6</f>
        <v>7.4604255319148938E-2</v>
      </c>
      <c r="J184" t="s">
        <v>105</v>
      </c>
      <c r="K184" t="s">
        <v>108</v>
      </c>
    </row>
    <row r="185" spans="1:11" hidden="1" x14ac:dyDescent="0.3">
      <c r="A185" t="s">
        <v>15</v>
      </c>
      <c r="B185" t="s">
        <v>50</v>
      </c>
      <c r="C185" t="s">
        <v>74</v>
      </c>
      <c r="D185">
        <v>27.4</v>
      </c>
      <c r="E185">
        <f>Tableau1[[#This Row],[Potential (PJ)]]/3.6*1000</f>
        <v>7611.1111111111104</v>
      </c>
      <c r="F185">
        <v>6.4772116788321163</v>
      </c>
      <c r="G185">
        <f>Tableau1[[#This Row],[Cost (€/GJ)]]/1000*3.6</f>
        <v>2.3317962043795621E-2</v>
      </c>
      <c r="H185">
        <v>2.0635593220338988</v>
      </c>
      <c r="I185">
        <f>Tableau1[[#This Row],[GHG (kgCO2eq/GJ)]]/1000*3.6</f>
        <v>7.4288135593220351E-3</v>
      </c>
      <c r="J185" t="s">
        <v>105</v>
      </c>
      <c r="K185" t="s">
        <v>108</v>
      </c>
    </row>
    <row r="186" spans="1:11" hidden="1" x14ac:dyDescent="0.3">
      <c r="A186" t="s">
        <v>15</v>
      </c>
      <c r="B186" t="s">
        <v>51</v>
      </c>
      <c r="C186" t="s">
        <v>75</v>
      </c>
      <c r="D186">
        <v>76.357590000000002</v>
      </c>
      <c r="E186">
        <f>Tableau1[[#This Row],[Potential (PJ)]]/3.6*1000</f>
        <v>21210.441666666669</v>
      </c>
      <c r="F186">
        <v>5.3936652779759599E-2</v>
      </c>
      <c r="G186">
        <f>Tableau1[[#This Row],[Cost (€/GJ)]]/1000*3.6</f>
        <v>1.9417195000713457E-4</v>
      </c>
      <c r="H186">
        <v>11.74</v>
      </c>
      <c r="I186">
        <f>Tableau1[[#This Row],[GHG (kgCO2eq/GJ)]]/1000*3.6</f>
        <v>4.2264000000000003E-2</v>
      </c>
      <c r="J186" t="s">
        <v>104</v>
      </c>
      <c r="K186" t="s">
        <v>108</v>
      </c>
    </row>
    <row r="187" spans="1:11" hidden="1" x14ac:dyDescent="0.3">
      <c r="A187" t="s">
        <v>15</v>
      </c>
      <c r="B187" t="s">
        <v>60</v>
      </c>
      <c r="C187" t="s">
        <v>98</v>
      </c>
      <c r="D187">
        <v>93.683350000000004</v>
      </c>
      <c r="E187">
        <f>Tableau1[[#This Row],[Potential (PJ)]]/3.6*1000</f>
        <v>26023.152777777777</v>
      </c>
      <c r="F187">
        <v>18.259935553168631</v>
      </c>
      <c r="G187">
        <f>Tableau1[[#This Row],[Cost (€/GJ)]]/1000*3.6</f>
        <v>6.5735767991407068E-2</v>
      </c>
      <c r="H187">
        <v>19.399999999999999</v>
      </c>
      <c r="I187">
        <f>Tableau1[[#This Row],[GHG (kgCO2eq/GJ)]]/1000*3.6</f>
        <v>6.9839999999999985E-2</v>
      </c>
      <c r="J187" t="s">
        <v>107</v>
      </c>
      <c r="K187" t="s">
        <v>109</v>
      </c>
    </row>
    <row r="188" spans="1:11" hidden="1" x14ac:dyDescent="0.3">
      <c r="A188" t="s">
        <v>15</v>
      </c>
      <c r="B188" t="s">
        <v>52</v>
      </c>
      <c r="C188" t="s">
        <v>76</v>
      </c>
      <c r="D188">
        <v>6.2220000000000004</v>
      </c>
      <c r="E188">
        <f>Tableau1[[#This Row],[Potential (PJ)]]/3.6*1000</f>
        <v>1728.3333333333335</v>
      </c>
      <c r="F188">
        <v>6.1837425000000001</v>
      </c>
      <c r="G188">
        <f>Tableau1[[#This Row],[Cost (€/GJ)]]/1000*3.6</f>
        <v>2.2261473000000004E-2</v>
      </c>
      <c r="H188">
        <v>12.68872359754714</v>
      </c>
      <c r="I188">
        <f>Tableau1[[#This Row],[GHG (kgCO2eq/GJ)]]/1000*3.6</f>
        <v>4.5679404951169705E-2</v>
      </c>
      <c r="J188" t="s">
        <v>105</v>
      </c>
      <c r="K188" t="s">
        <v>108</v>
      </c>
    </row>
    <row r="189" spans="1:11" hidden="1" x14ac:dyDescent="0.3">
      <c r="A189" t="s">
        <v>15</v>
      </c>
      <c r="B189" t="s">
        <v>53</v>
      </c>
      <c r="C189" t="s">
        <v>77</v>
      </c>
      <c r="D189">
        <v>18.420649999999998</v>
      </c>
      <c r="E189">
        <f>Tableau1[[#This Row],[Potential (PJ)]]/3.6*1000</f>
        <v>5116.8472222222217</v>
      </c>
      <c r="F189">
        <v>3.8197631049935801</v>
      </c>
      <c r="G189">
        <f>Tableau1[[#This Row],[Cost (€/GJ)]]/1000*3.6</f>
        <v>1.3751147177976888E-2</v>
      </c>
      <c r="H189">
        <v>3.86607608129234</v>
      </c>
      <c r="I189">
        <f>Tableau1[[#This Row],[GHG (kgCO2eq/GJ)]]/1000*3.6</f>
        <v>1.3917873892652425E-2</v>
      </c>
      <c r="J189" t="s">
        <v>104</v>
      </c>
      <c r="K189" t="s">
        <v>108</v>
      </c>
    </row>
    <row r="190" spans="1:11" hidden="1" x14ac:dyDescent="0.3">
      <c r="A190" t="s">
        <v>15</v>
      </c>
      <c r="B190" t="s">
        <v>61</v>
      </c>
      <c r="C190" t="s">
        <v>99</v>
      </c>
      <c r="D190">
        <v>10.4</v>
      </c>
      <c r="E190">
        <f>Tableau1[[#This Row],[Potential (PJ)]]/3.6*1000</f>
        <v>2888.8888888888887</v>
      </c>
      <c r="F190">
        <v>1.977740384615384</v>
      </c>
      <c r="G190">
        <f>Tableau1[[#This Row],[Cost (€/GJ)]]/1000*3.6</f>
        <v>7.1198653846153833E-3</v>
      </c>
      <c r="H190">
        <v>2.9245635910224439</v>
      </c>
      <c r="I190">
        <f>Tableau1[[#This Row],[GHG (kgCO2eq/GJ)]]/1000*3.6</f>
        <v>1.0528428927680798E-2</v>
      </c>
      <c r="J190" t="s">
        <v>104</v>
      </c>
      <c r="K190" t="s">
        <v>108</v>
      </c>
    </row>
    <row r="191" spans="1:11" hidden="1" x14ac:dyDescent="0.3">
      <c r="A191" t="s">
        <v>15</v>
      </c>
      <c r="B191" t="s">
        <v>62</v>
      </c>
      <c r="C191" t="s">
        <v>100</v>
      </c>
      <c r="D191">
        <v>2.8</v>
      </c>
      <c r="E191">
        <f>Tableau1[[#This Row],[Potential (PJ)]]/3.6*1000</f>
        <v>777.77777777777771</v>
      </c>
      <c r="F191">
        <v>8.9285714285714302E-2</v>
      </c>
      <c r="G191">
        <f>Tableau1[[#This Row],[Cost (€/GJ)]]/1000*3.6</f>
        <v>3.2142857142857147E-4</v>
      </c>
      <c r="H191">
        <v>2.6764106050305911</v>
      </c>
      <c r="I191">
        <f>Tableau1[[#This Row],[GHG (kgCO2eq/GJ)]]/1000*3.6</f>
        <v>9.6350781781101291E-3</v>
      </c>
      <c r="J191" t="s">
        <v>104</v>
      </c>
      <c r="K191" t="s">
        <v>108</v>
      </c>
    </row>
    <row r="192" spans="1:11" hidden="1" x14ac:dyDescent="0.3">
      <c r="A192" t="s">
        <v>15</v>
      </c>
      <c r="B192" t="s">
        <v>54</v>
      </c>
      <c r="C192" t="s">
        <v>78</v>
      </c>
      <c r="D192">
        <v>290</v>
      </c>
      <c r="E192">
        <f>Tableau1[[#This Row],[Potential (PJ)]]/3.6*1000</f>
        <v>80555.555555555562</v>
      </c>
      <c r="F192">
        <v>7.4677996551724144</v>
      </c>
      <c r="G192">
        <f>Tableau1[[#This Row],[Cost (€/GJ)]]/1000*3.6</f>
        <v>2.6884078758620693E-2</v>
      </c>
      <c r="H192">
        <v>3.86607608129234</v>
      </c>
      <c r="I192">
        <f>Tableau1[[#This Row],[GHG (kgCO2eq/GJ)]]/1000*3.6</f>
        <v>1.3917873892652425E-2</v>
      </c>
      <c r="J192" t="s">
        <v>104</v>
      </c>
      <c r="K192" t="s">
        <v>108</v>
      </c>
    </row>
    <row r="193" spans="1:11" hidden="1" x14ac:dyDescent="0.3">
      <c r="A193" t="s">
        <v>16</v>
      </c>
      <c r="B193" t="s">
        <v>46</v>
      </c>
      <c r="C193" t="s">
        <v>64</v>
      </c>
      <c r="D193">
        <v>2.4599999999999999E-3</v>
      </c>
      <c r="E193">
        <f>Tableau1[[#This Row],[Potential (PJ)]]/3.6*1000</f>
        <v>0.68333333333333335</v>
      </c>
      <c r="F193">
        <v>5.3040487804878049</v>
      </c>
      <c r="G193">
        <f>Tableau1[[#This Row],[Cost (€/GJ)]]/1000*3.6</f>
        <v>1.9094575609756099E-2</v>
      </c>
      <c r="H193">
        <v>2.9521711768407801</v>
      </c>
      <c r="I193">
        <f>Tableau1[[#This Row],[GHG (kgCO2eq/GJ)]]/1000*3.6</f>
        <v>1.0627816236626808E-2</v>
      </c>
      <c r="J193" t="s">
        <v>104</v>
      </c>
      <c r="K193" t="s">
        <v>108</v>
      </c>
    </row>
    <row r="194" spans="1:11" hidden="1" x14ac:dyDescent="0.3">
      <c r="A194" t="s">
        <v>16</v>
      </c>
      <c r="B194" t="s">
        <v>46</v>
      </c>
      <c r="C194" t="s">
        <v>79</v>
      </c>
      <c r="D194">
        <v>7.6999999999999993</v>
      </c>
      <c r="E194">
        <f>Tableau1[[#This Row],[Potential (PJ)]]/3.6*1000</f>
        <v>2138.8888888888887</v>
      </c>
      <c r="F194">
        <v>4.2991948051948059</v>
      </c>
      <c r="G194">
        <f>Tableau1[[#This Row],[Cost (€/GJ)]]/1000*3.6</f>
        <v>1.5477101298701302E-2</v>
      </c>
      <c r="H194">
        <v>6.8428961748633883</v>
      </c>
      <c r="I194">
        <f>Tableau1[[#This Row],[GHG (kgCO2eq/GJ)]]/1000*3.6</f>
        <v>2.4634426229508198E-2</v>
      </c>
      <c r="J194" t="s">
        <v>104</v>
      </c>
      <c r="K194" t="s">
        <v>108</v>
      </c>
    </row>
    <row r="195" spans="1:11" hidden="1" x14ac:dyDescent="0.3">
      <c r="A195" t="s">
        <v>16</v>
      </c>
      <c r="B195" t="s">
        <v>46</v>
      </c>
      <c r="C195" t="s">
        <v>80</v>
      </c>
      <c r="D195">
        <v>0.1628</v>
      </c>
      <c r="E195">
        <f>Tableau1[[#This Row],[Potential (PJ)]]/3.6*1000</f>
        <v>45.222222222222221</v>
      </c>
      <c r="F195">
        <v>0.58125421443020897</v>
      </c>
      <c r="G195">
        <f>Tableau1[[#This Row],[Cost (€/GJ)]]/1000*3.6</f>
        <v>2.0925151719487522E-3</v>
      </c>
      <c r="H195">
        <v>28.139870918023309</v>
      </c>
      <c r="I195">
        <f>Tableau1[[#This Row],[GHG (kgCO2eq/GJ)]]/1000*3.6</f>
        <v>0.10130353530488391</v>
      </c>
      <c r="J195" t="s">
        <v>105</v>
      </c>
      <c r="K195" t="s">
        <v>108</v>
      </c>
    </row>
    <row r="196" spans="1:11" hidden="1" x14ac:dyDescent="0.3">
      <c r="A196" t="s">
        <v>16</v>
      </c>
      <c r="B196" t="s">
        <v>46</v>
      </c>
      <c r="C196" t="s">
        <v>81</v>
      </c>
      <c r="D196">
        <v>1.7349000000000001</v>
      </c>
      <c r="E196">
        <f>Tableau1[[#This Row],[Potential (PJ)]]/3.6*1000</f>
        <v>481.91666666666669</v>
      </c>
      <c r="F196">
        <v>1.7121034077555819</v>
      </c>
      <c r="G196">
        <f>Tableau1[[#This Row],[Cost (€/GJ)]]/1000*3.6</f>
        <v>6.1635722679200949E-3</v>
      </c>
      <c r="H196">
        <v>8.9647473560517046</v>
      </c>
      <c r="I196">
        <f>Tableau1[[#This Row],[GHG (kgCO2eq/GJ)]]/1000*3.6</f>
        <v>3.2273090481786136E-2</v>
      </c>
      <c r="J196" t="s">
        <v>105</v>
      </c>
      <c r="K196" t="s">
        <v>108</v>
      </c>
    </row>
    <row r="197" spans="1:11" hidden="1" x14ac:dyDescent="0.3">
      <c r="A197" t="s">
        <v>16</v>
      </c>
      <c r="B197" t="s">
        <v>55</v>
      </c>
      <c r="C197" t="s">
        <v>86</v>
      </c>
      <c r="D197">
        <v>1.0725</v>
      </c>
      <c r="E197">
        <f>Tableau1[[#This Row],[Potential (PJ)]]/3.6*1000</f>
        <v>297.91666666666669</v>
      </c>
      <c r="F197">
        <v>18.36</v>
      </c>
      <c r="G197">
        <f>Tableau1[[#This Row],[Cost (€/GJ)]]/1000*3.6</f>
        <v>6.6095999999999988E-2</v>
      </c>
      <c r="H197">
        <v>22.2</v>
      </c>
      <c r="I197">
        <f>Tableau1[[#This Row],[GHG (kgCO2eq/GJ)]]/1000*3.6</f>
        <v>7.9920000000000005E-2</v>
      </c>
      <c r="J197" t="s">
        <v>106</v>
      </c>
      <c r="K197" t="s">
        <v>109</v>
      </c>
    </row>
    <row r="198" spans="1:11" hidden="1" x14ac:dyDescent="0.3">
      <c r="A198" t="s">
        <v>16</v>
      </c>
      <c r="B198" t="s">
        <v>55</v>
      </c>
      <c r="C198" t="s">
        <v>91</v>
      </c>
      <c r="D198">
        <v>3.3999999999999998E-3</v>
      </c>
      <c r="E198">
        <f>Tableau1[[#This Row],[Potential (PJ)]]/3.6*1000</f>
        <v>0.94444444444444442</v>
      </c>
      <c r="F198">
        <v>15.871</v>
      </c>
      <c r="G198">
        <f>Tableau1[[#This Row],[Cost (€/GJ)]]/1000*3.6</f>
        <v>5.7135600000000002E-2</v>
      </c>
      <c r="H198">
        <v>22.2</v>
      </c>
      <c r="I198">
        <f>Tableau1[[#This Row],[GHG (kgCO2eq/GJ)]]/1000*3.6</f>
        <v>7.9920000000000005E-2</v>
      </c>
      <c r="J198" t="s">
        <v>106</v>
      </c>
      <c r="K198" t="s">
        <v>109</v>
      </c>
    </row>
    <row r="199" spans="1:11" hidden="1" x14ac:dyDescent="0.3">
      <c r="A199" t="s">
        <v>16</v>
      </c>
      <c r="B199" t="s">
        <v>55</v>
      </c>
      <c r="C199" t="s">
        <v>92</v>
      </c>
      <c r="D199">
        <v>0.64588000000000001</v>
      </c>
      <c r="E199">
        <f>Tableau1[[#This Row],[Potential (PJ)]]/3.6*1000</f>
        <v>179.4111111111111</v>
      </c>
      <c r="F199">
        <v>17.760000000000002</v>
      </c>
      <c r="G199">
        <f>Tableau1[[#This Row],[Cost (€/GJ)]]/1000*3.6</f>
        <v>6.3936000000000007E-2</v>
      </c>
      <c r="H199">
        <v>22.2</v>
      </c>
      <c r="I199">
        <f>Tableau1[[#This Row],[GHG (kgCO2eq/GJ)]]/1000*3.6</f>
        <v>7.9920000000000005E-2</v>
      </c>
      <c r="J199" t="s">
        <v>106</v>
      </c>
      <c r="K199" t="s">
        <v>109</v>
      </c>
    </row>
    <row r="200" spans="1:11" hidden="1" x14ac:dyDescent="0.3">
      <c r="A200" t="s">
        <v>16</v>
      </c>
      <c r="B200" t="s">
        <v>56</v>
      </c>
      <c r="C200" t="s">
        <v>93</v>
      </c>
      <c r="D200">
        <v>2.6991000000000001</v>
      </c>
      <c r="E200">
        <f>Tableau1[[#This Row],[Potential (PJ)]]/3.6*1000</f>
        <v>749.75</v>
      </c>
      <c r="F200">
        <v>4.3084337349397588</v>
      </c>
      <c r="G200">
        <f>Tableau1[[#This Row],[Cost (€/GJ)]]/1000*3.6</f>
        <v>1.5510361445783131E-2</v>
      </c>
      <c r="H200">
        <v>29.8</v>
      </c>
      <c r="I200">
        <f>Tableau1[[#This Row],[GHG (kgCO2eq/GJ)]]/1000*3.6</f>
        <v>0.10728</v>
      </c>
      <c r="J200" t="s">
        <v>106</v>
      </c>
      <c r="K200" t="s">
        <v>109</v>
      </c>
    </row>
    <row r="201" spans="1:11" hidden="1" x14ac:dyDescent="0.3">
      <c r="A201" t="s">
        <v>16</v>
      </c>
      <c r="B201" t="s">
        <v>49</v>
      </c>
      <c r="C201" t="s">
        <v>71</v>
      </c>
      <c r="D201">
        <v>3.7393200000000002</v>
      </c>
      <c r="E201">
        <f>Tableau1[[#This Row],[Potential (PJ)]]/3.6*1000</f>
        <v>1038.7</v>
      </c>
      <c r="F201">
        <v>4.1204238364194561</v>
      </c>
      <c r="G201">
        <f>Tableau1[[#This Row],[Cost (€/GJ)]]/1000*3.6</f>
        <v>1.4833525811110042E-2</v>
      </c>
      <c r="H201">
        <v>3.86607608129234</v>
      </c>
      <c r="I201">
        <f>Tableau1[[#This Row],[GHG (kgCO2eq/GJ)]]/1000*3.6</f>
        <v>1.3917873892652425E-2</v>
      </c>
      <c r="J201" t="s">
        <v>104</v>
      </c>
      <c r="K201" t="s">
        <v>108</v>
      </c>
    </row>
    <row r="202" spans="1:11" hidden="1" x14ac:dyDescent="0.3">
      <c r="A202" t="s">
        <v>16</v>
      </c>
      <c r="B202" t="s">
        <v>49</v>
      </c>
      <c r="C202" t="s">
        <v>72</v>
      </c>
      <c r="D202">
        <v>1</v>
      </c>
      <c r="E202">
        <f>Tableau1[[#This Row],[Potential (PJ)]]/3.6*1000</f>
        <v>277.77777777777777</v>
      </c>
      <c r="F202">
        <v>3.3142999999999998</v>
      </c>
      <c r="G202">
        <f>Tableau1[[#This Row],[Cost (€/GJ)]]/1000*3.6</f>
        <v>1.193148E-2</v>
      </c>
      <c r="H202">
        <v>3.86607608129234</v>
      </c>
      <c r="I202">
        <f>Tableau1[[#This Row],[GHG (kgCO2eq/GJ)]]/1000*3.6</f>
        <v>1.3917873892652425E-2</v>
      </c>
      <c r="J202" t="s">
        <v>104</v>
      </c>
      <c r="K202" t="s">
        <v>108</v>
      </c>
    </row>
    <row r="203" spans="1:11" hidden="1" x14ac:dyDescent="0.3">
      <c r="A203" t="s">
        <v>16</v>
      </c>
      <c r="B203" t="s">
        <v>58</v>
      </c>
      <c r="C203" t="s">
        <v>95</v>
      </c>
      <c r="D203">
        <v>0.74134999999999995</v>
      </c>
      <c r="E203">
        <f>Tableau1[[#This Row],[Potential (PJ)]]/3.6*1000</f>
        <v>205.93055555555554</v>
      </c>
      <c r="F203">
        <v>2.6909999999999998</v>
      </c>
      <c r="G203">
        <f>Tableau1[[#This Row],[Cost (€/GJ)]]/1000*3.6</f>
        <v>9.6875999999999993E-3</v>
      </c>
      <c r="H203">
        <v>2.9521711768407801</v>
      </c>
      <c r="I203">
        <f>Tableau1[[#This Row],[GHG (kgCO2eq/GJ)]]/1000*3.6</f>
        <v>1.0627816236626808E-2</v>
      </c>
      <c r="J203" t="s">
        <v>104</v>
      </c>
      <c r="K203" t="s">
        <v>108</v>
      </c>
    </row>
    <row r="204" spans="1:11" hidden="1" x14ac:dyDescent="0.3">
      <c r="A204" t="s">
        <v>16</v>
      </c>
      <c r="B204" t="s">
        <v>50</v>
      </c>
      <c r="C204" t="s">
        <v>73</v>
      </c>
      <c r="D204">
        <v>12.6</v>
      </c>
      <c r="E204">
        <f>Tableau1[[#This Row],[Potential (PJ)]]/3.6*1000</f>
        <v>3500</v>
      </c>
      <c r="F204">
        <v>6.6304365079365084</v>
      </c>
      <c r="G204">
        <f>Tableau1[[#This Row],[Cost (€/GJ)]]/1000*3.6</f>
        <v>2.3869571428571431E-2</v>
      </c>
      <c r="H204">
        <v>20.723404255319149</v>
      </c>
      <c r="I204">
        <f>Tableau1[[#This Row],[GHG (kgCO2eq/GJ)]]/1000*3.6</f>
        <v>7.4604255319148938E-2</v>
      </c>
      <c r="J204" t="s">
        <v>105</v>
      </c>
      <c r="K204" t="s">
        <v>108</v>
      </c>
    </row>
    <row r="205" spans="1:11" hidden="1" x14ac:dyDescent="0.3">
      <c r="A205" t="s">
        <v>16</v>
      </c>
      <c r="B205" t="s">
        <v>50</v>
      </c>
      <c r="C205" t="s">
        <v>74</v>
      </c>
      <c r="D205">
        <v>18.8</v>
      </c>
      <c r="E205">
        <f>Tableau1[[#This Row],[Potential (PJ)]]/3.6*1000</f>
        <v>5222.2222222222226</v>
      </c>
      <c r="F205">
        <v>7.2406914893617031</v>
      </c>
      <c r="G205">
        <f>Tableau1[[#This Row],[Cost (€/GJ)]]/1000*3.6</f>
        <v>2.6066489361702132E-2</v>
      </c>
      <c r="H205">
        <v>2.0635593220338988</v>
      </c>
      <c r="I205">
        <f>Tableau1[[#This Row],[GHG (kgCO2eq/GJ)]]/1000*3.6</f>
        <v>7.4288135593220351E-3</v>
      </c>
      <c r="J205" t="s">
        <v>105</v>
      </c>
      <c r="K205" t="s">
        <v>108</v>
      </c>
    </row>
    <row r="206" spans="1:11" hidden="1" x14ac:dyDescent="0.3">
      <c r="A206" t="s">
        <v>16</v>
      </c>
      <c r="B206" t="s">
        <v>51</v>
      </c>
      <c r="C206" t="s">
        <v>75</v>
      </c>
      <c r="D206">
        <v>19.639279999999999</v>
      </c>
      <c r="E206">
        <f>Tableau1[[#This Row],[Potential (PJ)]]/3.6*1000</f>
        <v>5455.3555555555549</v>
      </c>
      <c r="F206">
        <v>2.7633642890676998E-3</v>
      </c>
      <c r="G206">
        <f>Tableau1[[#This Row],[Cost (€/GJ)]]/1000*3.6</f>
        <v>9.948111440643721E-6</v>
      </c>
      <c r="H206">
        <v>11.74</v>
      </c>
      <c r="I206">
        <f>Tableau1[[#This Row],[GHG (kgCO2eq/GJ)]]/1000*3.6</f>
        <v>4.2264000000000003E-2</v>
      </c>
      <c r="J206" t="s">
        <v>104</v>
      </c>
      <c r="K206" t="s">
        <v>108</v>
      </c>
    </row>
    <row r="207" spans="1:11" hidden="1" x14ac:dyDescent="0.3">
      <c r="A207" t="s">
        <v>16</v>
      </c>
      <c r="B207" t="s">
        <v>60</v>
      </c>
      <c r="C207" t="s">
        <v>98</v>
      </c>
      <c r="D207">
        <v>7.1599999999999997E-3</v>
      </c>
      <c r="E207">
        <f>Tableau1[[#This Row],[Potential (PJ)]]/3.6*1000</f>
        <v>1.9888888888888885</v>
      </c>
      <c r="F207">
        <v>18.421052631578949</v>
      </c>
      <c r="G207">
        <f>Tableau1[[#This Row],[Cost (€/GJ)]]/1000*3.6</f>
        <v>6.6315789473684217E-2</v>
      </c>
      <c r="H207">
        <v>32.6</v>
      </c>
      <c r="I207">
        <f>Tableau1[[#This Row],[GHG (kgCO2eq/GJ)]]/1000*3.6</f>
        <v>0.11736000000000002</v>
      </c>
      <c r="J207" t="s">
        <v>107</v>
      </c>
      <c r="K207" t="s">
        <v>109</v>
      </c>
    </row>
    <row r="208" spans="1:11" hidden="1" x14ac:dyDescent="0.3">
      <c r="A208" t="s">
        <v>16</v>
      </c>
      <c r="B208" t="s">
        <v>52</v>
      </c>
      <c r="C208" t="s">
        <v>76</v>
      </c>
      <c r="D208">
        <v>0.20399999999999999</v>
      </c>
      <c r="E208">
        <f>Tableau1[[#This Row],[Potential (PJ)]]/3.6*1000</f>
        <v>56.666666666666664</v>
      </c>
      <c r="F208">
        <v>6.1837425000000001</v>
      </c>
      <c r="G208">
        <f>Tableau1[[#This Row],[Cost (€/GJ)]]/1000*3.6</f>
        <v>2.2261473000000004E-2</v>
      </c>
      <c r="H208">
        <v>12.68872359754714</v>
      </c>
      <c r="I208">
        <f>Tableau1[[#This Row],[GHG (kgCO2eq/GJ)]]/1000*3.6</f>
        <v>4.5679404951169705E-2</v>
      </c>
      <c r="J208" t="s">
        <v>105</v>
      </c>
      <c r="K208" t="s">
        <v>108</v>
      </c>
    </row>
    <row r="209" spans="1:11" hidden="1" x14ac:dyDescent="0.3">
      <c r="A209" t="s">
        <v>16</v>
      </c>
      <c r="B209" t="s">
        <v>53</v>
      </c>
      <c r="C209" t="s">
        <v>77</v>
      </c>
      <c r="D209">
        <v>3.3347099999999998</v>
      </c>
      <c r="E209">
        <f>Tableau1[[#This Row],[Potential (PJ)]]/3.6*1000</f>
        <v>926.30833333333328</v>
      </c>
      <c r="F209">
        <v>3.3153336691946231</v>
      </c>
      <c r="G209">
        <f>Tableau1[[#This Row],[Cost (€/GJ)]]/1000*3.6</f>
        <v>1.1935201209100642E-2</v>
      </c>
      <c r="H209">
        <v>3.86607608129234</v>
      </c>
      <c r="I209">
        <f>Tableau1[[#This Row],[GHG (kgCO2eq/GJ)]]/1000*3.6</f>
        <v>1.3917873892652425E-2</v>
      </c>
      <c r="J209" t="s">
        <v>104</v>
      </c>
      <c r="K209" t="s">
        <v>108</v>
      </c>
    </row>
    <row r="210" spans="1:11" hidden="1" x14ac:dyDescent="0.3">
      <c r="A210" t="s">
        <v>16</v>
      </c>
      <c r="B210" t="s">
        <v>61</v>
      </c>
      <c r="C210" t="s">
        <v>99</v>
      </c>
      <c r="D210">
        <v>0.1</v>
      </c>
      <c r="E210">
        <f>Tableau1[[#This Row],[Potential (PJ)]]/3.6*1000</f>
        <v>27.777777777777779</v>
      </c>
      <c r="F210">
        <v>2.008</v>
      </c>
      <c r="G210">
        <f>Tableau1[[#This Row],[Cost (€/GJ)]]/1000*3.6</f>
        <v>7.2287999999999996E-3</v>
      </c>
      <c r="H210">
        <v>2.9245635910224439</v>
      </c>
      <c r="I210">
        <f>Tableau1[[#This Row],[GHG (kgCO2eq/GJ)]]/1000*3.6</f>
        <v>1.0528428927680798E-2</v>
      </c>
      <c r="J210" t="s">
        <v>104</v>
      </c>
      <c r="K210" t="s">
        <v>108</v>
      </c>
    </row>
    <row r="211" spans="1:11" hidden="1" x14ac:dyDescent="0.3">
      <c r="A211" t="s">
        <v>16</v>
      </c>
      <c r="B211" t="s">
        <v>54</v>
      </c>
      <c r="C211" t="s">
        <v>78</v>
      </c>
      <c r="D211">
        <v>13</v>
      </c>
      <c r="E211">
        <f>Tableau1[[#This Row],[Potential (PJ)]]/3.6*1000</f>
        <v>3611.1111111111113</v>
      </c>
      <c r="F211">
        <v>6.3090846153846156</v>
      </c>
      <c r="G211">
        <f>Tableau1[[#This Row],[Cost (€/GJ)]]/1000*3.6</f>
        <v>2.2712704615384618E-2</v>
      </c>
      <c r="H211">
        <v>3.86607608129234</v>
      </c>
      <c r="I211">
        <f>Tableau1[[#This Row],[GHG (kgCO2eq/GJ)]]/1000*3.6</f>
        <v>1.3917873892652425E-2</v>
      </c>
      <c r="J211" t="s">
        <v>104</v>
      </c>
      <c r="K211" t="s">
        <v>108</v>
      </c>
    </row>
    <row r="212" spans="1:11" hidden="1" x14ac:dyDescent="0.3">
      <c r="A212" t="s">
        <v>17</v>
      </c>
      <c r="B212" t="s">
        <v>46</v>
      </c>
      <c r="C212" t="s">
        <v>64</v>
      </c>
      <c r="D212">
        <v>4.2999999999999999E-4</v>
      </c>
      <c r="E212">
        <f>Tableau1[[#This Row],[Potential (PJ)]]/3.6*1000</f>
        <v>0.11944444444444444</v>
      </c>
      <c r="F212">
        <v>5.2389999999999999</v>
      </c>
      <c r="G212">
        <f>Tableau1[[#This Row],[Cost (€/GJ)]]/1000*3.6</f>
        <v>1.8860399999999999E-2</v>
      </c>
      <c r="H212">
        <v>2.9521711768407801</v>
      </c>
      <c r="I212">
        <f>Tableau1[[#This Row],[GHG (kgCO2eq/GJ)]]/1000*3.6</f>
        <v>1.0627816236626808E-2</v>
      </c>
      <c r="J212" t="s">
        <v>104</v>
      </c>
      <c r="K212" t="s">
        <v>108</v>
      </c>
    </row>
    <row r="213" spans="1:11" hidden="1" x14ac:dyDescent="0.3">
      <c r="A213" t="s">
        <v>17</v>
      </c>
      <c r="B213" t="s">
        <v>46</v>
      </c>
      <c r="C213" t="s">
        <v>79</v>
      </c>
      <c r="D213">
        <v>3.7</v>
      </c>
      <c r="E213">
        <f>Tableau1[[#This Row],[Potential (PJ)]]/3.6*1000</f>
        <v>1027.7777777777778</v>
      </c>
      <c r="F213">
        <v>2.427</v>
      </c>
      <c r="G213">
        <f>Tableau1[[#This Row],[Cost (€/GJ)]]/1000*3.6</f>
        <v>8.7372000000000005E-3</v>
      </c>
      <c r="H213">
        <v>6.8428961748633883</v>
      </c>
      <c r="I213">
        <f>Tableau1[[#This Row],[GHG (kgCO2eq/GJ)]]/1000*3.6</f>
        <v>2.4634426229508198E-2</v>
      </c>
      <c r="J213" t="s">
        <v>104</v>
      </c>
      <c r="K213" t="s">
        <v>108</v>
      </c>
    </row>
    <row r="214" spans="1:11" hidden="1" x14ac:dyDescent="0.3">
      <c r="A214" t="s">
        <v>17</v>
      </c>
      <c r="B214" t="s">
        <v>46</v>
      </c>
      <c r="C214" t="s">
        <v>80</v>
      </c>
      <c r="D214">
        <v>2.5499999999999998E-2</v>
      </c>
      <c r="E214">
        <f>Tableau1[[#This Row],[Potential (PJ)]]/3.6*1000</f>
        <v>7.083333333333333</v>
      </c>
      <c r="F214">
        <v>0.28186109238031021</v>
      </c>
      <c r="G214">
        <f>Tableau1[[#This Row],[Cost (€/GJ)]]/1000*3.6</f>
        <v>1.0146999325691167E-3</v>
      </c>
      <c r="H214">
        <v>28.139870918023309</v>
      </c>
      <c r="I214">
        <f>Tableau1[[#This Row],[GHG (kgCO2eq/GJ)]]/1000*3.6</f>
        <v>0.10130353530488391</v>
      </c>
      <c r="J214" t="s">
        <v>105</v>
      </c>
      <c r="K214" t="s">
        <v>108</v>
      </c>
    </row>
    <row r="215" spans="1:11" hidden="1" x14ac:dyDescent="0.3">
      <c r="A215" t="s">
        <v>17</v>
      </c>
      <c r="B215" t="s">
        <v>46</v>
      </c>
      <c r="C215" t="s">
        <v>81</v>
      </c>
      <c r="D215">
        <v>0.39400000000000002</v>
      </c>
      <c r="E215">
        <f>Tableau1[[#This Row],[Potential (PJ)]]/3.6*1000</f>
        <v>109.44444444444444</v>
      </c>
      <c r="F215">
        <v>2.0681551116333732</v>
      </c>
      <c r="G215">
        <f>Tableau1[[#This Row],[Cost (€/GJ)]]/1000*3.6</f>
        <v>7.4453584018801429E-3</v>
      </c>
      <c r="H215">
        <v>8.9647473560517046</v>
      </c>
      <c r="I215">
        <f>Tableau1[[#This Row],[GHG (kgCO2eq/GJ)]]/1000*3.6</f>
        <v>3.2273090481786136E-2</v>
      </c>
      <c r="J215" t="s">
        <v>105</v>
      </c>
      <c r="K215" t="s">
        <v>108</v>
      </c>
    </row>
    <row r="216" spans="1:11" hidden="1" x14ac:dyDescent="0.3">
      <c r="A216" t="s">
        <v>17</v>
      </c>
      <c r="B216" t="s">
        <v>55</v>
      </c>
      <c r="C216" t="s">
        <v>86</v>
      </c>
      <c r="D216">
        <v>4.5873999999999997</v>
      </c>
      <c r="E216">
        <f>Tableau1[[#This Row],[Potential (PJ)]]/3.6*1000</f>
        <v>1274.2777777777776</v>
      </c>
      <c r="F216">
        <v>13.441000000000001</v>
      </c>
      <c r="G216">
        <f>Tableau1[[#This Row],[Cost (€/GJ)]]/1000*3.6</f>
        <v>4.838760000000001E-2</v>
      </c>
      <c r="H216">
        <v>27</v>
      </c>
      <c r="I216">
        <f>Tableau1[[#This Row],[GHG (kgCO2eq/GJ)]]/1000*3.6</f>
        <v>9.7199999999999995E-2</v>
      </c>
      <c r="J216" t="s">
        <v>106</v>
      </c>
      <c r="K216" t="s">
        <v>109</v>
      </c>
    </row>
    <row r="217" spans="1:11" hidden="1" x14ac:dyDescent="0.3">
      <c r="A217" t="s">
        <v>17</v>
      </c>
      <c r="B217" t="s">
        <v>55</v>
      </c>
      <c r="C217" t="s">
        <v>89</v>
      </c>
      <c r="D217">
        <v>1.1900000000000001E-2</v>
      </c>
      <c r="E217">
        <f>Tableau1[[#This Row],[Potential (PJ)]]/3.6*1000</f>
        <v>3.3055555555555554</v>
      </c>
      <c r="F217">
        <v>0</v>
      </c>
      <c r="G217">
        <f>Tableau1[[#This Row],[Cost (€/GJ)]]/1000*3.6</f>
        <v>0</v>
      </c>
      <c r="H217">
        <v>27</v>
      </c>
      <c r="I217">
        <f>Tableau1[[#This Row],[GHG (kgCO2eq/GJ)]]/1000*3.6</f>
        <v>9.7199999999999995E-2</v>
      </c>
      <c r="J217" t="s">
        <v>106</v>
      </c>
      <c r="K217" t="s">
        <v>109</v>
      </c>
    </row>
    <row r="218" spans="1:11" hidden="1" x14ac:dyDescent="0.3">
      <c r="A218" t="s">
        <v>17</v>
      </c>
      <c r="B218" t="s">
        <v>55</v>
      </c>
      <c r="C218" t="s">
        <v>91</v>
      </c>
      <c r="D218">
        <v>4.2643000000000004</v>
      </c>
      <c r="E218">
        <f>Tableau1[[#This Row],[Potential (PJ)]]/3.6*1000</f>
        <v>1184.5277777777778</v>
      </c>
      <c r="F218">
        <v>14.701000000000001</v>
      </c>
      <c r="G218">
        <f>Tableau1[[#This Row],[Cost (€/GJ)]]/1000*3.6</f>
        <v>5.2923600000000001E-2</v>
      </c>
      <c r="H218">
        <v>27</v>
      </c>
      <c r="I218">
        <f>Tableau1[[#This Row],[GHG (kgCO2eq/GJ)]]/1000*3.6</f>
        <v>9.7199999999999995E-2</v>
      </c>
      <c r="J218" t="s">
        <v>106</v>
      </c>
      <c r="K218" t="s">
        <v>109</v>
      </c>
    </row>
    <row r="219" spans="1:11" hidden="1" x14ac:dyDescent="0.3">
      <c r="A219" t="s">
        <v>17</v>
      </c>
      <c r="B219" t="s">
        <v>55</v>
      </c>
      <c r="C219" t="s">
        <v>92</v>
      </c>
      <c r="D219">
        <v>5.2555899999999998</v>
      </c>
      <c r="E219">
        <f>Tableau1[[#This Row],[Potential (PJ)]]/3.6*1000</f>
        <v>1459.8861111111109</v>
      </c>
      <c r="F219">
        <v>15.894</v>
      </c>
      <c r="G219">
        <f>Tableau1[[#This Row],[Cost (€/GJ)]]/1000*3.6</f>
        <v>5.7218399999999996E-2</v>
      </c>
      <c r="H219">
        <v>27</v>
      </c>
      <c r="I219">
        <f>Tableau1[[#This Row],[GHG (kgCO2eq/GJ)]]/1000*3.6</f>
        <v>9.7199999999999995E-2</v>
      </c>
      <c r="J219" t="s">
        <v>106</v>
      </c>
      <c r="K219" t="s">
        <v>109</v>
      </c>
    </row>
    <row r="220" spans="1:11" hidden="1" x14ac:dyDescent="0.3">
      <c r="A220" t="s">
        <v>17</v>
      </c>
      <c r="B220" t="s">
        <v>47</v>
      </c>
      <c r="C220" t="s">
        <v>101</v>
      </c>
      <c r="D220">
        <v>0.9</v>
      </c>
      <c r="E220">
        <f>Tableau1[[#This Row],[Potential (PJ)]]/3.6*1000</f>
        <v>250</v>
      </c>
      <c r="F220">
        <v>3.2829999999999999</v>
      </c>
      <c r="G220">
        <f>Tableau1[[#This Row],[Cost (€/GJ)]]/1000*3.6</f>
        <v>1.1818799999999999E-2</v>
      </c>
      <c r="H220">
        <v>44</v>
      </c>
      <c r="I220">
        <f>Tableau1[[#This Row],[GHG (kgCO2eq/GJ)]]/1000*3.6</f>
        <v>0.15839999999999999</v>
      </c>
      <c r="J220" t="s">
        <v>104</v>
      </c>
      <c r="K220" t="s">
        <v>109</v>
      </c>
    </row>
    <row r="221" spans="1:11" hidden="1" x14ac:dyDescent="0.3">
      <c r="A221" t="s">
        <v>17</v>
      </c>
      <c r="B221" t="s">
        <v>57</v>
      </c>
      <c r="C221" t="s">
        <v>94</v>
      </c>
      <c r="D221">
        <v>0.7</v>
      </c>
      <c r="E221">
        <f>Tableau1[[#This Row],[Potential (PJ)]]/3.6*1000</f>
        <v>194.44444444444443</v>
      </c>
      <c r="F221">
        <v>8.9320000000000004</v>
      </c>
      <c r="G221">
        <f>Tableau1[[#This Row],[Cost (€/GJ)]]/1000*3.6</f>
        <v>3.2155200000000002E-2</v>
      </c>
      <c r="H221">
        <v>19.899999999999999</v>
      </c>
      <c r="I221">
        <f>Tableau1[[#This Row],[GHG (kgCO2eq/GJ)]]/1000*3.6</f>
        <v>7.1639999999999995E-2</v>
      </c>
      <c r="J221" t="s">
        <v>104</v>
      </c>
      <c r="K221" t="s">
        <v>109</v>
      </c>
    </row>
    <row r="222" spans="1:11" hidden="1" x14ac:dyDescent="0.3">
      <c r="A222" t="s">
        <v>17</v>
      </c>
      <c r="B222" t="s">
        <v>49</v>
      </c>
      <c r="C222" t="s">
        <v>71</v>
      </c>
      <c r="D222">
        <v>6.6710000000000003</v>
      </c>
      <c r="E222">
        <f>Tableau1[[#This Row],[Potential (PJ)]]/3.6*1000</f>
        <v>1853.0555555555557</v>
      </c>
      <c r="F222">
        <v>2.4390000000000001</v>
      </c>
      <c r="G222">
        <f>Tableau1[[#This Row],[Cost (€/GJ)]]/1000*3.6</f>
        <v>8.7804000000000007E-3</v>
      </c>
      <c r="H222">
        <v>3.86607608129234</v>
      </c>
      <c r="I222">
        <f>Tableau1[[#This Row],[GHG (kgCO2eq/GJ)]]/1000*3.6</f>
        <v>1.3917873892652425E-2</v>
      </c>
      <c r="J222" t="s">
        <v>104</v>
      </c>
      <c r="K222" t="s">
        <v>108</v>
      </c>
    </row>
    <row r="223" spans="1:11" hidden="1" x14ac:dyDescent="0.3">
      <c r="A223" t="s">
        <v>17</v>
      </c>
      <c r="B223" t="s">
        <v>49</v>
      </c>
      <c r="C223" t="s">
        <v>72</v>
      </c>
      <c r="D223">
        <v>0.8</v>
      </c>
      <c r="E223">
        <f>Tableau1[[#This Row],[Potential (PJ)]]/3.6*1000</f>
        <v>222.22222222222223</v>
      </c>
      <c r="F223">
        <v>3.2690000000000001</v>
      </c>
      <c r="G223">
        <f>Tableau1[[#This Row],[Cost (€/GJ)]]/1000*3.6</f>
        <v>1.1768400000000002E-2</v>
      </c>
      <c r="H223">
        <v>3.86607608129234</v>
      </c>
      <c r="I223">
        <f>Tableau1[[#This Row],[GHG (kgCO2eq/GJ)]]/1000*3.6</f>
        <v>1.3917873892652425E-2</v>
      </c>
      <c r="J223" t="s">
        <v>104</v>
      </c>
      <c r="K223" t="s">
        <v>108</v>
      </c>
    </row>
    <row r="224" spans="1:11" hidden="1" x14ac:dyDescent="0.3">
      <c r="A224" t="s">
        <v>17</v>
      </c>
      <c r="B224" t="s">
        <v>50</v>
      </c>
      <c r="C224" t="s">
        <v>73</v>
      </c>
      <c r="D224">
        <v>0.9</v>
      </c>
      <c r="E224">
        <f>Tableau1[[#This Row],[Potential (PJ)]]/3.6*1000</f>
        <v>250</v>
      </c>
      <c r="F224">
        <v>5.0869999999999997</v>
      </c>
      <c r="G224">
        <f>Tableau1[[#This Row],[Cost (€/GJ)]]/1000*3.6</f>
        <v>1.8313199999999998E-2</v>
      </c>
      <c r="H224">
        <v>20.723404255319149</v>
      </c>
      <c r="I224">
        <f>Tableau1[[#This Row],[GHG (kgCO2eq/GJ)]]/1000*3.6</f>
        <v>7.4604255319148938E-2</v>
      </c>
      <c r="J224" t="s">
        <v>105</v>
      </c>
      <c r="K224" t="s">
        <v>108</v>
      </c>
    </row>
    <row r="225" spans="1:11" hidden="1" x14ac:dyDescent="0.3">
      <c r="A225" t="s">
        <v>17</v>
      </c>
      <c r="B225" t="s">
        <v>50</v>
      </c>
      <c r="C225" t="s">
        <v>74</v>
      </c>
      <c r="D225">
        <v>5.7</v>
      </c>
      <c r="E225">
        <f>Tableau1[[#This Row],[Potential (PJ)]]/3.6*1000</f>
        <v>1583.3333333333333</v>
      </c>
      <c r="F225">
        <v>3.69</v>
      </c>
      <c r="G225">
        <f>Tableau1[[#This Row],[Cost (€/GJ)]]/1000*3.6</f>
        <v>1.3284000000000001E-2</v>
      </c>
      <c r="H225">
        <v>2.0635593220338988</v>
      </c>
      <c r="I225">
        <f>Tableau1[[#This Row],[GHG (kgCO2eq/GJ)]]/1000*3.6</f>
        <v>7.4288135593220351E-3</v>
      </c>
      <c r="J225" t="s">
        <v>105</v>
      </c>
      <c r="K225" t="s">
        <v>108</v>
      </c>
    </row>
    <row r="226" spans="1:11" hidden="1" x14ac:dyDescent="0.3">
      <c r="A226" t="s">
        <v>17</v>
      </c>
      <c r="B226" t="s">
        <v>51</v>
      </c>
      <c r="C226" t="s">
        <v>75</v>
      </c>
      <c r="D226">
        <v>2.5611890000000002</v>
      </c>
      <c r="E226">
        <f>Tableau1[[#This Row],[Potential (PJ)]]/3.6*1000</f>
        <v>711.44138888888892</v>
      </c>
      <c r="F226">
        <v>2.6144037233426201E-3</v>
      </c>
      <c r="G226">
        <f>Tableau1[[#This Row],[Cost (€/GJ)]]/1000*3.6</f>
        <v>9.411853404033432E-6</v>
      </c>
      <c r="H226">
        <v>11.74</v>
      </c>
      <c r="I226">
        <f>Tableau1[[#This Row],[GHG (kgCO2eq/GJ)]]/1000*3.6</f>
        <v>4.2264000000000003E-2</v>
      </c>
      <c r="J226" t="s">
        <v>104</v>
      </c>
      <c r="K226" t="s">
        <v>108</v>
      </c>
    </row>
    <row r="227" spans="1:11" hidden="1" x14ac:dyDescent="0.3">
      <c r="A227" t="s">
        <v>17</v>
      </c>
      <c r="B227" t="s">
        <v>60</v>
      </c>
      <c r="C227" t="s">
        <v>98</v>
      </c>
      <c r="D227">
        <v>6.4700000000000001E-3</v>
      </c>
      <c r="E227">
        <f>Tableau1[[#This Row],[Potential (PJ)]]/3.6*1000</f>
        <v>1.7972222222222223</v>
      </c>
      <c r="F227">
        <v>18.045112781954892</v>
      </c>
      <c r="G227">
        <f>Tableau1[[#This Row],[Cost (€/GJ)]]/1000*3.6</f>
        <v>6.496240601503761E-2</v>
      </c>
      <c r="H227">
        <v>41.8</v>
      </c>
      <c r="I227">
        <f>Tableau1[[#This Row],[GHG (kgCO2eq/GJ)]]/1000*3.6</f>
        <v>0.15048</v>
      </c>
      <c r="J227" t="s">
        <v>107</v>
      </c>
      <c r="K227" t="s">
        <v>109</v>
      </c>
    </row>
    <row r="228" spans="1:11" hidden="1" x14ac:dyDescent="0.3">
      <c r="A228" t="s">
        <v>17</v>
      </c>
      <c r="B228" t="s">
        <v>53</v>
      </c>
      <c r="C228" t="s">
        <v>77</v>
      </c>
      <c r="D228">
        <v>3.8556300000000001</v>
      </c>
      <c r="E228">
        <f>Tableau1[[#This Row],[Potential (PJ)]]/3.6*1000</f>
        <v>1071.0083333333334</v>
      </c>
      <c r="F228">
        <v>3.2690000000000001</v>
      </c>
      <c r="G228">
        <f>Tableau1[[#This Row],[Cost (€/GJ)]]/1000*3.6</f>
        <v>1.1768400000000002E-2</v>
      </c>
      <c r="H228">
        <v>3.86607608129234</v>
      </c>
      <c r="I228">
        <f>Tableau1[[#This Row],[GHG (kgCO2eq/GJ)]]/1000*3.6</f>
        <v>1.3917873892652425E-2</v>
      </c>
      <c r="J228" t="s">
        <v>104</v>
      </c>
      <c r="K228" t="s">
        <v>108</v>
      </c>
    </row>
    <row r="229" spans="1:11" hidden="1" x14ac:dyDescent="0.3">
      <c r="A229" t="s">
        <v>17</v>
      </c>
      <c r="B229" t="s">
        <v>54</v>
      </c>
      <c r="C229" t="s">
        <v>78</v>
      </c>
      <c r="D229">
        <v>32.200000000000003</v>
      </c>
      <c r="E229">
        <f>Tableau1[[#This Row],[Potential (PJ)]]/3.6*1000</f>
        <v>8944.4444444444453</v>
      </c>
      <c r="F229">
        <v>3.2429999999999999</v>
      </c>
      <c r="G229">
        <f>Tableau1[[#This Row],[Cost (€/GJ)]]/1000*3.6</f>
        <v>1.1674799999999999E-2</v>
      </c>
      <c r="H229">
        <v>3.86607608129234</v>
      </c>
      <c r="I229">
        <f>Tableau1[[#This Row],[GHG (kgCO2eq/GJ)]]/1000*3.6</f>
        <v>1.3917873892652425E-2</v>
      </c>
      <c r="J229" t="s">
        <v>104</v>
      </c>
      <c r="K229" t="s">
        <v>108</v>
      </c>
    </row>
    <row r="230" spans="1:11" hidden="1" x14ac:dyDescent="0.3">
      <c r="A230" t="s">
        <v>18</v>
      </c>
      <c r="B230" t="s">
        <v>46</v>
      </c>
      <c r="C230" t="s">
        <v>63</v>
      </c>
      <c r="D230">
        <v>0.5363</v>
      </c>
      <c r="E230">
        <f>Tableau1[[#This Row],[Potential (PJ)]]/3.6*1000</f>
        <v>148.97222222222223</v>
      </c>
      <c r="F230">
        <v>2.9286474973375931</v>
      </c>
      <c r="G230">
        <f>Tableau1[[#This Row],[Cost (€/GJ)]]/1000*3.6</f>
        <v>1.0543130990415334E-2</v>
      </c>
      <c r="H230">
        <v>3.950479233226837</v>
      </c>
      <c r="I230">
        <f>Tableau1[[#This Row],[GHG (kgCO2eq/GJ)]]/1000*3.6</f>
        <v>1.4221725239616614E-2</v>
      </c>
      <c r="J230" t="s">
        <v>104</v>
      </c>
      <c r="K230" t="s">
        <v>108</v>
      </c>
    </row>
    <row r="231" spans="1:11" hidden="1" x14ac:dyDescent="0.3">
      <c r="A231" t="s">
        <v>18</v>
      </c>
      <c r="B231" t="s">
        <v>46</v>
      </c>
      <c r="C231" t="s">
        <v>64</v>
      </c>
      <c r="D231">
        <v>0.11293</v>
      </c>
      <c r="E231">
        <f>Tableau1[[#This Row],[Potential (PJ)]]/3.6*1000</f>
        <v>31.369444444444444</v>
      </c>
      <c r="F231">
        <v>5.0455390064641827</v>
      </c>
      <c r="G231">
        <f>Tableau1[[#This Row],[Cost (€/GJ)]]/1000*3.6</f>
        <v>1.8163940423271057E-2</v>
      </c>
      <c r="H231">
        <v>2.9521711768407801</v>
      </c>
      <c r="I231">
        <f>Tableau1[[#This Row],[GHG (kgCO2eq/GJ)]]/1000*3.6</f>
        <v>1.0627816236626808E-2</v>
      </c>
      <c r="J231" t="s">
        <v>104</v>
      </c>
      <c r="K231" t="s">
        <v>108</v>
      </c>
    </row>
    <row r="232" spans="1:11" hidden="1" x14ac:dyDescent="0.3">
      <c r="A232" t="s">
        <v>18</v>
      </c>
      <c r="B232" t="s">
        <v>46</v>
      </c>
      <c r="C232" t="s">
        <v>79</v>
      </c>
      <c r="D232">
        <v>1.2</v>
      </c>
      <c r="E232">
        <f>Tableau1[[#This Row],[Potential (PJ)]]/3.6*1000</f>
        <v>333.33333333333331</v>
      </c>
      <c r="F232">
        <v>3.3184999999999998</v>
      </c>
      <c r="G232">
        <f>Tableau1[[#This Row],[Cost (€/GJ)]]/1000*3.6</f>
        <v>1.19466E-2</v>
      </c>
      <c r="H232">
        <v>6.8428961748633883</v>
      </c>
      <c r="I232">
        <f>Tableau1[[#This Row],[GHG (kgCO2eq/GJ)]]/1000*3.6</f>
        <v>2.4634426229508198E-2</v>
      </c>
      <c r="J232" t="s">
        <v>104</v>
      </c>
      <c r="K232" t="s">
        <v>108</v>
      </c>
    </row>
    <row r="233" spans="1:11" hidden="1" x14ac:dyDescent="0.3">
      <c r="A233" t="s">
        <v>18</v>
      </c>
      <c r="B233" t="s">
        <v>46</v>
      </c>
      <c r="C233" t="s">
        <v>65</v>
      </c>
      <c r="D233">
        <v>0.1</v>
      </c>
      <c r="E233">
        <f>Tableau1[[#This Row],[Potential (PJ)]]/3.6*1000</f>
        <v>27.777777777777779</v>
      </c>
      <c r="F233">
        <v>4.6619999999999999</v>
      </c>
      <c r="G233">
        <f>Tableau1[[#This Row],[Cost (€/GJ)]]/1000*3.6</f>
        <v>1.6783200000000002E-2</v>
      </c>
      <c r="H233">
        <v>2.9521711768407801</v>
      </c>
      <c r="I233">
        <f>Tableau1[[#This Row],[GHG (kgCO2eq/GJ)]]/1000*3.6</f>
        <v>1.0627816236626808E-2</v>
      </c>
      <c r="J233" t="s">
        <v>104</v>
      </c>
      <c r="K233" t="s">
        <v>108</v>
      </c>
    </row>
    <row r="234" spans="1:11" hidden="1" x14ac:dyDescent="0.3">
      <c r="A234" t="s">
        <v>18</v>
      </c>
      <c r="B234" t="s">
        <v>46</v>
      </c>
      <c r="C234" t="s">
        <v>80</v>
      </c>
      <c r="D234">
        <v>0.27829999999999999</v>
      </c>
      <c r="E234">
        <f>Tableau1[[#This Row],[Potential (PJ)]]/3.6*1000</f>
        <v>77.305555555555557</v>
      </c>
      <c r="F234">
        <v>1.2016183412002699</v>
      </c>
      <c r="G234">
        <f>Tableau1[[#This Row],[Cost (€/GJ)]]/1000*3.6</f>
        <v>4.3258260283209719E-3</v>
      </c>
      <c r="H234">
        <v>28.139870918023309</v>
      </c>
      <c r="I234">
        <f>Tableau1[[#This Row],[GHG (kgCO2eq/GJ)]]/1000*3.6</f>
        <v>0.10130353530488391</v>
      </c>
      <c r="J234" t="s">
        <v>105</v>
      </c>
      <c r="K234" t="s">
        <v>108</v>
      </c>
    </row>
    <row r="235" spans="1:11" hidden="1" x14ac:dyDescent="0.3">
      <c r="A235" t="s">
        <v>18</v>
      </c>
      <c r="B235" t="s">
        <v>46</v>
      </c>
      <c r="C235" t="s">
        <v>81</v>
      </c>
      <c r="D235">
        <v>0.11840000000000001</v>
      </c>
      <c r="E235">
        <f>Tableau1[[#This Row],[Potential (PJ)]]/3.6*1000</f>
        <v>32.888888888888893</v>
      </c>
      <c r="F235">
        <v>2.6686251468860172</v>
      </c>
      <c r="G235">
        <f>Tableau1[[#This Row],[Cost (€/GJ)]]/1000*3.6</f>
        <v>9.607050528789662E-3</v>
      </c>
      <c r="H235">
        <v>8.9647473560517046</v>
      </c>
      <c r="I235">
        <f>Tableau1[[#This Row],[GHG (kgCO2eq/GJ)]]/1000*3.6</f>
        <v>3.2273090481786136E-2</v>
      </c>
      <c r="J235" t="s">
        <v>105</v>
      </c>
      <c r="K235" t="s">
        <v>108</v>
      </c>
    </row>
    <row r="236" spans="1:11" hidden="1" x14ac:dyDescent="0.3">
      <c r="A236" t="s">
        <v>18</v>
      </c>
      <c r="B236" t="s">
        <v>46</v>
      </c>
      <c r="C236" t="s">
        <v>66</v>
      </c>
      <c r="D236">
        <v>1</v>
      </c>
      <c r="E236">
        <f>Tableau1[[#This Row],[Potential (PJ)]]/3.6*1000</f>
        <v>277.77777777777777</v>
      </c>
      <c r="F236">
        <v>3.4626999999999999</v>
      </c>
      <c r="G236">
        <f>Tableau1[[#This Row],[Cost (€/GJ)]]/1000*3.6</f>
        <v>1.246572E-2</v>
      </c>
      <c r="H236">
        <v>6.8428961748633883</v>
      </c>
      <c r="I236">
        <f>Tableau1[[#This Row],[GHG (kgCO2eq/GJ)]]/1000*3.6</f>
        <v>2.4634426229508198E-2</v>
      </c>
      <c r="J236" t="s">
        <v>104</v>
      </c>
      <c r="K236" t="s">
        <v>108</v>
      </c>
    </row>
    <row r="237" spans="1:11" hidden="1" x14ac:dyDescent="0.3">
      <c r="A237" t="s">
        <v>18</v>
      </c>
      <c r="B237" t="s">
        <v>46</v>
      </c>
      <c r="C237" t="s">
        <v>67</v>
      </c>
      <c r="D237">
        <v>1.4</v>
      </c>
      <c r="E237">
        <f>Tableau1[[#This Row],[Potential (PJ)]]/3.6*1000</f>
        <v>388.88888888888886</v>
      </c>
      <c r="F237">
        <v>6.5860714285714286</v>
      </c>
      <c r="G237">
        <f>Tableau1[[#This Row],[Cost (€/GJ)]]/1000*3.6</f>
        <v>2.3709857142857144E-2</v>
      </c>
      <c r="H237">
        <v>2.9521711768407801</v>
      </c>
      <c r="I237">
        <f>Tableau1[[#This Row],[GHG (kgCO2eq/GJ)]]/1000*3.6</f>
        <v>1.0627816236626808E-2</v>
      </c>
      <c r="J237" t="s">
        <v>104</v>
      </c>
      <c r="K237" t="s">
        <v>108</v>
      </c>
    </row>
    <row r="238" spans="1:11" hidden="1" x14ac:dyDescent="0.3">
      <c r="A238" t="s">
        <v>18</v>
      </c>
      <c r="B238" t="s">
        <v>46</v>
      </c>
      <c r="C238" t="s">
        <v>82</v>
      </c>
      <c r="D238">
        <v>0.1</v>
      </c>
      <c r="E238">
        <f>Tableau1[[#This Row],[Potential (PJ)]]/3.6*1000</f>
        <v>27.777777777777779</v>
      </c>
      <c r="F238">
        <v>2.1059999999999999</v>
      </c>
      <c r="G238">
        <f>Tableau1[[#This Row],[Cost (€/GJ)]]/1000*3.6</f>
        <v>7.5815999999999991E-3</v>
      </c>
      <c r="H238">
        <v>6.8428961748633883</v>
      </c>
      <c r="I238">
        <f>Tableau1[[#This Row],[GHG (kgCO2eq/GJ)]]/1000*3.6</f>
        <v>2.4634426229508198E-2</v>
      </c>
      <c r="J238" t="s">
        <v>104</v>
      </c>
      <c r="K238" t="s">
        <v>108</v>
      </c>
    </row>
    <row r="239" spans="1:11" hidden="1" x14ac:dyDescent="0.3">
      <c r="A239" t="s">
        <v>18</v>
      </c>
      <c r="B239" t="s">
        <v>46</v>
      </c>
      <c r="C239" t="s">
        <v>83</v>
      </c>
      <c r="D239">
        <v>0.27040999999999998</v>
      </c>
      <c r="E239">
        <f>Tableau1[[#This Row],[Potential (PJ)]]/3.6*1000</f>
        <v>75.11388888888888</v>
      </c>
      <c r="F239">
        <v>3.2242706630671938</v>
      </c>
      <c r="G239">
        <f>Tableau1[[#This Row],[Cost (€/GJ)]]/1000*3.6</f>
        <v>1.1607374387041897E-2</v>
      </c>
      <c r="H239">
        <v>6.8428961748633883</v>
      </c>
      <c r="I239">
        <f>Tableau1[[#This Row],[GHG (kgCO2eq/GJ)]]/1000*3.6</f>
        <v>2.4634426229508198E-2</v>
      </c>
      <c r="J239" t="s">
        <v>104</v>
      </c>
      <c r="K239" t="s">
        <v>108</v>
      </c>
    </row>
    <row r="240" spans="1:11" hidden="1" x14ac:dyDescent="0.3">
      <c r="A240" t="s">
        <v>18</v>
      </c>
      <c r="B240" t="s">
        <v>46</v>
      </c>
      <c r="C240" t="s">
        <v>84</v>
      </c>
      <c r="D240">
        <v>0.1</v>
      </c>
      <c r="E240">
        <f>Tableau1[[#This Row],[Potential (PJ)]]/3.6*1000</f>
        <v>27.777777777777779</v>
      </c>
      <c r="F240">
        <v>2.3239999999999998</v>
      </c>
      <c r="G240">
        <f>Tableau1[[#This Row],[Cost (€/GJ)]]/1000*3.6</f>
        <v>8.3663999999999995E-3</v>
      </c>
      <c r="H240">
        <v>28.139870918023309</v>
      </c>
      <c r="I240">
        <f>Tableau1[[#This Row],[GHG (kgCO2eq/GJ)]]/1000*3.6</f>
        <v>0.10130353530488391</v>
      </c>
      <c r="J240" t="s">
        <v>105</v>
      </c>
      <c r="K240" t="s">
        <v>108</v>
      </c>
    </row>
    <row r="241" spans="1:11" hidden="1" x14ac:dyDescent="0.3">
      <c r="A241" t="s">
        <v>18</v>
      </c>
      <c r="B241" t="s">
        <v>55</v>
      </c>
      <c r="C241" t="s">
        <v>86</v>
      </c>
      <c r="D241">
        <v>0.21510000000000001</v>
      </c>
      <c r="E241">
        <f>Tableau1[[#This Row],[Potential (PJ)]]/3.6*1000</f>
        <v>59.750000000000007</v>
      </c>
      <c r="F241">
        <v>21.38900000000001</v>
      </c>
      <c r="G241">
        <f>Tableau1[[#This Row],[Cost (€/GJ)]]/1000*3.6</f>
        <v>7.7000400000000038E-2</v>
      </c>
      <c r="I241">
        <f>Tableau1[[#This Row],[GHG (kgCO2eq/GJ)]]/1000*3.6</f>
        <v>0</v>
      </c>
      <c r="J241" t="s">
        <v>106</v>
      </c>
      <c r="K241" t="s">
        <v>109</v>
      </c>
    </row>
    <row r="242" spans="1:11" hidden="1" x14ac:dyDescent="0.3">
      <c r="A242" t="s">
        <v>18</v>
      </c>
      <c r="B242" t="s">
        <v>55</v>
      </c>
      <c r="C242" t="s">
        <v>87</v>
      </c>
      <c r="D242">
        <v>6.4614000000000003</v>
      </c>
      <c r="E242">
        <f>Tableau1[[#This Row],[Potential (PJ)]]/3.6*1000</f>
        <v>1794.8333333333333</v>
      </c>
      <c r="F242">
        <v>29.125</v>
      </c>
      <c r="G242">
        <f>Tableau1[[#This Row],[Cost (€/GJ)]]/1000*3.6</f>
        <v>0.10485000000000001</v>
      </c>
      <c r="I242">
        <f>Tableau1[[#This Row],[GHG (kgCO2eq/GJ)]]/1000*3.6</f>
        <v>0</v>
      </c>
      <c r="J242" t="s">
        <v>106</v>
      </c>
      <c r="K242" t="s">
        <v>109</v>
      </c>
    </row>
    <row r="243" spans="1:11" hidden="1" x14ac:dyDescent="0.3">
      <c r="A243" t="s">
        <v>18</v>
      </c>
      <c r="B243" t="s">
        <v>55</v>
      </c>
      <c r="C243" t="s">
        <v>88</v>
      </c>
      <c r="D243">
        <v>0.214</v>
      </c>
      <c r="E243">
        <f>Tableau1[[#This Row],[Potential (PJ)]]/3.6*1000</f>
        <v>59.444444444444436</v>
      </c>
      <c r="F243">
        <v>24.968</v>
      </c>
      <c r="G243">
        <f>Tableau1[[#This Row],[Cost (€/GJ)]]/1000*3.6</f>
        <v>8.9884800000000001E-2</v>
      </c>
      <c r="I243">
        <f>Tableau1[[#This Row],[GHG (kgCO2eq/GJ)]]/1000*3.6</f>
        <v>0</v>
      </c>
      <c r="J243" t="s">
        <v>106</v>
      </c>
      <c r="K243" t="s">
        <v>109</v>
      </c>
    </row>
    <row r="244" spans="1:11" hidden="1" x14ac:dyDescent="0.3">
      <c r="A244" t="s">
        <v>18</v>
      </c>
      <c r="B244" t="s">
        <v>55</v>
      </c>
      <c r="C244" t="s">
        <v>89</v>
      </c>
      <c r="D244">
        <v>1.78E-2</v>
      </c>
      <c r="E244">
        <f>Tableau1[[#This Row],[Potential (PJ)]]/3.6*1000</f>
        <v>4.9444444444444438</v>
      </c>
      <c r="F244">
        <v>0</v>
      </c>
      <c r="G244">
        <f>Tableau1[[#This Row],[Cost (€/GJ)]]/1000*3.6</f>
        <v>0</v>
      </c>
      <c r="I244">
        <f>Tableau1[[#This Row],[GHG (kgCO2eq/GJ)]]/1000*3.6</f>
        <v>0</v>
      </c>
      <c r="J244" t="s">
        <v>106</v>
      </c>
      <c r="K244" t="s">
        <v>109</v>
      </c>
    </row>
    <row r="245" spans="1:11" hidden="1" x14ac:dyDescent="0.3">
      <c r="A245" t="s">
        <v>18</v>
      </c>
      <c r="B245" t="s">
        <v>56</v>
      </c>
      <c r="C245" t="s">
        <v>93</v>
      </c>
      <c r="D245">
        <v>21.774100000000001</v>
      </c>
      <c r="E245">
        <f>Tableau1[[#This Row],[Potential (PJ)]]/3.6*1000</f>
        <v>6048.3611111111113</v>
      </c>
      <c r="F245">
        <v>2.939759036144578</v>
      </c>
      <c r="G245">
        <f>Tableau1[[#This Row],[Cost (€/GJ)]]/1000*3.6</f>
        <v>1.0583132530120481E-2</v>
      </c>
      <c r="I245">
        <f>Tableau1[[#This Row],[GHG (kgCO2eq/GJ)]]/1000*3.6</f>
        <v>0</v>
      </c>
      <c r="J245" t="s">
        <v>106</v>
      </c>
      <c r="K245" t="s">
        <v>109</v>
      </c>
    </row>
    <row r="246" spans="1:11" hidden="1" x14ac:dyDescent="0.3">
      <c r="A246" t="s">
        <v>18</v>
      </c>
      <c r="B246" t="s">
        <v>47</v>
      </c>
      <c r="C246" t="s">
        <v>68</v>
      </c>
      <c r="D246">
        <v>7.7</v>
      </c>
      <c r="E246">
        <f>Tableau1[[#This Row],[Potential (PJ)]]/3.6*1000</f>
        <v>2138.8888888888887</v>
      </c>
      <c r="F246">
        <v>6.7157792207792211</v>
      </c>
      <c r="G246">
        <f>Tableau1[[#This Row],[Cost (€/GJ)]]/1000*3.6</f>
        <v>2.4176805194805195E-2</v>
      </c>
      <c r="I246">
        <f>Tableau1[[#This Row],[GHG (kgCO2eq/GJ)]]/1000*3.6</f>
        <v>0</v>
      </c>
      <c r="J246" t="s">
        <v>104</v>
      </c>
      <c r="K246" t="s">
        <v>109</v>
      </c>
    </row>
    <row r="247" spans="1:11" hidden="1" x14ac:dyDescent="0.3">
      <c r="A247" t="s">
        <v>18</v>
      </c>
      <c r="B247" t="s">
        <v>47</v>
      </c>
      <c r="C247" t="s">
        <v>69</v>
      </c>
      <c r="D247">
        <v>3.4</v>
      </c>
      <c r="E247">
        <f>Tableau1[[#This Row],[Potential (PJ)]]/3.6*1000</f>
        <v>944.44444444444446</v>
      </c>
      <c r="F247">
        <v>11.30576470588235</v>
      </c>
      <c r="G247">
        <f>Tableau1[[#This Row],[Cost (€/GJ)]]/1000*3.6</f>
        <v>4.0700752941176463E-2</v>
      </c>
      <c r="I247">
        <f>Tableau1[[#This Row],[GHG (kgCO2eq/GJ)]]/1000*3.6</f>
        <v>0</v>
      </c>
      <c r="J247" t="s">
        <v>104</v>
      </c>
      <c r="K247" t="s">
        <v>109</v>
      </c>
    </row>
    <row r="248" spans="1:11" hidden="1" x14ac:dyDescent="0.3">
      <c r="A248" t="s">
        <v>18</v>
      </c>
      <c r="B248" t="s">
        <v>48</v>
      </c>
      <c r="C248" t="s">
        <v>70</v>
      </c>
      <c r="D248">
        <v>3.4</v>
      </c>
      <c r="E248">
        <f>Tableau1[[#This Row],[Potential (PJ)]]/3.6*1000</f>
        <v>944.44444444444446</v>
      </c>
      <c r="F248">
        <v>15.802882352941181</v>
      </c>
      <c r="G248">
        <f>Tableau1[[#This Row],[Cost (€/GJ)]]/1000*3.6</f>
        <v>5.6890376470588248E-2</v>
      </c>
      <c r="I248">
        <f>Tableau1[[#This Row],[GHG (kgCO2eq/GJ)]]/1000*3.6</f>
        <v>0</v>
      </c>
      <c r="J248" t="s">
        <v>104</v>
      </c>
      <c r="K248" t="s">
        <v>109</v>
      </c>
    </row>
    <row r="249" spans="1:11" hidden="1" x14ac:dyDescent="0.3">
      <c r="A249" t="s">
        <v>18</v>
      </c>
      <c r="B249" t="s">
        <v>49</v>
      </c>
      <c r="C249" t="s">
        <v>71</v>
      </c>
      <c r="D249">
        <v>1.6387400000000001</v>
      </c>
      <c r="E249">
        <f>Tableau1[[#This Row],[Potential (PJ)]]/3.6*1000</f>
        <v>455.20555555555558</v>
      </c>
      <c r="F249">
        <v>4.3552875379865013</v>
      </c>
      <c r="G249">
        <f>Tableau1[[#This Row],[Cost (€/GJ)]]/1000*3.6</f>
        <v>1.5679035136751403E-2</v>
      </c>
      <c r="H249">
        <v>3.86607608129234</v>
      </c>
      <c r="I249">
        <f>Tableau1[[#This Row],[GHG (kgCO2eq/GJ)]]/1000*3.6</f>
        <v>1.3917873892652425E-2</v>
      </c>
      <c r="J249" t="s">
        <v>104</v>
      </c>
      <c r="K249" t="s">
        <v>108</v>
      </c>
    </row>
    <row r="250" spans="1:11" hidden="1" x14ac:dyDescent="0.3">
      <c r="A250" t="s">
        <v>18</v>
      </c>
      <c r="B250" t="s">
        <v>49</v>
      </c>
      <c r="C250" t="s">
        <v>72</v>
      </c>
      <c r="D250">
        <v>0.2</v>
      </c>
      <c r="E250">
        <f>Tableau1[[#This Row],[Potential (PJ)]]/3.6*1000</f>
        <v>55.555555555555557</v>
      </c>
      <c r="F250">
        <v>3.49</v>
      </c>
      <c r="G250">
        <f>Tableau1[[#This Row],[Cost (€/GJ)]]/1000*3.6</f>
        <v>1.2564000000000001E-2</v>
      </c>
      <c r="H250">
        <v>3.86607608129234</v>
      </c>
      <c r="I250">
        <f>Tableau1[[#This Row],[GHG (kgCO2eq/GJ)]]/1000*3.6</f>
        <v>1.3917873892652425E-2</v>
      </c>
      <c r="J250" t="s">
        <v>104</v>
      </c>
      <c r="K250" t="s">
        <v>108</v>
      </c>
    </row>
    <row r="251" spans="1:11" hidden="1" x14ac:dyDescent="0.3">
      <c r="A251" t="s">
        <v>18</v>
      </c>
      <c r="B251" t="s">
        <v>58</v>
      </c>
      <c r="C251" t="s">
        <v>95</v>
      </c>
      <c r="D251">
        <v>1.56128</v>
      </c>
      <c r="E251">
        <f>Tableau1[[#This Row],[Potential (PJ)]]/3.6*1000</f>
        <v>433.68888888888893</v>
      </c>
      <c r="F251">
        <v>2.6909999999999998</v>
      </c>
      <c r="G251">
        <f>Tableau1[[#This Row],[Cost (€/GJ)]]/1000*3.6</f>
        <v>9.6875999999999993E-3</v>
      </c>
      <c r="H251">
        <v>2.9521711768407801</v>
      </c>
      <c r="I251">
        <f>Tableau1[[#This Row],[GHG (kgCO2eq/GJ)]]/1000*3.6</f>
        <v>1.0627816236626808E-2</v>
      </c>
      <c r="J251" t="s">
        <v>104</v>
      </c>
      <c r="K251" t="s">
        <v>108</v>
      </c>
    </row>
    <row r="252" spans="1:11" hidden="1" x14ac:dyDescent="0.3">
      <c r="A252" t="s">
        <v>18</v>
      </c>
      <c r="B252" t="s">
        <v>50</v>
      </c>
      <c r="C252" t="s">
        <v>73</v>
      </c>
      <c r="D252">
        <v>0.60000000000000009</v>
      </c>
      <c r="E252">
        <f>Tableau1[[#This Row],[Potential (PJ)]]/3.6*1000</f>
        <v>166.66666666666669</v>
      </c>
      <c r="F252">
        <v>5.3504999999999994</v>
      </c>
      <c r="G252">
        <f>Tableau1[[#This Row],[Cost (€/GJ)]]/1000*3.6</f>
        <v>1.9261799999999999E-2</v>
      </c>
      <c r="H252">
        <v>20.723404255319149</v>
      </c>
      <c r="I252">
        <f>Tableau1[[#This Row],[GHG (kgCO2eq/GJ)]]/1000*3.6</f>
        <v>7.4604255319148938E-2</v>
      </c>
      <c r="J252" t="s">
        <v>105</v>
      </c>
      <c r="K252" t="s">
        <v>108</v>
      </c>
    </row>
    <row r="253" spans="1:11" hidden="1" x14ac:dyDescent="0.3">
      <c r="A253" t="s">
        <v>18</v>
      </c>
      <c r="B253" t="s">
        <v>50</v>
      </c>
      <c r="C253" t="s">
        <v>74</v>
      </c>
      <c r="D253">
        <v>2.8</v>
      </c>
      <c r="E253">
        <f>Tableau1[[#This Row],[Potential (PJ)]]/3.6*1000</f>
        <v>777.77777777777771</v>
      </c>
      <c r="F253">
        <v>4.6416071428571426</v>
      </c>
      <c r="G253">
        <f>Tableau1[[#This Row],[Cost (€/GJ)]]/1000*3.6</f>
        <v>1.6709785714285715E-2</v>
      </c>
      <c r="H253">
        <v>2.0635593220338988</v>
      </c>
      <c r="I253">
        <f>Tableau1[[#This Row],[GHG (kgCO2eq/GJ)]]/1000*3.6</f>
        <v>7.4288135593220351E-3</v>
      </c>
      <c r="J253" t="s">
        <v>105</v>
      </c>
      <c r="K253" t="s">
        <v>108</v>
      </c>
    </row>
    <row r="254" spans="1:11" hidden="1" x14ac:dyDescent="0.3">
      <c r="A254" t="s">
        <v>18</v>
      </c>
      <c r="B254" t="s">
        <v>59</v>
      </c>
      <c r="C254" t="s">
        <v>96</v>
      </c>
      <c r="D254">
        <v>1.7846</v>
      </c>
      <c r="E254">
        <f>Tableau1[[#This Row],[Potential (PJ)]]/3.6*1000</f>
        <v>495.72222222222217</v>
      </c>
      <c r="F254">
        <v>28.3</v>
      </c>
      <c r="G254">
        <f>Tableau1[[#This Row],[Cost (€/GJ)]]/1000*3.6</f>
        <v>0.10188000000000001</v>
      </c>
      <c r="I254">
        <f>Tableau1[[#This Row],[GHG (kgCO2eq/GJ)]]/1000*3.6</f>
        <v>0</v>
      </c>
      <c r="J254" t="s">
        <v>107</v>
      </c>
      <c r="K254" t="s">
        <v>109</v>
      </c>
    </row>
    <row r="255" spans="1:11" hidden="1" x14ac:dyDescent="0.3">
      <c r="A255" t="s">
        <v>18</v>
      </c>
      <c r="B255" t="s">
        <v>59</v>
      </c>
      <c r="C255" t="s">
        <v>97</v>
      </c>
      <c r="D255">
        <v>1.5201</v>
      </c>
      <c r="E255">
        <f>Tableau1[[#This Row],[Potential (PJ)]]/3.6*1000</f>
        <v>422.25</v>
      </c>
      <c r="F255">
        <v>19.96744438415627</v>
      </c>
      <c r="G255">
        <f>Tableau1[[#This Row],[Cost (€/GJ)]]/1000*3.6</f>
        <v>7.1882799782962581E-2</v>
      </c>
      <c r="I255">
        <f>Tableau1[[#This Row],[GHG (kgCO2eq/GJ)]]/1000*3.6</f>
        <v>0</v>
      </c>
      <c r="J255" t="s">
        <v>107</v>
      </c>
      <c r="K255" t="s">
        <v>109</v>
      </c>
    </row>
    <row r="256" spans="1:11" hidden="1" x14ac:dyDescent="0.3">
      <c r="A256" t="s">
        <v>18</v>
      </c>
      <c r="B256" t="s">
        <v>51</v>
      </c>
      <c r="C256" t="s">
        <v>75</v>
      </c>
      <c r="D256">
        <v>2.3352179999999998</v>
      </c>
      <c r="E256">
        <f>Tableau1[[#This Row],[Potential (PJ)]]/3.6*1000</f>
        <v>648.67166666666662</v>
      </c>
      <c r="F256">
        <v>5.9742422014761098E-2</v>
      </c>
      <c r="G256">
        <f>Tableau1[[#This Row],[Cost (€/GJ)]]/1000*3.6</f>
        <v>2.1507271925313997E-4</v>
      </c>
      <c r="H256">
        <v>11.74</v>
      </c>
      <c r="I256">
        <f>Tableau1[[#This Row],[GHG (kgCO2eq/GJ)]]/1000*3.6</f>
        <v>4.2264000000000003E-2</v>
      </c>
      <c r="J256" t="s">
        <v>104</v>
      </c>
      <c r="K256" t="s">
        <v>108</v>
      </c>
    </row>
    <row r="257" spans="1:11" hidden="1" x14ac:dyDescent="0.3">
      <c r="A257" t="s">
        <v>18</v>
      </c>
      <c r="B257" t="s">
        <v>52</v>
      </c>
      <c r="C257" t="s">
        <v>76</v>
      </c>
      <c r="D257">
        <v>0.39700000000000002</v>
      </c>
      <c r="E257">
        <f>Tableau1[[#This Row],[Potential (PJ)]]/3.6*1000</f>
        <v>110.27777777777779</v>
      </c>
      <c r="F257">
        <v>0</v>
      </c>
      <c r="G257">
        <f>Tableau1[[#This Row],[Cost (€/GJ)]]/1000*3.6</f>
        <v>0</v>
      </c>
      <c r="H257">
        <v>12.68872359754714</v>
      </c>
      <c r="I257">
        <f>Tableau1[[#This Row],[GHG (kgCO2eq/GJ)]]/1000*3.6</f>
        <v>4.5679404951169705E-2</v>
      </c>
      <c r="J257" t="s">
        <v>105</v>
      </c>
      <c r="K257" t="s">
        <v>108</v>
      </c>
    </row>
    <row r="258" spans="1:11" hidden="1" x14ac:dyDescent="0.3">
      <c r="A258" t="s">
        <v>18</v>
      </c>
      <c r="B258" t="s">
        <v>53</v>
      </c>
      <c r="C258" t="s">
        <v>77</v>
      </c>
      <c r="D258">
        <v>2.44815</v>
      </c>
      <c r="E258">
        <f>Tableau1[[#This Row],[Potential (PJ)]]/3.6*1000</f>
        <v>680.04166666666663</v>
      </c>
      <c r="F258">
        <v>3.491960390498948</v>
      </c>
      <c r="G258">
        <f>Tableau1[[#This Row],[Cost (€/GJ)]]/1000*3.6</f>
        <v>1.2571057405796213E-2</v>
      </c>
      <c r="H258">
        <v>3.86607608129234</v>
      </c>
      <c r="I258">
        <f>Tableau1[[#This Row],[GHG (kgCO2eq/GJ)]]/1000*3.6</f>
        <v>1.3917873892652425E-2</v>
      </c>
      <c r="J258" t="s">
        <v>104</v>
      </c>
      <c r="K258" t="s">
        <v>108</v>
      </c>
    </row>
    <row r="259" spans="1:11" hidden="1" x14ac:dyDescent="0.3">
      <c r="A259" t="s">
        <v>18</v>
      </c>
      <c r="B259" t="s">
        <v>61</v>
      </c>
      <c r="C259" t="s">
        <v>99</v>
      </c>
      <c r="D259">
        <v>0.1</v>
      </c>
      <c r="E259">
        <f>Tableau1[[#This Row],[Potential (PJ)]]/3.6*1000</f>
        <v>27.777777777777779</v>
      </c>
      <c r="F259">
        <v>1.7</v>
      </c>
      <c r="G259">
        <f>Tableau1[[#This Row],[Cost (€/GJ)]]/1000*3.6</f>
        <v>6.1199999999999996E-3</v>
      </c>
      <c r="H259">
        <v>2.9245635910224439</v>
      </c>
      <c r="I259">
        <f>Tableau1[[#This Row],[GHG (kgCO2eq/GJ)]]/1000*3.6</f>
        <v>1.0528428927680798E-2</v>
      </c>
      <c r="J259" t="s">
        <v>104</v>
      </c>
      <c r="K259" t="s">
        <v>108</v>
      </c>
    </row>
    <row r="260" spans="1:11" hidden="1" x14ac:dyDescent="0.3">
      <c r="A260" t="s">
        <v>18</v>
      </c>
      <c r="B260" t="s">
        <v>54</v>
      </c>
      <c r="C260" t="s">
        <v>78</v>
      </c>
      <c r="D260">
        <v>10.6</v>
      </c>
      <c r="E260">
        <f>Tableau1[[#This Row],[Potential (PJ)]]/3.6*1000</f>
        <v>2944.4444444444443</v>
      </c>
      <c r="F260">
        <v>7.2476415094339623</v>
      </c>
      <c r="G260">
        <f>Tableau1[[#This Row],[Cost (€/GJ)]]/1000*3.6</f>
        <v>2.6091509433962264E-2</v>
      </c>
      <c r="H260">
        <v>3.86607608129234</v>
      </c>
      <c r="I260">
        <f>Tableau1[[#This Row],[GHG (kgCO2eq/GJ)]]/1000*3.6</f>
        <v>1.3917873892652425E-2</v>
      </c>
      <c r="J260" t="s">
        <v>104</v>
      </c>
      <c r="K260" t="s">
        <v>108</v>
      </c>
    </row>
    <row r="261" spans="1:11" hidden="1" x14ac:dyDescent="0.3">
      <c r="A261" t="s">
        <v>19</v>
      </c>
      <c r="B261" t="s">
        <v>46</v>
      </c>
      <c r="C261" t="s">
        <v>63</v>
      </c>
      <c r="D261">
        <v>1.3144</v>
      </c>
      <c r="E261">
        <f>Tableau1[[#This Row],[Potential (PJ)]]/3.6*1000</f>
        <v>365.11111111111109</v>
      </c>
      <c r="F261">
        <v>2.9286474973375931</v>
      </c>
      <c r="G261">
        <f>Tableau1[[#This Row],[Cost (€/GJ)]]/1000*3.6</f>
        <v>1.0543130990415334E-2</v>
      </c>
      <c r="H261">
        <v>3.950479233226837</v>
      </c>
      <c r="I261">
        <f>Tableau1[[#This Row],[GHG (kgCO2eq/GJ)]]/1000*3.6</f>
        <v>1.4221725239616614E-2</v>
      </c>
      <c r="J261" t="s">
        <v>104</v>
      </c>
      <c r="K261" t="s">
        <v>108</v>
      </c>
    </row>
    <row r="262" spans="1:11" hidden="1" x14ac:dyDescent="0.3">
      <c r="A262" t="s">
        <v>19</v>
      </c>
      <c r="B262" t="s">
        <v>46</v>
      </c>
      <c r="C262" t="s">
        <v>64</v>
      </c>
      <c r="D262">
        <v>0.13897999999999999</v>
      </c>
      <c r="E262">
        <f>Tableau1[[#This Row],[Potential (PJ)]]/3.6*1000</f>
        <v>38.605555555555554</v>
      </c>
      <c r="F262">
        <v>5.2082978126349122</v>
      </c>
      <c r="G262">
        <f>Tableau1[[#This Row],[Cost (€/GJ)]]/1000*3.6</f>
        <v>1.8749872125485685E-2</v>
      </c>
      <c r="H262">
        <v>2.9521711768407801</v>
      </c>
      <c r="I262">
        <f>Tableau1[[#This Row],[GHG (kgCO2eq/GJ)]]/1000*3.6</f>
        <v>1.0627816236626808E-2</v>
      </c>
      <c r="J262" t="s">
        <v>104</v>
      </c>
      <c r="K262" t="s">
        <v>108</v>
      </c>
    </row>
    <row r="263" spans="1:11" hidden="1" x14ac:dyDescent="0.3">
      <c r="A263" t="s">
        <v>19</v>
      </c>
      <c r="B263" t="s">
        <v>46</v>
      </c>
      <c r="C263" t="s">
        <v>79</v>
      </c>
      <c r="D263">
        <v>18.7</v>
      </c>
      <c r="E263">
        <f>Tableau1[[#This Row],[Potential (PJ)]]/3.6*1000</f>
        <v>5194.4444444444434</v>
      </c>
      <c r="F263">
        <v>2.2454866310160431</v>
      </c>
      <c r="G263">
        <f>Tableau1[[#This Row],[Cost (€/GJ)]]/1000*3.6</f>
        <v>8.0837518716577548E-3</v>
      </c>
      <c r="H263">
        <v>6.8428961748633883</v>
      </c>
      <c r="I263">
        <f>Tableau1[[#This Row],[GHG (kgCO2eq/GJ)]]/1000*3.6</f>
        <v>2.4634426229508198E-2</v>
      </c>
      <c r="J263" t="s">
        <v>104</v>
      </c>
      <c r="K263" t="s">
        <v>108</v>
      </c>
    </row>
    <row r="264" spans="1:11" hidden="1" x14ac:dyDescent="0.3">
      <c r="A264" t="s">
        <v>19</v>
      </c>
      <c r="B264" t="s">
        <v>46</v>
      </c>
      <c r="C264" t="s">
        <v>65</v>
      </c>
      <c r="D264">
        <v>1.6</v>
      </c>
      <c r="E264">
        <f>Tableau1[[#This Row],[Potential (PJ)]]/3.6*1000</f>
        <v>444.44444444444446</v>
      </c>
      <c r="F264">
        <v>5.1907500000000004</v>
      </c>
      <c r="G264">
        <f>Tableau1[[#This Row],[Cost (€/GJ)]]/1000*3.6</f>
        <v>1.8686700000000001E-2</v>
      </c>
      <c r="H264">
        <v>2.9521711768407801</v>
      </c>
      <c r="I264">
        <f>Tableau1[[#This Row],[GHG (kgCO2eq/GJ)]]/1000*3.6</f>
        <v>1.0627816236626808E-2</v>
      </c>
      <c r="J264" t="s">
        <v>104</v>
      </c>
      <c r="K264" t="s">
        <v>108</v>
      </c>
    </row>
    <row r="265" spans="1:11" hidden="1" x14ac:dyDescent="0.3">
      <c r="A265" t="s">
        <v>19</v>
      </c>
      <c r="B265" t="s">
        <v>46</v>
      </c>
      <c r="C265" t="s">
        <v>102</v>
      </c>
      <c r="D265">
        <v>1</v>
      </c>
      <c r="E265">
        <f>Tableau1[[#This Row],[Potential (PJ)]]/3.6*1000</f>
        <v>277.77777777777777</v>
      </c>
      <c r="F265">
        <v>4.4396000000000004</v>
      </c>
      <c r="G265">
        <f>Tableau1[[#This Row],[Cost (€/GJ)]]/1000*3.6</f>
        <v>1.598256E-2</v>
      </c>
      <c r="H265">
        <v>2.9521711768407801</v>
      </c>
      <c r="I265">
        <f>Tableau1[[#This Row],[GHG (kgCO2eq/GJ)]]/1000*3.6</f>
        <v>1.0627816236626808E-2</v>
      </c>
      <c r="J265" t="s">
        <v>104</v>
      </c>
      <c r="K265" t="s">
        <v>108</v>
      </c>
    </row>
    <row r="266" spans="1:11" hidden="1" x14ac:dyDescent="0.3">
      <c r="A266" t="s">
        <v>19</v>
      </c>
      <c r="B266" t="s">
        <v>46</v>
      </c>
      <c r="C266" t="s">
        <v>80</v>
      </c>
      <c r="D266">
        <v>2.3751000000000002</v>
      </c>
      <c r="E266">
        <f>Tableau1[[#This Row],[Potential (PJ)]]/3.6*1000</f>
        <v>659.75000000000011</v>
      </c>
      <c r="F266">
        <v>0.53674983142279165</v>
      </c>
      <c r="G266">
        <f>Tableau1[[#This Row],[Cost (€/GJ)]]/1000*3.6</f>
        <v>1.9322993931220498E-3</v>
      </c>
      <c r="H266">
        <v>28.139870918023309</v>
      </c>
      <c r="I266">
        <f>Tableau1[[#This Row],[GHG (kgCO2eq/GJ)]]/1000*3.6</f>
        <v>0.10130353530488391</v>
      </c>
      <c r="J266" t="s">
        <v>105</v>
      </c>
      <c r="K266" t="s">
        <v>108</v>
      </c>
    </row>
    <row r="267" spans="1:11" hidden="1" x14ac:dyDescent="0.3">
      <c r="A267" t="s">
        <v>19</v>
      </c>
      <c r="B267" t="s">
        <v>46</v>
      </c>
      <c r="C267" t="s">
        <v>81</v>
      </c>
      <c r="D267">
        <v>0.51869999999999994</v>
      </c>
      <c r="E267">
        <f>Tableau1[[#This Row],[Potential (PJ)]]/3.6*1000</f>
        <v>144.08333333333331</v>
      </c>
      <c r="F267">
        <v>1.0987074030552291</v>
      </c>
      <c r="G267">
        <f>Tableau1[[#This Row],[Cost (€/GJ)]]/1000*3.6</f>
        <v>3.9553466509988254E-3</v>
      </c>
      <c r="H267">
        <v>8.9647473560517046</v>
      </c>
      <c r="I267">
        <f>Tableau1[[#This Row],[GHG (kgCO2eq/GJ)]]/1000*3.6</f>
        <v>3.2273090481786136E-2</v>
      </c>
      <c r="J267" t="s">
        <v>105</v>
      </c>
      <c r="K267" t="s">
        <v>108</v>
      </c>
    </row>
    <row r="268" spans="1:11" hidden="1" x14ac:dyDescent="0.3">
      <c r="A268" t="s">
        <v>19</v>
      </c>
      <c r="B268" t="s">
        <v>46</v>
      </c>
      <c r="C268" t="s">
        <v>66</v>
      </c>
      <c r="D268">
        <v>1.3</v>
      </c>
      <c r="E268">
        <f>Tableau1[[#This Row],[Potential (PJ)]]/3.6*1000</f>
        <v>361.11111111111109</v>
      </c>
      <c r="F268">
        <v>2.3268461538461538</v>
      </c>
      <c r="G268">
        <f>Tableau1[[#This Row],[Cost (€/GJ)]]/1000*3.6</f>
        <v>8.3766461538461543E-3</v>
      </c>
      <c r="H268">
        <v>6.8428961748633883</v>
      </c>
      <c r="I268">
        <f>Tableau1[[#This Row],[GHG (kgCO2eq/GJ)]]/1000*3.6</f>
        <v>2.4634426229508198E-2</v>
      </c>
      <c r="J268" t="s">
        <v>104</v>
      </c>
      <c r="K268" t="s">
        <v>108</v>
      </c>
    </row>
    <row r="269" spans="1:11" hidden="1" x14ac:dyDescent="0.3">
      <c r="A269" t="s">
        <v>19</v>
      </c>
      <c r="B269" t="s">
        <v>46</v>
      </c>
      <c r="C269" t="s">
        <v>67</v>
      </c>
      <c r="D269">
        <v>3.4</v>
      </c>
      <c r="E269">
        <f>Tableau1[[#This Row],[Potential (PJ)]]/3.6*1000</f>
        <v>944.44444444444446</v>
      </c>
      <c r="F269">
        <v>7.7384117647058828</v>
      </c>
      <c r="G269">
        <f>Tableau1[[#This Row],[Cost (€/GJ)]]/1000*3.6</f>
        <v>2.7858282352941178E-2</v>
      </c>
      <c r="H269">
        <v>2.9521711768407801</v>
      </c>
      <c r="I269">
        <f>Tableau1[[#This Row],[GHG (kgCO2eq/GJ)]]/1000*3.6</f>
        <v>1.0627816236626808E-2</v>
      </c>
      <c r="J269" t="s">
        <v>104</v>
      </c>
      <c r="K269" t="s">
        <v>108</v>
      </c>
    </row>
    <row r="270" spans="1:11" hidden="1" x14ac:dyDescent="0.3">
      <c r="A270" t="s">
        <v>19</v>
      </c>
      <c r="B270" t="s">
        <v>46</v>
      </c>
      <c r="C270" t="s">
        <v>82</v>
      </c>
      <c r="D270">
        <v>0.89999999999999991</v>
      </c>
      <c r="E270">
        <f>Tableau1[[#This Row],[Potential (PJ)]]/3.6*1000</f>
        <v>249.99999999999997</v>
      </c>
      <c r="F270">
        <v>1.562888888888889</v>
      </c>
      <c r="G270">
        <f>Tableau1[[#This Row],[Cost (€/GJ)]]/1000*3.6</f>
        <v>5.626400000000001E-3</v>
      </c>
      <c r="H270">
        <v>6.8428961748633883</v>
      </c>
      <c r="I270">
        <f>Tableau1[[#This Row],[GHG (kgCO2eq/GJ)]]/1000*3.6</f>
        <v>2.4634426229508198E-2</v>
      </c>
      <c r="J270" t="s">
        <v>104</v>
      </c>
      <c r="K270" t="s">
        <v>108</v>
      </c>
    </row>
    <row r="271" spans="1:11" hidden="1" x14ac:dyDescent="0.3">
      <c r="A271" t="s">
        <v>19</v>
      </c>
      <c r="B271" t="s">
        <v>46</v>
      </c>
      <c r="C271" t="s">
        <v>83</v>
      </c>
      <c r="D271">
        <v>0.76061000000000001</v>
      </c>
      <c r="E271">
        <f>Tableau1[[#This Row],[Potential (PJ)]]/3.6*1000</f>
        <v>211.28055555555557</v>
      </c>
      <c r="F271">
        <v>2.2062105678337121</v>
      </c>
      <c r="G271">
        <f>Tableau1[[#This Row],[Cost (€/GJ)]]/1000*3.6</f>
        <v>7.9423580442013631E-3</v>
      </c>
      <c r="H271">
        <v>6.8428961748633883</v>
      </c>
      <c r="I271">
        <f>Tableau1[[#This Row],[GHG (kgCO2eq/GJ)]]/1000*3.6</f>
        <v>2.4634426229508198E-2</v>
      </c>
      <c r="J271" t="s">
        <v>104</v>
      </c>
      <c r="K271" t="s">
        <v>108</v>
      </c>
    </row>
    <row r="272" spans="1:11" hidden="1" x14ac:dyDescent="0.3">
      <c r="A272" t="s">
        <v>19</v>
      </c>
      <c r="B272" t="s">
        <v>46</v>
      </c>
      <c r="C272" t="s">
        <v>84</v>
      </c>
      <c r="D272">
        <v>0.7</v>
      </c>
      <c r="E272">
        <f>Tableau1[[#This Row],[Potential (PJ)]]/3.6*1000</f>
        <v>194.44444444444443</v>
      </c>
      <c r="F272">
        <v>1.744285714285714</v>
      </c>
      <c r="G272">
        <f>Tableau1[[#This Row],[Cost (€/GJ)]]/1000*3.6</f>
        <v>6.2794285714285704E-3</v>
      </c>
      <c r="H272">
        <v>28.139870918023309</v>
      </c>
      <c r="I272">
        <f>Tableau1[[#This Row],[GHG (kgCO2eq/GJ)]]/1000*3.6</f>
        <v>0.10130353530488391</v>
      </c>
      <c r="J272" t="s">
        <v>105</v>
      </c>
      <c r="K272" t="s">
        <v>108</v>
      </c>
    </row>
    <row r="273" spans="1:11" hidden="1" x14ac:dyDescent="0.3">
      <c r="A273" t="s">
        <v>19</v>
      </c>
      <c r="B273" t="s">
        <v>46</v>
      </c>
      <c r="C273" t="s">
        <v>85</v>
      </c>
      <c r="D273">
        <v>1.4</v>
      </c>
      <c r="E273">
        <f>Tableau1[[#This Row],[Potential (PJ)]]/3.6*1000</f>
        <v>388.88888888888886</v>
      </c>
      <c r="F273">
        <v>3.7719999999999998</v>
      </c>
      <c r="G273">
        <f>Tableau1[[#This Row],[Cost (€/GJ)]]/1000*3.6</f>
        <v>1.35792E-2</v>
      </c>
      <c r="H273">
        <v>2.9521711768407801</v>
      </c>
      <c r="I273">
        <f>Tableau1[[#This Row],[GHG (kgCO2eq/GJ)]]/1000*3.6</f>
        <v>1.0627816236626808E-2</v>
      </c>
      <c r="J273" t="s">
        <v>104</v>
      </c>
      <c r="K273" t="s">
        <v>108</v>
      </c>
    </row>
    <row r="274" spans="1:11" hidden="1" x14ac:dyDescent="0.3">
      <c r="A274" t="s">
        <v>19</v>
      </c>
      <c r="B274" t="s">
        <v>55</v>
      </c>
      <c r="C274" t="s">
        <v>86</v>
      </c>
      <c r="D274">
        <v>13.4678</v>
      </c>
      <c r="E274">
        <f>Tableau1[[#This Row],[Potential (PJ)]]/3.6*1000</f>
        <v>3741.0555555555557</v>
      </c>
      <c r="F274">
        <v>18.76499999999999</v>
      </c>
      <c r="G274">
        <f>Tableau1[[#This Row],[Cost (€/GJ)]]/1000*3.6</f>
        <v>6.7553999999999961E-2</v>
      </c>
      <c r="H274">
        <v>13.1</v>
      </c>
      <c r="I274">
        <f>Tableau1[[#This Row],[GHG (kgCO2eq/GJ)]]/1000*3.6</f>
        <v>4.7159999999999994E-2</v>
      </c>
      <c r="J274" t="s">
        <v>106</v>
      </c>
      <c r="K274" t="s">
        <v>109</v>
      </c>
    </row>
    <row r="275" spans="1:11" hidden="1" x14ac:dyDescent="0.3">
      <c r="A275" t="s">
        <v>19</v>
      </c>
      <c r="B275" t="s">
        <v>55</v>
      </c>
      <c r="C275" t="s">
        <v>87</v>
      </c>
      <c r="D275">
        <v>9.1806999999999999</v>
      </c>
      <c r="E275">
        <f>Tableau1[[#This Row],[Potential (PJ)]]/3.6*1000</f>
        <v>2550.1944444444443</v>
      </c>
      <c r="F275">
        <v>22.024000000000001</v>
      </c>
      <c r="G275">
        <f>Tableau1[[#This Row],[Cost (€/GJ)]]/1000*3.6</f>
        <v>7.9286400000000007E-2</v>
      </c>
      <c r="H275">
        <v>13.1</v>
      </c>
      <c r="I275">
        <f>Tableau1[[#This Row],[GHG (kgCO2eq/GJ)]]/1000*3.6</f>
        <v>4.7159999999999994E-2</v>
      </c>
      <c r="J275" t="s">
        <v>106</v>
      </c>
      <c r="K275" t="s">
        <v>109</v>
      </c>
    </row>
    <row r="276" spans="1:11" hidden="1" x14ac:dyDescent="0.3">
      <c r="A276" t="s">
        <v>19</v>
      </c>
      <c r="B276" t="s">
        <v>55</v>
      </c>
      <c r="C276" t="s">
        <v>88</v>
      </c>
      <c r="D276">
        <v>4.1059000000000001</v>
      </c>
      <c r="E276">
        <f>Tableau1[[#This Row],[Potential (PJ)]]/3.6*1000</f>
        <v>1140.5277777777778</v>
      </c>
      <c r="F276">
        <v>21.882999999999999</v>
      </c>
      <c r="G276">
        <f>Tableau1[[#This Row],[Cost (€/GJ)]]/1000*3.6</f>
        <v>7.8778799999999996E-2</v>
      </c>
      <c r="H276">
        <v>13.1</v>
      </c>
      <c r="I276">
        <f>Tableau1[[#This Row],[GHG (kgCO2eq/GJ)]]/1000*3.6</f>
        <v>4.7159999999999994E-2</v>
      </c>
      <c r="J276" t="s">
        <v>106</v>
      </c>
      <c r="K276" t="s">
        <v>109</v>
      </c>
    </row>
    <row r="277" spans="1:11" hidden="1" x14ac:dyDescent="0.3">
      <c r="A277" t="s">
        <v>19</v>
      </c>
      <c r="B277" t="s">
        <v>55</v>
      </c>
      <c r="C277" t="s">
        <v>89</v>
      </c>
      <c r="D277">
        <v>3.0594000000000001</v>
      </c>
      <c r="E277">
        <f>Tableau1[[#This Row],[Potential (PJ)]]/3.6*1000</f>
        <v>849.83333333333337</v>
      </c>
      <c r="F277">
        <v>0</v>
      </c>
      <c r="G277">
        <f>Tableau1[[#This Row],[Cost (€/GJ)]]/1000*3.6</f>
        <v>0</v>
      </c>
      <c r="H277">
        <v>13.1</v>
      </c>
      <c r="I277">
        <f>Tableau1[[#This Row],[GHG (kgCO2eq/GJ)]]/1000*3.6</f>
        <v>4.7159999999999994E-2</v>
      </c>
      <c r="J277" t="s">
        <v>106</v>
      </c>
      <c r="K277" t="s">
        <v>109</v>
      </c>
    </row>
    <row r="278" spans="1:11" hidden="1" x14ac:dyDescent="0.3">
      <c r="A278" t="s">
        <v>19</v>
      </c>
      <c r="B278" t="s">
        <v>55</v>
      </c>
      <c r="C278" t="s">
        <v>90</v>
      </c>
      <c r="D278">
        <v>0.13569999999999999</v>
      </c>
      <c r="E278">
        <f>Tableau1[[#This Row],[Potential (PJ)]]/3.6*1000</f>
        <v>37.694444444444443</v>
      </c>
      <c r="F278">
        <v>22.61099999999999</v>
      </c>
      <c r="G278">
        <f>Tableau1[[#This Row],[Cost (€/GJ)]]/1000*3.6</f>
        <v>8.1399599999999961E-2</v>
      </c>
      <c r="H278">
        <v>13.1</v>
      </c>
      <c r="I278">
        <f>Tableau1[[#This Row],[GHG (kgCO2eq/GJ)]]/1000*3.6</f>
        <v>4.7159999999999994E-2</v>
      </c>
      <c r="J278" t="s">
        <v>106</v>
      </c>
      <c r="K278" t="s">
        <v>109</v>
      </c>
    </row>
    <row r="279" spans="1:11" hidden="1" x14ac:dyDescent="0.3">
      <c r="A279" t="s">
        <v>19</v>
      </c>
      <c r="B279" t="s">
        <v>55</v>
      </c>
      <c r="C279" t="s">
        <v>91</v>
      </c>
      <c r="D279">
        <v>2.0087000000000002</v>
      </c>
      <c r="E279">
        <f>Tableau1[[#This Row],[Potential (PJ)]]/3.6*1000</f>
        <v>557.97222222222217</v>
      </c>
      <c r="F279">
        <v>18.987000000000009</v>
      </c>
      <c r="G279">
        <f>Tableau1[[#This Row],[Cost (€/GJ)]]/1000*3.6</f>
        <v>6.8353200000000031E-2</v>
      </c>
      <c r="H279">
        <v>13.1</v>
      </c>
      <c r="I279">
        <f>Tableau1[[#This Row],[GHG (kgCO2eq/GJ)]]/1000*3.6</f>
        <v>4.7159999999999994E-2</v>
      </c>
      <c r="J279" t="s">
        <v>106</v>
      </c>
      <c r="K279" t="s">
        <v>109</v>
      </c>
    </row>
    <row r="280" spans="1:11" hidden="1" x14ac:dyDescent="0.3">
      <c r="A280" t="s">
        <v>19</v>
      </c>
      <c r="B280" t="s">
        <v>55</v>
      </c>
      <c r="C280" t="s">
        <v>92</v>
      </c>
      <c r="D280">
        <v>1.2316400000000001</v>
      </c>
      <c r="E280">
        <f>Tableau1[[#This Row],[Potential (PJ)]]/3.6*1000</f>
        <v>342.12222222222221</v>
      </c>
      <c r="F280">
        <v>22.024000000000001</v>
      </c>
      <c r="G280">
        <f>Tableau1[[#This Row],[Cost (€/GJ)]]/1000*3.6</f>
        <v>7.9286400000000007E-2</v>
      </c>
      <c r="H280">
        <v>13.1</v>
      </c>
      <c r="I280">
        <f>Tableau1[[#This Row],[GHG (kgCO2eq/GJ)]]/1000*3.6</f>
        <v>4.7159999999999994E-2</v>
      </c>
      <c r="J280" t="s">
        <v>106</v>
      </c>
      <c r="K280" t="s">
        <v>109</v>
      </c>
    </row>
    <row r="281" spans="1:11" hidden="1" x14ac:dyDescent="0.3">
      <c r="A281" t="s">
        <v>19</v>
      </c>
      <c r="B281" t="s">
        <v>56</v>
      </c>
      <c r="C281" t="s">
        <v>93</v>
      </c>
      <c r="D281">
        <v>170.00479999999999</v>
      </c>
      <c r="E281">
        <f>Tableau1[[#This Row],[Potential (PJ)]]/3.6*1000</f>
        <v>47223.555555555547</v>
      </c>
      <c r="F281">
        <v>2.939759036144578</v>
      </c>
      <c r="G281">
        <f>Tableau1[[#This Row],[Cost (€/GJ)]]/1000*3.6</f>
        <v>1.0583132530120481E-2</v>
      </c>
      <c r="H281">
        <v>23.6</v>
      </c>
      <c r="I281">
        <f>Tableau1[[#This Row],[GHG (kgCO2eq/GJ)]]/1000*3.6</f>
        <v>8.4960000000000008E-2</v>
      </c>
      <c r="J281" t="s">
        <v>106</v>
      </c>
      <c r="K281" t="s">
        <v>109</v>
      </c>
    </row>
    <row r="282" spans="1:11" hidden="1" x14ac:dyDescent="0.3">
      <c r="A282" t="s">
        <v>19</v>
      </c>
      <c r="B282" t="s">
        <v>47</v>
      </c>
      <c r="C282" t="s">
        <v>68</v>
      </c>
      <c r="D282">
        <v>119.6</v>
      </c>
      <c r="E282">
        <f>Tableau1[[#This Row],[Potential (PJ)]]/3.6*1000</f>
        <v>33222.222222222219</v>
      </c>
      <c r="F282">
        <v>6.0404247491638792</v>
      </c>
      <c r="G282">
        <f>Tableau1[[#This Row],[Cost (€/GJ)]]/1000*3.6</f>
        <v>2.1745529096989968E-2</v>
      </c>
      <c r="H282">
        <v>15</v>
      </c>
      <c r="I282">
        <f>Tableau1[[#This Row],[GHG (kgCO2eq/GJ)]]/1000*3.6</f>
        <v>5.3999999999999999E-2</v>
      </c>
      <c r="J282" t="s">
        <v>104</v>
      </c>
      <c r="K282" t="s">
        <v>109</v>
      </c>
    </row>
    <row r="283" spans="1:11" hidden="1" x14ac:dyDescent="0.3">
      <c r="A283" t="s">
        <v>19</v>
      </c>
      <c r="B283" t="s">
        <v>47</v>
      </c>
      <c r="C283" t="s">
        <v>69</v>
      </c>
      <c r="D283">
        <v>53</v>
      </c>
      <c r="E283">
        <f>Tableau1[[#This Row],[Potential (PJ)]]/3.6*1000</f>
        <v>14722.222222222221</v>
      </c>
      <c r="F283">
        <v>9.9720358490566046</v>
      </c>
      <c r="G283">
        <f>Tableau1[[#This Row],[Cost (€/GJ)]]/1000*3.6</f>
        <v>3.5899329056603778E-2</v>
      </c>
      <c r="H283">
        <v>15</v>
      </c>
      <c r="I283">
        <f>Tableau1[[#This Row],[GHG (kgCO2eq/GJ)]]/1000*3.6</f>
        <v>5.3999999999999999E-2</v>
      </c>
      <c r="J283" t="s">
        <v>104</v>
      </c>
      <c r="K283" t="s">
        <v>109</v>
      </c>
    </row>
    <row r="284" spans="1:11" hidden="1" x14ac:dyDescent="0.3">
      <c r="A284" t="s">
        <v>19</v>
      </c>
      <c r="B284" t="s">
        <v>48</v>
      </c>
      <c r="C284" t="s">
        <v>70</v>
      </c>
      <c r="D284">
        <v>45.9</v>
      </c>
      <c r="E284">
        <f>Tableau1[[#This Row],[Potential (PJ)]]/3.6*1000</f>
        <v>12750</v>
      </c>
      <c r="F284">
        <v>15.23968845315904</v>
      </c>
      <c r="G284">
        <f>Tableau1[[#This Row],[Cost (€/GJ)]]/1000*3.6</f>
        <v>5.4862878431372546E-2</v>
      </c>
      <c r="H284">
        <v>16.8</v>
      </c>
      <c r="I284">
        <f>Tableau1[[#This Row],[GHG (kgCO2eq/GJ)]]/1000*3.6</f>
        <v>6.0480000000000013E-2</v>
      </c>
      <c r="J284" t="s">
        <v>104</v>
      </c>
      <c r="K284" t="s">
        <v>109</v>
      </c>
    </row>
    <row r="285" spans="1:11" hidden="1" x14ac:dyDescent="0.3">
      <c r="A285" t="s">
        <v>19</v>
      </c>
      <c r="B285" t="s">
        <v>49</v>
      </c>
      <c r="C285" t="s">
        <v>71</v>
      </c>
      <c r="D285">
        <v>21.427800000000001</v>
      </c>
      <c r="E285">
        <f>Tableau1[[#This Row],[Potential (PJ)]]/3.6*1000</f>
        <v>5952.166666666667</v>
      </c>
      <c r="F285">
        <v>4.9836506589570551</v>
      </c>
      <c r="G285">
        <f>Tableau1[[#This Row],[Cost (€/GJ)]]/1000*3.6</f>
        <v>1.7941142372245398E-2</v>
      </c>
      <c r="H285">
        <v>3.86607608129234</v>
      </c>
      <c r="I285">
        <f>Tableau1[[#This Row],[GHG (kgCO2eq/GJ)]]/1000*3.6</f>
        <v>1.3917873892652425E-2</v>
      </c>
      <c r="J285" t="s">
        <v>104</v>
      </c>
      <c r="K285" t="s">
        <v>108</v>
      </c>
    </row>
    <row r="286" spans="1:11" hidden="1" x14ac:dyDescent="0.3">
      <c r="A286" t="s">
        <v>19</v>
      </c>
      <c r="B286" t="s">
        <v>49</v>
      </c>
      <c r="C286" t="s">
        <v>72</v>
      </c>
      <c r="D286">
        <v>2.6</v>
      </c>
      <c r="E286">
        <f>Tableau1[[#This Row],[Potential (PJ)]]/3.6*1000</f>
        <v>722.22222222222217</v>
      </c>
      <c r="F286">
        <v>3.999884615384615</v>
      </c>
      <c r="G286">
        <f>Tableau1[[#This Row],[Cost (€/GJ)]]/1000*3.6</f>
        <v>1.4399584615384615E-2</v>
      </c>
      <c r="H286">
        <v>3.86607608129234</v>
      </c>
      <c r="I286">
        <f>Tableau1[[#This Row],[GHG (kgCO2eq/GJ)]]/1000*3.6</f>
        <v>1.3917873892652425E-2</v>
      </c>
      <c r="J286" t="s">
        <v>104</v>
      </c>
      <c r="K286" t="s">
        <v>108</v>
      </c>
    </row>
    <row r="287" spans="1:11" hidden="1" x14ac:dyDescent="0.3">
      <c r="A287" t="s">
        <v>19</v>
      </c>
      <c r="B287" t="s">
        <v>58</v>
      </c>
      <c r="C287" t="s">
        <v>95</v>
      </c>
      <c r="D287">
        <v>6.3496199999999998</v>
      </c>
      <c r="E287">
        <f>Tableau1[[#This Row],[Potential (PJ)]]/3.6*1000</f>
        <v>1763.7833333333333</v>
      </c>
      <c r="F287">
        <v>3.0721974858337981</v>
      </c>
      <c r="G287">
        <f>Tableau1[[#This Row],[Cost (€/GJ)]]/1000*3.6</f>
        <v>1.1059910949001673E-2</v>
      </c>
      <c r="H287">
        <v>2.9521711768407801</v>
      </c>
      <c r="I287">
        <f>Tableau1[[#This Row],[GHG (kgCO2eq/GJ)]]/1000*3.6</f>
        <v>1.0627816236626808E-2</v>
      </c>
      <c r="J287" t="s">
        <v>104</v>
      </c>
      <c r="K287" t="s">
        <v>108</v>
      </c>
    </row>
    <row r="288" spans="1:11" hidden="1" x14ac:dyDescent="0.3">
      <c r="A288" t="s">
        <v>19</v>
      </c>
      <c r="B288" t="s">
        <v>50</v>
      </c>
      <c r="C288" t="s">
        <v>73</v>
      </c>
      <c r="D288">
        <v>27.2</v>
      </c>
      <c r="E288">
        <f>Tableau1[[#This Row],[Potential (PJ)]]/3.6*1000</f>
        <v>7555.5555555555557</v>
      </c>
      <c r="F288">
        <v>5.4908749999999991</v>
      </c>
      <c r="G288">
        <f>Tableau1[[#This Row],[Cost (€/GJ)]]/1000*3.6</f>
        <v>1.9767149999999997E-2</v>
      </c>
      <c r="H288">
        <v>20.723404255319149</v>
      </c>
      <c r="I288">
        <f>Tableau1[[#This Row],[GHG (kgCO2eq/GJ)]]/1000*3.6</f>
        <v>7.4604255319148938E-2</v>
      </c>
      <c r="J288" t="s">
        <v>105</v>
      </c>
      <c r="K288" t="s">
        <v>108</v>
      </c>
    </row>
    <row r="289" spans="1:11" hidden="1" x14ac:dyDescent="0.3">
      <c r="A289" t="s">
        <v>19</v>
      </c>
      <c r="B289" t="s">
        <v>50</v>
      </c>
      <c r="C289" t="s">
        <v>74</v>
      </c>
      <c r="D289">
        <v>47.6</v>
      </c>
      <c r="E289">
        <f>Tableau1[[#This Row],[Potential (PJ)]]/3.6*1000</f>
        <v>13222.222222222221</v>
      </c>
      <c r="F289">
        <v>4.3945399159663863</v>
      </c>
      <c r="G289">
        <f>Tableau1[[#This Row],[Cost (€/GJ)]]/1000*3.6</f>
        <v>1.5820343697478992E-2</v>
      </c>
      <c r="H289">
        <v>2.0635593220338988</v>
      </c>
      <c r="I289">
        <f>Tableau1[[#This Row],[GHG (kgCO2eq/GJ)]]/1000*3.6</f>
        <v>7.4288135593220351E-3</v>
      </c>
      <c r="J289" t="s">
        <v>105</v>
      </c>
      <c r="K289" t="s">
        <v>108</v>
      </c>
    </row>
    <row r="290" spans="1:11" hidden="1" x14ac:dyDescent="0.3">
      <c r="A290" t="s">
        <v>19</v>
      </c>
      <c r="B290" t="s">
        <v>59</v>
      </c>
      <c r="C290" t="s">
        <v>97</v>
      </c>
      <c r="D290">
        <v>2.6153</v>
      </c>
      <c r="E290">
        <f>Tableau1[[#This Row],[Potential (PJ)]]/3.6*1000</f>
        <v>726.47222222222217</v>
      </c>
      <c r="F290">
        <v>20.835594139989151</v>
      </c>
      <c r="G290">
        <f>Tableau1[[#This Row],[Cost (€/GJ)]]/1000*3.6</f>
        <v>7.500813890396095E-2</v>
      </c>
      <c r="H290">
        <v>33.700000000000003</v>
      </c>
      <c r="I290">
        <f>Tableau1[[#This Row],[GHG (kgCO2eq/GJ)]]/1000*3.6</f>
        <v>0.12132000000000001</v>
      </c>
      <c r="J290" t="s">
        <v>107</v>
      </c>
      <c r="K290" t="s">
        <v>109</v>
      </c>
    </row>
    <row r="291" spans="1:11" hidden="1" x14ac:dyDescent="0.3">
      <c r="A291" t="s">
        <v>19</v>
      </c>
      <c r="B291" t="s">
        <v>51</v>
      </c>
      <c r="C291" t="s">
        <v>75</v>
      </c>
      <c r="D291">
        <v>22.555530000000001</v>
      </c>
      <c r="E291">
        <f>Tableau1[[#This Row],[Potential (PJ)]]/3.6*1000</f>
        <v>6265.4250000000002</v>
      </c>
      <c r="F291">
        <v>1.56138028203651E-4</v>
      </c>
      <c r="G291">
        <f>Tableau1[[#This Row],[Cost (€/GJ)]]/1000*3.6</f>
        <v>5.6209690153314368E-7</v>
      </c>
      <c r="H291">
        <v>11.74</v>
      </c>
      <c r="I291">
        <f>Tableau1[[#This Row],[GHG (kgCO2eq/GJ)]]/1000*3.6</f>
        <v>4.2264000000000003E-2</v>
      </c>
      <c r="J291" t="s">
        <v>104</v>
      </c>
      <c r="K291" t="s">
        <v>108</v>
      </c>
    </row>
    <row r="292" spans="1:11" hidden="1" x14ac:dyDescent="0.3">
      <c r="A292" t="s">
        <v>19</v>
      </c>
      <c r="B292" t="s">
        <v>60</v>
      </c>
      <c r="C292" t="s">
        <v>98</v>
      </c>
      <c r="D292">
        <v>0.67646000000000006</v>
      </c>
      <c r="E292">
        <f>Tableau1[[#This Row],[Potential (PJ)]]/3.6*1000</f>
        <v>187.90555555555557</v>
      </c>
      <c r="F292">
        <v>25.563909774436091</v>
      </c>
      <c r="G292">
        <f>Tableau1[[#This Row],[Cost (€/GJ)]]/1000*3.6</f>
        <v>9.2030075187969934E-2</v>
      </c>
      <c r="H292">
        <v>19.899999999999999</v>
      </c>
      <c r="I292">
        <f>Tableau1[[#This Row],[GHG (kgCO2eq/GJ)]]/1000*3.6</f>
        <v>7.1639999999999995E-2</v>
      </c>
      <c r="J292" t="s">
        <v>107</v>
      </c>
      <c r="K292" t="s">
        <v>109</v>
      </c>
    </row>
    <row r="293" spans="1:11" hidden="1" x14ac:dyDescent="0.3">
      <c r="A293" t="s">
        <v>19</v>
      </c>
      <c r="B293" t="s">
        <v>52</v>
      </c>
      <c r="C293" t="s">
        <v>76</v>
      </c>
      <c r="D293">
        <v>1.06</v>
      </c>
      <c r="E293">
        <f>Tableau1[[#This Row],[Potential (PJ)]]/3.6*1000</f>
        <v>294.44444444444446</v>
      </c>
      <c r="F293">
        <v>6.1837425000000001</v>
      </c>
      <c r="G293">
        <f>Tableau1[[#This Row],[Cost (€/GJ)]]/1000*3.6</f>
        <v>2.2261473000000004E-2</v>
      </c>
      <c r="H293">
        <v>12.68872359754714</v>
      </c>
      <c r="I293">
        <f>Tableau1[[#This Row],[GHG (kgCO2eq/GJ)]]/1000*3.6</f>
        <v>4.5679404951169705E-2</v>
      </c>
      <c r="J293" t="s">
        <v>105</v>
      </c>
      <c r="K293" t="s">
        <v>108</v>
      </c>
    </row>
    <row r="294" spans="1:11" hidden="1" x14ac:dyDescent="0.3">
      <c r="A294" t="s">
        <v>19</v>
      </c>
      <c r="B294" t="s">
        <v>53</v>
      </c>
      <c r="C294" t="s">
        <v>77</v>
      </c>
      <c r="D294">
        <v>8.9307999999999996</v>
      </c>
      <c r="E294">
        <f>Tableau1[[#This Row],[Potential (PJ)]]/3.6*1000</f>
        <v>2480.7777777777774</v>
      </c>
      <c r="F294">
        <v>3.9999807620817851</v>
      </c>
      <c r="G294">
        <f>Tableau1[[#This Row],[Cost (€/GJ)]]/1000*3.6</f>
        <v>1.4399930743494426E-2</v>
      </c>
      <c r="H294">
        <v>3.86607608129234</v>
      </c>
      <c r="I294">
        <f>Tableau1[[#This Row],[GHG (kgCO2eq/GJ)]]/1000*3.6</f>
        <v>1.3917873892652425E-2</v>
      </c>
      <c r="J294" t="s">
        <v>104</v>
      </c>
      <c r="K294" t="s">
        <v>108</v>
      </c>
    </row>
    <row r="295" spans="1:11" hidden="1" x14ac:dyDescent="0.3">
      <c r="A295" t="s">
        <v>19</v>
      </c>
      <c r="B295" t="s">
        <v>61</v>
      </c>
      <c r="C295" t="s">
        <v>99</v>
      </c>
      <c r="D295">
        <v>2.9</v>
      </c>
      <c r="E295">
        <f>Tableau1[[#This Row],[Potential (PJ)]]/3.6*1000</f>
        <v>805.55555555555543</v>
      </c>
      <c r="F295">
        <v>2.0943103448275862</v>
      </c>
      <c r="G295">
        <f>Tableau1[[#This Row],[Cost (€/GJ)]]/1000*3.6</f>
        <v>7.5395172413793097E-3</v>
      </c>
      <c r="H295">
        <v>2.9245635910224439</v>
      </c>
      <c r="I295">
        <f>Tableau1[[#This Row],[GHG (kgCO2eq/GJ)]]/1000*3.6</f>
        <v>1.0528428927680798E-2</v>
      </c>
      <c r="J295" t="s">
        <v>104</v>
      </c>
      <c r="K295" t="s">
        <v>108</v>
      </c>
    </row>
    <row r="296" spans="1:11" hidden="1" x14ac:dyDescent="0.3">
      <c r="A296" t="s">
        <v>19</v>
      </c>
      <c r="B296" t="s">
        <v>62</v>
      </c>
      <c r="C296" t="s">
        <v>100</v>
      </c>
      <c r="D296">
        <v>0.5</v>
      </c>
      <c r="E296">
        <f>Tableau1[[#This Row],[Potential (PJ)]]/3.6*1000</f>
        <v>138.88888888888889</v>
      </c>
      <c r="F296">
        <v>0.32000000000000012</v>
      </c>
      <c r="G296">
        <f>Tableau1[[#This Row],[Cost (€/GJ)]]/1000*3.6</f>
        <v>1.1520000000000005E-3</v>
      </c>
      <c r="H296">
        <v>2.6764106050305911</v>
      </c>
      <c r="I296">
        <f>Tableau1[[#This Row],[GHG (kgCO2eq/GJ)]]/1000*3.6</f>
        <v>9.6350781781101291E-3</v>
      </c>
      <c r="J296" t="s">
        <v>104</v>
      </c>
      <c r="K296" t="s">
        <v>108</v>
      </c>
    </row>
    <row r="297" spans="1:11" hidden="1" x14ac:dyDescent="0.3">
      <c r="A297" t="s">
        <v>19</v>
      </c>
      <c r="B297" t="s">
        <v>54</v>
      </c>
      <c r="C297" t="s">
        <v>78</v>
      </c>
      <c r="D297">
        <v>74.600000000000009</v>
      </c>
      <c r="E297">
        <f>Tableau1[[#This Row],[Potential (PJ)]]/3.6*1000</f>
        <v>20722.222222222226</v>
      </c>
      <c r="F297">
        <v>8.3259316353887396</v>
      </c>
      <c r="G297">
        <f>Tableau1[[#This Row],[Cost (€/GJ)]]/1000*3.6</f>
        <v>2.9973353887399464E-2</v>
      </c>
      <c r="H297">
        <v>3.86607608129234</v>
      </c>
      <c r="I297">
        <f>Tableau1[[#This Row],[GHG (kgCO2eq/GJ)]]/1000*3.6</f>
        <v>1.3917873892652425E-2</v>
      </c>
      <c r="J297" t="s">
        <v>104</v>
      </c>
      <c r="K297" t="s">
        <v>108</v>
      </c>
    </row>
    <row r="298" spans="1:11" hidden="1" x14ac:dyDescent="0.3">
      <c r="A298" t="s">
        <v>20</v>
      </c>
      <c r="B298" t="s">
        <v>46</v>
      </c>
      <c r="C298" t="s">
        <v>64</v>
      </c>
      <c r="D298">
        <v>3.8999999999999998E-3</v>
      </c>
      <c r="E298">
        <f>Tableau1[[#This Row],[Potential (PJ)]]/3.6*1000</f>
        <v>1.0833333333333333</v>
      </c>
      <c r="F298">
        <v>4.9785076923076916</v>
      </c>
      <c r="G298">
        <f>Tableau1[[#This Row],[Cost (€/GJ)]]/1000*3.6</f>
        <v>1.792262769230769E-2</v>
      </c>
      <c r="H298">
        <v>2.9521711768407801</v>
      </c>
      <c r="I298">
        <f>Tableau1[[#This Row],[GHG (kgCO2eq/GJ)]]/1000*3.6</f>
        <v>1.0627816236626808E-2</v>
      </c>
      <c r="J298" t="s">
        <v>104</v>
      </c>
      <c r="K298" t="s">
        <v>108</v>
      </c>
    </row>
    <row r="299" spans="1:11" hidden="1" x14ac:dyDescent="0.3">
      <c r="A299" t="s">
        <v>20</v>
      </c>
      <c r="B299" t="s">
        <v>46</v>
      </c>
      <c r="C299" t="s">
        <v>79</v>
      </c>
      <c r="D299">
        <v>11.8</v>
      </c>
      <c r="E299">
        <f>Tableau1[[#This Row],[Potential (PJ)]]/3.6*1000</f>
        <v>3277.7777777777778</v>
      </c>
      <c r="F299">
        <v>4.0867627118644059</v>
      </c>
      <c r="G299">
        <f>Tableau1[[#This Row],[Cost (€/GJ)]]/1000*3.6</f>
        <v>1.4712345762711861E-2</v>
      </c>
      <c r="H299">
        <v>6.8428961748633883</v>
      </c>
      <c r="I299">
        <f>Tableau1[[#This Row],[GHG (kgCO2eq/GJ)]]/1000*3.6</f>
        <v>2.4634426229508198E-2</v>
      </c>
      <c r="J299" t="s">
        <v>104</v>
      </c>
      <c r="K299" t="s">
        <v>108</v>
      </c>
    </row>
    <row r="300" spans="1:11" hidden="1" x14ac:dyDescent="0.3">
      <c r="A300" t="s">
        <v>20</v>
      </c>
      <c r="B300" t="s">
        <v>55</v>
      </c>
      <c r="C300" t="s">
        <v>86</v>
      </c>
      <c r="D300">
        <v>0.84650000000000003</v>
      </c>
      <c r="E300">
        <f>Tableau1[[#This Row],[Potential (PJ)]]/3.6*1000</f>
        <v>235.13888888888889</v>
      </c>
      <c r="F300">
        <v>16.652000000000001</v>
      </c>
      <c r="G300">
        <f>Tableau1[[#This Row],[Cost (€/GJ)]]/1000*3.6</f>
        <v>5.9947199999999999E-2</v>
      </c>
      <c r="H300">
        <v>43.2</v>
      </c>
      <c r="I300">
        <f>Tableau1[[#This Row],[GHG (kgCO2eq/GJ)]]/1000*3.6</f>
        <v>0.15552000000000002</v>
      </c>
      <c r="J300" t="s">
        <v>106</v>
      </c>
      <c r="K300" t="s">
        <v>109</v>
      </c>
    </row>
    <row r="301" spans="1:11" hidden="1" x14ac:dyDescent="0.3">
      <c r="A301" t="s">
        <v>20</v>
      </c>
      <c r="B301" t="s">
        <v>55</v>
      </c>
      <c r="C301" t="s">
        <v>89</v>
      </c>
      <c r="D301">
        <v>7.7899999999999997E-2</v>
      </c>
      <c r="E301">
        <f>Tableau1[[#This Row],[Potential (PJ)]]/3.6*1000</f>
        <v>21.638888888888889</v>
      </c>
      <c r="F301">
        <v>0</v>
      </c>
      <c r="G301">
        <f>Tableau1[[#This Row],[Cost (€/GJ)]]/1000*3.6</f>
        <v>0</v>
      </c>
      <c r="H301">
        <v>43.2</v>
      </c>
      <c r="I301">
        <f>Tableau1[[#This Row],[GHG (kgCO2eq/GJ)]]/1000*3.6</f>
        <v>0.15552000000000002</v>
      </c>
      <c r="J301" t="s">
        <v>106</v>
      </c>
      <c r="K301" t="s">
        <v>109</v>
      </c>
    </row>
    <row r="302" spans="1:11" hidden="1" x14ac:dyDescent="0.3">
      <c r="A302" t="s">
        <v>20</v>
      </c>
      <c r="B302" t="s">
        <v>55</v>
      </c>
      <c r="C302" t="s">
        <v>91</v>
      </c>
      <c r="D302">
        <v>5.0000000000000001E-4</v>
      </c>
      <c r="E302">
        <f>Tableau1[[#This Row],[Potential (PJ)]]/3.6*1000</f>
        <v>0.1388888888888889</v>
      </c>
      <c r="F302">
        <v>20.088000000000001</v>
      </c>
      <c r="G302">
        <f>Tableau1[[#This Row],[Cost (€/GJ)]]/1000*3.6</f>
        <v>7.2316800000000014E-2</v>
      </c>
      <c r="H302">
        <v>43.2</v>
      </c>
      <c r="I302">
        <f>Tableau1[[#This Row],[GHG (kgCO2eq/GJ)]]/1000*3.6</f>
        <v>0.15552000000000002</v>
      </c>
      <c r="J302" t="s">
        <v>106</v>
      </c>
      <c r="K302" t="s">
        <v>109</v>
      </c>
    </row>
    <row r="303" spans="1:11" hidden="1" x14ac:dyDescent="0.3">
      <c r="A303" t="s">
        <v>20</v>
      </c>
      <c r="B303" t="s">
        <v>55</v>
      </c>
      <c r="C303" t="s">
        <v>92</v>
      </c>
      <c r="D303">
        <v>0.40116000000000002</v>
      </c>
      <c r="E303">
        <f>Tableau1[[#This Row],[Potential (PJ)]]/3.6*1000</f>
        <v>111.43333333333332</v>
      </c>
      <c r="F303">
        <v>16.559000000000001</v>
      </c>
      <c r="G303">
        <f>Tableau1[[#This Row],[Cost (€/GJ)]]/1000*3.6</f>
        <v>5.9612400000000003E-2</v>
      </c>
      <c r="H303">
        <v>43.2</v>
      </c>
      <c r="I303">
        <f>Tableau1[[#This Row],[GHG (kgCO2eq/GJ)]]/1000*3.6</f>
        <v>0.15552000000000002</v>
      </c>
      <c r="J303" t="s">
        <v>106</v>
      </c>
      <c r="K303" t="s">
        <v>109</v>
      </c>
    </row>
    <row r="304" spans="1:11" hidden="1" x14ac:dyDescent="0.3">
      <c r="A304" t="s">
        <v>20</v>
      </c>
      <c r="B304" t="s">
        <v>47</v>
      </c>
      <c r="C304" t="s">
        <v>101</v>
      </c>
      <c r="D304">
        <v>13.6</v>
      </c>
      <c r="E304">
        <f>Tableau1[[#This Row],[Potential (PJ)]]/3.6*1000</f>
        <v>3777.7777777777778</v>
      </c>
      <c r="F304">
        <v>4.7311102941176468</v>
      </c>
      <c r="G304">
        <f>Tableau1[[#This Row],[Cost (€/GJ)]]/1000*3.6</f>
        <v>1.7031997058823529E-2</v>
      </c>
      <c r="H304">
        <v>43.1</v>
      </c>
      <c r="I304">
        <f>Tableau1[[#This Row],[GHG (kgCO2eq/GJ)]]/1000*3.6</f>
        <v>0.15515999999999999</v>
      </c>
      <c r="J304" t="s">
        <v>104</v>
      </c>
      <c r="K304" t="s">
        <v>109</v>
      </c>
    </row>
    <row r="305" spans="1:11" hidden="1" x14ac:dyDescent="0.3">
      <c r="A305" t="s">
        <v>20</v>
      </c>
      <c r="B305" t="s">
        <v>57</v>
      </c>
      <c r="C305" t="s">
        <v>94</v>
      </c>
      <c r="D305">
        <v>5.7</v>
      </c>
      <c r="E305">
        <f>Tableau1[[#This Row],[Potential (PJ)]]/3.6*1000</f>
        <v>1583.3333333333333</v>
      </c>
      <c r="F305">
        <v>11.98701754385965</v>
      </c>
      <c r="G305">
        <f>Tableau1[[#This Row],[Cost (€/GJ)]]/1000*3.6</f>
        <v>4.3153263157894743E-2</v>
      </c>
      <c r="H305">
        <v>24.4</v>
      </c>
      <c r="I305">
        <f>Tableau1[[#This Row],[GHG (kgCO2eq/GJ)]]/1000*3.6</f>
        <v>8.7840000000000001E-2</v>
      </c>
      <c r="J305" t="s">
        <v>104</v>
      </c>
      <c r="K305" t="s">
        <v>109</v>
      </c>
    </row>
    <row r="306" spans="1:11" hidden="1" x14ac:dyDescent="0.3">
      <c r="A306" t="s">
        <v>20</v>
      </c>
      <c r="B306" t="s">
        <v>49</v>
      </c>
      <c r="C306" t="s">
        <v>71</v>
      </c>
      <c r="D306">
        <v>32.500579999999999</v>
      </c>
      <c r="E306">
        <f>Tableau1[[#This Row],[Potential (PJ)]]/3.6*1000</f>
        <v>9027.938888888888</v>
      </c>
      <c r="F306">
        <v>5.4450430555393172</v>
      </c>
      <c r="G306">
        <f>Tableau1[[#This Row],[Cost (€/GJ)]]/1000*3.6</f>
        <v>1.9602154999941543E-2</v>
      </c>
      <c r="H306">
        <v>3.86607608129234</v>
      </c>
      <c r="I306">
        <f>Tableau1[[#This Row],[GHG (kgCO2eq/GJ)]]/1000*3.6</f>
        <v>1.3917873892652425E-2</v>
      </c>
      <c r="J306" t="s">
        <v>104</v>
      </c>
      <c r="K306" t="s">
        <v>108</v>
      </c>
    </row>
    <row r="307" spans="1:11" hidden="1" x14ac:dyDescent="0.3">
      <c r="A307" t="s">
        <v>20</v>
      </c>
      <c r="B307" t="s">
        <v>49</v>
      </c>
      <c r="C307" t="s">
        <v>72</v>
      </c>
      <c r="D307">
        <v>2.1</v>
      </c>
      <c r="E307">
        <f>Tableau1[[#This Row],[Potential (PJ)]]/3.6*1000</f>
        <v>583.33333333333337</v>
      </c>
      <c r="F307">
        <v>4.3571904761904774</v>
      </c>
      <c r="G307">
        <f>Tableau1[[#This Row],[Cost (€/GJ)]]/1000*3.6</f>
        <v>1.5685885714285717E-2</v>
      </c>
      <c r="H307">
        <v>3.86607608129234</v>
      </c>
      <c r="I307">
        <f>Tableau1[[#This Row],[GHG (kgCO2eq/GJ)]]/1000*3.6</f>
        <v>1.3917873892652425E-2</v>
      </c>
      <c r="J307" t="s">
        <v>104</v>
      </c>
      <c r="K307" t="s">
        <v>108</v>
      </c>
    </row>
    <row r="308" spans="1:11" hidden="1" x14ac:dyDescent="0.3">
      <c r="A308" t="s">
        <v>20</v>
      </c>
      <c r="B308" t="s">
        <v>58</v>
      </c>
      <c r="C308" t="s">
        <v>95</v>
      </c>
      <c r="D308">
        <v>2.1591300000000002</v>
      </c>
      <c r="E308">
        <f>Tableau1[[#This Row],[Potential (PJ)]]/3.6*1000</f>
        <v>599.75833333333344</v>
      </c>
      <c r="F308">
        <v>2.6429999999999998</v>
      </c>
      <c r="G308">
        <f>Tableau1[[#This Row],[Cost (€/GJ)]]/1000*3.6</f>
        <v>9.5148000000000003E-3</v>
      </c>
      <c r="H308">
        <v>2.9521711768407801</v>
      </c>
      <c r="I308">
        <f>Tableau1[[#This Row],[GHG (kgCO2eq/GJ)]]/1000*3.6</f>
        <v>1.0627816236626808E-2</v>
      </c>
      <c r="J308" t="s">
        <v>104</v>
      </c>
      <c r="K308" t="s">
        <v>108</v>
      </c>
    </row>
    <row r="309" spans="1:11" hidden="1" x14ac:dyDescent="0.3">
      <c r="A309" t="s">
        <v>20</v>
      </c>
      <c r="B309" t="s">
        <v>50</v>
      </c>
      <c r="C309" t="s">
        <v>73</v>
      </c>
      <c r="D309">
        <v>0.3</v>
      </c>
      <c r="E309">
        <f>Tableau1[[#This Row],[Potential (PJ)]]/3.6*1000</f>
        <v>83.333333333333329</v>
      </c>
      <c r="F309">
        <v>5.67</v>
      </c>
      <c r="G309">
        <f>Tableau1[[#This Row],[Cost (€/GJ)]]/1000*3.6</f>
        <v>2.0412E-2</v>
      </c>
      <c r="H309">
        <v>20.723404255319149</v>
      </c>
      <c r="I309">
        <f>Tableau1[[#This Row],[GHG (kgCO2eq/GJ)]]/1000*3.6</f>
        <v>7.4604255319148938E-2</v>
      </c>
      <c r="J309" t="s">
        <v>105</v>
      </c>
      <c r="K309" t="s">
        <v>108</v>
      </c>
    </row>
    <row r="310" spans="1:11" hidden="1" x14ac:dyDescent="0.3">
      <c r="A310" t="s">
        <v>20</v>
      </c>
      <c r="B310" t="s">
        <v>50</v>
      </c>
      <c r="C310" t="s">
        <v>74</v>
      </c>
      <c r="D310">
        <v>0.79999999999999993</v>
      </c>
      <c r="E310">
        <f>Tableau1[[#This Row],[Potential (PJ)]]/3.6*1000</f>
        <v>222.2222222222222</v>
      </c>
      <c r="F310">
        <v>7.0142500000000014</v>
      </c>
      <c r="G310">
        <f>Tableau1[[#This Row],[Cost (€/GJ)]]/1000*3.6</f>
        <v>2.5251300000000004E-2</v>
      </c>
      <c r="H310">
        <v>2.0635593220338988</v>
      </c>
      <c r="I310">
        <f>Tableau1[[#This Row],[GHG (kgCO2eq/GJ)]]/1000*3.6</f>
        <v>7.4288135593220351E-3</v>
      </c>
      <c r="J310" t="s">
        <v>105</v>
      </c>
      <c r="K310" t="s">
        <v>108</v>
      </c>
    </row>
    <row r="311" spans="1:11" hidden="1" x14ac:dyDescent="0.3">
      <c r="A311" t="s">
        <v>20</v>
      </c>
      <c r="B311" t="s">
        <v>51</v>
      </c>
      <c r="C311" t="s">
        <v>75</v>
      </c>
      <c r="D311">
        <v>9.9672070000000001</v>
      </c>
      <c r="E311">
        <f>Tableau1[[#This Row],[Potential (PJ)]]/3.6*1000</f>
        <v>2768.6686111111107</v>
      </c>
      <c r="F311">
        <v>3.8021542785252598E-2</v>
      </c>
      <c r="G311">
        <f>Tableau1[[#This Row],[Cost (€/GJ)]]/1000*3.6</f>
        <v>1.3687755402690935E-4</v>
      </c>
      <c r="H311">
        <v>11.74</v>
      </c>
      <c r="I311">
        <f>Tableau1[[#This Row],[GHG (kgCO2eq/GJ)]]/1000*3.6</f>
        <v>4.2264000000000003E-2</v>
      </c>
      <c r="J311" t="s">
        <v>104</v>
      </c>
      <c r="K311" t="s">
        <v>108</v>
      </c>
    </row>
    <row r="312" spans="1:11" hidden="1" x14ac:dyDescent="0.3">
      <c r="A312" t="s">
        <v>20</v>
      </c>
      <c r="B312" t="s">
        <v>60</v>
      </c>
      <c r="C312" t="s">
        <v>98</v>
      </c>
      <c r="D312">
        <v>0.15962000000000001</v>
      </c>
      <c r="E312">
        <f>Tableau1[[#This Row],[Potential (PJ)]]/3.6*1000</f>
        <v>44.338888888888896</v>
      </c>
      <c r="F312">
        <v>19.01181525241676</v>
      </c>
      <c r="G312">
        <f>Tableau1[[#This Row],[Cost (€/GJ)]]/1000*3.6</f>
        <v>6.8442534908700337E-2</v>
      </c>
      <c r="H312">
        <v>98.1</v>
      </c>
      <c r="I312">
        <f>Tableau1[[#This Row],[GHG (kgCO2eq/GJ)]]/1000*3.6</f>
        <v>0.35315999999999997</v>
      </c>
      <c r="J312" t="s">
        <v>107</v>
      </c>
      <c r="K312" t="s">
        <v>109</v>
      </c>
    </row>
    <row r="313" spans="1:11" hidden="1" x14ac:dyDescent="0.3">
      <c r="A313" t="s">
        <v>20</v>
      </c>
      <c r="B313" t="s">
        <v>52</v>
      </c>
      <c r="C313" t="s">
        <v>76</v>
      </c>
      <c r="D313">
        <v>2.5150000000000001</v>
      </c>
      <c r="E313">
        <f>Tableau1[[#This Row],[Potential (PJ)]]/3.6*1000</f>
        <v>698.6111111111112</v>
      </c>
      <c r="F313">
        <v>6.1837425000000001</v>
      </c>
      <c r="G313">
        <f>Tableau1[[#This Row],[Cost (€/GJ)]]/1000*3.6</f>
        <v>2.2261473000000004E-2</v>
      </c>
      <c r="H313">
        <v>12.68872359754714</v>
      </c>
      <c r="I313">
        <f>Tableau1[[#This Row],[GHG (kgCO2eq/GJ)]]/1000*3.6</f>
        <v>4.5679404951169705E-2</v>
      </c>
      <c r="J313" t="s">
        <v>105</v>
      </c>
      <c r="K313" t="s">
        <v>108</v>
      </c>
    </row>
    <row r="314" spans="1:11" hidden="1" x14ac:dyDescent="0.3">
      <c r="A314" t="s">
        <v>20</v>
      </c>
      <c r="B314" t="s">
        <v>53</v>
      </c>
      <c r="C314" t="s">
        <v>77</v>
      </c>
      <c r="D314">
        <v>11.20133</v>
      </c>
      <c r="E314">
        <f>Tableau1[[#This Row],[Potential (PJ)]]/3.6*1000</f>
        <v>3111.4805555555554</v>
      </c>
      <c r="F314">
        <v>4.3570673241481144</v>
      </c>
      <c r="G314">
        <f>Tableau1[[#This Row],[Cost (€/GJ)]]/1000*3.6</f>
        <v>1.5685442366933214E-2</v>
      </c>
      <c r="H314">
        <v>3.86607608129234</v>
      </c>
      <c r="I314">
        <f>Tableau1[[#This Row],[GHG (kgCO2eq/GJ)]]/1000*3.6</f>
        <v>1.3917873892652425E-2</v>
      </c>
      <c r="J314" t="s">
        <v>104</v>
      </c>
      <c r="K314" t="s">
        <v>108</v>
      </c>
    </row>
    <row r="315" spans="1:11" hidden="1" x14ac:dyDescent="0.3">
      <c r="A315" t="s">
        <v>20</v>
      </c>
      <c r="B315" t="s">
        <v>61</v>
      </c>
      <c r="C315" t="s">
        <v>99</v>
      </c>
      <c r="D315">
        <v>7.8999999999999986</v>
      </c>
      <c r="E315">
        <f>Tableau1[[#This Row],[Potential (PJ)]]/3.6*1000</f>
        <v>2194.4444444444443</v>
      </c>
      <c r="F315">
        <v>1.6123797468354431</v>
      </c>
      <c r="G315">
        <f>Tableau1[[#This Row],[Cost (€/GJ)]]/1000*3.6</f>
        <v>5.8045670886075953E-3</v>
      </c>
      <c r="H315">
        <v>2.9245635910224439</v>
      </c>
      <c r="I315">
        <f>Tableau1[[#This Row],[GHG (kgCO2eq/GJ)]]/1000*3.6</f>
        <v>1.0528428927680798E-2</v>
      </c>
      <c r="J315" t="s">
        <v>104</v>
      </c>
      <c r="K315" t="s">
        <v>108</v>
      </c>
    </row>
    <row r="316" spans="1:11" hidden="1" x14ac:dyDescent="0.3">
      <c r="A316" t="s">
        <v>20</v>
      </c>
      <c r="B316" t="s">
        <v>62</v>
      </c>
      <c r="C316" t="s">
        <v>100</v>
      </c>
      <c r="D316">
        <v>3.3</v>
      </c>
      <c r="E316">
        <f>Tableau1[[#This Row],[Potential (PJ)]]/3.6*1000</f>
        <v>916.66666666666663</v>
      </c>
      <c r="F316">
        <v>0.56969696969696981</v>
      </c>
      <c r="G316">
        <f>Tableau1[[#This Row],[Cost (€/GJ)]]/1000*3.6</f>
        <v>2.0509090909090915E-3</v>
      </c>
      <c r="H316">
        <v>2.6764106050305911</v>
      </c>
      <c r="I316">
        <f>Tableau1[[#This Row],[GHG (kgCO2eq/GJ)]]/1000*3.6</f>
        <v>9.6350781781101291E-3</v>
      </c>
      <c r="J316" t="s">
        <v>104</v>
      </c>
      <c r="K316" t="s">
        <v>108</v>
      </c>
    </row>
    <row r="317" spans="1:11" hidden="1" x14ac:dyDescent="0.3">
      <c r="A317" t="s">
        <v>20</v>
      </c>
      <c r="B317" t="s">
        <v>54</v>
      </c>
      <c r="C317" t="s">
        <v>78</v>
      </c>
      <c r="D317">
        <v>168.5</v>
      </c>
      <c r="E317">
        <f>Tableau1[[#This Row],[Potential (PJ)]]/3.6*1000</f>
        <v>46805.555555555555</v>
      </c>
      <c r="F317">
        <v>9.0712350148367946</v>
      </c>
      <c r="G317">
        <f>Tableau1[[#This Row],[Cost (€/GJ)]]/1000*3.6</f>
        <v>3.2656446053412468E-2</v>
      </c>
      <c r="H317">
        <v>3.86607608129234</v>
      </c>
      <c r="I317">
        <f>Tableau1[[#This Row],[GHG (kgCO2eq/GJ)]]/1000*3.6</f>
        <v>1.3917873892652425E-2</v>
      </c>
      <c r="J317" t="s">
        <v>104</v>
      </c>
      <c r="K317" t="s">
        <v>108</v>
      </c>
    </row>
    <row r="318" spans="1:11" x14ac:dyDescent="0.3">
      <c r="A318" t="s">
        <v>21</v>
      </c>
      <c r="B318" t="s">
        <v>46</v>
      </c>
      <c r="C318" t="s">
        <v>64</v>
      </c>
      <c r="D318">
        <v>4.947E-2</v>
      </c>
      <c r="E318">
        <f>Tableau1[[#This Row],[Potential (PJ)]]/3.6*1000</f>
        <v>13.741666666666665</v>
      </c>
      <c r="F318">
        <v>5.0881532241762679</v>
      </c>
      <c r="G318">
        <f>Tableau1[[#This Row],[Cost (€/GJ)]]/1000*3.6</f>
        <v>1.8317351607034564E-2</v>
      </c>
      <c r="H318">
        <v>2.9521711768407801</v>
      </c>
      <c r="I318">
        <f>Tableau1[[#This Row],[GHG (kgCO2eq/GJ)]]/1000*3.6</f>
        <v>1.0627816236626808E-2</v>
      </c>
      <c r="J318" t="s">
        <v>104</v>
      </c>
      <c r="K318" t="s">
        <v>108</v>
      </c>
    </row>
    <row r="319" spans="1:11" x14ac:dyDescent="0.3">
      <c r="A319" t="s">
        <v>21</v>
      </c>
      <c r="B319" t="s">
        <v>46</v>
      </c>
      <c r="C319" t="s">
        <v>79</v>
      </c>
      <c r="D319">
        <v>79.900000000000006</v>
      </c>
      <c r="E319">
        <f>Tableau1[[#This Row],[Potential (PJ)]]/3.6*1000</f>
        <v>22194.444444444445</v>
      </c>
      <c r="F319">
        <v>2.483043804755944</v>
      </c>
      <c r="G319">
        <f>Tableau1[[#This Row],[Cost (€/GJ)]]/1000*3.6</f>
        <v>8.9389576971213996E-3</v>
      </c>
      <c r="H319">
        <v>6.8428961748633883</v>
      </c>
      <c r="I319">
        <f>Tableau1[[#This Row],[GHG (kgCO2eq/GJ)]]/1000*3.6</f>
        <v>2.4634426229508198E-2</v>
      </c>
      <c r="J319" t="s">
        <v>104</v>
      </c>
      <c r="K319" t="s">
        <v>108</v>
      </c>
    </row>
    <row r="320" spans="1:11" x14ac:dyDescent="0.3">
      <c r="A320" t="s">
        <v>21</v>
      </c>
      <c r="B320" t="s">
        <v>49</v>
      </c>
      <c r="C320" t="s">
        <v>113</v>
      </c>
      <c r="D320">
        <v>30.724630000000001</v>
      </c>
      <c r="E320">
        <f>Tableau1[[#This Row],[Potential (PJ)]]/3.6*1000</f>
        <v>8534.6194444444445</v>
      </c>
      <c r="F320">
        <v>4.4952418746783938</v>
      </c>
      <c r="G320">
        <f>Tableau1[[#This Row],[Cost (€/GJ)]]/1000*3.6</f>
        <v>1.6182870748842216E-2</v>
      </c>
      <c r="H320">
        <v>3.86607608129234</v>
      </c>
      <c r="I320">
        <f>Tableau1[[#This Row],[GHG (kgCO2eq/GJ)]]/1000*3.6</f>
        <v>1.3917873892652425E-2</v>
      </c>
      <c r="J320" t="s">
        <v>104</v>
      </c>
      <c r="K320" t="s">
        <v>108</v>
      </c>
    </row>
    <row r="321" spans="1:11" hidden="1" x14ac:dyDescent="0.3">
      <c r="A321" t="s">
        <v>21</v>
      </c>
      <c r="B321" t="s">
        <v>46</v>
      </c>
      <c r="C321" t="s">
        <v>80</v>
      </c>
      <c r="D321">
        <v>2.1709000000000001</v>
      </c>
      <c r="E321">
        <f>Tableau1[[#This Row],[Potential (PJ)]]/3.6*1000</f>
        <v>603.02777777777783</v>
      </c>
      <c r="F321">
        <v>0.72016183412002699</v>
      </c>
      <c r="G321">
        <f>Tableau1[[#This Row],[Cost (€/GJ)]]/1000*3.6</f>
        <v>2.5925826028320976E-3</v>
      </c>
      <c r="H321">
        <v>28.139870918023309</v>
      </c>
      <c r="I321">
        <f>Tableau1[[#This Row],[GHG (kgCO2eq/GJ)]]/1000*3.6</f>
        <v>0.10130353530488391</v>
      </c>
      <c r="J321" t="s">
        <v>105</v>
      </c>
      <c r="K321" t="s">
        <v>108</v>
      </c>
    </row>
    <row r="322" spans="1:11" hidden="1" x14ac:dyDescent="0.3">
      <c r="A322" t="s">
        <v>21</v>
      </c>
      <c r="B322" t="s">
        <v>46</v>
      </c>
      <c r="C322" t="s">
        <v>81</v>
      </c>
      <c r="D322">
        <v>6.2740999999999998</v>
      </c>
      <c r="E322">
        <f>Tableau1[[#This Row],[Potential (PJ)]]/3.6*1000</f>
        <v>1742.8055555555554</v>
      </c>
      <c r="F322">
        <v>0.98883666274970616</v>
      </c>
      <c r="G322">
        <f>Tableau1[[#This Row],[Cost (€/GJ)]]/1000*3.6</f>
        <v>3.5598119858989423E-3</v>
      </c>
      <c r="H322">
        <v>8.9647473560517046</v>
      </c>
      <c r="I322">
        <f>Tableau1[[#This Row],[GHG (kgCO2eq/GJ)]]/1000*3.6</f>
        <v>3.2273090481786136E-2</v>
      </c>
      <c r="J322" t="s">
        <v>105</v>
      </c>
      <c r="K322" t="s">
        <v>108</v>
      </c>
    </row>
    <row r="323" spans="1:11" x14ac:dyDescent="0.3">
      <c r="A323" t="s">
        <v>21</v>
      </c>
      <c r="B323" t="s">
        <v>54</v>
      </c>
      <c r="C323" t="s">
        <v>114</v>
      </c>
      <c r="D323">
        <v>241.9</v>
      </c>
      <c r="E323">
        <f>Tableau1[[#This Row],[Potential (PJ)]]/3.6*1000</f>
        <v>67194.444444444438</v>
      </c>
      <c r="F323">
        <v>7.439901198842497</v>
      </c>
      <c r="G323">
        <f>Tableau1[[#This Row],[Cost (€/GJ)]]/1000*3.6</f>
        <v>2.6783644315832991E-2</v>
      </c>
      <c r="H323">
        <v>3.86607608129234</v>
      </c>
      <c r="I323">
        <f>Tableau1[[#This Row],[GHG (kgCO2eq/GJ)]]/1000*3.6</f>
        <v>1.3917873892652425E-2</v>
      </c>
      <c r="J323" t="s">
        <v>104</v>
      </c>
      <c r="K323" t="s">
        <v>108</v>
      </c>
    </row>
    <row r="324" spans="1:11" x14ac:dyDescent="0.3">
      <c r="A324" t="s">
        <v>21</v>
      </c>
      <c r="B324" t="s">
        <v>49</v>
      </c>
      <c r="C324" t="s">
        <v>72</v>
      </c>
      <c r="D324">
        <v>11.4</v>
      </c>
      <c r="E324">
        <f>Tableau1[[#This Row],[Potential (PJ)]]/3.6*1000</f>
        <v>3166.6666666666665</v>
      </c>
      <c r="F324">
        <v>3.599622807017544</v>
      </c>
      <c r="G324">
        <f>Tableau1[[#This Row],[Cost (€/GJ)]]/1000*3.6</f>
        <v>1.2958642105263159E-2</v>
      </c>
      <c r="H324">
        <v>3.86607608129234</v>
      </c>
      <c r="I324">
        <f>Tableau1[[#This Row],[GHG (kgCO2eq/GJ)]]/1000*3.6</f>
        <v>1.3917873892652425E-2</v>
      </c>
      <c r="J324" t="s">
        <v>104</v>
      </c>
      <c r="K324" t="s">
        <v>108</v>
      </c>
    </row>
    <row r="325" spans="1:11" x14ac:dyDescent="0.3">
      <c r="A325" t="s">
        <v>21</v>
      </c>
      <c r="B325" t="s">
        <v>53</v>
      </c>
      <c r="C325" t="s">
        <v>77</v>
      </c>
      <c r="D325">
        <v>88.955880000000008</v>
      </c>
      <c r="E325">
        <f>Tableau1[[#This Row],[Potential (PJ)]]/3.6*1000</f>
        <v>24709.966666666667</v>
      </c>
      <c r="F325">
        <v>3.5993421761439488</v>
      </c>
      <c r="G325">
        <f>Tableau1[[#This Row],[Cost (€/GJ)]]/1000*3.6</f>
        <v>1.2957631834118216E-2</v>
      </c>
      <c r="H325">
        <v>3.86607608129234</v>
      </c>
      <c r="I325">
        <f>Tableau1[[#This Row],[GHG (kgCO2eq/GJ)]]/1000*3.6</f>
        <v>1.3917873892652425E-2</v>
      </c>
      <c r="J325" t="s">
        <v>104</v>
      </c>
      <c r="K325" t="s">
        <v>108</v>
      </c>
    </row>
    <row r="326" spans="1:11" hidden="1" x14ac:dyDescent="0.3">
      <c r="A326" t="s">
        <v>21</v>
      </c>
      <c r="B326" t="s">
        <v>46</v>
      </c>
      <c r="C326" t="s">
        <v>84</v>
      </c>
      <c r="D326">
        <v>1.4</v>
      </c>
      <c r="E326">
        <f>Tableau1[[#This Row],[Potential (PJ)]]/3.6*1000</f>
        <v>388.88888888888886</v>
      </c>
      <c r="F326">
        <v>2.1028571428571432</v>
      </c>
      <c r="G326">
        <f>Tableau1[[#This Row],[Cost (€/GJ)]]/1000*3.6</f>
        <v>7.570285714285716E-3</v>
      </c>
      <c r="H326">
        <v>28.139870918023309</v>
      </c>
      <c r="I326">
        <f>Tableau1[[#This Row],[GHG (kgCO2eq/GJ)]]/1000*3.6</f>
        <v>0.10130353530488391</v>
      </c>
      <c r="J326" t="s">
        <v>105</v>
      </c>
      <c r="K326" t="s">
        <v>108</v>
      </c>
    </row>
    <row r="327" spans="1:11" x14ac:dyDescent="0.3">
      <c r="A327" t="s">
        <v>21</v>
      </c>
      <c r="B327" t="s">
        <v>58</v>
      </c>
      <c r="C327" t="s">
        <v>95</v>
      </c>
      <c r="D327">
        <v>12.7553</v>
      </c>
      <c r="E327">
        <f>Tableau1[[#This Row],[Potential (PJ)]]/3.6*1000</f>
        <v>3543.1388888888887</v>
      </c>
      <c r="F327">
        <v>2.5230544001317101</v>
      </c>
      <c r="G327">
        <f>Tableau1[[#This Row],[Cost (€/GJ)]]/1000*3.6</f>
        <v>9.0829958404741572E-3</v>
      </c>
      <c r="H327">
        <v>2.9521711768407801</v>
      </c>
      <c r="I327">
        <f>Tableau1[[#This Row],[GHG (kgCO2eq/GJ)]]/1000*3.6</f>
        <v>1.0627816236626808E-2</v>
      </c>
      <c r="J327" t="s">
        <v>104</v>
      </c>
      <c r="K327" t="s">
        <v>108</v>
      </c>
    </row>
    <row r="328" spans="1:11" hidden="1" x14ac:dyDescent="0.3">
      <c r="A328" t="s">
        <v>21</v>
      </c>
      <c r="B328" t="s">
        <v>55</v>
      </c>
      <c r="C328" t="s">
        <v>86</v>
      </c>
      <c r="D328">
        <v>2.0167000000000002</v>
      </c>
      <c r="E328">
        <f>Tableau1[[#This Row],[Potential (PJ)]]/3.6*1000</f>
        <v>560.19444444444446</v>
      </c>
      <c r="F328">
        <v>16.649999999999991</v>
      </c>
      <c r="G328">
        <f>Tableau1[[#This Row],[Cost (€/GJ)]]/1000*3.6</f>
        <v>5.9939999999999972E-2</v>
      </c>
      <c r="H328">
        <v>18.100000000000001</v>
      </c>
      <c r="I328">
        <f>Tableau1[[#This Row],[GHG (kgCO2eq/GJ)]]/1000*3.6</f>
        <v>6.516000000000001E-2</v>
      </c>
      <c r="J328" t="s">
        <v>106</v>
      </c>
      <c r="K328" t="s">
        <v>109</v>
      </c>
    </row>
    <row r="329" spans="1:11" hidden="1" x14ac:dyDescent="0.3">
      <c r="A329" t="s">
        <v>21</v>
      </c>
      <c r="B329" t="s">
        <v>55</v>
      </c>
      <c r="C329" t="s">
        <v>87</v>
      </c>
      <c r="D329">
        <v>10.718</v>
      </c>
      <c r="E329">
        <f>Tableau1[[#This Row],[Potential (PJ)]]/3.6*1000</f>
        <v>2977.2222222222222</v>
      </c>
      <c r="F329">
        <v>18.841000000000001</v>
      </c>
      <c r="G329">
        <f>Tableau1[[#This Row],[Cost (€/GJ)]]/1000*3.6</f>
        <v>6.7827600000000002E-2</v>
      </c>
      <c r="H329">
        <v>18.100000000000001</v>
      </c>
      <c r="I329">
        <f>Tableau1[[#This Row],[GHG (kgCO2eq/GJ)]]/1000*3.6</f>
        <v>6.516000000000001E-2</v>
      </c>
      <c r="J329" t="s">
        <v>106</v>
      </c>
      <c r="K329" t="s">
        <v>109</v>
      </c>
    </row>
    <row r="330" spans="1:11" hidden="1" x14ac:dyDescent="0.3">
      <c r="A330" t="s">
        <v>21</v>
      </c>
      <c r="B330" t="s">
        <v>55</v>
      </c>
      <c r="C330" t="s">
        <v>88</v>
      </c>
      <c r="D330">
        <v>11.6503</v>
      </c>
      <c r="E330">
        <f>Tableau1[[#This Row],[Potential (PJ)]]/3.6*1000</f>
        <v>3236.1944444444443</v>
      </c>
      <c r="F330">
        <v>18.274000000000001</v>
      </c>
      <c r="G330">
        <f>Tableau1[[#This Row],[Cost (€/GJ)]]/1000*3.6</f>
        <v>6.5786400000000009E-2</v>
      </c>
      <c r="H330">
        <v>18.100000000000001</v>
      </c>
      <c r="I330">
        <f>Tableau1[[#This Row],[GHG (kgCO2eq/GJ)]]/1000*3.6</f>
        <v>6.516000000000001E-2</v>
      </c>
      <c r="J330" t="s">
        <v>106</v>
      </c>
      <c r="K330" t="s">
        <v>109</v>
      </c>
    </row>
    <row r="331" spans="1:11" hidden="1" x14ac:dyDescent="0.3">
      <c r="A331" t="s">
        <v>21</v>
      </c>
      <c r="B331" t="s">
        <v>55</v>
      </c>
      <c r="C331" t="s">
        <v>92</v>
      </c>
      <c r="D331">
        <v>2.2203400000000002</v>
      </c>
      <c r="E331">
        <f>Tableau1[[#This Row],[Potential (PJ)]]/3.6*1000</f>
        <v>616.76111111111118</v>
      </c>
      <c r="F331">
        <v>18.841000000000001</v>
      </c>
      <c r="G331">
        <f>Tableau1[[#This Row],[Cost (€/GJ)]]/1000*3.6</f>
        <v>6.7827600000000002E-2</v>
      </c>
      <c r="H331">
        <v>18.100000000000001</v>
      </c>
      <c r="I331">
        <f>Tableau1[[#This Row],[GHG (kgCO2eq/GJ)]]/1000*3.6</f>
        <v>6.516000000000001E-2</v>
      </c>
      <c r="J331" t="s">
        <v>106</v>
      </c>
      <c r="K331" t="s">
        <v>109</v>
      </c>
    </row>
    <row r="332" spans="1:11" hidden="1" x14ac:dyDescent="0.3">
      <c r="A332" t="s">
        <v>21</v>
      </c>
      <c r="B332" t="s">
        <v>56</v>
      </c>
      <c r="C332" t="s">
        <v>93</v>
      </c>
      <c r="D332">
        <v>231.88140000000001</v>
      </c>
      <c r="E332">
        <f>Tableau1[[#This Row],[Potential (PJ)]]/3.6*1000</f>
        <v>64411.500000000007</v>
      </c>
      <c r="F332">
        <v>2.939759036144578</v>
      </c>
      <c r="G332">
        <f>Tableau1[[#This Row],[Cost (€/GJ)]]/1000*3.6</f>
        <v>1.0583132530120481E-2</v>
      </c>
      <c r="H332">
        <v>25.9</v>
      </c>
      <c r="I332">
        <f>Tableau1[[#This Row],[GHG (kgCO2eq/GJ)]]/1000*3.6</f>
        <v>9.3240000000000003E-2</v>
      </c>
      <c r="J332" t="s">
        <v>106</v>
      </c>
      <c r="K332" t="s">
        <v>109</v>
      </c>
    </row>
    <row r="333" spans="1:11" x14ac:dyDescent="0.3">
      <c r="A333" t="s">
        <v>21</v>
      </c>
      <c r="B333" t="s">
        <v>46</v>
      </c>
      <c r="C333" t="s">
        <v>66</v>
      </c>
      <c r="D333">
        <v>6.8999999999999986</v>
      </c>
      <c r="E333">
        <f>Tableau1[[#This Row],[Potential (PJ)]]/3.6*1000</f>
        <v>1916.6666666666663</v>
      </c>
      <c r="F333">
        <v>2.5185507246376808</v>
      </c>
      <c r="G333">
        <f>Tableau1[[#This Row],[Cost (€/GJ)]]/1000*3.6</f>
        <v>9.0667826086956501E-3</v>
      </c>
      <c r="H333">
        <v>6.8428961748633883</v>
      </c>
      <c r="I333">
        <f>Tableau1[[#This Row],[GHG (kgCO2eq/GJ)]]/1000*3.6</f>
        <v>2.4634426229508198E-2</v>
      </c>
      <c r="J333" t="s">
        <v>104</v>
      </c>
      <c r="K333" t="s">
        <v>108</v>
      </c>
    </row>
    <row r="334" spans="1:11" x14ac:dyDescent="0.3">
      <c r="A334" t="s">
        <v>21</v>
      </c>
      <c r="B334" t="s">
        <v>47</v>
      </c>
      <c r="C334" t="s">
        <v>68</v>
      </c>
      <c r="D334">
        <v>77.400000000000006</v>
      </c>
      <c r="E334">
        <f>Tableau1[[#This Row],[Potential (PJ)]]/3.6*1000</f>
        <v>21500</v>
      </c>
      <c r="F334">
        <v>5.1118113695090432</v>
      </c>
      <c r="G334">
        <f>Tableau1[[#This Row],[Cost (€/GJ)]]/1000*3.6</f>
        <v>1.8402520930232556E-2</v>
      </c>
      <c r="H334">
        <v>18.600000000000001</v>
      </c>
      <c r="I334">
        <f>Tableau1[[#This Row],[GHG (kgCO2eq/GJ)]]/1000*3.6</f>
        <v>6.6960000000000006E-2</v>
      </c>
      <c r="J334" t="s">
        <v>104</v>
      </c>
      <c r="K334" t="s">
        <v>109</v>
      </c>
    </row>
    <row r="335" spans="1:11" x14ac:dyDescent="0.3">
      <c r="A335" t="s">
        <v>21</v>
      </c>
      <c r="B335" t="s">
        <v>51</v>
      </c>
      <c r="C335" t="s">
        <v>75</v>
      </c>
      <c r="D335">
        <v>66.190160000000006</v>
      </c>
      <c r="E335">
        <f>Tableau1[[#This Row],[Potential (PJ)]]/3.6*1000</f>
        <v>18386.155555555557</v>
      </c>
      <c r="F335">
        <v>6.3058716180166494E-2</v>
      </c>
      <c r="G335">
        <f>Tableau1[[#This Row],[Cost (€/GJ)]]/1000*3.6</f>
        <v>2.2701137824859941E-4</v>
      </c>
      <c r="H335">
        <v>11.74</v>
      </c>
      <c r="I335">
        <f>Tableau1[[#This Row],[GHG (kgCO2eq/GJ)]]/1000*3.6</f>
        <v>4.2264000000000003E-2</v>
      </c>
      <c r="J335" t="s">
        <v>104</v>
      </c>
      <c r="K335" t="s">
        <v>108</v>
      </c>
    </row>
    <row r="336" spans="1:11" x14ac:dyDescent="0.3">
      <c r="A336" t="s">
        <v>21</v>
      </c>
      <c r="B336" t="s">
        <v>46</v>
      </c>
      <c r="C336" t="s">
        <v>63</v>
      </c>
      <c r="D336">
        <v>3.2000000000000001E-2</v>
      </c>
      <c r="E336">
        <f>Tableau1[[#This Row],[Potential (PJ)]]/3.6*1000</f>
        <v>8.8888888888888893</v>
      </c>
      <c r="F336">
        <v>2.9286474973375931</v>
      </c>
      <c r="G336">
        <f>Tableau1[[#This Row],[Cost (€/GJ)]]/1000*3.6</f>
        <v>1.0543130990415334E-2</v>
      </c>
      <c r="H336">
        <v>3.950479233226837</v>
      </c>
      <c r="I336">
        <f>Tableau1[[#This Row],[GHG (kgCO2eq/GJ)]]/1000*3.6</f>
        <v>1.4221725239616614E-2</v>
      </c>
      <c r="J336" t="s">
        <v>104</v>
      </c>
      <c r="K336" t="s">
        <v>108</v>
      </c>
    </row>
    <row r="337" spans="1:11" x14ac:dyDescent="0.3">
      <c r="A337" t="s">
        <v>21</v>
      </c>
      <c r="B337" t="s">
        <v>46</v>
      </c>
      <c r="C337" t="s">
        <v>82</v>
      </c>
      <c r="D337">
        <v>4.5999999999999996</v>
      </c>
      <c r="E337">
        <f>Tableau1[[#This Row],[Potential (PJ)]]/3.6*1000</f>
        <v>1277.7777777777776</v>
      </c>
      <c r="F337">
        <v>1.660521739130435</v>
      </c>
      <c r="G337">
        <f>Tableau1[[#This Row],[Cost (€/GJ)]]/1000*3.6</f>
        <v>5.9778782608695654E-3</v>
      </c>
      <c r="H337">
        <v>6.8428961748633883</v>
      </c>
      <c r="I337">
        <f>Tableau1[[#This Row],[GHG (kgCO2eq/GJ)]]/1000*3.6</f>
        <v>2.4634426229508198E-2</v>
      </c>
      <c r="J337" t="s">
        <v>104</v>
      </c>
      <c r="K337" t="s">
        <v>108</v>
      </c>
    </row>
    <row r="338" spans="1:11" x14ac:dyDescent="0.3">
      <c r="A338" t="s">
        <v>21</v>
      </c>
      <c r="B338" t="s">
        <v>61</v>
      </c>
      <c r="C338" t="s">
        <v>99</v>
      </c>
      <c r="D338">
        <v>5.3</v>
      </c>
      <c r="E338">
        <f>Tableau1[[#This Row],[Potential (PJ)]]/3.6*1000</f>
        <v>1472.2222222222222</v>
      </c>
      <c r="F338">
        <v>1.86611320754717</v>
      </c>
      <c r="G338">
        <f>Tableau1[[#This Row],[Cost (€/GJ)]]/1000*3.6</f>
        <v>6.7180075471698119E-3</v>
      </c>
      <c r="H338">
        <v>2.9245635910224439</v>
      </c>
      <c r="I338">
        <f>Tableau1[[#This Row],[GHG (kgCO2eq/GJ)]]/1000*3.6</f>
        <v>1.0528428927680798E-2</v>
      </c>
      <c r="J338" t="s">
        <v>104</v>
      </c>
      <c r="K338" t="s">
        <v>108</v>
      </c>
    </row>
    <row r="339" spans="1:11" x14ac:dyDescent="0.3">
      <c r="A339" t="s">
        <v>21</v>
      </c>
      <c r="B339" t="s">
        <v>48</v>
      </c>
      <c r="C339" t="s">
        <v>70</v>
      </c>
      <c r="D339">
        <v>5.8999999999999986</v>
      </c>
      <c r="E339">
        <f>Tableau1[[#This Row],[Potential (PJ)]]/3.6*1000</f>
        <v>1638.8888888888885</v>
      </c>
      <c r="F339">
        <v>10.050186440677971</v>
      </c>
      <c r="G339">
        <f>Tableau1[[#This Row],[Cost (€/GJ)]]/1000*3.6</f>
        <v>3.6180671186440694E-2</v>
      </c>
      <c r="H339">
        <v>15.2</v>
      </c>
      <c r="I339">
        <f>Tableau1[[#This Row],[GHG (kgCO2eq/GJ)]]/1000*3.6</f>
        <v>5.4719999999999998E-2</v>
      </c>
      <c r="J339" t="s">
        <v>104</v>
      </c>
      <c r="K339" t="s">
        <v>109</v>
      </c>
    </row>
    <row r="340" spans="1:11" hidden="1" x14ac:dyDescent="0.3">
      <c r="A340" t="s">
        <v>21</v>
      </c>
      <c r="B340" t="s">
        <v>50</v>
      </c>
      <c r="C340" t="s">
        <v>73</v>
      </c>
      <c r="D340">
        <v>9.5</v>
      </c>
      <c r="E340">
        <f>Tableau1[[#This Row],[Potential (PJ)]]/3.6*1000</f>
        <v>2638.8888888888887</v>
      </c>
      <c r="F340">
        <v>5.5659789473684196</v>
      </c>
      <c r="G340">
        <f>Tableau1[[#This Row],[Cost (€/GJ)]]/1000*3.6</f>
        <v>2.0037524210526313E-2</v>
      </c>
      <c r="H340">
        <v>20.723404255319149</v>
      </c>
      <c r="I340">
        <f>Tableau1[[#This Row],[GHG (kgCO2eq/GJ)]]/1000*3.6</f>
        <v>7.4604255319148938E-2</v>
      </c>
      <c r="J340" t="s">
        <v>105</v>
      </c>
      <c r="K340" t="s">
        <v>108</v>
      </c>
    </row>
    <row r="341" spans="1:11" hidden="1" x14ac:dyDescent="0.3">
      <c r="A341" t="s">
        <v>21</v>
      </c>
      <c r="B341" t="s">
        <v>50</v>
      </c>
      <c r="C341" t="s">
        <v>74</v>
      </c>
      <c r="D341">
        <v>46.5</v>
      </c>
      <c r="E341">
        <f>Tableau1[[#This Row],[Potential (PJ)]]/3.6*1000</f>
        <v>12916.666666666666</v>
      </c>
      <c r="F341">
        <v>6.3327440860215054</v>
      </c>
      <c r="G341">
        <f>Tableau1[[#This Row],[Cost (€/GJ)]]/1000*3.6</f>
        <v>2.2797878709677422E-2</v>
      </c>
      <c r="H341">
        <v>2.0635593220338988</v>
      </c>
      <c r="I341">
        <f>Tableau1[[#This Row],[GHG (kgCO2eq/GJ)]]/1000*3.6</f>
        <v>7.4288135593220351E-3</v>
      </c>
      <c r="J341" t="s">
        <v>105</v>
      </c>
      <c r="K341" t="s">
        <v>108</v>
      </c>
    </row>
    <row r="342" spans="1:11" hidden="1" x14ac:dyDescent="0.3">
      <c r="A342" t="s">
        <v>21</v>
      </c>
      <c r="B342" t="s">
        <v>59</v>
      </c>
      <c r="C342" t="s">
        <v>96</v>
      </c>
      <c r="D342">
        <v>0.45229999999999998</v>
      </c>
      <c r="E342">
        <f>Tableau1[[#This Row],[Potential (PJ)]]/3.6*1000</f>
        <v>125.63888888888889</v>
      </c>
      <c r="F342">
        <v>28.434000000000001</v>
      </c>
      <c r="G342">
        <f>Tableau1[[#This Row],[Cost (€/GJ)]]/1000*3.6</f>
        <v>0.10236240000000001</v>
      </c>
      <c r="H342">
        <v>24.2</v>
      </c>
      <c r="I342">
        <f>Tableau1[[#This Row],[GHG (kgCO2eq/GJ)]]/1000*3.6</f>
        <v>8.7120000000000003E-2</v>
      </c>
      <c r="J342" t="s">
        <v>107</v>
      </c>
      <c r="K342" t="s">
        <v>109</v>
      </c>
    </row>
    <row r="343" spans="1:11" hidden="1" x14ac:dyDescent="0.3">
      <c r="A343" t="s">
        <v>21</v>
      </c>
      <c r="B343" t="s">
        <v>59</v>
      </c>
      <c r="C343" t="s">
        <v>97</v>
      </c>
      <c r="D343">
        <v>7.2530000000000001</v>
      </c>
      <c r="E343">
        <f>Tableau1[[#This Row],[Potential (PJ)]]/3.6*1000</f>
        <v>2014.7222222222224</v>
      </c>
      <c r="F343">
        <v>18.393922951709168</v>
      </c>
      <c r="G343">
        <f>Tableau1[[#This Row],[Cost (€/GJ)]]/1000*3.6</f>
        <v>6.6218122626153009E-2</v>
      </c>
      <c r="H343">
        <v>24.2</v>
      </c>
      <c r="I343">
        <f>Tableau1[[#This Row],[GHG (kgCO2eq/GJ)]]/1000*3.6</f>
        <v>8.7120000000000003E-2</v>
      </c>
      <c r="J343" t="s">
        <v>107</v>
      </c>
      <c r="K343" t="s">
        <v>109</v>
      </c>
    </row>
    <row r="344" spans="1:11" x14ac:dyDescent="0.3">
      <c r="A344" t="s">
        <v>21</v>
      </c>
      <c r="B344" t="s">
        <v>46</v>
      </c>
      <c r="C344" t="s">
        <v>83</v>
      </c>
      <c r="D344">
        <v>0.36298000000000002</v>
      </c>
      <c r="E344">
        <f>Tableau1[[#This Row],[Potential (PJ)]]/3.6*1000</f>
        <v>100.82777777777778</v>
      </c>
      <c r="F344">
        <v>2.3263846492919722</v>
      </c>
      <c r="G344">
        <f>Tableau1[[#This Row],[Cost (€/GJ)]]/1000*3.6</f>
        <v>8.3749847374511004E-3</v>
      </c>
      <c r="H344">
        <v>6.8428961748633883</v>
      </c>
      <c r="I344">
        <f>Tableau1[[#This Row],[GHG (kgCO2eq/GJ)]]/1000*3.6</f>
        <v>2.4634426229508198E-2</v>
      </c>
      <c r="J344" t="s">
        <v>104</v>
      </c>
      <c r="K344" t="s">
        <v>108</v>
      </c>
    </row>
    <row r="345" spans="1:11" hidden="1" x14ac:dyDescent="0.3">
      <c r="A345" t="s">
        <v>21</v>
      </c>
      <c r="B345" t="s">
        <v>60</v>
      </c>
      <c r="C345" t="s">
        <v>98</v>
      </c>
      <c r="D345">
        <v>57.40598</v>
      </c>
      <c r="E345">
        <f>Tableau1[[#This Row],[Potential (PJ)]]/3.6*1000</f>
        <v>15946.105555555554</v>
      </c>
      <c r="F345">
        <v>17.3469387755102</v>
      </c>
      <c r="G345">
        <f>Tableau1[[#This Row],[Cost (€/GJ)]]/1000*3.6</f>
        <v>6.244897959183672E-2</v>
      </c>
      <c r="H345">
        <v>26.3</v>
      </c>
      <c r="I345">
        <f>Tableau1[[#This Row],[GHG (kgCO2eq/GJ)]]/1000*3.6</f>
        <v>9.468E-2</v>
      </c>
      <c r="J345" t="s">
        <v>107</v>
      </c>
      <c r="K345" t="s">
        <v>109</v>
      </c>
    </row>
    <row r="346" spans="1:11" hidden="1" x14ac:dyDescent="0.3">
      <c r="A346" t="s">
        <v>21</v>
      </c>
      <c r="B346" t="s">
        <v>52</v>
      </c>
      <c r="C346" t="s">
        <v>76</v>
      </c>
      <c r="D346">
        <v>6.0000000000000001E-3</v>
      </c>
      <c r="E346">
        <f>Tableau1[[#This Row],[Potential (PJ)]]/3.6*1000</f>
        <v>1.6666666666666665</v>
      </c>
      <c r="F346">
        <v>6.1837425000000001</v>
      </c>
      <c r="G346">
        <f>Tableau1[[#This Row],[Cost (€/GJ)]]/1000*3.6</f>
        <v>2.2261473000000004E-2</v>
      </c>
      <c r="H346">
        <v>12.68872359754714</v>
      </c>
      <c r="I346">
        <f>Tableau1[[#This Row],[GHG (kgCO2eq/GJ)]]/1000*3.6</f>
        <v>4.5679404951169705E-2</v>
      </c>
      <c r="J346" t="s">
        <v>105</v>
      </c>
      <c r="K346" t="s">
        <v>108</v>
      </c>
    </row>
    <row r="347" spans="1:11" x14ac:dyDescent="0.3">
      <c r="A347" t="s">
        <v>21</v>
      </c>
      <c r="B347" t="s">
        <v>62</v>
      </c>
      <c r="C347" t="s">
        <v>100</v>
      </c>
      <c r="D347">
        <v>1.4</v>
      </c>
      <c r="E347">
        <f>Tableau1[[#This Row],[Potential (PJ)]]/3.6*1000</f>
        <v>388.88888888888886</v>
      </c>
      <c r="F347">
        <v>0.12857142857142859</v>
      </c>
      <c r="G347">
        <f>Tableau1[[#This Row],[Cost (€/GJ)]]/1000*3.6</f>
        <v>4.6285714285714289E-4</v>
      </c>
      <c r="H347">
        <v>2.6764106050305911</v>
      </c>
      <c r="I347">
        <f>Tableau1[[#This Row],[GHG (kgCO2eq/GJ)]]/1000*3.6</f>
        <v>9.6350781781101291E-3</v>
      </c>
      <c r="J347" t="s">
        <v>104</v>
      </c>
      <c r="K347" t="s">
        <v>108</v>
      </c>
    </row>
    <row r="348" spans="1:11" x14ac:dyDescent="0.3">
      <c r="A348" t="s">
        <v>21</v>
      </c>
      <c r="B348" t="s">
        <v>47</v>
      </c>
      <c r="C348" t="s">
        <v>69</v>
      </c>
      <c r="D348">
        <v>74.400000000000006</v>
      </c>
      <c r="E348">
        <f>Tableau1[[#This Row],[Potential (PJ)]]/3.6*1000</f>
        <v>20666.666666666668</v>
      </c>
      <c r="F348">
        <v>4.7767069892473124</v>
      </c>
      <c r="G348">
        <f>Tableau1[[#This Row],[Cost (€/GJ)]]/1000*3.6</f>
        <v>1.7196145161290324E-2</v>
      </c>
      <c r="H348">
        <v>18.600000000000001</v>
      </c>
      <c r="I348">
        <f>Tableau1[[#This Row],[GHG (kgCO2eq/GJ)]]/1000*3.6</f>
        <v>6.6960000000000006E-2</v>
      </c>
      <c r="J348" t="s">
        <v>104</v>
      </c>
      <c r="K348" t="s">
        <v>109</v>
      </c>
    </row>
    <row r="349" spans="1:11" x14ac:dyDescent="0.3">
      <c r="A349" t="s">
        <v>21</v>
      </c>
      <c r="B349" t="s">
        <v>46</v>
      </c>
      <c r="C349" t="s">
        <v>85</v>
      </c>
      <c r="D349">
        <v>1.3</v>
      </c>
      <c r="E349">
        <f>Tableau1[[#This Row],[Potential (PJ)]]/3.6*1000</f>
        <v>361.11111111111109</v>
      </c>
      <c r="F349">
        <v>4.1523076923076916</v>
      </c>
      <c r="G349">
        <f>Tableau1[[#This Row],[Cost (€/GJ)]]/1000*3.6</f>
        <v>1.494830769230769E-2</v>
      </c>
      <c r="H349">
        <v>2.9521711768407801</v>
      </c>
      <c r="I349">
        <f>Tableau1[[#This Row],[GHG (kgCO2eq/GJ)]]/1000*3.6</f>
        <v>1.0627816236626808E-2</v>
      </c>
      <c r="J349" t="s">
        <v>104</v>
      </c>
      <c r="K349" t="s">
        <v>108</v>
      </c>
    </row>
    <row r="350" spans="1:11" x14ac:dyDescent="0.3">
      <c r="A350" t="s">
        <v>21</v>
      </c>
      <c r="B350" t="s">
        <v>57</v>
      </c>
      <c r="C350" t="s">
        <v>94</v>
      </c>
      <c r="D350">
        <v>61.5</v>
      </c>
      <c r="E350">
        <f>Tableau1[[#This Row],[Potential (PJ)]]/3.6*1000</f>
        <v>17083.333333333332</v>
      </c>
      <c r="F350">
        <v>8.2973414634146341</v>
      </c>
      <c r="G350">
        <f>Tableau1[[#This Row],[Cost (€/GJ)]]/1000*3.6</f>
        <v>2.9870429268292684E-2</v>
      </c>
      <c r="H350">
        <v>15.2</v>
      </c>
      <c r="I350">
        <f>Tableau1[[#This Row],[GHG (kgCO2eq/GJ)]]/1000*3.6</f>
        <v>5.4719999999999998E-2</v>
      </c>
      <c r="J350" t="s">
        <v>104</v>
      </c>
      <c r="K350" t="s">
        <v>109</v>
      </c>
    </row>
    <row r="351" spans="1:11" hidden="1" x14ac:dyDescent="0.3">
      <c r="A351" t="s">
        <v>22</v>
      </c>
      <c r="B351" t="s">
        <v>46</v>
      </c>
      <c r="C351" t="s">
        <v>103</v>
      </c>
      <c r="D351">
        <v>2.7570000000000001</v>
      </c>
      <c r="E351">
        <f>Tableau1[[#This Row],[Potential (PJ)]]/3.6*1000</f>
        <v>765.83333333333337</v>
      </c>
      <c r="F351">
        <v>0</v>
      </c>
      <c r="G351">
        <f>Tableau1[[#This Row],[Cost (€/GJ)]]/1000*3.6</f>
        <v>0</v>
      </c>
      <c r="I351">
        <f>Tableau1[[#This Row],[GHG (kgCO2eq/GJ)]]/1000*3.6</f>
        <v>0</v>
      </c>
    </row>
    <row r="352" spans="1:11" hidden="1" x14ac:dyDescent="0.3">
      <c r="A352" t="s">
        <v>22</v>
      </c>
      <c r="B352" t="s">
        <v>46</v>
      </c>
      <c r="C352" t="s">
        <v>63</v>
      </c>
      <c r="D352">
        <v>1.06E-2</v>
      </c>
      <c r="E352">
        <f>Tableau1[[#This Row],[Potential (PJ)]]/3.6*1000</f>
        <v>2.9444444444444442</v>
      </c>
      <c r="F352">
        <v>2.9286474973375931</v>
      </c>
      <c r="G352">
        <f>Tableau1[[#This Row],[Cost (€/GJ)]]/1000*3.6</f>
        <v>1.0543130990415334E-2</v>
      </c>
      <c r="H352">
        <v>3.950479233226837</v>
      </c>
      <c r="I352">
        <f>Tableau1[[#This Row],[GHG (kgCO2eq/GJ)]]/1000*3.6</f>
        <v>1.4221725239616614E-2</v>
      </c>
      <c r="J352" t="s">
        <v>104</v>
      </c>
      <c r="K352" t="s">
        <v>108</v>
      </c>
    </row>
    <row r="353" spans="1:11" hidden="1" x14ac:dyDescent="0.3">
      <c r="A353" t="s">
        <v>22</v>
      </c>
      <c r="B353" t="s">
        <v>46</v>
      </c>
      <c r="C353" t="s">
        <v>80</v>
      </c>
      <c r="D353">
        <v>0.44600000000000012</v>
      </c>
      <c r="E353">
        <f>Tableau1[[#This Row],[Potential (PJ)]]/3.6*1000</f>
        <v>123.88888888888893</v>
      </c>
      <c r="F353">
        <v>0.91773432231962238</v>
      </c>
      <c r="G353">
        <f>Tableau1[[#This Row],[Cost (€/GJ)]]/1000*3.6</f>
        <v>3.3038435603506408E-3</v>
      </c>
      <c r="H353">
        <v>28.139870918023309</v>
      </c>
      <c r="I353">
        <f>Tableau1[[#This Row],[GHG (kgCO2eq/GJ)]]/1000*3.6</f>
        <v>0.10130353530488391</v>
      </c>
      <c r="J353" t="s">
        <v>105</v>
      </c>
      <c r="K353" t="s">
        <v>108</v>
      </c>
    </row>
    <row r="354" spans="1:11" hidden="1" x14ac:dyDescent="0.3">
      <c r="A354" t="s">
        <v>22</v>
      </c>
      <c r="B354" t="s">
        <v>46</v>
      </c>
      <c r="C354" t="s">
        <v>81</v>
      </c>
      <c r="D354">
        <v>0.33939999999999998</v>
      </c>
      <c r="E354">
        <f>Tableau1[[#This Row],[Potential (PJ)]]/3.6*1000</f>
        <v>94.277777777777771</v>
      </c>
      <c r="F354">
        <v>3.6856639247943601</v>
      </c>
      <c r="G354">
        <f>Tableau1[[#This Row],[Cost (€/GJ)]]/1000*3.6</f>
        <v>1.3268390129259696E-2</v>
      </c>
      <c r="H354">
        <v>8.9647473560517046</v>
      </c>
      <c r="I354">
        <f>Tableau1[[#This Row],[GHG (kgCO2eq/GJ)]]/1000*3.6</f>
        <v>3.2273090481786136E-2</v>
      </c>
      <c r="J354" t="s">
        <v>105</v>
      </c>
      <c r="K354" t="s">
        <v>108</v>
      </c>
    </row>
    <row r="355" spans="1:11" hidden="1" x14ac:dyDescent="0.3">
      <c r="A355" t="s">
        <v>22</v>
      </c>
      <c r="B355" t="s">
        <v>55</v>
      </c>
      <c r="C355" t="s">
        <v>87</v>
      </c>
      <c r="D355">
        <v>40.159799999999997</v>
      </c>
      <c r="E355">
        <f>Tableau1[[#This Row],[Potential (PJ)]]/3.6*1000</f>
        <v>11155.499999999998</v>
      </c>
      <c r="F355">
        <v>11.885999999999999</v>
      </c>
      <c r="G355">
        <f>Tableau1[[#This Row],[Cost (€/GJ)]]/1000*3.6</f>
        <v>4.2789599999999997E-2</v>
      </c>
      <c r="H355">
        <v>11.5</v>
      </c>
      <c r="I355">
        <f>Tableau1[[#This Row],[GHG (kgCO2eq/GJ)]]/1000*3.6</f>
        <v>4.1399999999999999E-2</v>
      </c>
      <c r="J355" t="s">
        <v>106</v>
      </c>
      <c r="K355" t="s">
        <v>109</v>
      </c>
    </row>
    <row r="356" spans="1:11" hidden="1" x14ac:dyDescent="0.3">
      <c r="A356" t="s">
        <v>22</v>
      </c>
      <c r="B356" t="s">
        <v>55</v>
      </c>
      <c r="C356" t="s">
        <v>88</v>
      </c>
      <c r="D356">
        <v>1.1352</v>
      </c>
      <c r="E356">
        <f>Tableau1[[#This Row],[Potential (PJ)]]/3.6*1000</f>
        <v>315.33333333333331</v>
      </c>
      <c r="F356">
        <v>12.923999999999999</v>
      </c>
      <c r="G356">
        <f>Tableau1[[#This Row],[Cost (€/GJ)]]/1000*3.6</f>
        <v>4.6526400000000002E-2</v>
      </c>
      <c r="H356">
        <v>11.5</v>
      </c>
      <c r="I356">
        <f>Tableau1[[#This Row],[GHG (kgCO2eq/GJ)]]/1000*3.6</f>
        <v>4.1399999999999999E-2</v>
      </c>
      <c r="J356" t="s">
        <v>106</v>
      </c>
      <c r="K356" t="s">
        <v>109</v>
      </c>
    </row>
    <row r="357" spans="1:11" hidden="1" x14ac:dyDescent="0.3">
      <c r="A357" t="s">
        <v>22</v>
      </c>
      <c r="B357" t="s">
        <v>55</v>
      </c>
      <c r="C357" t="s">
        <v>89</v>
      </c>
      <c r="D357">
        <v>5.0000000000000001E-4</v>
      </c>
      <c r="E357">
        <f>Tableau1[[#This Row],[Potential (PJ)]]/3.6*1000</f>
        <v>0.1388888888888889</v>
      </c>
      <c r="F357">
        <v>0</v>
      </c>
      <c r="G357">
        <f>Tableau1[[#This Row],[Cost (€/GJ)]]/1000*3.6</f>
        <v>0</v>
      </c>
      <c r="H357">
        <v>11.5</v>
      </c>
      <c r="I357">
        <f>Tableau1[[#This Row],[GHG (kgCO2eq/GJ)]]/1000*3.6</f>
        <v>4.1399999999999999E-2</v>
      </c>
      <c r="J357" t="s">
        <v>106</v>
      </c>
      <c r="K357" t="s">
        <v>109</v>
      </c>
    </row>
    <row r="358" spans="1:11" hidden="1" x14ac:dyDescent="0.3">
      <c r="A358" t="s">
        <v>22</v>
      </c>
      <c r="B358" t="s">
        <v>49</v>
      </c>
      <c r="C358" t="s">
        <v>71</v>
      </c>
      <c r="D358">
        <v>3.3324799999999999</v>
      </c>
      <c r="E358">
        <f>Tableau1[[#This Row],[Potential (PJ)]]/3.6*1000</f>
        <v>925.68888888888875</v>
      </c>
      <c r="F358">
        <v>2.431</v>
      </c>
      <c r="G358">
        <f>Tableau1[[#This Row],[Cost (€/GJ)]]/1000*3.6</f>
        <v>8.7516E-3</v>
      </c>
      <c r="H358">
        <v>3.86607608129234</v>
      </c>
      <c r="I358">
        <f>Tableau1[[#This Row],[GHG (kgCO2eq/GJ)]]/1000*3.6</f>
        <v>1.3917873892652425E-2</v>
      </c>
      <c r="J358" t="s">
        <v>104</v>
      </c>
      <c r="K358" t="s">
        <v>108</v>
      </c>
    </row>
    <row r="359" spans="1:11" hidden="1" x14ac:dyDescent="0.3">
      <c r="A359" t="s">
        <v>22</v>
      </c>
      <c r="B359" t="s">
        <v>49</v>
      </c>
      <c r="C359" t="s">
        <v>72</v>
      </c>
      <c r="D359">
        <v>0.6</v>
      </c>
      <c r="E359">
        <f>Tableau1[[#This Row],[Potential (PJ)]]/3.6*1000</f>
        <v>166.66666666666666</v>
      </c>
      <c r="F359">
        <v>1.669</v>
      </c>
      <c r="G359">
        <f>Tableau1[[#This Row],[Cost (€/GJ)]]/1000*3.6</f>
        <v>6.0084000000000005E-3</v>
      </c>
      <c r="H359">
        <v>3.86607608129234</v>
      </c>
      <c r="I359">
        <f>Tableau1[[#This Row],[GHG (kgCO2eq/GJ)]]/1000*3.6</f>
        <v>1.3917873892652425E-2</v>
      </c>
      <c r="J359" t="s">
        <v>104</v>
      </c>
      <c r="K359" t="s">
        <v>108</v>
      </c>
    </row>
    <row r="360" spans="1:11" hidden="1" x14ac:dyDescent="0.3">
      <c r="A360" t="s">
        <v>22</v>
      </c>
      <c r="B360" t="s">
        <v>58</v>
      </c>
      <c r="C360" t="s">
        <v>103</v>
      </c>
      <c r="D360">
        <v>0.49330000000000002</v>
      </c>
      <c r="E360">
        <f>Tableau1[[#This Row],[Potential (PJ)]]/3.6*1000</f>
        <v>137.02777777777777</v>
      </c>
      <c r="F360">
        <v>0</v>
      </c>
      <c r="G360">
        <f>Tableau1[[#This Row],[Cost (€/GJ)]]/1000*3.6</f>
        <v>0</v>
      </c>
      <c r="I360">
        <f>Tableau1[[#This Row],[GHG (kgCO2eq/GJ)]]/1000*3.6</f>
        <v>0</v>
      </c>
    </row>
    <row r="361" spans="1:11" hidden="1" x14ac:dyDescent="0.3">
      <c r="A361" t="s">
        <v>22</v>
      </c>
      <c r="B361" t="s">
        <v>50</v>
      </c>
      <c r="C361" t="s">
        <v>103</v>
      </c>
      <c r="D361">
        <v>2.3764059999999998</v>
      </c>
      <c r="E361">
        <f>Tableau1[[#This Row],[Potential (PJ)]]/3.6*1000</f>
        <v>660.11277777777764</v>
      </c>
      <c r="F361">
        <v>0</v>
      </c>
      <c r="G361">
        <f>Tableau1[[#This Row],[Cost (€/GJ)]]/1000*3.6</f>
        <v>0</v>
      </c>
      <c r="I361">
        <f>Tableau1[[#This Row],[GHG (kgCO2eq/GJ)]]/1000*3.6</f>
        <v>0</v>
      </c>
    </row>
    <row r="362" spans="1:11" hidden="1" x14ac:dyDescent="0.3">
      <c r="A362" t="s">
        <v>22</v>
      </c>
      <c r="B362" t="s">
        <v>51</v>
      </c>
      <c r="C362" t="s">
        <v>75</v>
      </c>
      <c r="D362">
        <v>6.4668000000000003E-2</v>
      </c>
      <c r="E362">
        <f>Tableau1[[#This Row],[Potential (PJ)]]/3.6*1000</f>
        <v>17.963333333333335</v>
      </c>
      <c r="F362">
        <v>2.77931548993142E-2</v>
      </c>
      <c r="G362">
        <f>Tableau1[[#This Row],[Cost (€/GJ)]]/1000*3.6</f>
        <v>1.0005535763753112E-4</v>
      </c>
      <c r="H362">
        <v>11.74</v>
      </c>
      <c r="I362">
        <f>Tableau1[[#This Row],[GHG (kgCO2eq/GJ)]]/1000*3.6</f>
        <v>4.2264000000000003E-2</v>
      </c>
      <c r="J362" t="s">
        <v>104</v>
      </c>
      <c r="K362" t="s">
        <v>108</v>
      </c>
    </row>
    <row r="363" spans="1:11" hidden="1" x14ac:dyDescent="0.3">
      <c r="A363" t="s">
        <v>22</v>
      </c>
      <c r="B363" t="s">
        <v>52</v>
      </c>
      <c r="C363" t="s">
        <v>76</v>
      </c>
      <c r="D363">
        <v>2.7E-2</v>
      </c>
      <c r="E363">
        <f>Tableau1[[#This Row],[Potential (PJ)]]/3.6*1000</f>
        <v>7.5</v>
      </c>
      <c r="F363">
        <v>6.1837425000000001</v>
      </c>
      <c r="G363">
        <f>Tableau1[[#This Row],[Cost (€/GJ)]]/1000*3.6</f>
        <v>2.2261473000000004E-2</v>
      </c>
      <c r="H363">
        <v>12.68872359754714</v>
      </c>
      <c r="I363">
        <f>Tableau1[[#This Row],[GHG (kgCO2eq/GJ)]]/1000*3.6</f>
        <v>4.5679404951169705E-2</v>
      </c>
      <c r="J363" t="s">
        <v>105</v>
      </c>
      <c r="K363" t="s">
        <v>108</v>
      </c>
    </row>
    <row r="364" spans="1:11" hidden="1" x14ac:dyDescent="0.3">
      <c r="A364" t="s">
        <v>22</v>
      </c>
      <c r="B364" t="s">
        <v>53</v>
      </c>
      <c r="C364" t="s">
        <v>77</v>
      </c>
      <c r="D364">
        <v>3.3303099999999999</v>
      </c>
      <c r="E364">
        <f>Tableau1[[#This Row],[Potential (PJ)]]/3.6*1000</f>
        <v>925.08611111111111</v>
      </c>
      <c r="F364">
        <v>1.669</v>
      </c>
      <c r="G364">
        <f>Tableau1[[#This Row],[Cost (€/GJ)]]/1000*3.6</f>
        <v>6.0084000000000005E-3</v>
      </c>
      <c r="H364">
        <v>3.86607608129234</v>
      </c>
      <c r="I364">
        <f>Tableau1[[#This Row],[GHG (kgCO2eq/GJ)]]/1000*3.6</f>
        <v>1.3917873892652425E-2</v>
      </c>
      <c r="J364" t="s">
        <v>104</v>
      </c>
      <c r="K364" t="s">
        <v>108</v>
      </c>
    </row>
    <row r="365" spans="1:11" hidden="1" x14ac:dyDescent="0.3">
      <c r="A365" t="s">
        <v>22</v>
      </c>
      <c r="B365" t="s">
        <v>61</v>
      </c>
      <c r="C365" t="s">
        <v>103</v>
      </c>
      <c r="D365">
        <v>0.127697</v>
      </c>
      <c r="E365">
        <f>Tableau1[[#This Row],[Potential (PJ)]]/3.6*1000</f>
        <v>35.471388888888896</v>
      </c>
      <c r="F365">
        <v>0</v>
      </c>
      <c r="G365">
        <f>Tableau1[[#This Row],[Cost (€/GJ)]]/1000*3.6</f>
        <v>0</v>
      </c>
      <c r="I365">
        <f>Tableau1[[#This Row],[GHG (kgCO2eq/GJ)]]/1000*3.6</f>
        <v>0</v>
      </c>
    </row>
    <row r="366" spans="1:11" hidden="1" x14ac:dyDescent="0.3">
      <c r="A366" t="s">
        <v>22</v>
      </c>
      <c r="B366" t="s">
        <v>62</v>
      </c>
      <c r="C366" t="s">
        <v>103</v>
      </c>
      <c r="D366">
        <v>3.9385000000000003E-2</v>
      </c>
      <c r="E366">
        <f>Tableau1[[#This Row],[Potential (PJ)]]/3.6*1000</f>
        <v>10.940277777777778</v>
      </c>
      <c r="F366">
        <v>0</v>
      </c>
      <c r="G366">
        <f>Tableau1[[#This Row],[Cost (€/GJ)]]/1000*3.6</f>
        <v>0</v>
      </c>
      <c r="I366">
        <f>Tableau1[[#This Row],[GHG (kgCO2eq/GJ)]]/1000*3.6</f>
        <v>0</v>
      </c>
    </row>
    <row r="367" spans="1:11" hidden="1" x14ac:dyDescent="0.3">
      <c r="A367" t="s">
        <v>22</v>
      </c>
      <c r="B367" t="s">
        <v>54</v>
      </c>
      <c r="C367" t="s">
        <v>78</v>
      </c>
      <c r="D367">
        <v>18.399999999999999</v>
      </c>
      <c r="E367">
        <f>Tableau1[[#This Row],[Potential (PJ)]]/3.6*1000</f>
        <v>5111.1111111111104</v>
      </c>
      <c r="F367">
        <v>3.0169999999999999</v>
      </c>
      <c r="G367">
        <f>Tableau1[[#This Row],[Cost (€/GJ)]]/1000*3.6</f>
        <v>1.08612E-2</v>
      </c>
      <c r="H367">
        <v>3.86607608129234</v>
      </c>
      <c r="I367">
        <f>Tableau1[[#This Row],[GHG (kgCO2eq/GJ)]]/1000*3.6</f>
        <v>1.3917873892652425E-2</v>
      </c>
      <c r="J367" t="s">
        <v>104</v>
      </c>
      <c r="K367" t="s">
        <v>108</v>
      </c>
    </row>
    <row r="368" spans="1:11" hidden="1" x14ac:dyDescent="0.3">
      <c r="A368" t="s">
        <v>23</v>
      </c>
      <c r="B368" t="s">
        <v>46</v>
      </c>
      <c r="C368" t="s">
        <v>64</v>
      </c>
      <c r="D368">
        <v>0.12109</v>
      </c>
      <c r="E368">
        <f>Tableau1[[#This Row],[Potential (PJ)]]/3.6*1000</f>
        <v>33.636111111111113</v>
      </c>
      <c r="F368">
        <v>5.0987064992980429</v>
      </c>
      <c r="G368">
        <f>Tableau1[[#This Row],[Cost (€/GJ)]]/1000*3.6</f>
        <v>1.8355343397472954E-2</v>
      </c>
      <c r="H368">
        <v>2.9521711768407801</v>
      </c>
      <c r="I368">
        <f>Tableau1[[#This Row],[GHG (kgCO2eq/GJ)]]/1000*3.6</f>
        <v>1.0627816236626808E-2</v>
      </c>
      <c r="J368" t="s">
        <v>104</v>
      </c>
      <c r="K368" t="s">
        <v>108</v>
      </c>
    </row>
    <row r="369" spans="1:11" hidden="1" x14ac:dyDescent="0.3">
      <c r="A369" t="s">
        <v>23</v>
      </c>
      <c r="B369" t="s">
        <v>46</v>
      </c>
      <c r="C369" t="s">
        <v>79</v>
      </c>
      <c r="D369">
        <v>14.5</v>
      </c>
      <c r="E369">
        <f>Tableau1[[#This Row],[Potential (PJ)]]/3.6*1000</f>
        <v>4027.7777777777778</v>
      </c>
      <c r="F369">
        <v>3.1965172413793099</v>
      </c>
      <c r="G369">
        <f>Tableau1[[#This Row],[Cost (€/GJ)]]/1000*3.6</f>
        <v>1.1507462068965517E-2</v>
      </c>
      <c r="H369">
        <v>6.8428961748633883</v>
      </c>
      <c r="I369">
        <f>Tableau1[[#This Row],[GHG (kgCO2eq/GJ)]]/1000*3.6</f>
        <v>2.4634426229508198E-2</v>
      </c>
      <c r="J369" t="s">
        <v>104</v>
      </c>
      <c r="K369" t="s">
        <v>108</v>
      </c>
    </row>
    <row r="370" spans="1:11" hidden="1" x14ac:dyDescent="0.3">
      <c r="A370" t="s">
        <v>23</v>
      </c>
      <c r="B370" t="s">
        <v>46</v>
      </c>
      <c r="C370" t="s">
        <v>80</v>
      </c>
      <c r="D370">
        <v>0.62409999999999999</v>
      </c>
      <c r="E370">
        <f>Tableau1[[#This Row],[Potential (PJ)]]/3.6*1000</f>
        <v>173.36111111111111</v>
      </c>
      <c r="F370">
        <v>0.26432906271072149</v>
      </c>
      <c r="G370">
        <f>Tableau1[[#This Row],[Cost (€/GJ)]]/1000*3.6</f>
        <v>9.5158462575859739E-4</v>
      </c>
      <c r="H370">
        <v>28.139870918023309</v>
      </c>
      <c r="I370">
        <f>Tableau1[[#This Row],[GHG (kgCO2eq/GJ)]]/1000*3.6</f>
        <v>0.10130353530488391</v>
      </c>
      <c r="J370" t="s">
        <v>105</v>
      </c>
      <c r="K370" t="s">
        <v>108</v>
      </c>
    </row>
    <row r="371" spans="1:11" hidden="1" x14ac:dyDescent="0.3">
      <c r="A371" t="s">
        <v>23</v>
      </c>
      <c r="B371" t="s">
        <v>46</v>
      </c>
      <c r="C371" t="s">
        <v>81</v>
      </c>
      <c r="D371">
        <v>0.43659999999999999</v>
      </c>
      <c r="E371">
        <f>Tableau1[[#This Row],[Potential (PJ)]]/3.6*1000</f>
        <v>121.27777777777777</v>
      </c>
      <c r="F371">
        <v>1.533490011750881</v>
      </c>
      <c r="G371">
        <f>Tableau1[[#This Row],[Cost (€/GJ)]]/1000*3.6</f>
        <v>5.5205640423031709E-3</v>
      </c>
      <c r="H371">
        <v>8.9647473560517046</v>
      </c>
      <c r="I371">
        <f>Tableau1[[#This Row],[GHG (kgCO2eq/GJ)]]/1000*3.6</f>
        <v>3.2273090481786136E-2</v>
      </c>
      <c r="J371" t="s">
        <v>105</v>
      </c>
      <c r="K371" t="s">
        <v>108</v>
      </c>
    </row>
    <row r="372" spans="1:11" hidden="1" x14ac:dyDescent="0.3">
      <c r="A372" t="s">
        <v>23</v>
      </c>
      <c r="B372" t="s">
        <v>46</v>
      </c>
      <c r="C372" t="s">
        <v>66</v>
      </c>
      <c r="D372">
        <v>4.8</v>
      </c>
      <c r="E372">
        <f>Tableau1[[#This Row],[Potential (PJ)]]/3.6*1000</f>
        <v>1333.3333333333333</v>
      </c>
      <c r="F372">
        <v>3.3067500000000001</v>
      </c>
      <c r="G372">
        <f>Tableau1[[#This Row],[Cost (€/GJ)]]/1000*3.6</f>
        <v>1.1904300000000001E-2</v>
      </c>
      <c r="H372">
        <v>6.8428961748633883</v>
      </c>
      <c r="I372">
        <f>Tableau1[[#This Row],[GHG (kgCO2eq/GJ)]]/1000*3.6</f>
        <v>2.4634426229508198E-2</v>
      </c>
      <c r="J372" t="s">
        <v>104</v>
      </c>
      <c r="K372" t="s">
        <v>108</v>
      </c>
    </row>
    <row r="373" spans="1:11" hidden="1" x14ac:dyDescent="0.3">
      <c r="A373" t="s">
        <v>23</v>
      </c>
      <c r="B373" t="s">
        <v>46</v>
      </c>
      <c r="C373" t="s">
        <v>82</v>
      </c>
      <c r="D373">
        <v>1.9</v>
      </c>
      <c r="E373">
        <f>Tableau1[[#This Row],[Potential (PJ)]]/3.6*1000</f>
        <v>527.77777777777783</v>
      </c>
      <c r="F373">
        <v>2.031842105263157</v>
      </c>
      <c r="G373">
        <f>Tableau1[[#This Row],[Cost (€/GJ)]]/1000*3.6</f>
        <v>7.3146315789473651E-3</v>
      </c>
      <c r="H373">
        <v>6.8428961748633883</v>
      </c>
      <c r="I373">
        <f>Tableau1[[#This Row],[GHG (kgCO2eq/GJ)]]/1000*3.6</f>
        <v>2.4634426229508198E-2</v>
      </c>
      <c r="J373" t="s">
        <v>104</v>
      </c>
      <c r="K373" t="s">
        <v>108</v>
      </c>
    </row>
    <row r="374" spans="1:11" hidden="1" x14ac:dyDescent="0.3">
      <c r="A374" t="s">
        <v>23</v>
      </c>
      <c r="B374" t="s">
        <v>46</v>
      </c>
      <c r="C374" t="s">
        <v>83</v>
      </c>
      <c r="D374">
        <v>1.4370000000000001E-2</v>
      </c>
      <c r="E374">
        <f>Tableau1[[#This Row],[Potential (PJ)]]/3.6*1000</f>
        <v>3.9916666666666667</v>
      </c>
      <c r="F374">
        <v>0</v>
      </c>
      <c r="G374">
        <f>Tableau1[[#This Row],[Cost (€/GJ)]]/1000*3.6</f>
        <v>0</v>
      </c>
      <c r="H374">
        <v>6.8428961748633883</v>
      </c>
      <c r="I374">
        <f>Tableau1[[#This Row],[GHG (kgCO2eq/GJ)]]/1000*3.6</f>
        <v>2.4634426229508198E-2</v>
      </c>
      <c r="J374" t="s">
        <v>104</v>
      </c>
      <c r="K374" t="s">
        <v>108</v>
      </c>
    </row>
    <row r="375" spans="1:11" hidden="1" x14ac:dyDescent="0.3">
      <c r="A375" t="s">
        <v>23</v>
      </c>
      <c r="B375" t="s">
        <v>46</v>
      </c>
      <c r="C375" t="s">
        <v>84</v>
      </c>
      <c r="D375">
        <v>0.1</v>
      </c>
      <c r="E375">
        <f>Tableau1[[#This Row],[Potential (PJ)]]/3.6*1000</f>
        <v>27.777777777777779</v>
      </c>
      <c r="F375">
        <v>1.726</v>
      </c>
      <c r="G375">
        <f>Tableau1[[#This Row],[Cost (€/GJ)]]/1000*3.6</f>
        <v>6.2135999999999997E-3</v>
      </c>
      <c r="H375">
        <v>28.139870918023309</v>
      </c>
      <c r="I375">
        <f>Tableau1[[#This Row],[GHG (kgCO2eq/GJ)]]/1000*3.6</f>
        <v>0.10130353530488391</v>
      </c>
      <c r="J375" t="s">
        <v>105</v>
      </c>
      <c r="K375" t="s">
        <v>108</v>
      </c>
    </row>
    <row r="376" spans="1:11" hidden="1" x14ac:dyDescent="0.3">
      <c r="A376" t="s">
        <v>23</v>
      </c>
      <c r="B376" t="s">
        <v>55</v>
      </c>
      <c r="C376" t="s">
        <v>86</v>
      </c>
      <c r="D376">
        <v>1.4192</v>
      </c>
      <c r="E376">
        <f>Tableau1[[#This Row],[Potential (PJ)]]/3.6*1000</f>
        <v>394.22222222222217</v>
      </c>
      <c r="F376">
        <v>16.266999999999999</v>
      </c>
      <c r="G376">
        <f>Tableau1[[#This Row],[Cost (€/GJ)]]/1000*3.6</f>
        <v>5.8561200000000001E-2</v>
      </c>
      <c r="H376">
        <v>22.1</v>
      </c>
      <c r="I376">
        <f>Tableau1[[#This Row],[GHG (kgCO2eq/GJ)]]/1000*3.6</f>
        <v>7.9560000000000006E-2</v>
      </c>
      <c r="J376" t="s">
        <v>106</v>
      </c>
      <c r="K376" t="s">
        <v>109</v>
      </c>
    </row>
    <row r="377" spans="1:11" hidden="1" x14ac:dyDescent="0.3">
      <c r="A377" t="s">
        <v>23</v>
      </c>
      <c r="B377" t="s">
        <v>55</v>
      </c>
      <c r="C377" t="s">
        <v>87</v>
      </c>
      <c r="D377">
        <v>0.64419999999999999</v>
      </c>
      <c r="E377">
        <f>Tableau1[[#This Row],[Potential (PJ)]]/3.6*1000</f>
        <v>178.94444444444443</v>
      </c>
      <c r="F377">
        <v>17.521999999999991</v>
      </c>
      <c r="G377">
        <f>Tableau1[[#This Row],[Cost (€/GJ)]]/1000*3.6</f>
        <v>6.3079199999999974E-2</v>
      </c>
      <c r="H377">
        <v>22.1</v>
      </c>
      <c r="I377">
        <f>Tableau1[[#This Row],[GHG (kgCO2eq/GJ)]]/1000*3.6</f>
        <v>7.9560000000000006E-2</v>
      </c>
      <c r="J377" t="s">
        <v>106</v>
      </c>
      <c r="K377" t="s">
        <v>109</v>
      </c>
    </row>
    <row r="378" spans="1:11" hidden="1" x14ac:dyDescent="0.3">
      <c r="A378" t="s">
        <v>23</v>
      </c>
      <c r="B378" t="s">
        <v>55</v>
      </c>
      <c r="C378" t="s">
        <v>88</v>
      </c>
      <c r="D378">
        <v>18.388100000000001</v>
      </c>
      <c r="E378">
        <f>Tableau1[[#This Row],[Potential (PJ)]]/3.6*1000</f>
        <v>5107.8055555555566</v>
      </c>
      <c r="F378">
        <v>15.975</v>
      </c>
      <c r="G378">
        <f>Tableau1[[#This Row],[Cost (€/GJ)]]/1000*3.6</f>
        <v>5.7509999999999999E-2</v>
      </c>
      <c r="H378">
        <v>22.1</v>
      </c>
      <c r="I378">
        <f>Tableau1[[#This Row],[GHG (kgCO2eq/GJ)]]/1000*3.6</f>
        <v>7.9560000000000006E-2</v>
      </c>
      <c r="J378" t="s">
        <v>106</v>
      </c>
      <c r="K378" t="s">
        <v>109</v>
      </c>
    </row>
    <row r="379" spans="1:11" hidden="1" x14ac:dyDescent="0.3">
      <c r="A379" t="s">
        <v>23</v>
      </c>
      <c r="B379" t="s">
        <v>55</v>
      </c>
      <c r="C379" t="s">
        <v>89</v>
      </c>
      <c r="D379">
        <v>6.8999999999999999E-3</v>
      </c>
      <c r="E379">
        <f>Tableau1[[#This Row],[Potential (PJ)]]/3.6*1000</f>
        <v>1.9166666666666665</v>
      </c>
      <c r="F379">
        <v>0</v>
      </c>
      <c r="G379">
        <f>Tableau1[[#This Row],[Cost (€/GJ)]]/1000*3.6</f>
        <v>0</v>
      </c>
      <c r="H379">
        <v>22.1</v>
      </c>
      <c r="I379">
        <f>Tableau1[[#This Row],[GHG (kgCO2eq/GJ)]]/1000*3.6</f>
        <v>7.9560000000000006E-2</v>
      </c>
      <c r="J379" t="s">
        <v>106</v>
      </c>
      <c r="K379" t="s">
        <v>109</v>
      </c>
    </row>
    <row r="380" spans="1:11" hidden="1" x14ac:dyDescent="0.3">
      <c r="A380" t="s">
        <v>23</v>
      </c>
      <c r="B380" t="s">
        <v>55</v>
      </c>
      <c r="C380" t="s">
        <v>90</v>
      </c>
      <c r="D380">
        <v>0.52790000000000004</v>
      </c>
      <c r="E380">
        <f>Tableau1[[#This Row],[Potential (PJ)]]/3.6*1000</f>
        <v>146.63888888888891</v>
      </c>
      <c r="F380">
        <v>17.138000000000002</v>
      </c>
      <c r="G380">
        <f>Tableau1[[#This Row],[Cost (€/GJ)]]/1000*3.6</f>
        <v>6.1696800000000003E-2</v>
      </c>
      <c r="H380">
        <v>22.1</v>
      </c>
      <c r="I380">
        <f>Tableau1[[#This Row],[GHG (kgCO2eq/GJ)]]/1000*3.6</f>
        <v>7.9560000000000006E-2</v>
      </c>
      <c r="J380" t="s">
        <v>106</v>
      </c>
      <c r="K380" t="s">
        <v>109</v>
      </c>
    </row>
    <row r="381" spans="1:11" hidden="1" x14ac:dyDescent="0.3">
      <c r="A381" t="s">
        <v>23</v>
      </c>
      <c r="B381" t="s">
        <v>55</v>
      </c>
      <c r="C381" t="s">
        <v>92</v>
      </c>
      <c r="D381">
        <v>1.36683</v>
      </c>
      <c r="E381">
        <f>Tableau1[[#This Row],[Potential (PJ)]]/3.6*1000</f>
        <v>379.67500000000001</v>
      </c>
      <c r="F381">
        <v>17.521999999999991</v>
      </c>
      <c r="G381">
        <f>Tableau1[[#This Row],[Cost (€/GJ)]]/1000*3.6</f>
        <v>6.3079199999999974E-2</v>
      </c>
      <c r="H381">
        <v>22.1</v>
      </c>
      <c r="I381">
        <f>Tableau1[[#This Row],[GHG (kgCO2eq/GJ)]]/1000*3.6</f>
        <v>7.9560000000000006E-2</v>
      </c>
      <c r="J381" t="s">
        <v>106</v>
      </c>
      <c r="K381" t="s">
        <v>109</v>
      </c>
    </row>
    <row r="382" spans="1:11" hidden="1" x14ac:dyDescent="0.3">
      <c r="A382" t="s">
        <v>23</v>
      </c>
      <c r="B382" t="s">
        <v>56</v>
      </c>
      <c r="C382" t="s">
        <v>93</v>
      </c>
      <c r="D382">
        <v>16.997599999999998</v>
      </c>
      <c r="E382">
        <f>Tableau1[[#This Row],[Potential (PJ)]]/3.6*1000</f>
        <v>4721.5555555555547</v>
      </c>
      <c r="F382">
        <v>2.9493975903614462</v>
      </c>
      <c r="G382">
        <f>Tableau1[[#This Row],[Cost (€/GJ)]]/1000*3.6</f>
        <v>1.0617831325301207E-2</v>
      </c>
      <c r="H382">
        <v>26.1</v>
      </c>
      <c r="I382">
        <f>Tableau1[[#This Row],[GHG (kgCO2eq/GJ)]]/1000*3.6</f>
        <v>9.3960000000000002E-2</v>
      </c>
      <c r="J382" t="s">
        <v>106</v>
      </c>
      <c r="K382" t="s">
        <v>109</v>
      </c>
    </row>
    <row r="383" spans="1:11" hidden="1" x14ac:dyDescent="0.3">
      <c r="A383" t="s">
        <v>23</v>
      </c>
      <c r="B383" t="s">
        <v>47</v>
      </c>
      <c r="C383" t="s">
        <v>68</v>
      </c>
      <c r="D383">
        <v>30</v>
      </c>
      <c r="E383">
        <f>Tableau1[[#This Row],[Potential (PJ)]]/3.6*1000</f>
        <v>8333.3333333333339</v>
      </c>
      <c r="F383">
        <v>2.9668066666666659</v>
      </c>
      <c r="G383">
        <f>Tableau1[[#This Row],[Cost (€/GJ)]]/1000*3.6</f>
        <v>1.0680503999999999E-2</v>
      </c>
      <c r="H383">
        <v>43</v>
      </c>
      <c r="I383">
        <f>Tableau1[[#This Row],[GHG (kgCO2eq/GJ)]]/1000*3.6</f>
        <v>0.15479999999999999</v>
      </c>
      <c r="J383" t="s">
        <v>104</v>
      </c>
      <c r="K383" t="s">
        <v>109</v>
      </c>
    </row>
    <row r="384" spans="1:11" hidden="1" x14ac:dyDescent="0.3">
      <c r="A384" t="s">
        <v>23</v>
      </c>
      <c r="B384" t="s">
        <v>47</v>
      </c>
      <c r="C384" t="s">
        <v>69</v>
      </c>
      <c r="D384">
        <v>25.8</v>
      </c>
      <c r="E384">
        <f>Tableau1[[#This Row],[Potential (PJ)]]/3.6*1000</f>
        <v>7166.666666666667</v>
      </c>
      <c r="F384">
        <v>2.7870193798449621</v>
      </c>
      <c r="G384">
        <f>Tableau1[[#This Row],[Cost (€/GJ)]]/1000*3.6</f>
        <v>1.0033269767441863E-2</v>
      </c>
      <c r="H384">
        <v>43</v>
      </c>
      <c r="I384">
        <f>Tableau1[[#This Row],[GHG (kgCO2eq/GJ)]]/1000*3.6</f>
        <v>0.15479999999999999</v>
      </c>
      <c r="J384" t="s">
        <v>104</v>
      </c>
      <c r="K384" t="s">
        <v>109</v>
      </c>
    </row>
    <row r="385" spans="1:11" hidden="1" x14ac:dyDescent="0.3">
      <c r="A385" t="s">
        <v>23</v>
      </c>
      <c r="B385" t="s">
        <v>57</v>
      </c>
      <c r="C385" t="s">
        <v>94</v>
      </c>
      <c r="D385">
        <v>18.8</v>
      </c>
      <c r="E385">
        <f>Tableau1[[#This Row],[Potential (PJ)]]/3.6*1000</f>
        <v>5222.2222222222226</v>
      </c>
      <c r="F385">
        <v>7.0917872340425534</v>
      </c>
      <c r="G385">
        <f>Tableau1[[#This Row],[Cost (€/GJ)]]/1000*3.6</f>
        <v>2.5530434042553191E-2</v>
      </c>
      <c r="H385">
        <v>52.3</v>
      </c>
      <c r="I385">
        <f>Tableau1[[#This Row],[GHG (kgCO2eq/GJ)]]/1000*3.6</f>
        <v>0.18828</v>
      </c>
      <c r="J385" t="s">
        <v>104</v>
      </c>
      <c r="K385" t="s">
        <v>109</v>
      </c>
    </row>
    <row r="386" spans="1:11" hidden="1" x14ac:dyDescent="0.3">
      <c r="A386" t="s">
        <v>23</v>
      </c>
      <c r="B386" t="s">
        <v>49</v>
      </c>
      <c r="C386" t="s">
        <v>71</v>
      </c>
      <c r="D386">
        <v>10.36745</v>
      </c>
      <c r="E386">
        <f>Tableau1[[#This Row],[Potential (PJ)]]/3.6*1000</f>
        <v>2879.8472222222222</v>
      </c>
      <c r="F386">
        <v>2.0519951820360842</v>
      </c>
      <c r="G386">
        <f>Tableau1[[#This Row],[Cost (€/GJ)]]/1000*3.6</f>
        <v>7.3871826553299031E-3</v>
      </c>
      <c r="H386">
        <v>3.86607608129234</v>
      </c>
      <c r="I386">
        <f>Tableau1[[#This Row],[GHG (kgCO2eq/GJ)]]/1000*3.6</f>
        <v>1.3917873892652425E-2</v>
      </c>
      <c r="J386" t="s">
        <v>104</v>
      </c>
      <c r="K386" t="s">
        <v>108</v>
      </c>
    </row>
    <row r="387" spans="1:11" hidden="1" x14ac:dyDescent="0.3">
      <c r="A387" t="s">
        <v>23</v>
      </c>
      <c r="B387" t="s">
        <v>49</v>
      </c>
      <c r="C387" t="s">
        <v>72</v>
      </c>
      <c r="D387">
        <v>2.5</v>
      </c>
      <c r="E387">
        <f>Tableau1[[#This Row],[Potential (PJ)]]/3.6*1000</f>
        <v>694.44444444444446</v>
      </c>
      <c r="F387">
        <v>2.73488</v>
      </c>
      <c r="G387">
        <f>Tableau1[[#This Row],[Cost (€/GJ)]]/1000*3.6</f>
        <v>9.845567999999999E-3</v>
      </c>
      <c r="H387">
        <v>3.86607608129234</v>
      </c>
      <c r="I387">
        <f>Tableau1[[#This Row],[GHG (kgCO2eq/GJ)]]/1000*3.6</f>
        <v>1.3917873892652425E-2</v>
      </c>
      <c r="J387" t="s">
        <v>104</v>
      </c>
      <c r="K387" t="s">
        <v>108</v>
      </c>
    </row>
    <row r="388" spans="1:11" hidden="1" x14ac:dyDescent="0.3">
      <c r="A388" t="s">
        <v>23</v>
      </c>
      <c r="B388" t="s">
        <v>58</v>
      </c>
      <c r="C388" t="s">
        <v>95</v>
      </c>
      <c r="D388">
        <v>1.43895</v>
      </c>
      <c r="E388">
        <f>Tableau1[[#This Row],[Potential (PJ)]]/3.6*1000</f>
        <v>399.70833333333331</v>
      </c>
      <c r="F388">
        <v>3.1657496507870322</v>
      </c>
      <c r="G388">
        <f>Tableau1[[#This Row],[Cost (€/GJ)]]/1000*3.6</f>
        <v>1.1396698742833316E-2</v>
      </c>
      <c r="H388">
        <v>2.9521711768407801</v>
      </c>
      <c r="I388">
        <f>Tableau1[[#This Row],[GHG (kgCO2eq/GJ)]]/1000*3.6</f>
        <v>1.0627816236626808E-2</v>
      </c>
      <c r="J388" t="s">
        <v>104</v>
      </c>
      <c r="K388" t="s">
        <v>108</v>
      </c>
    </row>
    <row r="389" spans="1:11" hidden="1" x14ac:dyDescent="0.3">
      <c r="A389" t="s">
        <v>23</v>
      </c>
      <c r="B389" t="s">
        <v>50</v>
      </c>
      <c r="C389" t="s">
        <v>73</v>
      </c>
      <c r="D389">
        <v>1.9</v>
      </c>
      <c r="E389">
        <f>Tableau1[[#This Row],[Potential (PJ)]]/3.6*1000</f>
        <v>527.77777777777783</v>
      </c>
      <c r="F389">
        <v>5.1365263157894736</v>
      </c>
      <c r="G389">
        <f>Tableau1[[#This Row],[Cost (€/GJ)]]/1000*3.6</f>
        <v>1.8491494736842105E-2</v>
      </c>
      <c r="H389">
        <v>20.723404255319149</v>
      </c>
      <c r="I389">
        <f>Tableau1[[#This Row],[GHG (kgCO2eq/GJ)]]/1000*3.6</f>
        <v>7.4604255319148938E-2</v>
      </c>
      <c r="J389" t="s">
        <v>105</v>
      </c>
      <c r="K389" t="s">
        <v>108</v>
      </c>
    </row>
    <row r="390" spans="1:11" hidden="1" x14ac:dyDescent="0.3">
      <c r="A390" t="s">
        <v>23</v>
      </c>
      <c r="B390" t="s">
        <v>50</v>
      </c>
      <c r="C390" t="s">
        <v>74</v>
      </c>
      <c r="D390">
        <v>53.1</v>
      </c>
      <c r="E390">
        <f>Tableau1[[#This Row],[Potential (PJ)]]/3.6*1000</f>
        <v>14750</v>
      </c>
      <c r="F390">
        <v>3.2882429378531071</v>
      </c>
      <c r="G390">
        <f>Tableau1[[#This Row],[Cost (€/GJ)]]/1000*3.6</f>
        <v>1.1837674576271186E-2</v>
      </c>
      <c r="H390">
        <v>2.0635593220338988</v>
      </c>
      <c r="I390">
        <f>Tableau1[[#This Row],[GHG (kgCO2eq/GJ)]]/1000*3.6</f>
        <v>7.4288135593220351E-3</v>
      </c>
      <c r="J390" t="s">
        <v>105</v>
      </c>
      <c r="K390" t="s">
        <v>108</v>
      </c>
    </row>
    <row r="391" spans="1:11" hidden="1" x14ac:dyDescent="0.3">
      <c r="A391" t="s">
        <v>23</v>
      </c>
      <c r="B391" t="s">
        <v>59</v>
      </c>
      <c r="C391" t="s">
        <v>96</v>
      </c>
      <c r="D391">
        <v>1.609</v>
      </c>
      <c r="E391">
        <f>Tableau1[[#This Row],[Potential (PJ)]]/3.6*1000</f>
        <v>446.9444444444444</v>
      </c>
      <c r="F391">
        <v>29.956</v>
      </c>
      <c r="G391">
        <f>Tableau1[[#This Row],[Cost (€/GJ)]]/1000*3.6</f>
        <v>0.1078416</v>
      </c>
      <c r="H391">
        <v>29.4</v>
      </c>
      <c r="I391">
        <f>Tableau1[[#This Row],[GHG (kgCO2eq/GJ)]]/1000*3.6</f>
        <v>0.10584</v>
      </c>
      <c r="J391" t="s">
        <v>107</v>
      </c>
      <c r="K391" t="s">
        <v>109</v>
      </c>
    </row>
    <row r="392" spans="1:11" hidden="1" x14ac:dyDescent="0.3">
      <c r="A392" t="s">
        <v>23</v>
      </c>
      <c r="B392" t="s">
        <v>59</v>
      </c>
      <c r="C392" t="s">
        <v>97</v>
      </c>
      <c r="D392">
        <v>5.5587</v>
      </c>
      <c r="E392">
        <f>Tableau1[[#This Row],[Potential (PJ)]]/3.6*1000</f>
        <v>1544.0833333333333</v>
      </c>
      <c r="F392">
        <v>18.55670103092784</v>
      </c>
      <c r="G392">
        <f>Tableau1[[#This Row],[Cost (€/GJ)]]/1000*3.6</f>
        <v>6.6804123711340216E-2</v>
      </c>
      <c r="H392">
        <v>29.4</v>
      </c>
      <c r="I392">
        <f>Tableau1[[#This Row],[GHG (kgCO2eq/GJ)]]/1000*3.6</f>
        <v>0.10584</v>
      </c>
      <c r="J392" t="s">
        <v>107</v>
      </c>
      <c r="K392" t="s">
        <v>109</v>
      </c>
    </row>
    <row r="393" spans="1:11" hidden="1" x14ac:dyDescent="0.3">
      <c r="A393" t="s">
        <v>23</v>
      </c>
      <c r="B393" t="s">
        <v>51</v>
      </c>
      <c r="C393" t="s">
        <v>75</v>
      </c>
      <c r="D393">
        <v>7.039809</v>
      </c>
      <c r="E393">
        <f>Tableau1[[#This Row],[Potential (PJ)]]/3.6*1000</f>
        <v>1955.5024999999998</v>
      </c>
      <c r="F393">
        <v>2.9695355202759301E-3</v>
      </c>
      <c r="G393">
        <f>Tableau1[[#This Row],[Cost (€/GJ)]]/1000*3.6</f>
        <v>1.0690327872993349E-5</v>
      </c>
      <c r="H393">
        <v>11.74</v>
      </c>
      <c r="I393">
        <f>Tableau1[[#This Row],[GHG (kgCO2eq/GJ)]]/1000*3.6</f>
        <v>4.2264000000000003E-2</v>
      </c>
      <c r="J393" t="s">
        <v>104</v>
      </c>
      <c r="K393" t="s">
        <v>108</v>
      </c>
    </row>
    <row r="394" spans="1:11" hidden="1" x14ac:dyDescent="0.3">
      <c r="A394" t="s">
        <v>23</v>
      </c>
      <c r="B394" t="s">
        <v>60</v>
      </c>
      <c r="C394" t="s">
        <v>98</v>
      </c>
      <c r="D394">
        <v>2.8841700000000001</v>
      </c>
      <c r="E394">
        <f>Tableau1[[#This Row],[Potential (PJ)]]/3.6*1000</f>
        <v>801.1583333333333</v>
      </c>
      <c r="F394">
        <v>18.582169709989259</v>
      </c>
      <c r="G394">
        <f>Tableau1[[#This Row],[Cost (€/GJ)]]/1000*3.6</f>
        <v>6.6895810955961324E-2</v>
      </c>
      <c r="H394">
        <v>47.4</v>
      </c>
      <c r="I394">
        <f>Tableau1[[#This Row],[GHG (kgCO2eq/GJ)]]/1000*3.6</f>
        <v>0.17063999999999999</v>
      </c>
      <c r="J394" t="s">
        <v>107</v>
      </c>
      <c r="K394" t="s">
        <v>109</v>
      </c>
    </row>
    <row r="395" spans="1:11" hidden="1" x14ac:dyDescent="0.3">
      <c r="A395" t="s">
        <v>23</v>
      </c>
      <c r="B395" t="s">
        <v>52</v>
      </c>
      <c r="C395" t="s">
        <v>76</v>
      </c>
      <c r="D395">
        <v>0.21</v>
      </c>
      <c r="E395">
        <f>Tableau1[[#This Row],[Potential (PJ)]]/3.6*1000</f>
        <v>58.333333333333329</v>
      </c>
      <c r="F395">
        <v>6.1837425000000001</v>
      </c>
      <c r="G395">
        <f>Tableau1[[#This Row],[Cost (€/GJ)]]/1000*3.6</f>
        <v>2.2261473000000004E-2</v>
      </c>
      <c r="H395">
        <v>12.68872359754714</v>
      </c>
      <c r="I395">
        <f>Tableau1[[#This Row],[GHG (kgCO2eq/GJ)]]/1000*3.6</f>
        <v>4.5679404951169705E-2</v>
      </c>
      <c r="J395" t="s">
        <v>105</v>
      </c>
      <c r="K395" t="s">
        <v>108</v>
      </c>
    </row>
    <row r="396" spans="1:11" hidden="1" x14ac:dyDescent="0.3">
      <c r="A396" t="s">
        <v>23</v>
      </c>
      <c r="B396" t="s">
        <v>53</v>
      </c>
      <c r="C396" t="s">
        <v>77</v>
      </c>
      <c r="D396">
        <v>8.0487900000000003</v>
      </c>
      <c r="E396">
        <f>Tableau1[[#This Row],[Potential (PJ)]]/3.6*1000</f>
        <v>2235.7749999999996</v>
      </c>
      <c r="F396">
        <v>2.7349194748527421</v>
      </c>
      <c r="G396">
        <f>Tableau1[[#This Row],[Cost (€/GJ)]]/1000*3.6</f>
        <v>9.8457101094698712E-3</v>
      </c>
      <c r="H396">
        <v>3.86607608129234</v>
      </c>
      <c r="I396">
        <f>Tableau1[[#This Row],[GHG (kgCO2eq/GJ)]]/1000*3.6</f>
        <v>1.3917873892652425E-2</v>
      </c>
      <c r="J396" t="s">
        <v>104</v>
      </c>
      <c r="K396" t="s">
        <v>108</v>
      </c>
    </row>
    <row r="397" spans="1:11" hidden="1" x14ac:dyDescent="0.3">
      <c r="A397" t="s">
        <v>23</v>
      </c>
      <c r="B397" t="s">
        <v>61</v>
      </c>
      <c r="C397" t="s">
        <v>99</v>
      </c>
      <c r="D397">
        <v>0.4</v>
      </c>
      <c r="E397">
        <f>Tableau1[[#This Row],[Potential (PJ)]]/3.6*1000</f>
        <v>111.11111111111111</v>
      </c>
      <c r="F397">
        <v>1.89625</v>
      </c>
      <c r="G397">
        <f>Tableau1[[#This Row],[Cost (€/GJ)]]/1000*3.6</f>
        <v>6.8265000000000001E-3</v>
      </c>
      <c r="H397">
        <v>2.9245635910224439</v>
      </c>
      <c r="I397">
        <f>Tableau1[[#This Row],[GHG (kgCO2eq/GJ)]]/1000*3.6</f>
        <v>1.0528428927680798E-2</v>
      </c>
      <c r="J397" t="s">
        <v>104</v>
      </c>
      <c r="K397" t="s">
        <v>108</v>
      </c>
    </row>
    <row r="398" spans="1:11" hidden="1" x14ac:dyDescent="0.3">
      <c r="A398" t="s">
        <v>23</v>
      </c>
      <c r="B398" t="s">
        <v>54</v>
      </c>
      <c r="C398" t="s">
        <v>78</v>
      </c>
      <c r="D398">
        <v>33.799999999999997</v>
      </c>
      <c r="E398">
        <f>Tableau1[[#This Row],[Potential (PJ)]]/3.6*1000</f>
        <v>9388.8888888888869</v>
      </c>
      <c r="F398">
        <v>2.7122337278106512</v>
      </c>
      <c r="G398">
        <f>Tableau1[[#This Row],[Cost (€/GJ)]]/1000*3.6</f>
        <v>9.764041420118344E-3</v>
      </c>
      <c r="H398">
        <v>3.86607608129234</v>
      </c>
      <c r="I398">
        <f>Tableau1[[#This Row],[GHG (kgCO2eq/GJ)]]/1000*3.6</f>
        <v>1.3917873892652425E-2</v>
      </c>
      <c r="J398" t="s">
        <v>104</v>
      </c>
      <c r="K398" t="s">
        <v>108</v>
      </c>
    </row>
    <row r="399" spans="1:11" hidden="1" x14ac:dyDescent="0.3">
      <c r="A399" t="s">
        <v>24</v>
      </c>
      <c r="B399" t="s">
        <v>46</v>
      </c>
      <c r="C399" t="s">
        <v>80</v>
      </c>
      <c r="D399">
        <v>5.4000000000000013E-2</v>
      </c>
      <c r="E399">
        <f>Tableau1[[#This Row],[Potential (PJ)]]/3.6*1000</f>
        <v>15.000000000000004</v>
      </c>
      <c r="F399">
        <v>0.33378287255563049</v>
      </c>
      <c r="G399">
        <f>Tableau1[[#This Row],[Cost (€/GJ)]]/1000*3.6</f>
        <v>1.2016183412002696E-3</v>
      </c>
      <c r="H399">
        <v>28.139870918023309</v>
      </c>
      <c r="I399">
        <f>Tableau1[[#This Row],[GHG (kgCO2eq/GJ)]]/1000*3.6</f>
        <v>0.10130353530488391</v>
      </c>
      <c r="J399" t="s">
        <v>105</v>
      </c>
      <c r="K399" t="s">
        <v>108</v>
      </c>
    </row>
    <row r="400" spans="1:11" hidden="1" x14ac:dyDescent="0.3">
      <c r="A400" t="s">
        <v>24</v>
      </c>
      <c r="B400" t="s">
        <v>46</v>
      </c>
      <c r="C400" t="s">
        <v>81</v>
      </c>
      <c r="D400">
        <v>3.2899999999999999E-2</v>
      </c>
      <c r="E400">
        <f>Tableau1[[#This Row],[Potential (PJ)]]/3.6*1000</f>
        <v>9.1388888888888893</v>
      </c>
      <c r="F400">
        <v>2.6022326674500591</v>
      </c>
      <c r="G400">
        <f>Tableau1[[#This Row],[Cost (€/GJ)]]/1000*3.6</f>
        <v>9.3680376028202131E-3</v>
      </c>
      <c r="H400">
        <v>8.9647473560517046</v>
      </c>
      <c r="I400">
        <f>Tableau1[[#This Row],[GHG (kgCO2eq/GJ)]]/1000*3.6</f>
        <v>3.2273090481786136E-2</v>
      </c>
      <c r="J400" t="s">
        <v>105</v>
      </c>
      <c r="K400" t="s">
        <v>108</v>
      </c>
    </row>
    <row r="401" spans="1:11" hidden="1" x14ac:dyDescent="0.3">
      <c r="A401" t="s">
        <v>24</v>
      </c>
      <c r="B401" t="s">
        <v>55</v>
      </c>
      <c r="C401" t="s">
        <v>86</v>
      </c>
      <c r="D401">
        <v>6.5600000000000006E-2</v>
      </c>
      <c r="E401">
        <f>Tableau1[[#This Row],[Potential (PJ)]]/3.6*1000</f>
        <v>18.222222222222221</v>
      </c>
      <c r="F401">
        <v>15.132999999999999</v>
      </c>
      <c r="G401">
        <f>Tableau1[[#This Row],[Cost (€/GJ)]]/1000*3.6</f>
        <v>5.4478799999999994E-2</v>
      </c>
      <c r="H401">
        <v>9.8000000000000007</v>
      </c>
      <c r="I401">
        <f>Tableau1[[#This Row],[GHG (kgCO2eq/GJ)]]/1000*3.6</f>
        <v>3.5280000000000006E-2</v>
      </c>
      <c r="J401" t="s">
        <v>106</v>
      </c>
      <c r="K401" t="s">
        <v>109</v>
      </c>
    </row>
    <row r="402" spans="1:11" hidden="1" x14ac:dyDescent="0.3">
      <c r="A402" t="s">
        <v>24</v>
      </c>
      <c r="B402" t="s">
        <v>55</v>
      </c>
      <c r="C402" t="s">
        <v>89</v>
      </c>
      <c r="D402">
        <v>7.4700000000000003E-2</v>
      </c>
      <c r="E402">
        <f>Tableau1[[#This Row],[Potential (PJ)]]/3.6*1000</f>
        <v>20.75</v>
      </c>
      <c r="F402">
        <v>0</v>
      </c>
      <c r="G402">
        <f>Tableau1[[#This Row],[Cost (€/GJ)]]/1000*3.6</f>
        <v>0</v>
      </c>
      <c r="H402">
        <v>9.8000000000000007</v>
      </c>
      <c r="I402">
        <f>Tableau1[[#This Row],[GHG (kgCO2eq/GJ)]]/1000*3.6</f>
        <v>3.5280000000000006E-2</v>
      </c>
      <c r="J402" t="s">
        <v>106</v>
      </c>
      <c r="K402" t="s">
        <v>109</v>
      </c>
    </row>
    <row r="403" spans="1:11" hidden="1" x14ac:dyDescent="0.3">
      <c r="A403" t="s">
        <v>24</v>
      </c>
      <c r="B403" t="s">
        <v>55</v>
      </c>
      <c r="C403" t="s">
        <v>92</v>
      </c>
      <c r="D403">
        <v>7.6840000000000006E-2</v>
      </c>
      <c r="E403">
        <f>Tableau1[[#This Row],[Potential (PJ)]]/3.6*1000</f>
        <v>21.344444444444449</v>
      </c>
      <c r="F403">
        <v>13.994</v>
      </c>
      <c r="G403">
        <f>Tableau1[[#This Row],[Cost (€/GJ)]]/1000*3.6</f>
        <v>5.0378399999999997E-2</v>
      </c>
      <c r="H403">
        <v>9.8000000000000007</v>
      </c>
      <c r="I403">
        <f>Tableau1[[#This Row],[GHG (kgCO2eq/GJ)]]/1000*3.6</f>
        <v>3.5280000000000006E-2</v>
      </c>
      <c r="J403" t="s">
        <v>106</v>
      </c>
      <c r="K403" t="s">
        <v>109</v>
      </c>
    </row>
    <row r="404" spans="1:11" hidden="1" x14ac:dyDescent="0.3">
      <c r="A404" t="s">
        <v>24</v>
      </c>
      <c r="B404" t="s">
        <v>47</v>
      </c>
      <c r="C404" t="s">
        <v>101</v>
      </c>
      <c r="D404">
        <v>2.7</v>
      </c>
      <c r="E404">
        <f>Tableau1[[#This Row],[Potential (PJ)]]/3.6*1000</f>
        <v>750</v>
      </c>
      <c r="F404">
        <v>5.3095185185185176</v>
      </c>
      <c r="G404">
        <f>Tableau1[[#This Row],[Cost (€/GJ)]]/1000*3.6</f>
        <v>1.9114266666666664E-2</v>
      </c>
      <c r="H404">
        <v>61.2</v>
      </c>
      <c r="I404">
        <f>Tableau1[[#This Row],[GHG (kgCO2eq/GJ)]]/1000*3.6</f>
        <v>0.22032000000000002</v>
      </c>
      <c r="J404" t="s">
        <v>104</v>
      </c>
      <c r="K404" t="s">
        <v>109</v>
      </c>
    </row>
    <row r="405" spans="1:11" hidden="1" x14ac:dyDescent="0.3">
      <c r="A405" t="s">
        <v>24</v>
      </c>
      <c r="B405" t="s">
        <v>57</v>
      </c>
      <c r="C405" t="s">
        <v>94</v>
      </c>
      <c r="D405">
        <v>2.5</v>
      </c>
      <c r="E405">
        <f>Tableau1[[#This Row],[Potential (PJ)]]/3.6*1000</f>
        <v>694.44444444444446</v>
      </c>
      <c r="F405">
        <v>10.9</v>
      </c>
      <c r="G405">
        <f>Tableau1[[#This Row],[Cost (€/GJ)]]/1000*3.6</f>
        <v>3.9240000000000004E-2</v>
      </c>
      <c r="H405">
        <v>24.4</v>
      </c>
      <c r="I405">
        <f>Tableau1[[#This Row],[GHG (kgCO2eq/GJ)]]/1000*3.6</f>
        <v>8.7840000000000001E-2</v>
      </c>
      <c r="J405" t="s">
        <v>104</v>
      </c>
      <c r="K405" t="s">
        <v>109</v>
      </c>
    </row>
    <row r="406" spans="1:11" hidden="1" x14ac:dyDescent="0.3">
      <c r="A406" t="s">
        <v>24</v>
      </c>
      <c r="B406" t="s">
        <v>49</v>
      </c>
      <c r="C406" t="s">
        <v>71</v>
      </c>
      <c r="D406">
        <v>3.5111400000000001</v>
      </c>
      <c r="E406">
        <f>Tableau1[[#This Row],[Potential (PJ)]]/3.6*1000</f>
        <v>975.31666666666672</v>
      </c>
      <c r="F406">
        <v>4.3609999999999998</v>
      </c>
      <c r="G406">
        <f>Tableau1[[#This Row],[Cost (€/GJ)]]/1000*3.6</f>
        <v>1.5699599999999998E-2</v>
      </c>
      <c r="H406">
        <v>3.86607608129234</v>
      </c>
      <c r="I406">
        <f>Tableau1[[#This Row],[GHG (kgCO2eq/GJ)]]/1000*3.6</f>
        <v>1.3917873892652425E-2</v>
      </c>
      <c r="J406" t="s">
        <v>104</v>
      </c>
      <c r="K406" t="s">
        <v>108</v>
      </c>
    </row>
    <row r="407" spans="1:11" hidden="1" x14ac:dyDescent="0.3">
      <c r="A407" t="s">
        <v>24</v>
      </c>
      <c r="B407" t="s">
        <v>49</v>
      </c>
      <c r="C407" t="s">
        <v>72</v>
      </c>
      <c r="D407">
        <v>0.2</v>
      </c>
      <c r="E407">
        <f>Tableau1[[#This Row],[Potential (PJ)]]/3.6*1000</f>
        <v>55.555555555555557</v>
      </c>
      <c r="F407">
        <v>3.4925000000000002</v>
      </c>
      <c r="G407">
        <f>Tableau1[[#This Row],[Cost (€/GJ)]]/1000*3.6</f>
        <v>1.2573000000000001E-2</v>
      </c>
      <c r="H407">
        <v>3.86607608129234</v>
      </c>
      <c r="I407">
        <f>Tableau1[[#This Row],[GHG (kgCO2eq/GJ)]]/1000*3.6</f>
        <v>1.3917873892652425E-2</v>
      </c>
      <c r="J407" t="s">
        <v>104</v>
      </c>
      <c r="K407" t="s">
        <v>108</v>
      </c>
    </row>
    <row r="408" spans="1:11" hidden="1" x14ac:dyDescent="0.3">
      <c r="A408" t="s">
        <v>24</v>
      </c>
      <c r="B408" t="s">
        <v>58</v>
      </c>
      <c r="C408" t="s">
        <v>95</v>
      </c>
      <c r="D408">
        <v>1.0959700000000001</v>
      </c>
      <c r="E408">
        <f>Tableau1[[#This Row],[Potential (PJ)]]/3.6*1000</f>
        <v>304.43611111111113</v>
      </c>
      <c r="F408">
        <v>3.242</v>
      </c>
      <c r="G408">
        <f>Tableau1[[#This Row],[Cost (€/GJ)]]/1000*3.6</f>
        <v>1.1671200000000001E-2</v>
      </c>
      <c r="H408">
        <v>2.9521711768407801</v>
      </c>
      <c r="I408">
        <f>Tableau1[[#This Row],[GHG (kgCO2eq/GJ)]]/1000*3.6</f>
        <v>1.0627816236626808E-2</v>
      </c>
      <c r="J408" t="s">
        <v>104</v>
      </c>
      <c r="K408" t="s">
        <v>108</v>
      </c>
    </row>
    <row r="409" spans="1:11" hidden="1" x14ac:dyDescent="0.3">
      <c r="A409" t="s">
        <v>24</v>
      </c>
      <c r="B409" t="s">
        <v>50</v>
      </c>
      <c r="C409" t="s">
        <v>73</v>
      </c>
      <c r="D409">
        <v>2</v>
      </c>
      <c r="E409">
        <f>Tableau1[[#This Row],[Potential (PJ)]]/3.6*1000</f>
        <v>555.55555555555554</v>
      </c>
      <c r="F409">
        <v>5.6319999999999997</v>
      </c>
      <c r="G409">
        <f>Tableau1[[#This Row],[Cost (€/GJ)]]/1000*3.6</f>
        <v>2.02752E-2</v>
      </c>
      <c r="H409">
        <v>20.723404255319149</v>
      </c>
      <c r="I409">
        <f>Tableau1[[#This Row],[GHG (kgCO2eq/GJ)]]/1000*3.6</f>
        <v>7.4604255319148938E-2</v>
      </c>
      <c r="J409" t="s">
        <v>105</v>
      </c>
      <c r="K409" t="s">
        <v>108</v>
      </c>
    </row>
    <row r="410" spans="1:11" hidden="1" x14ac:dyDescent="0.3">
      <c r="A410" t="s">
        <v>24</v>
      </c>
      <c r="B410" t="s">
        <v>50</v>
      </c>
      <c r="C410" t="s">
        <v>74</v>
      </c>
      <c r="D410">
        <v>2</v>
      </c>
      <c r="E410">
        <f>Tableau1[[#This Row],[Potential (PJ)]]/3.6*1000</f>
        <v>555.55555555555554</v>
      </c>
      <c r="F410">
        <v>6.4499000000000004</v>
      </c>
      <c r="G410">
        <f>Tableau1[[#This Row],[Cost (€/GJ)]]/1000*3.6</f>
        <v>2.3219640000000003E-2</v>
      </c>
      <c r="H410">
        <v>2.0635593220338988</v>
      </c>
      <c r="I410">
        <f>Tableau1[[#This Row],[GHG (kgCO2eq/GJ)]]/1000*3.6</f>
        <v>7.4288135593220351E-3</v>
      </c>
      <c r="J410" t="s">
        <v>105</v>
      </c>
      <c r="K410" t="s">
        <v>108</v>
      </c>
    </row>
    <row r="411" spans="1:11" hidden="1" x14ac:dyDescent="0.3">
      <c r="A411" t="s">
        <v>24</v>
      </c>
      <c r="B411" t="s">
        <v>51</v>
      </c>
      <c r="C411" t="s">
        <v>75</v>
      </c>
      <c r="D411">
        <v>1.7215039999999999</v>
      </c>
      <c r="E411">
        <f>Tableau1[[#This Row],[Potential (PJ)]]/3.6*1000</f>
        <v>478.19555555555553</v>
      </c>
      <c r="F411">
        <v>2.3907900563967199E-2</v>
      </c>
      <c r="G411">
        <f>Tableau1[[#This Row],[Cost (€/GJ)]]/1000*3.6</f>
        <v>8.6068442030281915E-5</v>
      </c>
      <c r="H411">
        <v>11.74</v>
      </c>
      <c r="I411">
        <f>Tableau1[[#This Row],[GHG (kgCO2eq/GJ)]]/1000*3.6</f>
        <v>4.2264000000000003E-2</v>
      </c>
      <c r="J411" t="s">
        <v>104</v>
      </c>
      <c r="K411" t="s">
        <v>108</v>
      </c>
    </row>
    <row r="412" spans="1:11" hidden="1" x14ac:dyDescent="0.3">
      <c r="A412" t="s">
        <v>24</v>
      </c>
      <c r="B412" t="s">
        <v>60</v>
      </c>
      <c r="C412" t="s">
        <v>98</v>
      </c>
      <c r="D412">
        <v>0.46355000000000002</v>
      </c>
      <c r="E412">
        <f>Tableau1[[#This Row],[Potential (PJ)]]/3.6*1000</f>
        <v>128.76388888888891</v>
      </c>
      <c r="F412">
        <v>26.262083780880769</v>
      </c>
      <c r="G412">
        <f>Tableau1[[#This Row],[Cost (€/GJ)]]/1000*3.6</f>
        <v>9.4543501611170769E-2</v>
      </c>
      <c r="H412">
        <v>33.200000000000003</v>
      </c>
      <c r="I412">
        <f>Tableau1[[#This Row],[GHG (kgCO2eq/GJ)]]/1000*3.6</f>
        <v>0.11952</v>
      </c>
      <c r="J412" t="s">
        <v>107</v>
      </c>
      <c r="K412" t="s">
        <v>109</v>
      </c>
    </row>
    <row r="413" spans="1:11" hidden="1" x14ac:dyDescent="0.3">
      <c r="A413" t="s">
        <v>24</v>
      </c>
      <c r="B413" t="s">
        <v>52</v>
      </c>
      <c r="C413" t="s">
        <v>76</v>
      </c>
      <c r="D413">
        <v>2E-3</v>
      </c>
      <c r="E413">
        <f>Tableau1[[#This Row],[Potential (PJ)]]/3.6*1000</f>
        <v>0.55555555555555558</v>
      </c>
      <c r="F413">
        <v>6.1837425000000001</v>
      </c>
      <c r="G413">
        <f>Tableau1[[#This Row],[Cost (€/GJ)]]/1000*3.6</f>
        <v>2.2261473000000004E-2</v>
      </c>
      <c r="H413">
        <v>12.68872359754714</v>
      </c>
      <c r="I413">
        <f>Tableau1[[#This Row],[GHG (kgCO2eq/GJ)]]/1000*3.6</f>
        <v>4.5679404951169705E-2</v>
      </c>
      <c r="J413" t="s">
        <v>105</v>
      </c>
      <c r="K413" t="s">
        <v>108</v>
      </c>
    </row>
    <row r="414" spans="1:11" hidden="1" x14ac:dyDescent="0.3">
      <c r="A414" t="s">
        <v>24</v>
      </c>
      <c r="B414" t="s">
        <v>53</v>
      </c>
      <c r="C414" t="s">
        <v>77</v>
      </c>
      <c r="D414">
        <v>0.80005999999999999</v>
      </c>
      <c r="E414">
        <f>Tableau1[[#This Row],[Potential (PJ)]]/3.6*1000</f>
        <v>222.23888888888888</v>
      </c>
      <c r="F414">
        <v>3.492611404144689</v>
      </c>
      <c r="G414">
        <f>Tableau1[[#This Row],[Cost (€/GJ)]]/1000*3.6</f>
        <v>1.2573401054920882E-2</v>
      </c>
      <c r="H414">
        <v>3.86607608129234</v>
      </c>
      <c r="I414">
        <f>Tableau1[[#This Row],[GHG (kgCO2eq/GJ)]]/1000*3.6</f>
        <v>1.3917873892652425E-2</v>
      </c>
      <c r="J414" t="s">
        <v>104</v>
      </c>
      <c r="K414" t="s">
        <v>108</v>
      </c>
    </row>
    <row r="415" spans="1:11" hidden="1" x14ac:dyDescent="0.3">
      <c r="A415" t="s">
        <v>24</v>
      </c>
      <c r="B415" t="s">
        <v>61</v>
      </c>
      <c r="C415" t="s">
        <v>99</v>
      </c>
      <c r="D415">
        <v>0.8</v>
      </c>
      <c r="E415">
        <f>Tableau1[[#This Row],[Potential (PJ)]]/3.6*1000</f>
        <v>222.22222222222223</v>
      </c>
      <c r="F415">
        <v>2.085</v>
      </c>
      <c r="G415">
        <f>Tableau1[[#This Row],[Cost (€/GJ)]]/1000*3.6</f>
        <v>7.5060000000000005E-3</v>
      </c>
      <c r="H415">
        <v>2.9245635910224439</v>
      </c>
      <c r="I415">
        <f>Tableau1[[#This Row],[GHG (kgCO2eq/GJ)]]/1000*3.6</f>
        <v>1.0528428927680798E-2</v>
      </c>
      <c r="J415" t="s">
        <v>104</v>
      </c>
      <c r="K415" t="s">
        <v>108</v>
      </c>
    </row>
    <row r="416" spans="1:11" hidden="1" x14ac:dyDescent="0.3">
      <c r="A416" t="s">
        <v>24</v>
      </c>
      <c r="B416" t="s">
        <v>62</v>
      </c>
      <c r="C416" t="s">
        <v>100</v>
      </c>
      <c r="D416">
        <v>0.3</v>
      </c>
      <c r="E416">
        <f>Tableau1[[#This Row],[Potential (PJ)]]/3.6*1000</f>
        <v>83.333333333333329</v>
      </c>
      <c r="F416">
        <v>1.1333333333333331</v>
      </c>
      <c r="G416">
        <f>Tableau1[[#This Row],[Cost (€/GJ)]]/1000*3.6</f>
        <v>4.0799999999999986E-3</v>
      </c>
      <c r="H416">
        <v>2.6764106050305911</v>
      </c>
      <c r="I416">
        <f>Tableau1[[#This Row],[GHG (kgCO2eq/GJ)]]/1000*3.6</f>
        <v>9.6350781781101291E-3</v>
      </c>
      <c r="J416" t="s">
        <v>104</v>
      </c>
      <c r="K416" t="s">
        <v>108</v>
      </c>
    </row>
    <row r="417" spans="1:11" hidden="1" x14ac:dyDescent="0.3">
      <c r="A417" t="s">
        <v>24</v>
      </c>
      <c r="B417" t="s">
        <v>54</v>
      </c>
      <c r="C417" t="s">
        <v>78</v>
      </c>
      <c r="D417">
        <v>20</v>
      </c>
      <c r="E417">
        <f>Tableau1[[#This Row],[Potential (PJ)]]/3.6*1000</f>
        <v>5555.5555555555557</v>
      </c>
      <c r="F417">
        <v>7.4269999999999996</v>
      </c>
      <c r="G417">
        <f>Tableau1[[#This Row],[Cost (€/GJ)]]/1000*3.6</f>
        <v>2.6737199999999999E-2</v>
      </c>
      <c r="H417">
        <v>3.86607608129234</v>
      </c>
      <c r="I417">
        <f>Tableau1[[#This Row],[GHG (kgCO2eq/GJ)]]/1000*3.6</f>
        <v>1.3917873892652425E-2</v>
      </c>
      <c r="J417" t="s">
        <v>104</v>
      </c>
      <c r="K417" t="s">
        <v>108</v>
      </c>
    </row>
    <row r="418" spans="1:11" hidden="1" x14ac:dyDescent="0.3">
      <c r="A418" t="s">
        <v>25</v>
      </c>
      <c r="B418" t="s">
        <v>51</v>
      </c>
      <c r="C418" t="s">
        <v>75</v>
      </c>
      <c r="D418">
        <v>0.80279800000000001</v>
      </c>
      <c r="E418">
        <f>Tableau1[[#This Row],[Potential (PJ)]]/3.6*1000</f>
        <v>222.99944444444444</v>
      </c>
      <c r="F418">
        <v>2.9714065881842398E-3</v>
      </c>
      <c r="G418">
        <f>Tableau1[[#This Row],[Cost (€/GJ)]]/1000*3.6</f>
        <v>1.0697063717463263E-5</v>
      </c>
      <c r="H418">
        <v>11.74</v>
      </c>
      <c r="I418">
        <f>Tableau1[[#This Row],[GHG (kgCO2eq/GJ)]]/1000*3.6</f>
        <v>4.2264000000000003E-2</v>
      </c>
      <c r="J418" t="s">
        <v>104</v>
      </c>
      <c r="K418" t="s">
        <v>108</v>
      </c>
    </row>
    <row r="419" spans="1:11" hidden="1" x14ac:dyDescent="0.3">
      <c r="A419" t="s">
        <v>26</v>
      </c>
      <c r="B419" t="s">
        <v>46</v>
      </c>
      <c r="C419" t="s">
        <v>63</v>
      </c>
      <c r="D419">
        <v>0.69550000000000001</v>
      </c>
      <c r="E419">
        <f>Tableau1[[#This Row],[Potential (PJ)]]/3.6*1000</f>
        <v>193.19444444444446</v>
      </c>
      <c r="F419">
        <v>2.9286474973375931</v>
      </c>
      <c r="G419">
        <f>Tableau1[[#This Row],[Cost (€/GJ)]]/1000*3.6</f>
        <v>1.0543130990415334E-2</v>
      </c>
      <c r="H419">
        <v>3.950479233226837</v>
      </c>
      <c r="I419">
        <f>Tableau1[[#This Row],[GHG (kgCO2eq/GJ)]]/1000*3.6</f>
        <v>1.4221725239616614E-2</v>
      </c>
      <c r="J419" t="s">
        <v>104</v>
      </c>
      <c r="K419" t="s">
        <v>108</v>
      </c>
    </row>
    <row r="420" spans="1:11" hidden="1" x14ac:dyDescent="0.3">
      <c r="A420" t="s">
        <v>26</v>
      </c>
      <c r="B420" t="s">
        <v>46</v>
      </c>
      <c r="C420" t="s">
        <v>64</v>
      </c>
      <c r="D420">
        <v>0.10897999999999999</v>
      </c>
      <c r="E420">
        <f>Tableau1[[#This Row],[Potential (PJ)]]/3.6*1000</f>
        <v>30.272222222222222</v>
      </c>
      <c r="F420">
        <v>5.1362583960359709</v>
      </c>
      <c r="G420">
        <f>Tableau1[[#This Row],[Cost (€/GJ)]]/1000*3.6</f>
        <v>1.8490530225729496E-2</v>
      </c>
      <c r="H420">
        <v>2.9521711768407801</v>
      </c>
      <c r="I420">
        <f>Tableau1[[#This Row],[GHG (kgCO2eq/GJ)]]/1000*3.6</f>
        <v>1.0627816236626808E-2</v>
      </c>
      <c r="J420" t="s">
        <v>104</v>
      </c>
      <c r="K420" t="s">
        <v>108</v>
      </c>
    </row>
    <row r="421" spans="1:11" hidden="1" x14ac:dyDescent="0.3">
      <c r="A421" t="s">
        <v>26</v>
      </c>
      <c r="B421" t="s">
        <v>46</v>
      </c>
      <c r="C421" t="s">
        <v>79</v>
      </c>
      <c r="D421">
        <v>8.8000000000000007</v>
      </c>
      <c r="E421">
        <f>Tableau1[[#This Row],[Potential (PJ)]]/3.6*1000</f>
        <v>2444.4444444444448</v>
      </c>
      <c r="F421">
        <v>2.701011363636364</v>
      </c>
      <c r="G421">
        <f>Tableau1[[#This Row],[Cost (€/GJ)]]/1000*3.6</f>
        <v>9.7236409090909106E-3</v>
      </c>
      <c r="H421">
        <v>6.8428961748633883</v>
      </c>
      <c r="I421">
        <f>Tableau1[[#This Row],[GHG (kgCO2eq/GJ)]]/1000*3.6</f>
        <v>2.4634426229508198E-2</v>
      </c>
      <c r="J421" t="s">
        <v>104</v>
      </c>
      <c r="K421" t="s">
        <v>108</v>
      </c>
    </row>
    <row r="422" spans="1:11" hidden="1" x14ac:dyDescent="0.3">
      <c r="A422" t="s">
        <v>26</v>
      </c>
      <c r="B422" t="s">
        <v>46</v>
      </c>
      <c r="C422" t="s">
        <v>65</v>
      </c>
      <c r="D422">
        <v>0.2</v>
      </c>
      <c r="E422">
        <f>Tableau1[[#This Row],[Potential (PJ)]]/3.6*1000</f>
        <v>55.555555555555557</v>
      </c>
      <c r="F422">
        <v>5.7729999999999997</v>
      </c>
      <c r="G422">
        <f>Tableau1[[#This Row],[Cost (€/GJ)]]/1000*3.6</f>
        <v>2.0782799999999997E-2</v>
      </c>
      <c r="H422">
        <v>2.9521711768407801</v>
      </c>
      <c r="I422">
        <f>Tableau1[[#This Row],[GHG (kgCO2eq/GJ)]]/1000*3.6</f>
        <v>1.0627816236626808E-2</v>
      </c>
      <c r="J422" t="s">
        <v>104</v>
      </c>
      <c r="K422" t="s">
        <v>108</v>
      </c>
    </row>
    <row r="423" spans="1:11" hidden="1" x14ac:dyDescent="0.3">
      <c r="A423" t="s">
        <v>26</v>
      </c>
      <c r="B423" t="s">
        <v>46</v>
      </c>
      <c r="C423" t="s">
        <v>102</v>
      </c>
      <c r="D423">
        <v>0.2</v>
      </c>
      <c r="E423">
        <f>Tableau1[[#This Row],[Potential (PJ)]]/3.6*1000</f>
        <v>55.555555555555557</v>
      </c>
      <c r="F423">
        <v>4.9870000000000001</v>
      </c>
      <c r="G423">
        <f>Tableau1[[#This Row],[Cost (€/GJ)]]/1000*3.6</f>
        <v>1.7953200000000002E-2</v>
      </c>
      <c r="H423">
        <v>2.9521711768407801</v>
      </c>
      <c r="I423">
        <f>Tableau1[[#This Row],[GHG (kgCO2eq/GJ)]]/1000*3.6</f>
        <v>1.0627816236626808E-2</v>
      </c>
      <c r="J423" t="s">
        <v>104</v>
      </c>
      <c r="K423" t="s">
        <v>108</v>
      </c>
    </row>
    <row r="424" spans="1:11" hidden="1" x14ac:dyDescent="0.3">
      <c r="A424" t="s">
        <v>26</v>
      </c>
      <c r="B424" t="s">
        <v>46</v>
      </c>
      <c r="C424" t="s">
        <v>80</v>
      </c>
      <c r="D424">
        <v>3.4622999999999999</v>
      </c>
      <c r="E424">
        <f>Tableau1[[#This Row],[Potential (PJ)]]/3.6*1000</f>
        <v>961.75</v>
      </c>
      <c r="F424">
        <v>0.7329737019554956</v>
      </c>
      <c r="G424">
        <f>Tableau1[[#This Row],[Cost (€/GJ)]]/1000*3.6</f>
        <v>2.6387053270397844E-3</v>
      </c>
      <c r="H424">
        <v>28.139870918023309</v>
      </c>
      <c r="I424">
        <f>Tableau1[[#This Row],[GHG (kgCO2eq/GJ)]]/1000*3.6</f>
        <v>0.10130353530488391</v>
      </c>
      <c r="J424" t="s">
        <v>105</v>
      </c>
      <c r="K424" t="s">
        <v>108</v>
      </c>
    </row>
    <row r="425" spans="1:11" hidden="1" x14ac:dyDescent="0.3">
      <c r="A425" t="s">
        <v>26</v>
      </c>
      <c r="B425" t="s">
        <v>46</v>
      </c>
      <c r="C425" t="s">
        <v>81</v>
      </c>
      <c r="D425">
        <v>0.76770000000000005</v>
      </c>
      <c r="E425">
        <f>Tableau1[[#This Row],[Potential (PJ)]]/3.6*1000</f>
        <v>213.25</v>
      </c>
      <c r="F425">
        <v>1.2708578143360749</v>
      </c>
      <c r="G425">
        <f>Tableau1[[#This Row],[Cost (€/GJ)]]/1000*3.6</f>
        <v>4.5750881316098703E-3</v>
      </c>
      <c r="H425">
        <v>8.9647473560517046</v>
      </c>
      <c r="I425">
        <f>Tableau1[[#This Row],[GHG (kgCO2eq/GJ)]]/1000*3.6</f>
        <v>3.2273090481786136E-2</v>
      </c>
      <c r="J425" t="s">
        <v>105</v>
      </c>
      <c r="K425" t="s">
        <v>108</v>
      </c>
    </row>
    <row r="426" spans="1:11" hidden="1" x14ac:dyDescent="0.3">
      <c r="A426" t="s">
        <v>26</v>
      </c>
      <c r="B426" t="s">
        <v>46</v>
      </c>
      <c r="C426" t="s">
        <v>66</v>
      </c>
      <c r="D426">
        <v>4.2</v>
      </c>
      <c r="E426">
        <f>Tableau1[[#This Row],[Potential (PJ)]]/3.6*1000</f>
        <v>1166.6666666666667</v>
      </c>
      <c r="F426">
        <v>2.77097619047619</v>
      </c>
      <c r="G426">
        <f>Tableau1[[#This Row],[Cost (€/GJ)]]/1000*3.6</f>
        <v>9.9755142857142851E-3</v>
      </c>
      <c r="H426">
        <v>6.8428961748633883</v>
      </c>
      <c r="I426">
        <f>Tableau1[[#This Row],[GHG (kgCO2eq/GJ)]]/1000*3.6</f>
        <v>2.4634426229508198E-2</v>
      </c>
      <c r="J426" t="s">
        <v>104</v>
      </c>
      <c r="K426" t="s">
        <v>108</v>
      </c>
    </row>
    <row r="427" spans="1:11" hidden="1" x14ac:dyDescent="0.3">
      <c r="A427" t="s">
        <v>26</v>
      </c>
      <c r="B427" t="s">
        <v>46</v>
      </c>
      <c r="C427" t="s">
        <v>67</v>
      </c>
      <c r="D427">
        <v>1.6</v>
      </c>
      <c r="E427">
        <f>Tableau1[[#This Row],[Potential (PJ)]]/3.6*1000</f>
        <v>444.44444444444446</v>
      </c>
      <c r="F427">
        <v>8.6677499999999998</v>
      </c>
      <c r="G427">
        <f>Tableau1[[#This Row],[Cost (€/GJ)]]/1000*3.6</f>
        <v>3.12039E-2</v>
      </c>
      <c r="H427">
        <v>2.9521711768407801</v>
      </c>
      <c r="I427">
        <f>Tableau1[[#This Row],[GHG (kgCO2eq/GJ)]]/1000*3.6</f>
        <v>1.0627816236626808E-2</v>
      </c>
      <c r="J427" t="s">
        <v>104</v>
      </c>
      <c r="K427" t="s">
        <v>108</v>
      </c>
    </row>
    <row r="428" spans="1:11" hidden="1" x14ac:dyDescent="0.3">
      <c r="A428" t="s">
        <v>26</v>
      </c>
      <c r="B428" t="s">
        <v>46</v>
      </c>
      <c r="C428" t="s">
        <v>82</v>
      </c>
      <c r="D428">
        <v>0.2</v>
      </c>
      <c r="E428">
        <f>Tableau1[[#This Row],[Potential (PJ)]]/3.6*1000</f>
        <v>55.555555555555557</v>
      </c>
      <c r="F428">
        <v>1.7945</v>
      </c>
      <c r="G428">
        <f>Tableau1[[#This Row],[Cost (€/GJ)]]/1000*3.6</f>
        <v>6.4602000000000001E-3</v>
      </c>
      <c r="H428">
        <v>6.8428961748633883</v>
      </c>
      <c r="I428">
        <f>Tableau1[[#This Row],[GHG (kgCO2eq/GJ)]]/1000*3.6</f>
        <v>2.4634426229508198E-2</v>
      </c>
      <c r="J428" t="s">
        <v>104</v>
      </c>
      <c r="K428" t="s">
        <v>108</v>
      </c>
    </row>
    <row r="429" spans="1:11" hidden="1" x14ac:dyDescent="0.3">
      <c r="A429" t="s">
        <v>26</v>
      </c>
      <c r="B429" t="s">
        <v>46</v>
      </c>
      <c r="C429" t="s">
        <v>83</v>
      </c>
      <c r="D429">
        <v>1.38486</v>
      </c>
      <c r="E429">
        <f>Tableau1[[#This Row],[Potential (PJ)]]/3.6*1000</f>
        <v>384.68333333333334</v>
      </c>
      <c r="F429">
        <v>2.6620073870282921</v>
      </c>
      <c r="G429">
        <f>Tableau1[[#This Row],[Cost (€/GJ)]]/1000*3.6</f>
        <v>9.5832265933018506E-3</v>
      </c>
      <c r="H429">
        <v>6.8428961748633883</v>
      </c>
      <c r="I429">
        <f>Tableau1[[#This Row],[GHG (kgCO2eq/GJ)]]/1000*3.6</f>
        <v>2.4634426229508198E-2</v>
      </c>
      <c r="J429" t="s">
        <v>104</v>
      </c>
      <c r="K429" t="s">
        <v>108</v>
      </c>
    </row>
    <row r="430" spans="1:11" hidden="1" x14ac:dyDescent="0.3">
      <c r="A430" t="s">
        <v>26</v>
      </c>
      <c r="B430" t="s">
        <v>46</v>
      </c>
      <c r="C430" t="s">
        <v>84</v>
      </c>
      <c r="D430">
        <v>0.8</v>
      </c>
      <c r="E430">
        <f>Tableau1[[#This Row],[Potential (PJ)]]/3.6*1000</f>
        <v>222.22222222222223</v>
      </c>
      <c r="F430">
        <v>2.085375</v>
      </c>
      <c r="G430">
        <f>Tableau1[[#This Row],[Cost (€/GJ)]]/1000*3.6</f>
        <v>7.5073500000000003E-3</v>
      </c>
      <c r="H430">
        <v>28.139870918023309</v>
      </c>
      <c r="I430">
        <f>Tableau1[[#This Row],[GHG (kgCO2eq/GJ)]]/1000*3.6</f>
        <v>0.10130353530488391</v>
      </c>
      <c r="J430" t="s">
        <v>105</v>
      </c>
      <c r="K430" t="s">
        <v>108</v>
      </c>
    </row>
    <row r="431" spans="1:11" hidden="1" x14ac:dyDescent="0.3">
      <c r="A431" t="s">
        <v>26</v>
      </c>
      <c r="B431" t="s">
        <v>46</v>
      </c>
      <c r="C431" t="s">
        <v>85</v>
      </c>
      <c r="D431">
        <v>0.60000000000000009</v>
      </c>
      <c r="E431">
        <f>Tableau1[[#This Row],[Potential (PJ)]]/3.6*1000</f>
        <v>166.66666666666669</v>
      </c>
      <c r="F431">
        <v>4.0750000000000002</v>
      </c>
      <c r="G431">
        <f>Tableau1[[#This Row],[Cost (€/GJ)]]/1000*3.6</f>
        <v>1.4670000000000002E-2</v>
      </c>
      <c r="H431">
        <v>2.9521711768407801</v>
      </c>
      <c r="I431">
        <f>Tableau1[[#This Row],[GHG (kgCO2eq/GJ)]]/1000*3.6</f>
        <v>1.0627816236626808E-2</v>
      </c>
      <c r="J431" t="s">
        <v>104</v>
      </c>
      <c r="K431" t="s">
        <v>108</v>
      </c>
    </row>
    <row r="432" spans="1:11" hidden="1" x14ac:dyDescent="0.3">
      <c r="A432" t="s">
        <v>26</v>
      </c>
      <c r="B432" t="s">
        <v>55</v>
      </c>
      <c r="C432" t="s">
        <v>86</v>
      </c>
      <c r="D432">
        <v>0.4708</v>
      </c>
      <c r="E432">
        <f>Tableau1[[#This Row],[Potential (PJ)]]/3.6*1000</f>
        <v>130.77777777777777</v>
      </c>
      <c r="F432">
        <v>20.170999999999999</v>
      </c>
      <c r="G432">
        <f>Tableau1[[#This Row],[Cost (€/GJ)]]/1000*3.6</f>
        <v>7.2615599999999988E-2</v>
      </c>
      <c r="H432">
        <v>16.3</v>
      </c>
      <c r="I432">
        <f>Tableau1[[#This Row],[GHG (kgCO2eq/GJ)]]/1000*3.6</f>
        <v>5.868000000000001E-2</v>
      </c>
      <c r="J432" t="s">
        <v>106</v>
      </c>
      <c r="K432" t="s">
        <v>109</v>
      </c>
    </row>
    <row r="433" spans="1:11" hidden="1" x14ac:dyDescent="0.3">
      <c r="A433" t="s">
        <v>26</v>
      </c>
      <c r="B433" t="s">
        <v>55</v>
      </c>
      <c r="C433" t="s">
        <v>87</v>
      </c>
      <c r="D433">
        <v>9.0221999999999998</v>
      </c>
      <c r="E433">
        <f>Tableau1[[#This Row],[Potential (PJ)]]/3.6*1000</f>
        <v>2506.1666666666665</v>
      </c>
      <c r="F433">
        <v>27.187999999999999</v>
      </c>
      <c r="G433">
        <f>Tableau1[[#This Row],[Cost (€/GJ)]]/1000*3.6</f>
        <v>9.78768E-2</v>
      </c>
      <c r="H433">
        <v>16.3</v>
      </c>
      <c r="I433">
        <f>Tableau1[[#This Row],[GHG (kgCO2eq/GJ)]]/1000*3.6</f>
        <v>5.868000000000001E-2</v>
      </c>
      <c r="J433" t="s">
        <v>106</v>
      </c>
      <c r="K433" t="s">
        <v>109</v>
      </c>
    </row>
    <row r="434" spans="1:11" hidden="1" x14ac:dyDescent="0.3">
      <c r="A434" t="s">
        <v>26</v>
      </c>
      <c r="B434" t="s">
        <v>55</v>
      </c>
      <c r="C434" t="s">
        <v>88</v>
      </c>
      <c r="D434">
        <v>5.4279999999999999</v>
      </c>
      <c r="E434">
        <f>Tableau1[[#This Row],[Potential (PJ)]]/3.6*1000</f>
        <v>1507.7777777777776</v>
      </c>
      <c r="F434">
        <v>21.413999999999991</v>
      </c>
      <c r="G434">
        <f>Tableau1[[#This Row],[Cost (€/GJ)]]/1000*3.6</f>
        <v>7.7090399999999976E-2</v>
      </c>
      <c r="H434">
        <v>16.3</v>
      </c>
      <c r="I434">
        <f>Tableau1[[#This Row],[GHG (kgCO2eq/GJ)]]/1000*3.6</f>
        <v>5.868000000000001E-2</v>
      </c>
      <c r="J434" t="s">
        <v>106</v>
      </c>
      <c r="K434" t="s">
        <v>109</v>
      </c>
    </row>
    <row r="435" spans="1:11" hidden="1" x14ac:dyDescent="0.3">
      <c r="A435" t="s">
        <v>26</v>
      </c>
      <c r="B435" t="s">
        <v>55</v>
      </c>
      <c r="C435" t="s">
        <v>92</v>
      </c>
      <c r="D435">
        <v>1.31185</v>
      </c>
      <c r="E435">
        <f>Tableau1[[#This Row],[Potential (PJ)]]/3.6*1000</f>
        <v>364.40277777777771</v>
      </c>
      <c r="F435">
        <v>27.187999999999999</v>
      </c>
      <c r="G435">
        <f>Tableau1[[#This Row],[Cost (€/GJ)]]/1000*3.6</f>
        <v>9.78768E-2</v>
      </c>
      <c r="H435">
        <v>16.3</v>
      </c>
      <c r="I435">
        <f>Tableau1[[#This Row],[GHG (kgCO2eq/GJ)]]/1000*3.6</f>
        <v>5.868000000000001E-2</v>
      </c>
      <c r="J435" t="s">
        <v>106</v>
      </c>
      <c r="K435" t="s">
        <v>109</v>
      </c>
    </row>
    <row r="436" spans="1:11" hidden="1" x14ac:dyDescent="0.3">
      <c r="A436" t="s">
        <v>26</v>
      </c>
      <c r="B436" t="s">
        <v>56</v>
      </c>
      <c r="C436" t="s">
        <v>93</v>
      </c>
      <c r="D436">
        <v>130.29820000000001</v>
      </c>
      <c r="E436">
        <f>Tableau1[[#This Row],[Potential (PJ)]]/3.6*1000</f>
        <v>36193.944444444445</v>
      </c>
      <c r="F436">
        <v>2.939759036144578</v>
      </c>
      <c r="G436">
        <f>Tableau1[[#This Row],[Cost (€/GJ)]]/1000*3.6</f>
        <v>1.0583132530120481E-2</v>
      </c>
      <c r="H436">
        <v>23.4</v>
      </c>
      <c r="I436">
        <f>Tableau1[[#This Row],[GHG (kgCO2eq/GJ)]]/1000*3.6</f>
        <v>8.4239999999999995E-2</v>
      </c>
      <c r="J436" t="s">
        <v>106</v>
      </c>
      <c r="K436" t="s">
        <v>109</v>
      </c>
    </row>
    <row r="437" spans="1:11" hidden="1" x14ac:dyDescent="0.3">
      <c r="A437" t="s">
        <v>26</v>
      </c>
      <c r="B437" t="s">
        <v>47</v>
      </c>
      <c r="C437" t="s">
        <v>68</v>
      </c>
      <c r="D437">
        <v>37</v>
      </c>
      <c r="E437">
        <f>Tableau1[[#This Row],[Potential (PJ)]]/3.6*1000</f>
        <v>10277.777777777777</v>
      </c>
      <c r="F437">
        <v>6.8317324324324327</v>
      </c>
      <c r="G437">
        <f>Tableau1[[#This Row],[Cost (€/GJ)]]/1000*3.6</f>
        <v>2.459423675675676E-2</v>
      </c>
      <c r="H437">
        <v>20.7</v>
      </c>
      <c r="I437">
        <f>Tableau1[[#This Row],[GHG (kgCO2eq/GJ)]]/1000*3.6</f>
        <v>7.4520000000000003E-2</v>
      </c>
      <c r="J437" t="s">
        <v>104</v>
      </c>
      <c r="K437" t="s">
        <v>109</v>
      </c>
    </row>
    <row r="438" spans="1:11" hidden="1" x14ac:dyDescent="0.3">
      <c r="A438" t="s">
        <v>26</v>
      </c>
      <c r="B438" t="s">
        <v>47</v>
      </c>
      <c r="C438" t="s">
        <v>69</v>
      </c>
      <c r="D438">
        <v>23.9</v>
      </c>
      <c r="E438">
        <f>Tableau1[[#This Row],[Potential (PJ)]]/3.6*1000</f>
        <v>6638.8888888888887</v>
      </c>
      <c r="F438">
        <v>8.7741004184100415</v>
      </c>
      <c r="G438">
        <f>Tableau1[[#This Row],[Cost (€/GJ)]]/1000*3.6</f>
        <v>3.1586761506276151E-2</v>
      </c>
      <c r="H438">
        <v>20.7</v>
      </c>
      <c r="I438">
        <f>Tableau1[[#This Row],[GHG (kgCO2eq/GJ)]]/1000*3.6</f>
        <v>7.4520000000000003E-2</v>
      </c>
      <c r="J438" t="s">
        <v>104</v>
      </c>
      <c r="K438" t="s">
        <v>109</v>
      </c>
    </row>
    <row r="439" spans="1:11" hidden="1" x14ac:dyDescent="0.3">
      <c r="A439" t="s">
        <v>26</v>
      </c>
      <c r="B439" t="s">
        <v>48</v>
      </c>
      <c r="C439" t="s">
        <v>70</v>
      </c>
      <c r="D439">
        <v>16.5</v>
      </c>
      <c r="E439">
        <f>Tableau1[[#This Row],[Potential (PJ)]]/3.6*1000</f>
        <v>4583.333333333333</v>
      </c>
      <c r="F439">
        <v>15.859557575757581</v>
      </c>
      <c r="G439">
        <f>Tableau1[[#This Row],[Cost (€/GJ)]]/1000*3.6</f>
        <v>5.7094407272727292E-2</v>
      </c>
      <c r="H439">
        <v>0</v>
      </c>
      <c r="I439">
        <f>Tableau1[[#This Row],[GHG (kgCO2eq/GJ)]]/1000*3.6</f>
        <v>0</v>
      </c>
      <c r="J439" t="s">
        <v>104</v>
      </c>
      <c r="K439" t="s">
        <v>109</v>
      </c>
    </row>
    <row r="440" spans="1:11" hidden="1" x14ac:dyDescent="0.3">
      <c r="A440" t="s">
        <v>26</v>
      </c>
      <c r="B440" t="s">
        <v>49</v>
      </c>
      <c r="C440" t="s">
        <v>71</v>
      </c>
      <c r="D440">
        <v>26.544129999999999</v>
      </c>
      <c r="E440">
        <f>Tableau1[[#This Row],[Potential (PJ)]]/3.6*1000</f>
        <v>7373.3694444444445</v>
      </c>
      <c r="F440">
        <v>4.4857466592425519</v>
      </c>
      <c r="G440">
        <f>Tableau1[[#This Row],[Cost (€/GJ)]]/1000*3.6</f>
        <v>1.6148687973273186E-2</v>
      </c>
      <c r="H440">
        <v>3.86607608129234</v>
      </c>
      <c r="I440">
        <f>Tableau1[[#This Row],[GHG (kgCO2eq/GJ)]]/1000*3.6</f>
        <v>1.3917873892652425E-2</v>
      </c>
      <c r="J440" t="s">
        <v>104</v>
      </c>
      <c r="K440" t="s">
        <v>108</v>
      </c>
    </row>
    <row r="441" spans="1:11" hidden="1" x14ac:dyDescent="0.3">
      <c r="A441" t="s">
        <v>26</v>
      </c>
      <c r="B441" t="s">
        <v>49</v>
      </c>
      <c r="C441" t="s">
        <v>72</v>
      </c>
      <c r="D441">
        <v>4.5</v>
      </c>
      <c r="E441">
        <f>Tableau1[[#This Row],[Potential (PJ)]]/3.6*1000</f>
        <v>1250</v>
      </c>
      <c r="F441">
        <v>3.606933333333334</v>
      </c>
      <c r="G441">
        <f>Tableau1[[#This Row],[Cost (€/GJ)]]/1000*3.6</f>
        <v>1.2984960000000004E-2</v>
      </c>
      <c r="H441">
        <v>3.86607608129234</v>
      </c>
      <c r="I441">
        <f>Tableau1[[#This Row],[GHG (kgCO2eq/GJ)]]/1000*3.6</f>
        <v>1.3917873892652425E-2</v>
      </c>
      <c r="J441" t="s">
        <v>104</v>
      </c>
      <c r="K441" t="s">
        <v>108</v>
      </c>
    </row>
    <row r="442" spans="1:11" hidden="1" x14ac:dyDescent="0.3">
      <c r="A442" t="s">
        <v>26</v>
      </c>
      <c r="B442" t="s">
        <v>58</v>
      </c>
      <c r="C442" t="s">
        <v>95</v>
      </c>
      <c r="D442">
        <v>3.4129100000000001</v>
      </c>
      <c r="E442">
        <f>Tableau1[[#This Row],[Potential (PJ)]]/3.6*1000</f>
        <v>948.03055555555557</v>
      </c>
      <c r="F442">
        <v>2.496782218107128</v>
      </c>
      <c r="G442">
        <f>Tableau1[[#This Row],[Cost (€/GJ)]]/1000*3.6</f>
        <v>8.9884159851856618E-3</v>
      </c>
      <c r="H442">
        <v>2.9521711768407801</v>
      </c>
      <c r="I442">
        <f>Tableau1[[#This Row],[GHG (kgCO2eq/GJ)]]/1000*3.6</f>
        <v>1.0627816236626808E-2</v>
      </c>
      <c r="J442" t="s">
        <v>104</v>
      </c>
      <c r="K442" t="s">
        <v>108</v>
      </c>
    </row>
    <row r="443" spans="1:11" hidden="1" x14ac:dyDescent="0.3">
      <c r="A443" t="s">
        <v>26</v>
      </c>
      <c r="B443" t="s">
        <v>50</v>
      </c>
      <c r="C443" t="s">
        <v>73</v>
      </c>
      <c r="D443">
        <v>15.3</v>
      </c>
      <c r="E443">
        <f>Tableau1[[#This Row],[Potential (PJ)]]/3.6*1000</f>
        <v>4250</v>
      </c>
      <c r="F443">
        <v>5.8949607843137262</v>
      </c>
      <c r="G443">
        <f>Tableau1[[#This Row],[Cost (€/GJ)]]/1000*3.6</f>
        <v>2.1221858823529414E-2</v>
      </c>
      <c r="H443">
        <v>20.723404255319149</v>
      </c>
      <c r="I443">
        <f>Tableau1[[#This Row],[GHG (kgCO2eq/GJ)]]/1000*3.6</f>
        <v>7.4604255319148938E-2</v>
      </c>
      <c r="J443" t="s">
        <v>105</v>
      </c>
      <c r="K443" t="s">
        <v>108</v>
      </c>
    </row>
    <row r="444" spans="1:11" hidden="1" x14ac:dyDescent="0.3">
      <c r="A444" t="s">
        <v>26</v>
      </c>
      <c r="B444" t="s">
        <v>50</v>
      </c>
      <c r="C444" t="s">
        <v>74</v>
      </c>
      <c r="D444">
        <v>39.700000000000003</v>
      </c>
      <c r="E444">
        <f>Tableau1[[#This Row],[Potential (PJ)]]/3.6*1000</f>
        <v>11027.777777777779</v>
      </c>
      <c r="F444">
        <v>4.7059949622166242</v>
      </c>
      <c r="G444">
        <f>Tableau1[[#This Row],[Cost (€/GJ)]]/1000*3.6</f>
        <v>1.6941581863979847E-2</v>
      </c>
      <c r="H444">
        <v>2.0635593220338988</v>
      </c>
      <c r="I444">
        <f>Tableau1[[#This Row],[GHG (kgCO2eq/GJ)]]/1000*3.6</f>
        <v>7.4288135593220351E-3</v>
      </c>
      <c r="J444" t="s">
        <v>105</v>
      </c>
      <c r="K444" t="s">
        <v>108</v>
      </c>
    </row>
    <row r="445" spans="1:11" hidden="1" x14ac:dyDescent="0.3">
      <c r="A445" t="s">
        <v>26</v>
      </c>
      <c r="B445" t="s">
        <v>59</v>
      </c>
      <c r="C445" t="s">
        <v>96</v>
      </c>
      <c r="D445">
        <v>1.0176000000000001</v>
      </c>
      <c r="E445">
        <f>Tableau1[[#This Row],[Potential (PJ)]]/3.6*1000</f>
        <v>282.66666666666669</v>
      </c>
      <c r="F445">
        <v>28.385000000000002</v>
      </c>
      <c r="G445">
        <f>Tableau1[[#This Row],[Cost (€/GJ)]]/1000*3.6</f>
        <v>0.102186</v>
      </c>
      <c r="H445">
        <v>17.7</v>
      </c>
      <c r="I445">
        <f>Tableau1[[#This Row],[GHG (kgCO2eq/GJ)]]/1000*3.6</f>
        <v>6.3719999999999999E-2</v>
      </c>
      <c r="J445" t="s">
        <v>107</v>
      </c>
      <c r="K445" t="s">
        <v>109</v>
      </c>
    </row>
    <row r="446" spans="1:11" hidden="1" x14ac:dyDescent="0.3">
      <c r="A446" t="s">
        <v>26</v>
      </c>
      <c r="B446" t="s">
        <v>59</v>
      </c>
      <c r="C446" t="s">
        <v>97</v>
      </c>
      <c r="D446">
        <v>1.5349999999999999</v>
      </c>
      <c r="E446">
        <f>Tableau1[[#This Row],[Potential (PJ)]]/3.6*1000</f>
        <v>426.38888888888886</v>
      </c>
      <c r="F446">
        <v>13.94465545306565</v>
      </c>
      <c r="G446">
        <f>Tableau1[[#This Row],[Cost (€/GJ)]]/1000*3.6</f>
        <v>5.0200759631036339E-2</v>
      </c>
      <c r="H446">
        <v>17.7</v>
      </c>
      <c r="I446">
        <f>Tableau1[[#This Row],[GHG (kgCO2eq/GJ)]]/1000*3.6</f>
        <v>6.3719999999999999E-2</v>
      </c>
      <c r="J446" t="s">
        <v>107</v>
      </c>
      <c r="K446" t="s">
        <v>109</v>
      </c>
    </row>
    <row r="447" spans="1:11" hidden="1" x14ac:dyDescent="0.3">
      <c r="A447" t="s">
        <v>26</v>
      </c>
      <c r="B447" t="s">
        <v>51</v>
      </c>
      <c r="C447" t="s">
        <v>75</v>
      </c>
      <c r="D447">
        <v>25.488479999999999</v>
      </c>
      <c r="E447">
        <f>Tableau1[[#This Row],[Potential (PJ)]]/3.6*1000</f>
        <v>7080.1333333333323</v>
      </c>
      <c r="F447">
        <v>5.9742422014761098E-2</v>
      </c>
      <c r="G447">
        <f>Tableau1[[#This Row],[Cost (€/GJ)]]/1000*3.6</f>
        <v>2.1507271925313997E-4</v>
      </c>
      <c r="H447">
        <v>11.74</v>
      </c>
      <c r="I447">
        <f>Tableau1[[#This Row],[GHG (kgCO2eq/GJ)]]/1000*3.6</f>
        <v>4.2264000000000003E-2</v>
      </c>
      <c r="J447" t="s">
        <v>104</v>
      </c>
      <c r="K447" t="s">
        <v>108</v>
      </c>
    </row>
    <row r="448" spans="1:11" hidden="1" x14ac:dyDescent="0.3">
      <c r="A448" t="s">
        <v>26</v>
      </c>
      <c r="B448" t="s">
        <v>60</v>
      </c>
      <c r="C448" t="s">
        <v>98</v>
      </c>
      <c r="D448">
        <v>0.11586</v>
      </c>
      <c r="E448">
        <f>Tableau1[[#This Row],[Potential (PJ)]]/3.6*1000</f>
        <v>32.183333333333337</v>
      </c>
      <c r="F448">
        <v>10.79484425349087</v>
      </c>
      <c r="G448">
        <f>Tableau1[[#This Row],[Cost (€/GJ)]]/1000*3.6</f>
        <v>3.8861439312567136E-2</v>
      </c>
      <c r="H448">
        <v>39</v>
      </c>
      <c r="I448">
        <f>Tableau1[[#This Row],[GHG (kgCO2eq/GJ)]]/1000*3.6</f>
        <v>0.1404</v>
      </c>
      <c r="J448" t="s">
        <v>107</v>
      </c>
      <c r="K448" t="s">
        <v>109</v>
      </c>
    </row>
    <row r="449" spans="1:11" hidden="1" x14ac:dyDescent="0.3">
      <c r="A449" t="s">
        <v>26</v>
      </c>
      <c r="B449" t="s">
        <v>52</v>
      </c>
      <c r="C449" t="s">
        <v>76</v>
      </c>
      <c r="D449">
        <v>0.191</v>
      </c>
      <c r="E449">
        <f>Tableau1[[#This Row],[Potential (PJ)]]/3.6*1000</f>
        <v>53.055555555555557</v>
      </c>
      <c r="F449">
        <v>6.1837425000000001</v>
      </c>
      <c r="G449">
        <f>Tableau1[[#This Row],[Cost (€/GJ)]]/1000*3.6</f>
        <v>2.2261473000000004E-2</v>
      </c>
      <c r="H449">
        <v>12.68872359754714</v>
      </c>
      <c r="I449">
        <f>Tableau1[[#This Row],[GHG (kgCO2eq/GJ)]]/1000*3.6</f>
        <v>4.5679404951169705E-2</v>
      </c>
      <c r="J449" t="s">
        <v>105</v>
      </c>
      <c r="K449" t="s">
        <v>108</v>
      </c>
    </row>
    <row r="450" spans="1:11" hidden="1" x14ac:dyDescent="0.3">
      <c r="A450" t="s">
        <v>26</v>
      </c>
      <c r="B450" t="s">
        <v>53</v>
      </c>
      <c r="C450" t="s">
        <v>77</v>
      </c>
      <c r="D450">
        <v>14.51877</v>
      </c>
      <c r="E450">
        <f>Tableau1[[#This Row],[Potential (PJ)]]/3.6*1000</f>
        <v>4032.9916666666668</v>
      </c>
      <c r="F450">
        <v>3.6085149912836969</v>
      </c>
      <c r="G450">
        <f>Tableau1[[#This Row],[Cost (€/GJ)]]/1000*3.6</f>
        <v>1.2990653968621309E-2</v>
      </c>
      <c r="H450">
        <v>3.86607608129234</v>
      </c>
      <c r="I450">
        <f>Tableau1[[#This Row],[GHG (kgCO2eq/GJ)]]/1000*3.6</f>
        <v>1.3917873892652425E-2</v>
      </c>
      <c r="J450" t="s">
        <v>104</v>
      </c>
      <c r="K450" t="s">
        <v>108</v>
      </c>
    </row>
    <row r="451" spans="1:11" hidden="1" x14ac:dyDescent="0.3">
      <c r="A451" t="s">
        <v>26</v>
      </c>
      <c r="B451" t="s">
        <v>61</v>
      </c>
      <c r="C451" t="s">
        <v>99</v>
      </c>
      <c r="D451">
        <v>2.6</v>
      </c>
      <c r="E451">
        <f>Tableau1[[#This Row],[Potential (PJ)]]/3.6*1000</f>
        <v>722.22222222222217</v>
      </c>
      <c r="F451">
        <v>2.230576923076923</v>
      </c>
      <c r="G451">
        <f>Tableau1[[#This Row],[Cost (€/GJ)]]/1000*3.6</f>
        <v>8.0300769230769228E-3</v>
      </c>
      <c r="H451">
        <v>2.9245635910224439</v>
      </c>
      <c r="I451">
        <f>Tableau1[[#This Row],[GHG (kgCO2eq/GJ)]]/1000*3.6</f>
        <v>1.0528428927680798E-2</v>
      </c>
      <c r="J451" t="s">
        <v>104</v>
      </c>
      <c r="K451" t="s">
        <v>108</v>
      </c>
    </row>
    <row r="452" spans="1:11" hidden="1" x14ac:dyDescent="0.3">
      <c r="A452" t="s">
        <v>26</v>
      </c>
      <c r="B452" t="s">
        <v>54</v>
      </c>
      <c r="C452" t="s">
        <v>78</v>
      </c>
      <c r="D452">
        <v>85.7</v>
      </c>
      <c r="E452">
        <f>Tableau1[[#This Row],[Potential (PJ)]]/3.6*1000</f>
        <v>23805.555555555558</v>
      </c>
      <c r="F452">
        <v>7.39855659276546</v>
      </c>
      <c r="G452">
        <f>Tableau1[[#This Row],[Cost (€/GJ)]]/1000*3.6</f>
        <v>2.6634803733955655E-2</v>
      </c>
      <c r="H452">
        <v>3.86607608129234</v>
      </c>
      <c r="I452">
        <f>Tableau1[[#This Row],[GHG (kgCO2eq/GJ)]]/1000*3.6</f>
        <v>1.3917873892652425E-2</v>
      </c>
      <c r="J452" t="s">
        <v>104</v>
      </c>
      <c r="K452" t="s">
        <v>108</v>
      </c>
    </row>
    <row r="453" spans="1:11" hidden="1" x14ac:dyDescent="0.3">
      <c r="A453" t="s">
        <v>27</v>
      </c>
      <c r="B453" t="s">
        <v>46</v>
      </c>
      <c r="C453" t="s">
        <v>64</v>
      </c>
      <c r="D453">
        <v>4.1200000000000004E-3</v>
      </c>
      <c r="E453">
        <f>Tableau1[[#This Row],[Potential (PJ)]]/3.6*1000</f>
        <v>1.1444444444444444</v>
      </c>
      <c r="F453">
        <v>0</v>
      </c>
      <c r="G453">
        <f>Tableau1[[#This Row],[Cost (€/GJ)]]/1000*3.6</f>
        <v>0</v>
      </c>
      <c r="H453">
        <v>2.9521711768407801</v>
      </c>
      <c r="I453">
        <f>Tableau1[[#This Row],[GHG (kgCO2eq/GJ)]]/1000*3.6</f>
        <v>1.0627816236626808E-2</v>
      </c>
      <c r="J453" t="s">
        <v>104</v>
      </c>
      <c r="K453" t="s">
        <v>108</v>
      </c>
    </row>
    <row r="454" spans="1:11" hidden="1" x14ac:dyDescent="0.3">
      <c r="A454" t="s">
        <v>27</v>
      </c>
      <c r="B454" t="s">
        <v>46</v>
      </c>
      <c r="C454" t="s">
        <v>79</v>
      </c>
      <c r="D454">
        <v>11.1</v>
      </c>
      <c r="E454">
        <f>Tableau1[[#This Row],[Potential (PJ)]]/3.6*1000</f>
        <v>3083.333333333333</v>
      </c>
      <c r="F454">
        <v>0</v>
      </c>
      <c r="G454">
        <f>Tableau1[[#This Row],[Cost (€/GJ)]]/1000*3.6</f>
        <v>0</v>
      </c>
      <c r="H454">
        <v>6.8428961748633883</v>
      </c>
      <c r="I454">
        <f>Tableau1[[#This Row],[GHG (kgCO2eq/GJ)]]/1000*3.6</f>
        <v>2.4634426229508198E-2</v>
      </c>
      <c r="J454" t="s">
        <v>104</v>
      </c>
      <c r="K454" t="s">
        <v>108</v>
      </c>
    </row>
    <row r="455" spans="1:11" hidden="1" x14ac:dyDescent="0.3">
      <c r="A455" t="s">
        <v>27</v>
      </c>
      <c r="B455" t="s">
        <v>46</v>
      </c>
      <c r="C455" t="s">
        <v>80</v>
      </c>
      <c r="D455">
        <v>1.15E-2</v>
      </c>
      <c r="E455">
        <f>Tableau1[[#This Row],[Potential (PJ)]]/3.6*1000</f>
        <v>3.1944444444444442</v>
      </c>
      <c r="F455">
        <v>0.25084288604180721</v>
      </c>
      <c r="G455">
        <f>Tableau1[[#This Row],[Cost (€/GJ)]]/1000*3.6</f>
        <v>9.0303438975050611E-4</v>
      </c>
      <c r="H455">
        <v>28.139870918023309</v>
      </c>
      <c r="I455">
        <f>Tableau1[[#This Row],[GHG (kgCO2eq/GJ)]]/1000*3.6</f>
        <v>0.10130353530488391</v>
      </c>
      <c r="J455" t="s">
        <v>105</v>
      </c>
      <c r="K455" t="s">
        <v>108</v>
      </c>
    </row>
    <row r="456" spans="1:11" hidden="1" x14ac:dyDescent="0.3">
      <c r="A456" t="s">
        <v>27</v>
      </c>
      <c r="B456" t="s">
        <v>46</v>
      </c>
      <c r="C456" t="s">
        <v>81</v>
      </c>
      <c r="D456">
        <v>1E-3</v>
      </c>
      <c r="E456">
        <f>Tableau1[[#This Row],[Potential (PJ)]]/3.6*1000</f>
        <v>0.27777777777777779</v>
      </c>
      <c r="F456">
        <v>1.663924794359577</v>
      </c>
      <c r="G456">
        <f>Tableau1[[#This Row],[Cost (€/GJ)]]/1000*3.6</f>
        <v>5.9901292596944771E-3</v>
      </c>
      <c r="H456">
        <v>8.9647473560517046</v>
      </c>
      <c r="I456">
        <f>Tableau1[[#This Row],[GHG (kgCO2eq/GJ)]]/1000*3.6</f>
        <v>3.2273090481786136E-2</v>
      </c>
      <c r="J456" t="s">
        <v>105</v>
      </c>
      <c r="K456" t="s">
        <v>108</v>
      </c>
    </row>
    <row r="457" spans="1:11" hidden="1" x14ac:dyDescent="0.3">
      <c r="A457" t="s">
        <v>27</v>
      </c>
      <c r="B457" t="s">
        <v>46</v>
      </c>
      <c r="C457" t="s">
        <v>66</v>
      </c>
      <c r="D457">
        <v>0.1</v>
      </c>
      <c r="E457">
        <f>Tableau1[[#This Row],[Potential (PJ)]]/3.6*1000</f>
        <v>27.777777777777779</v>
      </c>
      <c r="F457">
        <v>2.54</v>
      </c>
      <c r="G457">
        <f>Tableau1[[#This Row],[Cost (€/GJ)]]/1000*3.6</f>
        <v>9.1440000000000011E-3</v>
      </c>
      <c r="H457">
        <v>6.8428961748633883</v>
      </c>
      <c r="I457">
        <f>Tableau1[[#This Row],[GHG (kgCO2eq/GJ)]]/1000*3.6</f>
        <v>2.4634426229508198E-2</v>
      </c>
      <c r="J457" t="s">
        <v>104</v>
      </c>
      <c r="K457" t="s">
        <v>108</v>
      </c>
    </row>
    <row r="458" spans="1:11" hidden="1" x14ac:dyDescent="0.3">
      <c r="A458" t="s">
        <v>27</v>
      </c>
      <c r="B458" t="s">
        <v>46</v>
      </c>
      <c r="C458" t="s">
        <v>82</v>
      </c>
      <c r="D458">
        <v>0.1</v>
      </c>
      <c r="E458">
        <f>Tableau1[[#This Row],[Potential (PJ)]]/3.6*1000</f>
        <v>27.777777777777779</v>
      </c>
      <c r="F458">
        <v>1.677</v>
      </c>
      <c r="G458">
        <f>Tableau1[[#This Row],[Cost (€/GJ)]]/1000*3.6</f>
        <v>6.0372000000000004E-3</v>
      </c>
      <c r="H458">
        <v>6.8428961748633883</v>
      </c>
      <c r="I458">
        <f>Tableau1[[#This Row],[GHG (kgCO2eq/GJ)]]/1000*3.6</f>
        <v>2.4634426229508198E-2</v>
      </c>
      <c r="J458" t="s">
        <v>104</v>
      </c>
      <c r="K458" t="s">
        <v>108</v>
      </c>
    </row>
    <row r="459" spans="1:11" hidden="1" x14ac:dyDescent="0.3">
      <c r="A459" t="s">
        <v>27</v>
      </c>
      <c r="B459" t="s">
        <v>46</v>
      </c>
      <c r="C459" t="s">
        <v>84</v>
      </c>
      <c r="D459">
        <v>0.3</v>
      </c>
      <c r="E459">
        <f>Tableau1[[#This Row],[Potential (PJ)]]/3.6*1000</f>
        <v>83.333333333333329</v>
      </c>
      <c r="F459">
        <v>1.4650000000000001</v>
      </c>
      <c r="G459">
        <f>Tableau1[[#This Row],[Cost (€/GJ)]]/1000*3.6</f>
        <v>5.2740000000000009E-3</v>
      </c>
      <c r="H459">
        <v>28.139870918023309</v>
      </c>
      <c r="I459">
        <f>Tableau1[[#This Row],[GHG (kgCO2eq/GJ)]]/1000*3.6</f>
        <v>0.10130353530488391</v>
      </c>
      <c r="J459" t="s">
        <v>105</v>
      </c>
      <c r="K459" t="s">
        <v>108</v>
      </c>
    </row>
    <row r="460" spans="1:11" hidden="1" x14ac:dyDescent="0.3">
      <c r="A460" t="s">
        <v>27</v>
      </c>
      <c r="B460" t="s">
        <v>55</v>
      </c>
      <c r="C460" t="s">
        <v>86</v>
      </c>
      <c r="D460">
        <v>3.3428</v>
      </c>
      <c r="E460">
        <f>Tableau1[[#This Row],[Potential (PJ)]]/3.6*1000</f>
        <v>928.55555555555554</v>
      </c>
      <c r="F460">
        <v>15.141</v>
      </c>
      <c r="G460">
        <f>Tableau1[[#This Row],[Cost (€/GJ)]]/1000*3.6</f>
        <v>5.4507600000000003E-2</v>
      </c>
      <c r="H460">
        <v>6.5</v>
      </c>
      <c r="I460">
        <f>Tableau1[[#This Row],[GHG (kgCO2eq/GJ)]]/1000*3.6</f>
        <v>2.3400000000000001E-2</v>
      </c>
      <c r="J460" t="s">
        <v>106</v>
      </c>
      <c r="K460" t="s">
        <v>109</v>
      </c>
    </row>
    <row r="461" spans="1:11" hidden="1" x14ac:dyDescent="0.3">
      <c r="A461" t="s">
        <v>27</v>
      </c>
      <c r="B461" t="s">
        <v>55</v>
      </c>
      <c r="C461" t="s">
        <v>88</v>
      </c>
      <c r="D461">
        <v>1.4414</v>
      </c>
      <c r="E461">
        <f>Tableau1[[#This Row],[Potential (PJ)]]/3.6*1000</f>
        <v>400.38888888888891</v>
      </c>
      <c r="F461">
        <v>19.756</v>
      </c>
      <c r="G461">
        <f>Tableau1[[#This Row],[Cost (€/GJ)]]/1000*3.6</f>
        <v>7.1121599999999993E-2</v>
      </c>
      <c r="H461">
        <v>6.5</v>
      </c>
      <c r="I461">
        <f>Tableau1[[#This Row],[GHG (kgCO2eq/GJ)]]/1000*3.6</f>
        <v>2.3400000000000001E-2</v>
      </c>
      <c r="J461" t="s">
        <v>106</v>
      </c>
      <c r="K461" t="s">
        <v>109</v>
      </c>
    </row>
    <row r="462" spans="1:11" hidden="1" x14ac:dyDescent="0.3">
      <c r="A462" t="s">
        <v>27</v>
      </c>
      <c r="B462" t="s">
        <v>55</v>
      </c>
      <c r="C462" t="s">
        <v>89</v>
      </c>
      <c r="D462">
        <v>2.41E-2</v>
      </c>
      <c r="E462">
        <f>Tableau1[[#This Row],[Potential (PJ)]]/3.6*1000</f>
        <v>6.6944444444444438</v>
      </c>
      <c r="F462">
        <v>0</v>
      </c>
      <c r="G462">
        <f>Tableau1[[#This Row],[Cost (€/GJ)]]/1000*3.6</f>
        <v>0</v>
      </c>
      <c r="H462">
        <v>6.5</v>
      </c>
      <c r="I462">
        <f>Tableau1[[#This Row],[GHG (kgCO2eq/GJ)]]/1000*3.6</f>
        <v>2.3400000000000001E-2</v>
      </c>
      <c r="J462" t="s">
        <v>106</v>
      </c>
      <c r="K462" t="s">
        <v>109</v>
      </c>
    </row>
    <row r="463" spans="1:11" hidden="1" x14ac:dyDescent="0.3">
      <c r="A463" t="s">
        <v>27</v>
      </c>
      <c r="B463" t="s">
        <v>55</v>
      </c>
      <c r="C463" t="s">
        <v>90</v>
      </c>
      <c r="D463">
        <v>4.9474999999999998</v>
      </c>
      <c r="E463">
        <f>Tableau1[[#This Row],[Potential (PJ)]]/3.6*1000</f>
        <v>1374.3055555555554</v>
      </c>
      <c r="F463">
        <v>12.864000000000001</v>
      </c>
      <c r="G463">
        <f>Tableau1[[#This Row],[Cost (€/GJ)]]/1000*3.6</f>
        <v>4.6310400000000002E-2</v>
      </c>
      <c r="H463">
        <v>6.5</v>
      </c>
      <c r="I463">
        <f>Tableau1[[#This Row],[GHG (kgCO2eq/GJ)]]/1000*3.6</f>
        <v>2.3400000000000001E-2</v>
      </c>
      <c r="J463" t="s">
        <v>106</v>
      </c>
      <c r="K463" t="s">
        <v>109</v>
      </c>
    </row>
    <row r="464" spans="1:11" hidden="1" x14ac:dyDescent="0.3">
      <c r="A464" t="s">
        <v>27</v>
      </c>
      <c r="B464" t="s">
        <v>55</v>
      </c>
      <c r="C464" t="s">
        <v>91</v>
      </c>
      <c r="D464">
        <v>1.2281</v>
      </c>
      <c r="E464">
        <f>Tableau1[[#This Row],[Potential (PJ)]]/3.6*1000</f>
        <v>341.13888888888886</v>
      </c>
      <c r="F464">
        <v>12.228</v>
      </c>
      <c r="G464">
        <f>Tableau1[[#This Row],[Cost (€/GJ)]]/1000*3.6</f>
        <v>4.4020799999999999E-2</v>
      </c>
      <c r="H464">
        <v>6.5</v>
      </c>
      <c r="I464">
        <f>Tableau1[[#This Row],[GHG (kgCO2eq/GJ)]]/1000*3.6</f>
        <v>2.3400000000000001E-2</v>
      </c>
      <c r="J464" t="s">
        <v>106</v>
      </c>
      <c r="K464" t="s">
        <v>109</v>
      </c>
    </row>
    <row r="465" spans="1:11" hidden="1" x14ac:dyDescent="0.3">
      <c r="A465" t="s">
        <v>27</v>
      </c>
      <c r="B465" t="s">
        <v>55</v>
      </c>
      <c r="C465" t="s">
        <v>92</v>
      </c>
      <c r="D465">
        <v>1.4375199999999999</v>
      </c>
      <c r="E465">
        <f>Tableau1[[#This Row],[Potential (PJ)]]/3.6*1000</f>
        <v>399.31111111111107</v>
      </c>
      <c r="F465">
        <v>16.170000000000002</v>
      </c>
      <c r="G465">
        <f>Tableau1[[#This Row],[Cost (€/GJ)]]/1000*3.6</f>
        <v>5.8212E-2</v>
      </c>
      <c r="H465">
        <v>6.5</v>
      </c>
      <c r="I465">
        <f>Tableau1[[#This Row],[GHG (kgCO2eq/GJ)]]/1000*3.6</f>
        <v>2.3400000000000001E-2</v>
      </c>
      <c r="J465" t="s">
        <v>106</v>
      </c>
      <c r="K465" t="s">
        <v>109</v>
      </c>
    </row>
    <row r="466" spans="1:11" hidden="1" x14ac:dyDescent="0.3">
      <c r="A466" t="s">
        <v>27</v>
      </c>
      <c r="B466" t="s">
        <v>56</v>
      </c>
      <c r="C466" t="s">
        <v>93</v>
      </c>
      <c r="D466">
        <v>41.634799999999998</v>
      </c>
      <c r="E466">
        <f>Tableau1[[#This Row],[Potential (PJ)]]/3.6*1000</f>
        <v>11565.222222222221</v>
      </c>
      <c r="F466">
        <v>2.9493975903614462</v>
      </c>
      <c r="G466">
        <f>Tableau1[[#This Row],[Cost (€/GJ)]]/1000*3.6</f>
        <v>1.0617831325301207E-2</v>
      </c>
      <c r="H466">
        <v>18.3</v>
      </c>
      <c r="I466">
        <f>Tableau1[[#This Row],[GHG (kgCO2eq/GJ)]]/1000*3.6</f>
        <v>6.5880000000000008E-2</v>
      </c>
      <c r="J466" t="s">
        <v>106</v>
      </c>
      <c r="K466" t="s">
        <v>109</v>
      </c>
    </row>
    <row r="467" spans="1:11" hidden="1" x14ac:dyDescent="0.3">
      <c r="A467" t="s">
        <v>27</v>
      </c>
      <c r="B467" t="s">
        <v>47</v>
      </c>
      <c r="C467" t="s">
        <v>101</v>
      </c>
      <c r="D467">
        <v>6.8</v>
      </c>
      <c r="E467">
        <f>Tableau1[[#This Row],[Potential (PJ)]]/3.6*1000</f>
        <v>1888.8888888888889</v>
      </c>
      <c r="F467">
        <v>2.6869999999999998</v>
      </c>
      <c r="G467">
        <f>Tableau1[[#This Row],[Cost (€/GJ)]]/1000*3.6</f>
        <v>9.6731999999999999E-3</v>
      </c>
      <c r="H467">
        <v>44</v>
      </c>
      <c r="I467">
        <f>Tableau1[[#This Row],[GHG (kgCO2eq/GJ)]]/1000*3.6</f>
        <v>0.15839999999999999</v>
      </c>
      <c r="J467" t="s">
        <v>104</v>
      </c>
      <c r="K467" t="s">
        <v>109</v>
      </c>
    </row>
    <row r="468" spans="1:11" hidden="1" x14ac:dyDescent="0.3">
      <c r="A468" t="s">
        <v>27</v>
      </c>
      <c r="B468" t="s">
        <v>57</v>
      </c>
      <c r="C468" t="s">
        <v>94</v>
      </c>
      <c r="D468">
        <v>5.3</v>
      </c>
      <c r="E468">
        <f>Tableau1[[#This Row],[Potential (PJ)]]/3.6*1000</f>
        <v>1472.2222222222222</v>
      </c>
      <c r="F468">
        <v>7.9619999999999997</v>
      </c>
      <c r="G468">
        <f>Tableau1[[#This Row],[Cost (€/GJ)]]/1000*3.6</f>
        <v>2.8663200000000003E-2</v>
      </c>
      <c r="H468">
        <v>19.899999999999999</v>
      </c>
      <c r="I468">
        <f>Tableau1[[#This Row],[GHG (kgCO2eq/GJ)]]/1000*3.6</f>
        <v>7.1639999999999995E-2</v>
      </c>
      <c r="J468" t="s">
        <v>104</v>
      </c>
      <c r="K468" t="s">
        <v>109</v>
      </c>
    </row>
    <row r="469" spans="1:11" hidden="1" x14ac:dyDescent="0.3">
      <c r="A469" t="s">
        <v>27</v>
      </c>
      <c r="B469" t="s">
        <v>49</v>
      </c>
      <c r="C469" t="s">
        <v>71</v>
      </c>
      <c r="D469">
        <v>6.1668799999999999</v>
      </c>
      <c r="E469">
        <f>Tableau1[[#This Row],[Potential (PJ)]]/3.6*1000</f>
        <v>1713.0222222222221</v>
      </c>
      <c r="F469">
        <v>0</v>
      </c>
      <c r="G469">
        <f>Tableau1[[#This Row],[Cost (€/GJ)]]/1000*3.6</f>
        <v>0</v>
      </c>
      <c r="H469">
        <v>3.86607608129234</v>
      </c>
      <c r="I469">
        <f>Tableau1[[#This Row],[GHG (kgCO2eq/GJ)]]/1000*3.6</f>
        <v>1.3917873892652425E-2</v>
      </c>
      <c r="J469" t="s">
        <v>104</v>
      </c>
      <c r="K469" t="s">
        <v>108</v>
      </c>
    </row>
    <row r="470" spans="1:11" hidden="1" x14ac:dyDescent="0.3">
      <c r="A470" t="s">
        <v>27</v>
      </c>
      <c r="B470" t="s">
        <v>49</v>
      </c>
      <c r="C470" t="s">
        <v>72</v>
      </c>
      <c r="D470">
        <v>0.9</v>
      </c>
      <c r="E470">
        <f>Tableau1[[#This Row],[Potential (PJ)]]/3.6*1000</f>
        <v>250</v>
      </c>
      <c r="F470">
        <v>0</v>
      </c>
      <c r="G470">
        <f>Tableau1[[#This Row],[Cost (€/GJ)]]/1000*3.6</f>
        <v>0</v>
      </c>
      <c r="H470">
        <v>3.86607608129234</v>
      </c>
      <c r="I470">
        <f>Tableau1[[#This Row],[GHG (kgCO2eq/GJ)]]/1000*3.6</f>
        <v>1.3917873892652425E-2</v>
      </c>
      <c r="J470" t="s">
        <v>104</v>
      </c>
      <c r="K470" t="s">
        <v>108</v>
      </c>
    </row>
    <row r="471" spans="1:11" hidden="1" x14ac:dyDescent="0.3">
      <c r="A471" t="s">
        <v>27</v>
      </c>
      <c r="B471" t="s">
        <v>58</v>
      </c>
      <c r="C471" t="s">
        <v>95</v>
      </c>
      <c r="D471">
        <v>0.97216000000000002</v>
      </c>
      <c r="E471">
        <f>Tableau1[[#This Row],[Potential (PJ)]]/3.6*1000</f>
        <v>270.04444444444442</v>
      </c>
      <c r="F471">
        <v>2.5590000000000002</v>
      </c>
      <c r="G471">
        <f>Tableau1[[#This Row],[Cost (€/GJ)]]/1000*3.6</f>
        <v>9.2124000000000008E-3</v>
      </c>
      <c r="H471">
        <v>2.9521711768407801</v>
      </c>
      <c r="I471">
        <f>Tableau1[[#This Row],[GHG (kgCO2eq/GJ)]]/1000*3.6</f>
        <v>1.0627816236626808E-2</v>
      </c>
      <c r="J471" t="s">
        <v>104</v>
      </c>
      <c r="K471" t="s">
        <v>108</v>
      </c>
    </row>
    <row r="472" spans="1:11" hidden="1" x14ac:dyDescent="0.3">
      <c r="A472" t="s">
        <v>27</v>
      </c>
      <c r="B472" t="s">
        <v>50</v>
      </c>
      <c r="C472" t="s">
        <v>73</v>
      </c>
      <c r="D472">
        <v>1.8</v>
      </c>
      <c r="E472">
        <f>Tableau1[[#This Row],[Potential (PJ)]]/3.6*1000</f>
        <v>500</v>
      </c>
      <c r="F472">
        <v>4.976</v>
      </c>
      <c r="G472">
        <f>Tableau1[[#This Row],[Cost (€/GJ)]]/1000*3.6</f>
        <v>1.7913600000000002E-2</v>
      </c>
      <c r="H472">
        <v>20.723404255319149</v>
      </c>
      <c r="I472">
        <f>Tableau1[[#This Row],[GHG (kgCO2eq/GJ)]]/1000*3.6</f>
        <v>7.4604255319148938E-2</v>
      </c>
      <c r="J472" t="s">
        <v>105</v>
      </c>
      <c r="K472" t="s">
        <v>108</v>
      </c>
    </row>
    <row r="473" spans="1:11" hidden="1" x14ac:dyDescent="0.3">
      <c r="A473" t="s">
        <v>27</v>
      </c>
      <c r="B473" t="s">
        <v>50</v>
      </c>
      <c r="C473" t="s">
        <v>74</v>
      </c>
      <c r="D473">
        <v>13.5</v>
      </c>
      <c r="E473">
        <f>Tableau1[[#This Row],[Potential (PJ)]]/3.6*1000</f>
        <v>3750</v>
      </c>
      <c r="F473">
        <v>3.8050000000000002</v>
      </c>
      <c r="G473">
        <f>Tableau1[[#This Row],[Cost (€/GJ)]]/1000*3.6</f>
        <v>1.3698000000000002E-2</v>
      </c>
      <c r="H473">
        <v>2.0635593220338988</v>
      </c>
      <c r="I473">
        <f>Tableau1[[#This Row],[GHG (kgCO2eq/GJ)]]/1000*3.6</f>
        <v>7.4288135593220351E-3</v>
      </c>
      <c r="J473" t="s">
        <v>105</v>
      </c>
      <c r="K473" t="s">
        <v>108</v>
      </c>
    </row>
    <row r="474" spans="1:11" hidden="1" x14ac:dyDescent="0.3">
      <c r="A474" t="s">
        <v>27</v>
      </c>
      <c r="B474" t="s">
        <v>51</v>
      </c>
      <c r="C474" t="s">
        <v>75</v>
      </c>
      <c r="D474">
        <v>1.1162300000000001</v>
      </c>
      <c r="E474">
        <f>Tableau1[[#This Row],[Potential (PJ)]]/3.6*1000</f>
        <v>310.06388888888893</v>
      </c>
      <c r="F474">
        <v>2.5138977754292899E-2</v>
      </c>
      <c r="G474">
        <f>Tableau1[[#This Row],[Cost (€/GJ)]]/1000*3.6</f>
        <v>9.0500319915454443E-5</v>
      </c>
      <c r="H474">
        <v>11.74</v>
      </c>
      <c r="I474">
        <f>Tableau1[[#This Row],[GHG (kgCO2eq/GJ)]]/1000*3.6</f>
        <v>4.2264000000000003E-2</v>
      </c>
      <c r="J474" t="s">
        <v>104</v>
      </c>
      <c r="K474" t="s">
        <v>108</v>
      </c>
    </row>
    <row r="475" spans="1:11" hidden="1" x14ac:dyDescent="0.3">
      <c r="A475" t="s">
        <v>27</v>
      </c>
      <c r="B475" t="s">
        <v>60</v>
      </c>
      <c r="C475" t="s">
        <v>98</v>
      </c>
      <c r="D475">
        <v>0.66973000000000005</v>
      </c>
      <c r="E475">
        <f>Tableau1[[#This Row],[Potential (PJ)]]/3.6*1000</f>
        <v>186.03611111111113</v>
      </c>
      <c r="F475">
        <v>16.809881847475829</v>
      </c>
      <c r="G475">
        <f>Tableau1[[#This Row],[Cost (€/GJ)]]/1000*3.6</f>
        <v>6.0515574650912979E-2</v>
      </c>
      <c r="H475">
        <v>26.9</v>
      </c>
      <c r="I475">
        <f>Tableau1[[#This Row],[GHG (kgCO2eq/GJ)]]/1000*3.6</f>
        <v>9.6840000000000009E-2</v>
      </c>
      <c r="J475" t="s">
        <v>107</v>
      </c>
      <c r="K475" t="s">
        <v>109</v>
      </c>
    </row>
    <row r="476" spans="1:11" hidden="1" x14ac:dyDescent="0.3">
      <c r="A476" t="s">
        <v>27</v>
      </c>
      <c r="B476" t="s">
        <v>53</v>
      </c>
      <c r="C476" t="s">
        <v>77</v>
      </c>
      <c r="D476">
        <v>4.0393299999999996</v>
      </c>
      <c r="E476">
        <f>Tableau1[[#This Row],[Potential (PJ)]]/3.6*1000</f>
        <v>1122.036111111111</v>
      </c>
      <c r="F476">
        <v>0</v>
      </c>
      <c r="G476">
        <f>Tableau1[[#This Row],[Cost (€/GJ)]]/1000*3.6</f>
        <v>0</v>
      </c>
      <c r="H476">
        <v>3.86607608129234</v>
      </c>
      <c r="I476">
        <f>Tableau1[[#This Row],[GHG (kgCO2eq/GJ)]]/1000*3.6</f>
        <v>1.3917873892652425E-2</v>
      </c>
      <c r="J476" t="s">
        <v>104</v>
      </c>
      <c r="K476" t="s">
        <v>108</v>
      </c>
    </row>
    <row r="477" spans="1:11" hidden="1" x14ac:dyDescent="0.3">
      <c r="A477" t="s">
        <v>27</v>
      </c>
      <c r="B477" t="s">
        <v>61</v>
      </c>
      <c r="C477" t="s">
        <v>99</v>
      </c>
      <c r="D477">
        <v>0.9</v>
      </c>
      <c r="E477">
        <f>Tableau1[[#This Row],[Potential (PJ)]]/3.6*1000</f>
        <v>250</v>
      </c>
      <c r="F477">
        <v>0</v>
      </c>
      <c r="G477">
        <f>Tableau1[[#This Row],[Cost (€/GJ)]]/1000*3.6</f>
        <v>0</v>
      </c>
      <c r="H477">
        <v>2.9245635910224439</v>
      </c>
      <c r="I477">
        <f>Tableau1[[#This Row],[GHG (kgCO2eq/GJ)]]/1000*3.6</f>
        <v>1.0528428927680798E-2</v>
      </c>
      <c r="J477" t="s">
        <v>104</v>
      </c>
      <c r="K477" t="s">
        <v>108</v>
      </c>
    </row>
    <row r="478" spans="1:11" hidden="1" x14ac:dyDescent="0.3">
      <c r="A478" t="s">
        <v>27</v>
      </c>
      <c r="B478" t="s">
        <v>62</v>
      </c>
      <c r="C478" t="s">
        <v>100</v>
      </c>
      <c r="D478">
        <v>0.4</v>
      </c>
      <c r="E478">
        <f>Tableau1[[#This Row],[Potential (PJ)]]/3.6*1000</f>
        <v>111.11111111111111</v>
      </c>
      <c r="F478">
        <v>1.5</v>
      </c>
      <c r="G478">
        <f>Tableau1[[#This Row],[Cost (€/GJ)]]/1000*3.6</f>
        <v>5.4000000000000003E-3</v>
      </c>
      <c r="H478">
        <v>2.6764106050305911</v>
      </c>
      <c r="I478">
        <f>Tableau1[[#This Row],[GHG (kgCO2eq/GJ)]]/1000*3.6</f>
        <v>9.6350781781101291E-3</v>
      </c>
      <c r="J478" t="s">
        <v>104</v>
      </c>
      <c r="K478" t="s">
        <v>108</v>
      </c>
    </row>
    <row r="479" spans="1:11" hidden="1" x14ac:dyDescent="0.3">
      <c r="A479" t="s">
        <v>27</v>
      </c>
      <c r="B479" t="s">
        <v>54</v>
      </c>
      <c r="C479" t="s">
        <v>78</v>
      </c>
      <c r="D479">
        <v>26.4</v>
      </c>
      <c r="E479">
        <f>Tableau1[[#This Row],[Potential (PJ)]]/3.6*1000</f>
        <v>7333.333333333333</v>
      </c>
      <c r="F479">
        <v>0</v>
      </c>
      <c r="G479">
        <f>Tableau1[[#This Row],[Cost (€/GJ)]]/1000*3.6</f>
        <v>0</v>
      </c>
      <c r="H479">
        <v>3.86607608129234</v>
      </c>
      <c r="I479">
        <f>Tableau1[[#This Row],[GHG (kgCO2eq/GJ)]]/1000*3.6</f>
        <v>1.3917873892652425E-2</v>
      </c>
      <c r="J479" t="s">
        <v>104</v>
      </c>
      <c r="K479" t="s">
        <v>108</v>
      </c>
    </row>
    <row r="480" spans="1:11" hidden="1" x14ac:dyDescent="0.3">
      <c r="A480" t="s">
        <v>28</v>
      </c>
      <c r="B480" t="s">
        <v>46</v>
      </c>
      <c r="C480" t="s">
        <v>103</v>
      </c>
      <c r="D480">
        <v>8.3261000000000002E-2</v>
      </c>
      <c r="E480">
        <f>Tableau1[[#This Row],[Potential (PJ)]]/3.6*1000</f>
        <v>23.128055555555555</v>
      </c>
      <c r="F480">
        <v>0</v>
      </c>
      <c r="G480">
        <f>Tableau1[[#This Row],[Cost (€/GJ)]]/1000*3.6</f>
        <v>0</v>
      </c>
      <c r="I480">
        <f>Tableau1[[#This Row],[GHG (kgCO2eq/GJ)]]/1000*3.6</f>
        <v>0</v>
      </c>
    </row>
    <row r="481" spans="1:11" hidden="1" x14ac:dyDescent="0.3">
      <c r="A481" t="s">
        <v>28</v>
      </c>
      <c r="B481" t="s">
        <v>46</v>
      </c>
      <c r="C481" t="s">
        <v>80</v>
      </c>
      <c r="D481">
        <v>6.8999999999999999E-3</v>
      </c>
      <c r="E481">
        <f>Tableau1[[#This Row],[Potential (PJ)]]/3.6*1000</f>
        <v>1.9166666666666665</v>
      </c>
      <c r="F481">
        <v>0</v>
      </c>
      <c r="G481">
        <f>Tableau1[[#This Row],[Cost (€/GJ)]]/1000*3.6</f>
        <v>0</v>
      </c>
      <c r="H481">
        <v>28.139870918023309</v>
      </c>
      <c r="I481">
        <f>Tableau1[[#This Row],[GHG (kgCO2eq/GJ)]]/1000*3.6</f>
        <v>0.10130353530488391</v>
      </c>
      <c r="J481" t="s">
        <v>105</v>
      </c>
      <c r="K481" t="s">
        <v>108</v>
      </c>
    </row>
    <row r="482" spans="1:11" hidden="1" x14ac:dyDescent="0.3">
      <c r="A482" t="s">
        <v>28</v>
      </c>
      <c r="B482" t="s">
        <v>46</v>
      </c>
      <c r="C482" t="s">
        <v>81</v>
      </c>
      <c r="D482">
        <v>0.02</v>
      </c>
      <c r="E482">
        <f>Tableau1[[#This Row],[Potential (PJ)]]/3.6*1000</f>
        <v>5.5555555555555554</v>
      </c>
      <c r="F482">
        <v>0</v>
      </c>
      <c r="G482">
        <f>Tableau1[[#This Row],[Cost (€/GJ)]]/1000*3.6</f>
        <v>0</v>
      </c>
      <c r="H482">
        <v>8.9647473560517046</v>
      </c>
      <c r="I482">
        <f>Tableau1[[#This Row],[GHG (kgCO2eq/GJ)]]/1000*3.6</f>
        <v>3.2273090481786136E-2</v>
      </c>
      <c r="J482" t="s">
        <v>105</v>
      </c>
      <c r="K482" t="s">
        <v>108</v>
      </c>
    </row>
    <row r="483" spans="1:11" hidden="1" x14ac:dyDescent="0.3">
      <c r="A483" t="s">
        <v>28</v>
      </c>
      <c r="B483" t="s">
        <v>55</v>
      </c>
      <c r="C483" t="s">
        <v>86</v>
      </c>
      <c r="D483">
        <v>0.21329999999999999</v>
      </c>
      <c r="E483">
        <f>Tableau1[[#This Row],[Potential (PJ)]]/3.6*1000</f>
        <v>59.25</v>
      </c>
      <c r="F483">
        <v>8.2059999999999995</v>
      </c>
      <c r="G483">
        <f>Tableau1[[#This Row],[Cost (€/GJ)]]/1000*3.6</f>
        <v>2.9541600000000001E-2</v>
      </c>
      <c r="H483">
        <v>26.3</v>
      </c>
      <c r="I483">
        <f>Tableau1[[#This Row],[GHG (kgCO2eq/GJ)]]/1000*3.6</f>
        <v>9.468E-2</v>
      </c>
      <c r="J483" t="s">
        <v>106</v>
      </c>
      <c r="K483" t="s">
        <v>109</v>
      </c>
    </row>
    <row r="484" spans="1:11" hidden="1" x14ac:dyDescent="0.3">
      <c r="A484" t="s">
        <v>28</v>
      </c>
      <c r="B484" t="s">
        <v>55</v>
      </c>
      <c r="C484" t="s">
        <v>88</v>
      </c>
      <c r="D484">
        <v>6.7999999999999996E-3</v>
      </c>
      <c r="E484">
        <f>Tableau1[[#This Row],[Potential (PJ)]]/3.6*1000</f>
        <v>1.8888888888888888</v>
      </c>
      <c r="F484">
        <v>5.0555000000000003</v>
      </c>
      <c r="G484">
        <f>Tableau1[[#This Row],[Cost (€/GJ)]]/1000*3.6</f>
        <v>1.8199800000000002E-2</v>
      </c>
      <c r="H484">
        <v>26.3</v>
      </c>
      <c r="I484">
        <f>Tableau1[[#This Row],[GHG (kgCO2eq/GJ)]]/1000*3.6</f>
        <v>9.468E-2</v>
      </c>
      <c r="J484" t="s">
        <v>106</v>
      </c>
      <c r="K484" t="s">
        <v>109</v>
      </c>
    </row>
    <row r="485" spans="1:11" hidden="1" x14ac:dyDescent="0.3">
      <c r="A485" t="s">
        <v>28</v>
      </c>
      <c r="B485" t="s">
        <v>55</v>
      </c>
      <c r="C485" t="s">
        <v>92</v>
      </c>
      <c r="D485">
        <v>0.2104</v>
      </c>
      <c r="E485">
        <f>Tableau1[[#This Row],[Potential (PJ)]]/3.6*1000</f>
        <v>58.444444444444443</v>
      </c>
      <c r="F485">
        <v>8.9079999999999995</v>
      </c>
      <c r="G485">
        <f>Tableau1[[#This Row],[Cost (€/GJ)]]/1000*3.6</f>
        <v>3.2068800000000001E-2</v>
      </c>
      <c r="H485">
        <v>26.3</v>
      </c>
      <c r="I485">
        <f>Tableau1[[#This Row],[GHG (kgCO2eq/GJ)]]/1000*3.6</f>
        <v>9.468E-2</v>
      </c>
      <c r="J485" t="s">
        <v>106</v>
      </c>
      <c r="K485" t="s">
        <v>109</v>
      </c>
    </row>
    <row r="486" spans="1:11" hidden="1" x14ac:dyDescent="0.3">
      <c r="A486" t="s">
        <v>28</v>
      </c>
      <c r="B486" t="s">
        <v>49</v>
      </c>
      <c r="C486" t="s">
        <v>71</v>
      </c>
      <c r="D486">
        <v>0.46056999999999998</v>
      </c>
      <c r="E486">
        <f>Tableau1[[#This Row],[Potential (PJ)]]/3.6*1000</f>
        <v>127.93611111111112</v>
      </c>
      <c r="F486">
        <v>0</v>
      </c>
      <c r="G486">
        <f>Tableau1[[#This Row],[Cost (€/GJ)]]/1000*3.6</f>
        <v>0</v>
      </c>
      <c r="H486">
        <v>3.86607608129234</v>
      </c>
      <c r="I486">
        <f>Tableau1[[#This Row],[GHG (kgCO2eq/GJ)]]/1000*3.6</f>
        <v>1.3917873892652425E-2</v>
      </c>
      <c r="J486" t="s">
        <v>104</v>
      </c>
      <c r="K486" t="s">
        <v>108</v>
      </c>
    </row>
    <row r="487" spans="1:11" hidden="1" x14ac:dyDescent="0.3">
      <c r="A487" t="s">
        <v>28</v>
      </c>
      <c r="B487" t="s">
        <v>58</v>
      </c>
      <c r="C487" t="s">
        <v>103</v>
      </c>
      <c r="D487">
        <v>2.6709E-2</v>
      </c>
      <c r="E487">
        <f>Tableau1[[#This Row],[Potential (PJ)]]/3.6*1000</f>
        <v>7.4191666666666665</v>
      </c>
      <c r="F487">
        <v>0</v>
      </c>
      <c r="G487">
        <f>Tableau1[[#This Row],[Cost (€/GJ)]]/1000*3.6</f>
        <v>0</v>
      </c>
      <c r="I487">
        <f>Tableau1[[#This Row],[GHG (kgCO2eq/GJ)]]/1000*3.6</f>
        <v>0</v>
      </c>
    </row>
    <row r="488" spans="1:11" hidden="1" x14ac:dyDescent="0.3">
      <c r="A488" t="s">
        <v>28</v>
      </c>
      <c r="B488" t="s">
        <v>51</v>
      </c>
      <c r="C488" t="s">
        <v>75</v>
      </c>
      <c r="D488">
        <v>0.11927500000000001</v>
      </c>
      <c r="E488">
        <f>Tableau1[[#This Row],[Potential (PJ)]]/3.6*1000</f>
        <v>33.131944444444443</v>
      </c>
      <c r="F488">
        <v>4.4241813749466499E-4</v>
      </c>
      <c r="G488">
        <f>Tableau1[[#This Row],[Cost (€/GJ)]]/1000*3.6</f>
        <v>1.592705294980794E-6</v>
      </c>
      <c r="H488">
        <v>11.74</v>
      </c>
      <c r="I488">
        <f>Tableau1[[#This Row],[GHG (kgCO2eq/GJ)]]/1000*3.6</f>
        <v>4.2264000000000003E-2</v>
      </c>
      <c r="J488" t="s">
        <v>104</v>
      </c>
      <c r="K488" t="s">
        <v>108</v>
      </c>
    </row>
    <row r="489" spans="1:11" hidden="1" x14ac:dyDescent="0.3">
      <c r="A489" t="s">
        <v>28</v>
      </c>
      <c r="B489" t="s">
        <v>60</v>
      </c>
      <c r="C489" t="s">
        <v>98</v>
      </c>
      <c r="D489">
        <v>3.5560000000000001E-2</v>
      </c>
      <c r="E489">
        <f>Tableau1[[#This Row],[Potential (PJ)]]/3.6*1000</f>
        <v>9.8777777777777782</v>
      </c>
      <c r="F489">
        <v>0</v>
      </c>
      <c r="G489">
        <f>Tableau1[[#This Row],[Cost (€/GJ)]]/1000*3.6</f>
        <v>0</v>
      </c>
      <c r="H489">
        <v>37.799999999999997</v>
      </c>
      <c r="I489">
        <f>Tableau1[[#This Row],[GHG (kgCO2eq/GJ)]]/1000*3.6</f>
        <v>0.13608000000000001</v>
      </c>
      <c r="J489" t="s">
        <v>107</v>
      </c>
      <c r="K489" t="s">
        <v>109</v>
      </c>
    </row>
    <row r="490" spans="1:11" hidden="1" x14ac:dyDescent="0.3">
      <c r="A490" t="s">
        <v>28</v>
      </c>
      <c r="B490" t="s">
        <v>53</v>
      </c>
      <c r="C490" t="s">
        <v>77</v>
      </c>
      <c r="D490">
        <v>3.6859999999999997E-2</v>
      </c>
      <c r="E490">
        <f>Tableau1[[#This Row],[Potential (PJ)]]/3.6*1000</f>
        <v>10.238888888888887</v>
      </c>
      <c r="F490">
        <v>0</v>
      </c>
      <c r="G490">
        <f>Tableau1[[#This Row],[Cost (€/GJ)]]/1000*3.6</f>
        <v>0</v>
      </c>
      <c r="H490">
        <v>3.86607608129234</v>
      </c>
      <c r="I490">
        <f>Tableau1[[#This Row],[GHG (kgCO2eq/GJ)]]/1000*3.6</f>
        <v>1.3917873892652425E-2</v>
      </c>
      <c r="J490" t="s">
        <v>104</v>
      </c>
      <c r="K490" t="s">
        <v>108</v>
      </c>
    </row>
    <row r="491" spans="1:11" hidden="1" x14ac:dyDescent="0.3">
      <c r="A491" t="s">
        <v>28</v>
      </c>
      <c r="B491" t="s">
        <v>61</v>
      </c>
      <c r="C491" t="s">
        <v>103</v>
      </c>
      <c r="D491">
        <v>0.15969900000000001</v>
      </c>
      <c r="E491">
        <f>Tableau1[[#This Row],[Potential (PJ)]]/3.6*1000</f>
        <v>44.360833333333332</v>
      </c>
      <c r="F491">
        <v>0</v>
      </c>
      <c r="G491">
        <f>Tableau1[[#This Row],[Cost (€/GJ)]]/1000*3.6</f>
        <v>0</v>
      </c>
      <c r="I491">
        <f>Tableau1[[#This Row],[GHG (kgCO2eq/GJ)]]/1000*3.6</f>
        <v>0</v>
      </c>
    </row>
    <row r="492" spans="1:11" hidden="1" x14ac:dyDescent="0.3">
      <c r="A492" t="s">
        <v>28</v>
      </c>
      <c r="B492" t="s">
        <v>62</v>
      </c>
      <c r="C492" t="s">
        <v>103</v>
      </c>
      <c r="D492">
        <v>2.0268000000000001E-2</v>
      </c>
      <c r="E492">
        <f>Tableau1[[#This Row],[Potential (PJ)]]/3.6*1000</f>
        <v>5.6300000000000008</v>
      </c>
      <c r="F492">
        <v>0</v>
      </c>
      <c r="G492">
        <f>Tableau1[[#This Row],[Cost (€/GJ)]]/1000*3.6</f>
        <v>0</v>
      </c>
      <c r="I492">
        <f>Tableau1[[#This Row],[GHG (kgCO2eq/GJ)]]/1000*3.6</f>
        <v>0</v>
      </c>
    </row>
    <row r="493" spans="1:11" hidden="1" x14ac:dyDescent="0.3">
      <c r="A493" t="s">
        <v>28</v>
      </c>
      <c r="B493" t="s">
        <v>54</v>
      </c>
      <c r="C493" t="s">
        <v>78</v>
      </c>
      <c r="D493">
        <v>2.6</v>
      </c>
      <c r="E493">
        <f>Tableau1[[#This Row],[Potential (PJ)]]/3.6*1000</f>
        <v>722.22222222222217</v>
      </c>
      <c r="F493">
        <v>0</v>
      </c>
      <c r="G493">
        <f>Tableau1[[#This Row],[Cost (€/GJ)]]/1000*3.6</f>
        <v>0</v>
      </c>
      <c r="H493">
        <v>3.86607608129234</v>
      </c>
      <c r="I493">
        <f>Tableau1[[#This Row],[GHG (kgCO2eq/GJ)]]/1000*3.6</f>
        <v>1.3917873892652425E-2</v>
      </c>
      <c r="J493" t="s">
        <v>104</v>
      </c>
      <c r="K493" t="s">
        <v>108</v>
      </c>
    </row>
    <row r="494" spans="1:11" hidden="1" x14ac:dyDescent="0.3">
      <c r="A494" t="s">
        <v>29</v>
      </c>
      <c r="B494" t="s">
        <v>46</v>
      </c>
      <c r="C494" t="s">
        <v>64</v>
      </c>
      <c r="D494">
        <v>2.0000000000000002E-5</v>
      </c>
      <c r="E494">
        <f>Tableau1[[#This Row],[Potential (PJ)]]/3.6*1000</f>
        <v>5.5555555555555558E-3</v>
      </c>
      <c r="F494">
        <v>0</v>
      </c>
      <c r="G494">
        <f>Tableau1[[#This Row],[Cost (€/GJ)]]/1000*3.6</f>
        <v>0</v>
      </c>
      <c r="H494">
        <v>2.9521711768407801</v>
      </c>
      <c r="I494">
        <f>Tableau1[[#This Row],[GHG (kgCO2eq/GJ)]]/1000*3.6</f>
        <v>1.0627816236626808E-2</v>
      </c>
      <c r="J494" t="s">
        <v>104</v>
      </c>
      <c r="K494" t="s">
        <v>108</v>
      </c>
    </row>
    <row r="495" spans="1:11" hidden="1" x14ac:dyDescent="0.3">
      <c r="A495" t="s">
        <v>29</v>
      </c>
      <c r="B495" t="s">
        <v>46</v>
      </c>
      <c r="C495" t="s">
        <v>79</v>
      </c>
      <c r="D495">
        <v>4.3</v>
      </c>
      <c r="E495">
        <f>Tableau1[[#This Row],[Potential (PJ)]]/3.6*1000</f>
        <v>1194.4444444444443</v>
      </c>
      <c r="F495">
        <v>0</v>
      </c>
      <c r="G495">
        <f>Tableau1[[#This Row],[Cost (€/GJ)]]/1000*3.6</f>
        <v>0</v>
      </c>
      <c r="H495">
        <v>6.8428961748633883</v>
      </c>
      <c r="I495">
        <f>Tableau1[[#This Row],[GHG (kgCO2eq/GJ)]]/1000*3.6</f>
        <v>2.4634426229508198E-2</v>
      </c>
      <c r="J495" t="s">
        <v>104</v>
      </c>
      <c r="K495" t="s">
        <v>108</v>
      </c>
    </row>
    <row r="496" spans="1:11" hidden="1" x14ac:dyDescent="0.3">
      <c r="A496" t="s">
        <v>29</v>
      </c>
      <c r="B496" t="s">
        <v>46</v>
      </c>
      <c r="C496" t="s">
        <v>80</v>
      </c>
      <c r="D496">
        <v>2.7300000000000001E-2</v>
      </c>
      <c r="E496">
        <f>Tableau1[[#This Row],[Potential (PJ)]]/3.6*1000</f>
        <v>7.583333333333333</v>
      </c>
      <c r="F496">
        <v>0.18071476736345249</v>
      </c>
      <c r="G496">
        <f>Tableau1[[#This Row],[Cost (€/GJ)]]/1000*3.6</f>
        <v>6.5057316250842902E-4</v>
      </c>
      <c r="H496">
        <v>28.139870918023309</v>
      </c>
      <c r="I496">
        <f>Tableau1[[#This Row],[GHG (kgCO2eq/GJ)]]/1000*3.6</f>
        <v>0.10130353530488391</v>
      </c>
      <c r="J496" t="s">
        <v>105</v>
      </c>
      <c r="K496" t="s">
        <v>108</v>
      </c>
    </row>
    <row r="497" spans="1:11" hidden="1" x14ac:dyDescent="0.3">
      <c r="A497" t="s">
        <v>29</v>
      </c>
      <c r="B497" t="s">
        <v>46</v>
      </c>
      <c r="C497" t="s">
        <v>81</v>
      </c>
      <c r="D497">
        <v>6.3E-3</v>
      </c>
      <c r="E497">
        <f>Tableau1[[#This Row],[Potential (PJ)]]/3.6*1000</f>
        <v>1.75</v>
      </c>
      <c r="F497">
        <v>0.36545240893066983</v>
      </c>
      <c r="G497">
        <f>Tableau1[[#This Row],[Cost (€/GJ)]]/1000*3.6</f>
        <v>1.3156286721504114E-3</v>
      </c>
      <c r="H497">
        <v>8.9647473560517046</v>
      </c>
      <c r="I497">
        <f>Tableau1[[#This Row],[GHG (kgCO2eq/GJ)]]/1000*3.6</f>
        <v>3.2273090481786136E-2</v>
      </c>
      <c r="J497" t="s">
        <v>105</v>
      </c>
      <c r="K497" t="s">
        <v>108</v>
      </c>
    </row>
    <row r="498" spans="1:11" hidden="1" x14ac:dyDescent="0.3">
      <c r="A498" t="s">
        <v>29</v>
      </c>
      <c r="B498" t="s">
        <v>46</v>
      </c>
      <c r="C498" t="s">
        <v>82</v>
      </c>
      <c r="D498">
        <v>0.1</v>
      </c>
      <c r="E498">
        <f>Tableau1[[#This Row],[Potential (PJ)]]/3.6*1000</f>
        <v>27.777777777777779</v>
      </c>
      <c r="F498">
        <v>1.6910000000000001</v>
      </c>
      <c r="G498">
        <f>Tableau1[[#This Row],[Cost (€/GJ)]]/1000*3.6</f>
        <v>6.0876000000000003E-3</v>
      </c>
      <c r="H498">
        <v>6.8428961748633883</v>
      </c>
      <c r="I498">
        <f>Tableau1[[#This Row],[GHG (kgCO2eq/GJ)]]/1000*3.6</f>
        <v>2.4634426229508198E-2</v>
      </c>
      <c r="J498" t="s">
        <v>104</v>
      </c>
      <c r="K498" t="s">
        <v>108</v>
      </c>
    </row>
    <row r="499" spans="1:11" hidden="1" x14ac:dyDescent="0.3">
      <c r="A499" t="s">
        <v>29</v>
      </c>
      <c r="B499" t="s">
        <v>55</v>
      </c>
      <c r="C499" t="s">
        <v>86</v>
      </c>
      <c r="D499">
        <v>0.98170000000000002</v>
      </c>
      <c r="E499">
        <f>Tableau1[[#This Row],[Potential (PJ)]]/3.6*1000</f>
        <v>272.69444444444446</v>
      </c>
      <c r="F499">
        <v>13.085000000000001</v>
      </c>
      <c r="G499">
        <f>Tableau1[[#This Row],[Cost (€/GJ)]]/1000*3.6</f>
        <v>4.7106000000000002E-2</v>
      </c>
      <c r="H499">
        <v>12.8</v>
      </c>
      <c r="I499">
        <f>Tableau1[[#This Row],[GHG (kgCO2eq/GJ)]]/1000*3.6</f>
        <v>4.6080000000000003E-2</v>
      </c>
      <c r="J499" t="s">
        <v>106</v>
      </c>
      <c r="K499" t="s">
        <v>109</v>
      </c>
    </row>
    <row r="500" spans="1:11" hidden="1" x14ac:dyDescent="0.3">
      <c r="A500" t="s">
        <v>29</v>
      </c>
      <c r="B500" t="s">
        <v>55</v>
      </c>
      <c r="C500" t="s">
        <v>89</v>
      </c>
      <c r="D500">
        <v>2.7000000000000001E-3</v>
      </c>
      <c r="E500">
        <f>Tableau1[[#This Row],[Potential (PJ)]]/3.6*1000</f>
        <v>0.75</v>
      </c>
      <c r="F500">
        <v>0</v>
      </c>
      <c r="G500">
        <f>Tableau1[[#This Row],[Cost (€/GJ)]]/1000*3.6</f>
        <v>0</v>
      </c>
      <c r="H500">
        <v>12.8</v>
      </c>
      <c r="I500">
        <f>Tableau1[[#This Row],[GHG (kgCO2eq/GJ)]]/1000*3.6</f>
        <v>4.6080000000000003E-2</v>
      </c>
      <c r="J500" t="s">
        <v>106</v>
      </c>
      <c r="K500" t="s">
        <v>109</v>
      </c>
    </row>
    <row r="501" spans="1:11" hidden="1" x14ac:dyDescent="0.3">
      <c r="A501" t="s">
        <v>29</v>
      </c>
      <c r="B501" t="s">
        <v>55</v>
      </c>
      <c r="C501" t="s">
        <v>90</v>
      </c>
      <c r="D501">
        <v>0.64090000000000003</v>
      </c>
      <c r="E501">
        <f>Tableau1[[#This Row],[Potential (PJ)]]/3.6*1000</f>
        <v>178.02777777777777</v>
      </c>
      <c r="F501">
        <v>15.222</v>
      </c>
      <c r="G501">
        <f>Tableau1[[#This Row],[Cost (€/GJ)]]/1000*3.6</f>
        <v>5.4799199999999999E-2</v>
      </c>
      <c r="H501">
        <v>12.8</v>
      </c>
      <c r="I501">
        <f>Tableau1[[#This Row],[GHG (kgCO2eq/GJ)]]/1000*3.6</f>
        <v>4.6080000000000003E-2</v>
      </c>
      <c r="J501" t="s">
        <v>106</v>
      </c>
      <c r="K501" t="s">
        <v>109</v>
      </c>
    </row>
    <row r="502" spans="1:11" hidden="1" x14ac:dyDescent="0.3">
      <c r="A502" t="s">
        <v>29</v>
      </c>
      <c r="B502" t="s">
        <v>55</v>
      </c>
      <c r="C502" t="s">
        <v>91</v>
      </c>
      <c r="D502">
        <v>0.4995</v>
      </c>
      <c r="E502">
        <f>Tableau1[[#This Row],[Potential (PJ)]]/3.6*1000</f>
        <v>138.74999999999997</v>
      </c>
      <c r="F502">
        <v>12.984</v>
      </c>
      <c r="G502">
        <f>Tableau1[[#This Row],[Cost (€/GJ)]]/1000*3.6</f>
        <v>4.6742400000000003E-2</v>
      </c>
      <c r="H502">
        <v>12.8</v>
      </c>
      <c r="I502">
        <f>Tableau1[[#This Row],[GHG (kgCO2eq/GJ)]]/1000*3.6</f>
        <v>4.6080000000000003E-2</v>
      </c>
      <c r="J502" t="s">
        <v>106</v>
      </c>
      <c r="K502" t="s">
        <v>109</v>
      </c>
    </row>
    <row r="503" spans="1:11" hidden="1" x14ac:dyDescent="0.3">
      <c r="A503" t="s">
        <v>29</v>
      </c>
      <c r="B503" t="s">
        <v>55</v>
      </c>
      <c r="C503" t="s">
        <v>92</v>
      </c>
      <c r="D503">
        <v>5.5552999999999999</v>
      </c>
      <c r="E503">
        <f>Tableau1[[#This Row],[Potential (PJ)]]/3.6*1000</f>
        <v>1543.1388888888889</v>
      </c>
      <c r="F503">
        <v>15.595000000000001</v>
      </c>
      <c r="G503">
        <f>Tableau1[[#This Row],[Cost (€/GJ)]]/1000*3.6</f>
        <v>5.6142000000000004E-2</v>
      </c>
      <c r="H503">
        <v>12.8</v>
      </c>
      <c r="I503">
        <f>Tableau1[[#This Row],[GHG (kgCO2eq/GJ)]]/1000*3.6</f>
        <v>4.6080000000000003E-2</v>
      </c>
      <c r="J503" t="s">
        <v>106</v>
      </c>
      <c r="K503" t="s">
        <v>109</v>
      </c>
    </row>
    <row r="504" spans="1:11" hidden="1" x14ac:dyDescent="0.3">
      <c r="A504" t="s">
        <v>29</v>
      </c>
      <c r="B504" t="s">
        <v>49</v>
      </c>
      <c r="C504" t="s">
        <v>71</v>
      </c>
      <c r="D504">
        <v>11.693339999999999</v>
      </c>
      <c r="E504">
        <f>Tableau1[[#This Row],[Potential (PJ)]]/3.6*1000</f>
        <v>3248.15</v>
      </c>
      <c r="F504">
        <v>0</v>
      </c>
      <c r="G504">
        <f>Tableau1[[#This Row],[Cost (€/GJ)]]/1000*3.6</f>
        <v>0</v>
      </c>
      <c r="H504">
        <v>3.86607608129234</v>
      </c>
      <c r="I504">
        <f>Tableau1[[#This Row],[GHG (kgCO2eq/GJ)]]/1000*3.6</f>
        <v>1.3917873892652425E-2</v>
      </c>
      <c r="J504" t="s">
        <v>104</v>
      </c>
      <c r="K504" t="s">
        <v>108</v>
      </c>
    </row>
    <row r="505" spans="1:11" hidden="1" x14ac:dyDescent="0.3">
      <c r="A505" t="s">
        <v>29</v>
      </c>
      <c r="B505" t="s">
        <v>49</v>
      </c>
      <c r="C505" t="s">
        <v>72</v>
      </c>
      <c r="D505">
        <v>1.3</v>
      </c>
      <c r="E505">
        <f>Tableau1[[#This Row],[Potential (PJ)]]/3.6*1000</f>
        <v>361.11111111111109</v>
      </c>
      <c r="F505">
        <v>0</v>
      </c>
      <c r="G505">
        <f>Tableau1[[#This Row],[Cost (€/GJ)]]/1000*3.6</f>
        <v>0</v>
      </c>
      <c r="H505">
        <v>3.86607608129234</v>
      </c>
      <c r="I505">
        <f>Tableau1[[#This Row],[GHG (kgCO2eq/GJ)]]/1000*3.6</f>
        <v>1.3917873892652425E-2</v>
      </c>
      <c r="J505" t="s">
        <v>104</v>
      </c>
      <c r="K505" t="s">
        <v>108</v>
      </c>
    </row>
    <row r="506" spans="1:11" hidden="1" x14ac:dyDescent="0.3">
      <c r="A506" t="s">
        <v>29</v>
      </c>
      <c r="B506" t="s">
        <v>58</v>
      </c>
      <c r="C506" t="s">
        <v>95</v>
      </c>
      <c r="D506">
        <v>0.89393</v>
      </c>
      <c r="E506">
        <f>Tableau1[[#This Row],[Potential (PJ)]]/3.6*1000</f>
        <v>248.3138888888889</v>
      </c>
      <c r="F506">
        <v>2.5590000000000002</v>
      </c>
      <c r="G506">
        <f>Tableau1[[#This Row],[Cost (€/GJ)]]/1000*3.6</f>
        <v>9.2124000000000008E-3</v>
      </c>
      <c r="H506">
        <v>2.9521711768407801</v>
      </c>
      <c r="I506">
        <f>Tableau1[[#This Row],[GHG (kgCO2eq/GJ)]]/1000*3.6</f>
        <v>1.0627816236626808E-2</v>
      </c>
      <c r="J506" t="s">
        <v>104</v>
      </c>
      <c r="K506" t="s">
        <v>108</v>
      </c>
    </row>
    <row r="507" spans="1:11" hidden="1" x14ac:dyDescent="0.3">
      <c r="A507" t="s">
        <v>29</v>
      </c>
      <c r="B507" t="s">
        <v>50</v>
      </c>
      <c r="C507" t="s">
        <v>73</v>
      </c>
      <c r="D507">
        <v>0.3</v>
      </c>
      <c r="E507">
        <f>Tableau1[[#This Row],[Potential (PJ)]]/3.6*1000</f>
        <v>83.333333333333329</v>
      </c>
      <c r="F507">
        <v>5.0090000000000003</v>
      </c>
      <c r="G507">
        <f>Tableau1[[#This Row],[Cost (€/GJ)]]/1000*3.6</f>
        <v>1.8032400000000001E-2</v>
      </c>
      <c r="H507">
        <v>20.723404255319149</v>
      </c>
      <c r="I507">
        <f>Tableau1[[#This Row],[GHG (kgCO2eq/GJ)]]/1000*3.6</f>
        <v>7.4604255319148938E-2</v>
      </c>
      <c r="J507" t="s">
        <v>105</v>
      </c>
      <c r="K507" t="s">
        <v>108</v>
      </c>
    </row>
    <row r="508" spans="1:11" hidden="1" x14ac:dyDescent="0.3">
      <c r="A508" t="s">
        <v>29</v>
      </c>
      <c r="B508" t="s">
        <v>50</v>
      </c>
      <c r="C508" t="s">
        <v>74</v>
      </c>
      <c r="D508">
        <v>6.2</v>
      </c>
      <c r="E508">
        <f>Tableau1[[#This Row],[Potential (PJ)]]/3.6*1000</f>
        <v>1722.2222222222224</v>
      </c>
      <c r="F508">
        <v>3.9449999999999998</v>
      </c>
      <c r="G508">
        <f>Tableau1[[#This Row],[Cost (€/GJ)]]/1000*3.6</f>
        <v>1.4201999999999999E-2</v>
      </c>
      <c r="H508">
        <v>2.0635593220338988</v>
      </c>
      <c r="I508">
        <f>Tableau1[[#This Row],[GHG (kgCO2eq/GJ)]]/1000*3.6</f>
        <v>7.4288135593220351E-3</v>
      </c>
      <c r="J508" t="s">
        <v>105</v>
      </c>
      <c r="K508" t="s">
        <v>108</v>
      </c>
    </row>
    <row r="509" spans="1:11" hidden="1" x14ac:dyDescent="0.3">
      <c r="A509" t="s">
        <v>29</v>
      </c>
      <c r="B509" t="s">
        <v>51</v>
      </c>
      <c r="C509" t="s">
        <v>75</v>
      </c>
      <c r="D509">
        <v>0.62378900000000004</v>
      </c>
      <c r="E509">
        <f>Tableau1[[#This Row],[Potential (PJ)]]/3.6*1000</f>
        <v>173.27472222222224</v>
      </c>
      <c r="F509">
        <v>1.0641600670672399E-4</v>
      </c>
      <c r="G509">
        <f>Tableau1[[#This Row],[Cost (€/GJ)]]/1000*3.6</f>
        <v>3.830976241442064E-7</v>
      </c>
      <c r="H509">
        <v>11.74</v>
      </c>
      <c r="I509">
        <f>Tableau1[[#This Row],[GHG (kgCO2eq/GJ)]]/1000*3.6</f>
        <v>4.2264000000000003E-2</v>
      </c>
      <c r="J509" t="s">
        <v>104</v>
      </c>
      <c r="K509" t="s">
        <v>108</v>
      </c>
    </row>
    <row r="510" spans="1:11" hidden="1" x14ac:dyDescent="0.3">
      <c r="A510" t="s">
        <v>29</v>
      </c>
      <c r="B510" t="s">
        <v>60</v>
      </c>
      <c r="C510" t="s">
        <v>98</v>
      </c>
      <c r="D510">
        <v>0.28214</v>
      </c>
      <c r="E510">
        <f>Tableau1[[#This Row],[Potential (PJ)]]/3.6*1000</f>
        <v>78.37222222222222</v>
      </c>
      <c r="F510">
        <v>16.058002148227711</v>
      </c>
      <c r="G510">
        <f>Tableau1[[#This Row],[Cost (€/GJ)]]/1000*3.6</f>
        <v>5.7808807733619759E-2</v>
      </c>
      <c r="H510">
        <v>28.2</v>
      </c>
      <c r="I510">
        <f>Tableau1[[#This Row],[GHG (kgCO2eq/GJ)]]/1000*3.6</f>
        <v>0.10152</v>
      </c>
      <c r="J510" t="s">
        <v>107</v>
      </c>
      <c r="K510" t="s">
        <v>109</v>
      </c>
    </row>
    <row r="511" spans="1:11" hidden="1" x14ac:dyDescent="0.3">
      <c r="A511" t="s">
        <v>29</v>
      </c>
      <c r="B511" t="s">
        <v>52</v>
      </c>
      <c r="C511" t="s">
        <v>76</v>
      </c>
      <c r="D511">
        <v>1E-3</v>
      </c>
      <c r="E511">
        <f>Tableau1[[#This Row],[Potential (PJ)]]/3.6*1000</f>
        <v>0.27777777777777779</v>
      </c>
      <c r="F511">
        <v>6.1837425000000001</v>
      </c>
      <c r="G511">
        <f>Tableau1[[#This Row],[Cost (€/GJ)]]/1000*3.6</f>
        <v>2.2261473000000004E-2</v>
      </c>
      <c r="H511">
        <v>12.68872359754714</v>
      </c>
      <c r="I511">
        <f>Tableau1[[#This Row],[GHG (kgCO2eq/GJ)]]/1000*3.6</f>
        <v>4.5679404951169705E-2</v>
      </c>
      <c r="J511" t="s">
        <v>105</v>
      </c>
      <c r="K511" t="s">
        <v>108</v>
      </c>
    </row>
    <row r="512" spans="1:11" hidden="1" x14ac:dyDescent="0.3">
      <c r="A512" t="s">
        <v>29</v>
      </c>
      <c r="B512" t="s">
        <v>53</v>
      </c>
      <c r="C512" t="s">
        <v>77</v>
      </c>
      <c r="D512">
        <v>6.00223</v>
      </c>
      <c r="E512">
        <f>Tableau1[[#This Row],[Potential (PJ)]]/3.6*1000</f>
        <v>1667.286111111111</v>
      </c>
      <c r="F512">
        <v>0</v>
      </c>
      <c r="G512">
        <f>Tableau1[[#This Row],[Cost (€/GJ)]]/1000*3.6</f>
        <v>0</v>
      </c>
      <c r="H512">
        <v>3.86607608129234</v>
      </c>
      <c r="I512">
        <f>Tableau1[[#This Row],[GHG (kgCO2eq/GJ)]]/1000*3.6</f>
        <v>1.3917873892652425E-2</v>
      </c>
      <c r="J512" t="s">
        <v>104</v>
      </c>
      <c r="K512" t="s">
        <v>108</v>
      </c>
    </row>
    <row r="513" spans="1:11" hidden="1" x14ac:dyDescent="0.3">
      <c r="A513" t="s">
        <v>29</v>
      </c>
      <c r="B513" t="s">
        <v>61</v>
      </c>
      <c r="C513" t="s">
        <v>99</v>
      </c>
      <c r="D513">
        <v>2.8</v>
      </c>
      <c r="E513">
        <f>Tableau1[[#This Row],[Potential (PJ)]]/3.6*1000</f>
        <v>777.77777777777771</v>
      </c>
      <c r="F513">
        <v>0</v>
      </c>
      <c r="G513">
        <f>Tableau1[[#This Row],[Cost (€/GJ)]]/1000*3.6</f>
        <v>0</v>
      </c>
      <c r="H513">
        <v>2.9245635910224439</v>
      </c>
      <c r="I513">
        <f>Tableau1[[#This Row],[GHG (kgCO2eq/GJ)]]/1000*3.6</f>
        <v>1.0528428927680798E-2</v>
      </c>
      <c r="J513" t="s">
        <v>104</v>
      </c>
      <c r="K513" t="s">
        <v>108</v>
      </c>
    </row>
    <row r="514" spans="1:11" hidden="1" x14ac:dyDescent="0.3">
      <c r="A514" t="s">
        <v>29</v>
      </c>
      <c r="B514" t="s">
        <v>62</v>
      </c>
      <c r="C514" t="s">
        <v>100</v>
      </c>
      <c r="D514">
        <v>1.2</v>
      </c>
      <c r="E514">
        <f>Tableau1[[#This Row],[Potential (PJ)]]/3.6*1000</f>
        <v>333.33333333333331</v>
      </c>
      <c r="F514">
        <v>1.5</v>
      </c>
      <c r="G514">
        <f>Tableau1[[#This Row],[Cost (€/GJ)]]/1000*3.6</f>
        <v>5.4000000000000003E-3</v>
      </c>
      <c r="H514">
        <v>2.6764106050305911</v>
      </c>
      <c r="I514">
        <f>Tableau1[[#This Row],[GHG (kgCO2eq/GJ)]]/1000*3.6</f>
        <v>9.6350781781101291E-3</v>
      </c>
      <c r="J514" t="s">
        <v>104</v>
      </c>
      <c r="K514" t="s">
        <v>108</v>
      </c>
    </row>
    <row r="515" spans="1:11" hidden="1" x14ac:dyDescent="0.3">
      <c r="A515" t="s">
        <v>29</v>
      </c>
      <c r="B515" t="s">
        <v>54</v>
      </c>
      <c r="C515" t="s">
        <v>78</v>
      </c>
      <c r="D515">
        <v>54.7</v>
      </c>
      <c r="E515">
        <f>Tableau1[[#This Row],[Potential (PJ)]]/3.6*1000</f>
        <v>15194.444444444445</v>
      </c>
      <c r="F515">
        <v>0</v>
      </c>
      <c r="G515">
        <f>Tableau1[[#This Row],[Cost (€/GJ)]]/1000*3.6</f>
        <v>0</v>
      </c>
      <c r="H515">
        <v>3.86607608129234</v>
      </c>
      <c r="I515">
        <f>Tableau1[[#This Row],[GHG (kgCO2eq/GJ)]]/1000*3.6</f>
        <v>1.3917873892652425E-2</v>
      </c>
      <c r="J515" t="s">
        <v>104</v>
      </c>
      <c r="K515" t="s">
        <v>108</v>
      </c>
    </row>
    <row r="516" spans="1:11" hidden="1" x14ac:dyDescent="0.3">
      <c r="A516" t="s">
        <v>30</v>
      </c>
      <c r="B516" t="s">
        <v>46</v>
      </c>
      <c r="C516" t="s">
        <v>63</v>
      </c>
      <c r="D516">
        <v>5.0000000000000001E-4</v>
      </c>
      <c r="E516">
        <f>Tableau1[[#This Row],[Potential (PJ)]]/3.6*1000</f>
        <v>0.1388888888888889</v>
      </c>
      <c r="F516">
        <v>2.9286474973375931</v>
      </c>
      <c r="G516">
        <f>Tableau1[[#This Row],[Cost (€/GJ)]]/1000*3.6</f>
        <v>1.0543130990415334E-2</v>
      </c>
      <c r="H516">
        <v>3.950479233226837</v>
      </c>
      <c r="I516">
        <f>Tableau1[[#This Row],[GHG (kgCO2eq/GJ)]]/1000*3.6</f>
        <v>1.4221725239616614E-2</v>
      </c>
      <c r="J516" t="s">
        <v>104</v>
      </c>
      <c r="K516" t="s">
        <v>108</v>
      </c>
    </row>
    <row r="517" spans="1:11" hidden="1" x14ac:dyDescent="0.3">
      <c r="A517" t="s">
        <v>30</v>
      </c>
      <c r="B517" t="s">
        <v>46</v>
      </c>
      <c r="C517" t="s">
        <v>64</v>
      </c>
      <c r="D517">
        <v>6.3600000000000002E-3</v>
      </c>
      <c r="E517">
        <f>Tableau1[[#This Row],[Potential (PJ)]]/3.6*1000</f>
        <v>1.7666666666666666</v>
      </c>
      <c r="F517">
        <v>4.9790000000000001</v>
      </c>
      <c r="G517">
        <f>Tableau1[[#This Row],[Cost (€/GJ)]]/1000*3.6</f>
        <v>1.79244E-2</v>
      </c>
      <c r="H517">
        <v>2.9521711768407801</v>
      </c>
      <c r="I517">
        <f>Tableau1[[#This Row],[GHG (kgCO2eq/GJ)]]/1000*3.6</f>
        <v>1.0627816236626808E-2</v>
      </c>
      <c r="J517" t="s">
        <v>104</v>
      </c>
      <c r="K517" t="s">
        <v>108</v>
      </c>
    </row>
    <row r="518" spans="1:11" hidden="1" x14ac:dyDescent="0.3">
      <c r="A518" t="s">
        <v>30</v>
      </c>
      <c r="B518" t="s">
        <v>47</v>
      </c>
      <c r="C518" t="s">
        <v>68</v>
      </c>
      <c r="D518">
        <v>1.5</v>
      </c>
      <c r="E518">
        <f>Tableau1[[#This Row],[Potential (PJ)]]/3.6*1000</f>
        <v>416.66666666666663</v>
      </c>
      <c r="F518">
        <v>3.8940000000000001</v>
      </c>
      <c r="G518">
        <f>Tableau1[[#This Row],[Cost (€/GJ)]]/1000*3.6</f>
        <v>1.4018400000000002E-2</v>
      </c>
      <c r="H518">
        <v>14.1</v>
      </c>
      <c r="I518">
        <f>Tableau1[[#This Row],[GHG (kgCO2eq/GJ)]]/1000*3.6</f>
        <v>5.076E-2</v>
      </c>
      <c r="J518" t="s">
        <v>104</v>
      </c>
      <c r="K518" t="s">
        <v>109</v>
      </c>
    </row>
    <row r="519" spans="1:11" hidden="1" x14ac:dyDescent="0.3">
      <c r="A519" t="s">
        <v>30</v>
      </c>
      <c r="B519" t="s">
        <v>47</v>
      </c>
      <c r="C519" t="s">
        <v>69</v>
      </c>
      <c r="D519">
        <v>1</v>
      </c>
      <c r="E519">
        <f>Tableau1[[#This Row],[Potential (PJ)]]/3.6*1000</f>
        <v>277.77777777777777</v>
      </c>
      <c r="F519">
        <v>3.8809999999999998</v>
      </c>
      <c r="G519">
        <f>Tableau1[[#This Row],[Cost (€/GJ)]]/1000*3.6</f>
        <v>1.3971600000000001E-2</v>
      </c>
      <c r="H519">
        <v>14.1</v>
      </c>
      <c r="I519">
        <f>Tableau1[[#This Row],[GHG (kgCO2eq/GJ)]]/1000*3.6</f>
        <v>5.076E-2</v>
      </c>
      <c r="J519" t="s">
        <v>104</v>
      </c>
      <c r="K519" t="s">
        <v>109</v>
      </c>
    </row>
    <row r="520" spans="1:11" hidden="1" x14ac:dyDescent="0.3">
      <c r="A520" t="s">
        <v>30</v>
      </c>
      <c r="B520" t="s">
        <v>48</v>
      </c>
      <c r="C520" t="s">
        <v>70</v>
      </c>
      <c r="D520">
        <v>0.5</v>
      </c>
      <c r="E520">
        <f>Tableau1[[#This Row],[Potential (PJ)]]/3.6*1000</f>
        <v>138.88888888888889</v>
      </c>
      <c r="F520">
        <v>10.019</v>
      </c>
      <c r="G520">
        <f>Tableau1[[#This Row],[Cost (€/GJ)]]/1000*3.6</f>
        <v>3.60684E-2</v>
      </c>
      <c r="H520">
        <v>0</v>
      </c>
      <c r="I520">
        <f>Tableau1[[#This Row],[GHG (kgCO2eq/GJ)]]/1000*3.6</f>
        <v>0</v>
      </c>
      <c r="J520" t="s">
        <v>104</v>
      </c>
      <c r="K520" t="s">
        <v>109</v>
      </c>
    </row>
    <row r="521" spans="1:11" hidden="1" x14ac:dyDescent="0.3">
      <c r="A521" t="s">
        <v>30</v>
      </c>
      <c r="B521" t="s">
        <v>49</v>
      </c>
      <c r="C521" t="s">
        <v>72</v>
      </c>
      <c r="D521">
        <v>0.2</v>
      </c>
      <c r="E521">
        <f>Tableau1[[#This Row],[Potential (PJ)]]/3.6*1000</f>
        <v>55.555555555555557</v>
      </c>
      <c r="F521">
        <v>1.3879999999999999</v>
      </c>
      <c r="G521">
        <f>Tableau1[[#This Row],[Cost (€/GJ)]]/1000*3.6</f>
        <v>4.9968E-3</v>
      </c>
      <c r="H521">
        <v>3.86607608129234</v>
      </c>
      <c r="I521">
        <f>Tableau1[[#This Row],[GHG (kgCO2eq/GJ)]]/1000*3.6</f>
        <v>1.3917873892652425E-2</v>
      </c>
      <c r="J521" t="s">
        <v>104</v>
      </c>
      <c r="K521" t="s">
        <v>108</v>
      </c>
    </row>
    <row r="522" spans="1:11" hidden="1" x14ac:dyDescent="0.3">
      <c r="A522" t="s">
        <v>30</v>
      </c>
      <c r="B522" t="s">
        <v>50</v>
      </c>
      <c r="C522" t="s">
        <v>74</v>
      </c>
      <c r="D522">
        <v>0.1</v>
      </c>
      <c r="E522">
        <f>Tableau1[[#This Row],[Potential (PJ)]]/3.6*1000</f>
        <v>27.777777777777779</v>
      </c>
      <c r="F522">
        <v>4.7690000000000001</v>
      </c>
      <c r="G522">
        <f>Tableau1[[#This Row],[Cost (€/GJ)]]/1000*3.6</f>
        <v>1.71684E-2</v>
      </c>
      <c r="H522">
        <v>2.0635593220338988</v>
      </c>
      <c r="I522">
        <f>Tableau1[[#This Row],[GHG (kgCO2eq/GJ)]]/1000*3.6</f>
        <v>7.4288135593220351E-3</v>
      </c>
      <c r="J522" t="s">
        <v>105</v>
      </c>
      <c r="K522" t="s">
        <v>108</v>
      </c>
    </row>
    <row r="523" spans="1:11" hidden="1" x14ac:dyDescent="0.3">
      <c r="A523" t="s">
        <v>30</v>
      </c>
      <c r="B523" t="s">
        <v>51</v>
      </c>
      <c r="C523" t="s">
        <v>75</v>
      </c>
      <c r="D523">
        <v>0</v>
      </c>
      <c r="E523">
        <f>Tableau1[[#This Row],[Potential (PJ)]]/3.6*1000</f>
        <v>0</v>
      </c>
      <c r="F523">
        <v>8.4863973360258194E-2</v>
      </c>
      <c r="G523">
        <f>Tableau1[[#This Row],[Cost (€/GJ)]]/1000*3.6</f>
        <v>3.0551030409692949E-4</v>
      </c>
      <c r="H523">
        <v>11.74</v>
      </c>
      <c r="I523">
        <f>Tableau1[[#This Row],[GHG (kgCO2eq/GJ)]]/1000*3.6</f>
        <v>4.2264000000000003E-2</v>
      </c>
      <c r="J523" t="s">
        <v>104</v>
      </c>
      <c r="K523" t="s">
        <v>108</v>
      </c>
    </row>
    <row r="524" spans="1:11" hidden="1" x14ac:dyDescent="0.3">
      <c r="A524" t="s">
        <v>30</v>
      </c>
      <c r="B524" t="s">
        <v>53</v>
      </c>
      <c r="C524" t="s">
        <v>77</v>
      </c>
      <c r="D524">
        <v>2.3151700000000002</v>
      </c>
      <c r="E524">
        <f>Tableau1[[#This Row],[Potential (PJ)]]/3.6*1000</f>
        <v>643.10277777777776</v>
      </c>
      <c r="F524">
        <v>1.3879999999999999</v>
      </c>
      <c r="G524">
        <f>Tableau1[[#This Row],[Cost (€/GJ)]]/1000*3.6</f>
        <v>4.9968E-3</v>
      </c>
      <c r="H524">
        <v>3.86607608129234</v>
      </c>
      <c r="I524">
        <f>Tableau1[[#This Row],[GHG (kgCO2eq/GJ)]]/1000*3.6</f>
        <v>1.3917873892652425E-2</v>
      </c>
      <c r="J524" t="s">
        <v>104</v>
      </c>
      <c r="K524" t="s">
        <v>108</v>
      </c>
    </row>
    <row r="525" spans="1:11" hidden="1" x14ac:dyDescent="0.3">
      <c r="A525" t="s">
        <v>31</v>
      </c>
      <c r="B525" t="s">
        <v>46</v>
      </c>
      <c r="C525" t="s">
        <v>63</v>
      </c>
      <c r="D525">
        <v>1.5E-3</v>
      </c>
      <c r="E525">
        <f>Tableau1[[#This Row],[Potential (PJ)]]/3.6*1000</f>
        <v>0.41666666666666663</v>
      </c>
      <c r="F525">
        <v>2.9286474973375931</v>
      </c>
      <c r="G525">
        <f>Tableau1[[#This Row],[Cost (€/GJ)]]/1000*3.6</f>
        <v>1.0543130990415334E-2</v>
      </c>
      <c r="H525">
        <v>3.950479233226837</v>
      </c>
      <c r="I525">
        <f>Tableau1[[#This Row],[GHG (kgCO2eq/GJ)]]/1000*3.6</f>
        <v>1.4221725239616614E-2</v>
      </c>
      <c r="J525" t="s">
        <v>104</v>
      </c>
      <c r="K525" t="s">
        <v>108</v>
      </c>
    </row>
    <row r="526" spans="1:11" hidden="1" x14ac:dyDescent="0.3">
      <c r="A526" t="s">
        <v>31</v>
      </c>
      <c r="B526" t="s">
        <v>46</v>
      </c>
      <c r="C526" t="s">
        <v>64</v>
      </c>
      <c r="D526">
        <v>5.96E-2</v>
      </c>
      <c r="E526">
        <f>Tableau1[[#This Row],[Potential (PJ)]]/3.6*1000</f>
        <v>16.555555555555557</v>
      </c>
      <c r="F526">
        <v>5.1109999999999998</v>
      </c>
      <c r="G526">
        <f>Tableau1[[#This Row],[Cost (€/GJ)]]/1000*3.6</f>
        <v>1.8399600000000002E-2</v>
      </c>
      <c r="H526">
        <v>2.9521711768407801</v>
      </c>
      <c r="I526">
        <f>Tableau1[[#This Row],[GHG (kgCO2eq/GJ)]]/1000*3.6</f>
        <v>1.0627816236626808E-2</v>
      </c>
      <c r="J526" t="s">
        <v>104</v>
      </c>
      <c r="K526" t="s">
        <v>108</v>
      </c>
    </row>
    <row r="527" spans="1:11" hidden="1" x14ac:dyDescent="0.3">
      <c r="A527" t="s">
        <v>31</v>
      </c>
      <c r="B527" t="s">
        <v>46</v>
      </c>
      <c r="C527" t="s">
        <v>65</v>
      </c>
      <c r="D527">
        <v>0.1</v>
      </c>
      <c r="E527">
        <f>Tableau1[[#This Row],[Potential (PJ)]]/3.6*1000</f>
        <v>27.777777777777779</v>
      </c>
      <c r="F527">
        <v>4.407</v>
      </c>
      <c r="G527">
        <f>Tableau1[[#This Row],[Cost (€/GJ)]]/1000*3.6</f>
        <v>1.5865200000000003E-2</v>
      </c>
      <c r="H527">
        <v>2.9521711768407801</v>
      </c>
      <c r="I527">
        <f>Tableau1[[#This Row],[GHG (kgCO2eq/GJ)]]/1000*3.6</f>
        <v>1.0627816236626808E-2</v>
      </c>
      <c r="J527" t="s">
        <v>104</v>
      </c>
      <c r="K527" t="s">
        <v>108</v>
      </c>
    </row>
    <row r="528" spans="1:11" hidden="1" x14ac:dyDescent="0.3">
      <c r="A528" t="s">
        <v>31</v>
      </c>
      <c r="B528" t="s">
        <v>46</v>
      </c>
      <c r="C528" t="s">
        <v>66</v>
      </c>
      <c r="D528">
        <v>0.1</v>
      </c>
      <c r="E528">
        <f>Tableau1[[#This Row],[Potential (PJ)]]/3.6*1000</f>
        <v>27.777777777777779</v>
      </c>
      <c r="F528">
        <v>0</v>
      </c>
      <c r="G528">
        <f>Tableau1[[#This Row],[Cost (€/GJ)]]/1000*3.6</f>
        <v>0</v>
      </c>
      <c r="H528">
        <v>6.8428961748633883</v>
      </c>
      <c r="I528">
        <f>Tableau1[[#This Row],[GHG (kgCO2eq/GJ)]]/1000*3.6</f>
        <v>2.4634426229508198E-2</v>
      </c>
      <c r="J528" t="s">
        <v>104</v>
      </c>
      <c r="K528" t="s">
        <v>108</v>
      </c>
    </row>
    <row r="529" spans="1:11" hidden="1" x14ac:dyDescent="0.3">
      <c r="A529" t="s">
        <v>31</v>
      </c>
      <c r="B529" t="s">
        <v>46</v>
      </c>
      <c r="C529" t="s">
        <v>83</v>
      </c>
      <c r="D529">
        <v>1.9029999999999998E-2</v>
      </c>
      <c r="E529">
        <f>Tableau1[[#This Row],[Potential (PJ)]]/3.6*1000</f>
        <v>5.2861111111111105</v>
      </c>
      <c r="F529">
        <v>0</v>
      </c>
      <c r="G529">
        <f>Tableau1[[#This Row],[Cost (€/GJ)]]/1000*3.6</f>
        <v>0</v>
      </c>
      <c r="H529">
        <v>6.8428961748633883</v>
      </c>
      <c r="I529">
        <f>Tableau1[[#This Row],[GHG (kgCO2eq/GJ)]]/1000*3.6</f>
        <v>2.4634426229508198E-2</v>
      </c>
      <c r="J529" t="s">
        <v>104</v>
      </c>
      <c r="K529" t="s">
        <v>108</v>
      </c>
    </row>
    <row r="530" spans="1:11" hidden="1" x14ac:dyDescent="0.3">
      <c r="A530" t="s">
        <v>31</v>
      </c>
      <c r="B530" t="s">
        <v>47</v>
      </c>
      <c r="C530" t="s">
        <v>68</v>
      </c>
      <c r="D530">
        <v>10.6</v>
      </c>
      <c r="E530">
        <f>Tableau1[[#This Row],[Potential (PJ)]]/3.6*1000</f>
        <v>2944.4444444444443</v>
      </c>
      <c r="F530">
        <v>3.894000000000001</v>
      </c>
      <c r="G530">
        <f>Tableau1[[#This Row],[Cost (€/GJ)]]/1000*3.6</f>
        <v>1.4018400000000004E-2</v>
      </c>
      <c r="H530">
        <v>14.1</v>
      </c>
      <c r="I530">
        <f>Tableau1[[#This Row],[GHG (kgCO2eq/GJ)]]/1000*3.6</f>
        <v>5.076E-2</v>
      </c>
      <c r="J530" t="s">
        <v>104</v>
      </c>
      <c r="K530" t="s">
        <v>109</v>
      </c>
    </row>
    <row r="531" spans="1:11" hidden="1" x14ac:dyDescent="0.3">
      <c r="A531" t="s">
        <v>31</v>
      </c>
      <c r="B531" t="s">
        <v>47</v>
      </c>
      <c r="C531" t="s">
        <v>69</v>
      </c>
      <c r="D531">
        <v>7.4</v>
      </c>
      <c r="E531">
        <f>Tableau1[[#This Row],[Potential (PJ)]]/3.6*1000</f>
        <v>2055.5555555555557</v>
      </c>
      <c r="F531">
        <v>3.8809999999999998</v>
      </c>
      <c r="G531">
        <f>Tableau1[[#This Row],[Cost (€/GJ)]]/1000*3.6</f>
        <v>1.3971600000000001E-2</v>
      </c>
      <c r="H531">
        <v>14.1</v>
      </c>
      <c r="I531">
        <f>Tableau1[[#This Row],[GHG (kgCO2eq/GJ)]]/1000*3.6</f>
        <v>5.076E-2</v>
      </c>
      <c r="J531" t="s">
        <v>104</v>
      </c>
      <c r="K531" t="s">
        <v>109</v>
      </c>
    </row>
    <row r="532" spans="1:11" hidden="1" x14ac:dyDescent="0.3">
      <c r="A532" t="s">
        <v>31</v>
      </c>
      <c r="B532" t="s">
        <v>48</v>
      </c>
      <c r="C532" t="s">
        <v>70</v>
      </c>
      <c r="D532">
        <v>3.9</v>
      </c>
      <c r="E532">
        <f>Tableau1[[#This Row],[Potential (PJ)]]/3.6*1000</f>
        <v>1083.3333333333333</v>
      </c>
      <c r="F532">
        <v>10.019</v>
      </c>
      <c r="G532">
        <f>Tableau1[[#This Row],[Cost (€/GJ)]]/1000*3.6</f>
        <v>3.60684E-2</v>
      </c>
      <c r="H532">
        <v>0</v>
      </c>
      <c r="I532">
        <f>Tableau1[[#This Row],[GHG (kgCO2eq/GJ)]]/1000*3.6</f>
        <v>0</v>
      </c>
      <c r="J532" t="s">
        <v>104</v>
      </c>
      <c r="K532" t="s">
        <v>109</v>
      </c>
    </row>
    <row r="533" spans="1:11" hidden="1" x14ac:dyDescent="0.3">
      <c r="A533" t="s">
        <v>31</v>
      </c>
      <c r="B533" t="s">
        <v>49</v>
      </c>
      <c r="C533" t="s">
        <v>71</v>
      </c>
      <c r="D533">
        <v>0.21351000000000001</v>
      </c>
      <c r="E533">
        <f>Tableau1[[#This Row],[Potential (PJ)]]/3.6*1000</f>
        <v>59.30833333333333</v>
      </c>
      <c r="F533">
        <v>0</v>
      </c>
      <c r="G533">
        <f>Tableau1[[#This Row],[Cost (€/GJ)]]/1000*3.6</f>
        <v>0</v>
      </c>
      <c r="H533">
        <v>3.86607608129234</v>
      </c>
      <c r="I533">
        <f>Tableau1[[#This Row],[GHG (kgCO2eq/GJ)]]/1000*3.6</f>
        <v>1.3917873892652425E-2</v>
      </c>
      <c r="J533" t="s">
        <v>104</v>
      </c>
      <c r="K533" t="s">
        <v>108</v>
      </c>
    </row>
    <row r="534" spans="1:11" hidden="1" x14ac:dyDescent="0.3">
      <c r="A534" t="s">
        <v>31</v>
      </c>
      <c r="B534" t="s">
        <v>49</v>
      </c>
      <c r="C534" t="s">
        <v>72</v>
      </c>
      <c r="D534">
        <v>0.3</v>
      </c>
      <c r="E534">
        <f>Tableau1[[#This Row],[Potential (PJ)]]/3.6*1000</f>
        <v>83.333333333333329</v>
      </c>
      <c r="F534">
        <v>0</v>
      </c>
      <c r="G534">
        <f>Tableau1[[#This Row],[Cost (€/GJ)]]/1000*3.6</f>
        <v>0</v>
      </c>
      <c r="H534">
        <v>3.86607608129234</v>
      </c>
      <c r="I534">
        <f>Tableau1[[#This Row],[GHG (kgCO2eq/GJ)]]/1000*3.6</f>
        <v>1.3917873892652425E-2</v>
      </c>
      <c r="J534" t="s">
        <v>104</v>
      </c>
      <c r="K534" t="s">
        <v>108</v>
      </c>
    </row>
    <row r="535" spans="1:11" hidden="1" x14ac:dyDescent="0.3">
      <c r="A535" t="s">
        <v>31</v>
      </c>
      <c r="B535" t="s">
        <v>50</v>
      </c>
      <c r="C535" t="s">
        <v>73</v>
      </c>
      <c r="D535">
        <v>0.2</v>
      </c>
      <c r="E535">
        <f>Tableau1[[#This Row],[Potential (PJ)]]/3.6*1000</f>
        <v>55.555555555555557</v>
      </c>
      <c r="F535">
        <v>4.7309999999999999</v>
      </c>
      <c r="G535">
        <f>Tableau1[[#This Row],[Cost (€/GJ)]]/1000*3.6</f>
        <v>1.7031600000000001E-2</v>
      </c>
      <c r="H535">
        <v>20.723404255319149</v>
      </c>
      <c r="I535">
        <f>Tableau1[[#This Row],[GHG (kgCO2eq/GJ)]]/1000*3.6</f>
        <v>7.4604255319148938E-2</v>
      </c>
      <c r="J535" t="s">
        <v>105</v>
      </c>
      <c r="K535" t="s">
        <v>108</v>
      </c>
    </row>
    <row r="536" spans="1:11" hidden="1" x14ac:dyDescent="0.3">
      <c r="A536" t="s">
        <v>31</v>
      </c>
      <c r="B536" t="s">
        <v>50</v>
      </c>
      <c r="C536" t="s">
        <v>74</v>
      </c>
      <c r="D536">
        <v>0.3</v>
      </c>
      <c r="E536">
        <f>Tableau1[[#This Row],[Potential (PJ)]]/3.6*1000</f>
        <v>83.333333333333329</v>
      </c>
      <c r="F536">
        <v>4.7690000000000001</v>
      </c>
      <c r="G536">
        <f>Tableau1[[#This Row],[Cost (€/GJ)]]/1000*3.6</f>
        <v>1.71684E-2</v>
      </c>
      <c r="H536">
        <v>2.0635593220338988</v>
      </c>
      <c r="I536">
        <f>Tableau1[[#This Row],[GHG (kgCO2eq/GJ)]]/1000*3.6</f>
        <v>7.4288135593220351E-3</v>
      </c>
      <c r="J536" t="s">
        <v>105</v>
      </c>
      <c r="K536" t="s">
        <v>108</v>
      </c>
    </row>
    <row r="537" spans="1:11" hidden="1" x14ac:dyDescent="0.3">
      <c r="A537" t="s">
        <v>31</v>
      </c>
      <c r="B537" t="s">
        <v>51</v>
      </c>
      <c r="C537" t="s">
        <v>75</v>
      </c>
      <c r="D537">
        <v>0.88236999999999999</v>
      </c>
      <c r="E537">
        <f>Tableau1[[#This Row],[Potential (PJ)]]/3.6*1000</f>
        <v>245.10277777777779</v>
      </c>
      <c r="F537">
        <v>2.8035351025555801E-2</v>
      </c>
      <c r="G537">
        <f>Tableau1[[#This Row],[Cost (€/GJ)]]/1000*3.6</f>
        <v>1.0092726369200088E-4</v>
      </c>
      <c r="H537">
        <v>11.74</v>
      </c>
      <c r="I537">
        <f>Tableau1[[#This Row],[GHG (kgCO2eq/GJ)]]/1000*3.6</f>
        <v>4.2264000000000003E-2</v>
      </c>
      <c r="J537" t="s">
        <v>104</v>
      </c>
      <c r="K537" t="s">
        <v>108</v>
      </c>
    </row>
    <row r="538" spans="1:11" hidden="1" x14ac:dyDescent="0.3">
      <c r="A538" t="s">
        <v>31</v>
      </c>
      <c r="B538" t="s">
        <v>52</v>
      </c>
      <c r="C538" t="s">
        <v>76</v>
      </c>
      <c r="D538">
        <v>7.0000000000000001E-3</v>
      </c>
      <c r="E538">
        <f>Tableau1[[#This Row],[Potential (PJ)]]/3.6*1000</f>
        <v>1.9444444444444444</v>
      </c>
      <c r="F538">
        <v>6.1837425000000001</v>
      </c>
      <c r="G538">
        <f>Tableau1[[#This Row],[Cost (€/GJ)]]/1000*3.6</f>
        <v>2.2261473000000004E-2</v>
      </c>
      <c r="H538">
        <v>12.68872359754714</v>
      </c>
      <c r="I538">
        <f>Tableau1[[#This Row],[GHG (kgCO2eq/GJ)]]/1000*3.6</f>
        <v>4.5679404951169705E-2</v>
      </c>
      <c r="J538" t="s">
        <v>105</v>
      </c>
      <c r="K538" t="s">
        <v>108</v>
      </c>
    </row>
    <row r="539" spans="1:11" hidden="1" x14ac:dyDescent="0.3">
      <c r="A539" t="s">
        <v>31</v>
      </c>
      <c r="B539" t="s">
        <v>53</v>
      </c>
      <c r="C539" t="s">
        <v>77</v>
      </c>
      <c r="D539">
        <v>3.9466700000000001</v>
      </c>
      <c r="E539">
        <f>Tableau1[[#This Row],[Potential (PJ)]]/3.6*1000</f>
        <v>1096.2972222222222</v>
      </c>
      <c r="F539">
        <v>0</v>
      </c>
      <c r="G539">
        <f>Tableau1[[#This Row],[Cost (€/GJ)]]/1000*3.6</f>
        <v>0</v>
      </c>
      <c r="H539">
        <v>3.86607608129234</v>
      </c>
      <c r="I539">
        <f>Tableau1[[#This Row],[GHG (kgCO2eq/GJ)]]/1000*3.6</f>
        <v>1.3917873892652425E-2</v>
      </c>
      <c r="J539" t="s">
        <v>104</v>
      </c>
      <c r="K539" t="s">
        <v>108</v>
      </c>
    </row>
    <row r="540" spans="1:11" hidden="1" x14ac:dyDescent="0.3">
      <c r="A540" t="s">
        <v>31</v>
      </c>
      <c r="B540" t="s">
        <v>54</v>
      </c>
      <c r="C540" t="s">
        <v>78</v>
      </c>
      <c r="D540">
        <v>2.5</v>
      </c>
      <c r="E540">
        <f>Tableau1[[#This Row],[Potential (PJ)]]/3.6*1000</f>
        <v>694.44444444444446</v>
      </c>
      <c r="F540">
        <v>0</v>
      </c>
      <c r="G540">
        <f>Tableau1[[#This Row],[Cost (€/GJ)]]/1000*3.6</f>
        <v>0</v>
      </c>
      <c r="H540">
        <v>3.86607608129234</v>
      </c>
      <c r="I540">
        <f>Tableau1[[#This Row],[GHG (kgCO2eq/GJ)]]/1000*3.6</f>
        <v>1.3917873892652425E-2</v>
      </c>
      <c r="J540" t="s">
        <v>104</v>
      </c>
      <c r="K540" t="s">
        <v>108</v>
      </c>
    </row>
    <row r="541" spans="1:11" hidden="1" x14ac:dyDescent="0.3">
      <c r="A541" t="s">
        <v>32</v>
      </c>
      <c r="B541" t="s">
        <v>46</v>
      </c>
      <c r="C541" t="s">
        <v>103</v>
      </c>
      <c r="D541">
        <v>1.1622E-2</v>
      </c>
      <c r="E541">
        <f>Tableau1[[#This Row],[Potential (PJ)]]/3.6*1000</f>
        <v>3.2283333333333335</v>
      </c>
      <c r="F541">
        <v>0</v>
      </c>
      <c r="G541">
        <f>Tableau1[[#This Row],[Cost (€/GJ)]]/1000*3.6</f>
        <v>0</v>
      </c>
      <c r="I541">
        <f>Tableau1[[#This Row],[GHG (kgCO2eq/GJ)]]/1000*3.6</f>
        <v>0</v>
      </c>
    </row>
    <row r="542" spans="1:11" hidden="1" x14ac:dyDescent="0.3">
      <c r="A542" t="s">
        <v>32</v>
      </c>
      <c r="B542" t="s">
        <v>58</v>
      </c>
      <c r="C542" t="s">
        <v>103</v>
      </c>
      <c r="D542">
        <v>6.8329999999999997E-3</v>
      </c>
      <c r="E542">
        <f>Tableau1[[#This Row],[Potential (PJ)]]/3.6*1000</f>
        <v>1.8980555555555554</v>
      </c>
      <c r="F542">
        <v>0</v>
      </c>
      <c r="G542">
        <f>Tableau1[[#This Row],[Cost (€/GJ)]]/1000*3.6</f>
        <v>0</v>
      </c>
      <c r="I542">
        <f>Tableau1[[#This Row],[GHG (kgCO2eq/GJ)]]/1000*3.6</f>
        <v>0</v>
      </c>
    </row>
    <row r="543" spans="1:11" hidden="1" x14ac:dyDescent="0.3">
      <c r="A543" t="s">
        <v>32</v>
      </c>
      <c r="B543" t="s">
        <v>51</v>
      </c>
      <c r="C543" t="s">
        <v>75</v>
      </c>
      <c r="D543">
        <v>3.8524479999999999</v>
      </c>
      <c r="E543">
        <f>Tableau1[[#This Row],[Potential (PJ)]]/3.6*1000</f>
        <v>1070.1244444444444</v>
      </c>
      <c r="F543">
        <v>1.50761275353164E-5</v>
      </c>
      <c r="G543">
        <f>Tableau1[[#This Row],[Cost (€/GJ)]]/1000*3.6</f>
        <v>5.4274059127139032E-8</v>
      </c>
      <c r="H543">
        <v>11.74</v>
      </c>
      <c r="I543">
        <f>Tableau1[[#This Row],[GHG (kgCO2eq/GJ)]]/1000*3.6</f>
        <v>4.2264000000000003E-2</v>
      </c>
      <c r="J543" t="s">
        <v>104</v>
      </c>
      <c r="K543" t="s">
        <v>108</v>
      </c>
    </row>
    <row r="544" spans="1:11" hidden="1" x14ac:dyDescent="0.3">
      <c r="A544" t="s">
        <v>33</v>
      </c>
      <c r="B544" t="s">
        <v>46</v>
      </c>
      <c r="C544" t="s">
        <v>64</v>
      </c>
      <c r="D544">
        <v>2.0899999999999998E-2</v>
      </c>
      <c r="E544">
        <f>Tableau1[[#This Row],[Potential (PJ)]]/3.6*1000</f>
        <v>5.8055555555555554</v>
      </c>
      <c r="F544">
        <v>5.0265363636363638</v>
      </c>
      <c r="G544">
        <f>Tableau1[[#This Row],[Cost (€/GJ)]]/1000*3.6</f>
        <v>1.8095530909090912E-2</v>
      </c>
      <c r="H544">
        <v>2.9521711768407801</v>
      </c>
      <c r="I544">
        <f>Tableau1[[#This Row],[GHG (kgCO2eq/GJ)]]/1000*3.6</f>
        <v>1.0627816236626808E-2</v>
      </c>
      <c r="J544" t="s">
        <v>104</v>
      </c>
      <c r="K544" t="s">
        <v>108</v>
      </c>
    </row>
    <row r="545" spans="1:11" hidden="1" x14ac:dyDescent="0.3">
      <c r="A545" t="s">
        <v>33</v>
      </c>
      <c r="B545" t="s">
        <v>46</v>
      </c>
      <c r="C545" t="s">
        <v>79</v>
      </c>
      <c r="D545">
        <v>0.4</v>
      </c>
      <c r="E545">
        <f>Tableau1[[#This Row],[Potential (PJ)]]/3.6*1000</f>
        <v>111.11111111111111</v>
      </c>
      <c r="F545">
        <v>5.8129999999999997</v>
      </c>
      <c r="G545">
        <f>Tableau1[[#This Row],[Cost (€/GJ)]]/1000*3.6</f>
        <v>2.0926799999999999E-2</v>
      </c>
      <c r="H545">
        <v>6.8428961748633883</v>
      </c>
      <c r="I545">
        <f>Tableau1[[#This Row],[GHG (kgCO2eq/GJ)]]/1000*3.6</f>
        <v>2.4634426229508198E-2</v>
      </c>
      <c r="J545" t="s">
        <v>104</v>
      </c>
      <c r="K545" t="s">
        <v>108</v>
      </c>
    </row>
    <row r="546" spans="1:11" hidden="1" x14ac:dyDescent="0.3">
      <c r="A546" t="s">
        <v>33</v>
      </c>
      <c r="B546" t="s">
        <v>46</v>
      </c>
      <c r="C546" t="s">
        <v>80</v>
      </c>
      <c r="D546">
        <v>1.1052999999999999</v>
      </c>
      <c r="E546">
        <f>Tableau1[[#This Row],[Potential (PJ)]]/3.6*1000</f>
        <v>307.02777777777771</v>
      </c>
      <c r="F546">
        <v>0.33378287255563049</v>
      </c>
      <c r="G546">
        <f>Tableau1[[#This Row],[Cost (€/GJ)]]/1000*3.6</f>
        <v>1.2016183412002696E-3</v>
      </c>
      <c r="H546">
        <v>28.139870918023309</v>
      </c>
      <c r="I546">
        <f>Tableau1[[#This Row],[GHG (kgCO2eq/GJ)]]/1000*3.6</f>
        <v>0.10130353530488391</v>
      </c>
      <c r="J546" t="s">
        <v>105</v>
      </c>
      <c r="K546" t="s">
        <v>108</v>
      </c>
    </row>
    <row r="547" spans="1:11" hidden="1" x14ac:dyDescent="0.3">
      <c r="A547" t="s">
        <v>33</v>
      </c>
      <c r="B547" t="s">
        <v>46</v>
      </c>
      <c r="C547" t="s">
        <v>81</v>
      </c>
      <c r="D547">
        <v>1.1032</v>
      </c>
      <c r="E547">
        <f>Tableau1[[#This Row],[Potential (PJ)]]/3.6*1000</f>
        <v>306.4444444444444</v>
      </c>
      <c r="F547">
        <v>1.173913043478261</v>
      </c>
      <c r="G547">
        <f>Tableau1[[#This Row],[Cost (€/GJ)]]/1000*3.6</f>
        <v>4.226086956521739E-3</v>
      </c>
      <c r="H547">
        <v>8.9647473560517046</v>
      </c>
      <c r="I547">
        <f>Tableau1[[#This Row],[GHG (kgCO2eq/GJ)]]/1000*3.6</f>
        <v>3.2273090481786136E-2</v>
      </c>
      <c r="J547" t="s">
        <v>105</v>
      </c>
      <c r="K547" t="s">
        <v>108</v>
      </c>
    </row>
    <row r="548" spans="1:11" hidden="1" x14ac:dyDescent="0.3">
      <c r="A548" t="s">
        <v>33</v>
      </c>
      <c r="B548" t="s">
        <v>46</v>
      </c>
      <c r="C548" t="s">
        <v>66</v>
      </c>
      <c r="D548">
        <v>0.4</v>
      </c>
      <c r="E548">
        <f>Tableau1[[#This Row],[Potential (PJ)]]/3.6*1000</f>
        <v>111.11111111111111</v>
      </c>
      <c r="F548">
        <v>6.0582500000000001</v>
      </c>
      <c r="G548">
        <f>Tableau1[[#This Row],[Cost (€/GJ)]]/1000*3.6</f>
        <v>2.1809700000000001E-2</v>
      </c>
      <c r="H548">
        <v>6.8428961748633883</v>
      </c>
      <c r="I548">
        <f>Tableau1[[#This Row],[GHG (kgCO2eq/GJ)]]/1000*3.6</f>
        <v>2.4634426229508198E-2</v>
      </c>
      <c r="J548" t="s">
        <v>104</v>
      </c>
      <c r="K548" t="s">
        <v>108</v>
      </c>
    </row>
    <row r="549" spans="1:11" hidden="1" x14ac:dyDescent="0.3">
      <c r="A549" t="s">
        <v>33</v>
      </c>
      <c r="B549" t="s">
        <v>46</v>
      </c>
      <c r="C549" t="s">
        <v>84</v>
      </c>
      <c r="D549">
        <v>0.1</v>
      </c>
      <c r="E549">
        <f>Tableau1[[#This Row],[Potential (PJ)]]/3.6*1000</f>
        <v>27.777777777777779</v>
      </c>
      <c r="F549">
        <v>2.7610000000000001</v>
      </c>
      <c r="G549">
        <f>Tableau1[[#This Row],[Cost (€/GJ)]]/1000*3.6</f>
        <v>9.9395999999999998E-3</v>
      </c>
      <c r="H549">
        <v>28.139870918023309</v>
      </c>
      <c r="I549">
        <f>Tableau1[[#This Row],[GHG (kgCO2eq/GJ)]]/1000*3.6</f>
        <v>0.10130353530488391</v>
      </c>
      <c r="J549" t="s">
        <v>105</v>
      </c>
      <c r="K549" t="s">
        <v>108</v>
      </c>
    </row>
    <row r="550" spans="1:11" hidden="1" x14ac:dyDescent="0.3">
      <c r="A550" t="s">
        <v>33</v>
      </c>
      <c r="B550" t="s">
        <v>55</v>
      </c>
      <c r="C550" t="s">
        <v>86</v>
      </c>
      <c r="D550">
        <v>1.2999999999999999E-3</v>
      </c>
      <c r="E550">
        <f>Tableau1[[#This Row],[Potential (PJ)]]/3.6*1000</f>
        <v>0.3611111111111111</v>
      </c>
      <c r="F550">
        <v>17.419</v>
      </c>
      <c r="G550">
        <f>Tableau1[[#This Row],[Cost (€/GJ)]]/1000*3.6</f>
        <v>6.2708399999999997E-2</v>
      </c>
      <c r="H550">
        <v>41.1</v>
      </c>
      <c r="I550">
        <f>Tableau1[[#This Row],[GHG (kgCO2eq/GJ)]]/1000*3.6</f>
        <v>0.14796000000000001</v>
      </c>
      <c r="J550" t="s">
        <v>106</v>
      </c>
      <c r="K550" t="s">
        <v>109</v>
      </c>
    </row>
    <row r="551" spans="1:11" hidden="1" x14ac:dyDescent="0.3">
      <c r="A551" t="s">
        <v>33</v>
      </c>
      <c r="B551" t="s">
        <v>55</v>
      </c>
      <c r="C551" t="s">
        <v>88</v>
      </c>
      <c r="D551">
        <v>0.4713</v>
      </c>
      <c r="E551">
        <f>Tableau1[[#This Row],[Potential (PJ)]]/3.6*1000</f>
        <v>130.91666666666666</v>
      </c>
      <c r="F551">
        <v>16.597000000000001</v>
      </c>
      <c r="G551">
        <f>Tableau1[[#This Row],[Cost (€/GJ)]]/1000*3.6</f>
        <v>5.9749200000000002E-2</v>
      </c>
      <c r="H551">
        <v>41.1</v>
      </c>
      <c r="I551">
        <f>Tableau1[[#This Row],[GHG (kgCO2eq/GJ)]]/1000*3.6</f>
        <v>0.14796000000000001</v>
      </c>
      <c r="J551" t="s">
        <v>106</v>
      </c>
      <c r="K551" t="s">
        <v>109</v>
      </c>
    </row>
    <row r="552" spans="1:11" hidden="1" x14ac:dyDescent="0.3">
      <c r="A552" t="s">
        <v>33</v>
      </c>
      <c r="B552" t="s">
        <v>55</v>
      </c>
      <c r="C552" t="s">
        <v>89</v>
      </c>
      <c r="D552">
        <v>7.4800000000000005E-2</v>
      </c>
      <c r="E552">
        <f>Tableau1[[#This Row],[Potential (PJ)]]/3.6*1000</f>
        <v>20.777777777777782</v>
      </c>
      <c r="F552">
        <v>0</v>
      </c>
      <c r="G552">
        <f>Tableau1[[#This Row],[Cost (€/GJ)]]/1000*3.6</f>
        <v>0</v>
      </c>
      <c r="H552">
        <v>41.1</v>
      </c>
      <c r="I552">
        <f>Tableau1[[#This Row],[GHG (kgCO2eq/GJ)]]/1000*3.6</f>
        <v>0.14796000000000001</v>
      </c>
      <c r="J552" t="s">
        <v>106</v>
      </c>
      <c r="K552" t="s">
        <v>109</v>
      </c>
    </row>
    <row r="553" spans="1:11" hidden="1" x14ac:dyDescent="0.3">
      <c r="A553" t="s">
        <v>33</v>
      </c>
      <c r="B553" t="s">
        <v>55</v>
      </c>
      <c r="C553" t="s">
        <v>90</v>
      </c>
      <c r="D553">
        <v>1.8499999999999999E-2</v>
      </c>
      <c r="E553">
        <f>Tableau1[[#This Row],[Potential (PJ)]]/3.6*1000</f>
        <v>5.1388888888888884</v>
      </c>
      <c r="F553">
        <v>22.513000000000002</v>
      </c>
      <c r="G553">
        <f>Tableau1[[#This Row],[Cost (€/GJ)]]/1000*3.6</f>
        <v>8.1046800000000002E-2</v>
      </c>
      <c r="H553">
        <v>41.1</v>
      </c>
      <c r="I553">
        <f>Tableau1[[#This Row],[GHG (kgCO2eq/GJ)]]/1000*3.6</f>
        <v>0.14796000000000001</v>
      </c>
      <c r="J553" t="s">
        <v>106</v>
      </c>
      <c r="K553" t="s">
        <v>109</v>
      </c>
    </row>
    <row r="554" spans="1:11" hidden="1" x14ac:dyDescent="0.3">
      <c r="A554" t="s">
        <v>33</v>
      </c>
      <c r="B554" t="s">
        <v>55</v>
      </c>
      <c r="C554" t="s">
        <v>92</v>
      </c>
      <c r="D554">
        <v>0.42679</v>
      </c>
      <c r="E554">
        <f>Tableau1[[#This Row],[Potential (PJ)]]/3.6*1000</f>
        <v>118.55277777777778</v>
      </c>
      <c r="F554">
        <v>17.239999999999998</v>
      </c>
      <c r="G554">
        <f>Tableau1[[#This Row],[Cost (€/GJ)]]/1000*3.6</f>
        <v>6.2063999999999994E-2</v>
      </c>
      <c r="H554">
        <v>41.1</v>
      </c>
      <c r="I554">
        <f>Tableau1[[#This Row],[GHG (kgCO2eq/GJ)]]/1000*3.6</f>
        <v>0.14796000000000001</v>
      </c>
      <c r="J554" t="s">
        <v>106</v>
      </c>
      <c r="K554" t="s">
        <v>109</v>
      </c>
    </row>
    <row r="555" spans="1:11" hidden="1" x14ac:dyDescent="0.3">
      <c r="A555" t="s">
        <v>33</v>
      </c>
      <c r="B555" t="s">
        <v>56</v>
      </c>
      <c r="C555" t="s">
        <v>93</v>
      </c>
      <c r="D555">
        <v>14.3583</v>
      </c>
      <c r="E555">
        <f>Tableau1[[#This Row],[Potential (PJ)]]/3.6*1000</f>
        <v>3988.4166666666665</v>
      </c>
      <c r="F555">
        <v>2.939759036144578</v>
      </c>
      <c r="G555">
        <f>Tableau1[[#This Row],[Cost (€/GJ)]]/1000*3.6</f>
        <v>1.0583132530120481E-2</v>
      </c>
      <c r="H555">
        <v>53.4</v>
      </c>
      <c r="I555">
        <f>Tableau1[[#This Row],[GHG (kgCO2eq/GJ)]]/1000*3.6</f>
        <v>0.19223999999999999</v>
      </c>
      <c r="J555" t="s">
        <v>106</v>
      </c>
      <c r="K555" t="s">
        <v>109</v>
      </c>
    </row>
    <row r="556" spans="1:11" hidden="1" x14ac:dyDescent="0.3">
      <c r="A556" t="s">
        <v>33</v>
      </c>
      <c r="B556" t="s">
        <v>47</v>
      </c>
      <c r="C556" t="s">
        <v>68</v>
      </c>
      <c r="D556">
        <v>6</v>
      </c>
      <c r="E556">
        <f>Tableau1[[#This Row],[Potential (PJ)]]/3.6*1000</f>
        <v>1666.6666666666665</v>
      </c>
      <c r="F556">
        <v>7.7944000000000004</v>
      </c>
      <c r="G556">
        <f>Tableau1[[#This Row],[Cost (€/GJ)]]/1000*3.6</f>
        <v>2.8059840000000003E-2</v>
      </c>
      <c r="H556">
        <v>23.8</v>
      </c>
      <c r="I556">
        <f>Tableau1[[#This Row],[GHG (kgCO2eq/GJ)]]/1000*3.6</f>
        <v>8.5680000000000006E-2</v>
      </c>
      <c r="J556" t="s">
        <v>104</v>
      </c>
      <c r="K556" t="s">
        <v>109</v>
      </c>
    </row>
    <row r="557" spans="1:11" hidden="1" x14ac:dyDescent="0.3">
      <c r="A557" t="s">
        <v>33</v>
      </c>
      <c r="B557" t="s">
        <v>47</v>
      </c>
      <c r="C557" t="s">
        <v>69</v>
      </c>
      <c r="D557">
        <v>6.3</v>
      </c>
      <c r="E557">
        <f>Tableau1[[#This Row],[Potential (PJ)]]/3.6*1000</f>
        <v>1750</v>
      </c>
      <c r="F557">
        <v>7.0211746031746038</v>
      </c>
      <c r="G557">
        <f>Tableau1[[#This Row],[Cost (€/GJ)]]/1000*3.6</f>
        <v>2.5276228571428576E-2</v>
      </c>
      <c r="H557">
        <v>23.8</v>
      </c>
      <c r="I557">
        <f>Tableau1[[#This Row],[GHG (kgCO2eq/GJ)]]/1000*3.6</f>
        <v>8.5680000000000006E-2</v>
      </c>
      <c r="J557" t="s">
        <v>104</v>
      </c>
      <c r="K557" t="s">
        <v>109</v>
      </c>
    </row>
    <row r="558" spans="1:11" hidden="1" x14ac:dyDescent="0.3">
      <c r="A558" t="s">
        <v>33</v>
      </c>
      <c r="B558" t="s">
        <v>57</v>
      </c>
      <c r="C558" t="s">
        <v>94</v>
      </c>
      <c r="D558">
        <v>4.8</v>
      </c>
      <c r="E558">
        <f>Tableau1[[#This Row],[Potential (PJ)]]/3.6*1000</f>
        <v>1333.3333333333333</v>
      </c>
      <c r="F558">
        <v>11.98810416666667</v>
      </c>
      <c r="G558">
        <f>Tableau1[[#This Row],[Cost (€/GJ)]]/1000*3.6</f>
        <v>4.3157175000000013E-2</v>
      </c>
      <c r="H558">
        <v>48.3</v>
      </c>
      <c r="I558">
        <f>Tableau1[[#This Row],[GHG (kgCO2eq/GJ)]]/1000*3.6</f>
        <v>0.17387999999999998</v>
      </c>
      <c r="J558" t="s">
        <v>104</v>
      </c>
      <c r="K558" t="s">
        <v>109</v>
      </c>
    </row>
    <row r="559" spans="1:11" hidden="1" x14ac:dyDescent="0.3">
      <c r="A559" t="s">
        <v>33</v>
      </c>
      <c r="B559" t="s">
        <v>49</v>
      </c>
      <c r="C559" t="s">
        <v>71</v>
      </c>
      <c r="D559">
        <v>1.4834499999999999</v>
      </c>
      <c r="E559">
        <f>Tableau1[[#This Row],[Potential (PJ)]]/3.6*1000</f>
        <v>412.06944444444446</v>
      </c>
      <c r="F559">
        <v>3.080218389564866</v>
      </c>
      <c r="G559">
        <f>Tableau1[[#This Row],[Cost (€/GJ)]]/1000*3.6</f>
        <v>1.1088786202433518E-2</v>
      </c>
      <c r="H559">
        <v>3.86607608129234</v>
      </c>
      <c r="I559">
        <f>Tableau1[[#This Row],[GHG (kgCO2eq/GJ)]]/1000*3.6</f>
        <v>1.3917873892652425E-2</v>
      </c>
      <c r="J559" t="s">
        <v>104</v>
      </c>
      <c r="K559" t="s">
        <v>108</v>
      </c>
    </row>
    <row r="560" spans="1:11" hidden="1" x14ac:dyDescent="0.3">
      <c r="A560" t="s">
        <v>33</v>
      </c>
      <c r="B560" t="s">
        <v>49</v>
      </c>
      <c r="C560" t="s">
        <v>72</v>
      </c>
      <c r="D560">
        <v>0.2</v>
      </c>
      <c r="E560">
        <f>Tableau1[[#This Row],[Potential (PJ)]]/3.6*1000</f>
        <v>55.555555555555557</v>
      </c>
      <c r="F560">
        <v>4.3529999999999998</v>
      </c>
      <c r="G560">
        <f>Tableau1[[#This Row],[Cost (€/GJ)]]/1000*3.6</f>
        <v>1.5670800000000002E-2</v>
      </c>
      <c r="H560">
        <v>3.86607608129234</v>
      </c>
      <c r="I560">
        <f>Tableau1[[#This Row],[GHG (kgCO2eq/GJ)]]/1000*3.6</f>
        <v>1.3917873892652425E-2</v>
      </c>
      <c r="J560" t="s">
        <v>104</v>
      </c>
      <c r="K560" t="s">
        <v>108</v>
      </c>
    </row>
    <row r="561" spans="1:11" hidden="1" x14ac:dyDescent="0.3">
      <c r="A561" t="s">
        <v>33</v>
      </c>
      <c r="B561" t="s">
        <v>58</v>
      </c>
      <c r="C561" t="s">
        <v>95</v>
      </c>
      <c r="D561">
        <v>0.65800000000000003</v>
      </c>
      <c r="E561">
        <f>Tableau1[[#This Row],[Potential (PJ)]]/3.6*1000</f>
        <v>182.7777777777778</v>
      </c>
      <c r="F561">
        <v>2.5590000000000002</v>
      </c>
      <c r="G561">
        <f>Tableau1[[#This Row],[Cost (€/GJ)]]/1000*3.6</f>
        <v>9.2124000000000008E-3</v>
      </c>
      <c r="H561">
        <v>2.9521711768407801</v>
      </c>
      <c r="I561">
        <f>Tableau1[[#This Row],[GHG (kgCO2eq/GJ)]]/1000*3.6</f>
        <v>1.0627816236626808E-2</v>
      </c>
      <c r="J561" t="s">
        <v>104</v>
      </c>
      <c r="K561" t="s">
        <v>108</v>
      </c>
    </row>
    <row r="562" spans="1:11" hidden="1" x14ac:dyDescent="0.3">
      <c r="A562" t="s">
        <v>33</v>
      </c>
      <c r="B562" t="s">
        <v>50</v>
      </c>
      <c r="C562" t="s">
        <v>73</v>
      </c>
      <c r="D562">
        <v>6.4</v>
      </c>
      <c r="E562">
        <f>Tableau1[[#This Row],[Potential (PJ)]]/3.6*1000</f>
        <v>1777.7777777777778</v>
      </c>
      <c r="F562">
        <v>5.9181562499999991</v>
      </c>
      <c r="G562">
        <f>Tableau1[[#This Row],[Cost (€/GJ)]]/1000*3.6</f>
        <v>2.1305362499999998E-2</v>
      </c>
      <c r="H562">
        <v>20.723404255319149</v>
      </c>
      <c r="I562">
        <f>Tableau1[[#This Row],[GHG (kgCO2eq/GJ)]]/1000*3.6</f>
        <v>7.4604255319148938E-2</v>
      </c>
      <c r="J562" t="s">
        <v>105</v>
      </c>
      <c r="K562" t="s">
        <v>108</v>
      </c>
    </row>
    <row r="563" spans="1:11" hidden="1" x14ac:dyDescent="0.3">
      <c r="A563" t="s">
        <v>33</v>
      </c>
      <c r="B563" t="s">
        <v>50</v>
      </c>
      <c r="C563" t="s">
        <v>74</v>
      </c>
      <c r="D563">
        <v>19.399999999999999</v>
      </c>
      <c r="E563">
        <f>Tableau1[[#This Row],[Potential (PJ)]]/3.6*1000</f>
        <v>5388.8888888888887</v>
      </c>
      <c r="F563">
        <v>6.5183711340206187</v>
      </c>
      <c r="G563">
        <f>Tableau1[[#This Row],[Cost (€/GJ)]]/1000*3.6</f>
        <v>2.3466136082474227E-2</v>
      </c>
      <c r="H563">
        <v>2.0635593220338988</v>
      </c>
      <c r="I563">
        <f>Tableau1[[#This Row],[GHG (kgCO2eq/GJ)]]/1000*3.6</f>
        <v>7.4288135593220351E-3</v>
      </c>
      <c r="J563" t="s">
        <v>105</v>
      </c>
      <c r="K563" t="s">
        <v>108</v>
      </c>
    </row>
    <row r="564" spans="1:11" hidden="1" x14ac:dyDescent="0.3">
      <c r="A564" t="s">
        <v>33</v>
      </c>
      <c r="B564" t="s">
        <v>59</v>
      </c>
      <c r="C564" t="s">
        <v>97</v>
      </c>
      <c r="D564">
        <v>2.7000000000000001E-3</v>
      </c>
      <c r="E564">
        <f>Tableau1[[#This Row],[Potential (PJ)]]/3.6*1000</f>
        <v>0.75</v>
      </c>
      <c r="F564">
        <v>20.2930005425936</v>
      </c>
      <c r="G564">
        <f>Tableau1[[#This Row],[Cost (€/GJ)]]/1000*3.6</f>
        <v>7.3054801953336967E-2</v>
      </c>
      <c r="H564">
        <v>25.7</v>
      </c>
      <c r="I564">
        <f>Tableau1[[#This Row],[GHG (kgCO2eq/GJ)]]/1000*3.6</f>
        <v>9.2520000000000005E-2</v>
      </c>
      <c r="J564" t="s">
        <v>107</v>
      </c>
      <c r="K564" t="s">
        <v>109</v>
      </c>
    </row>
    <row r="565" spans="1:11" hidden="1" x14ac:dyDescent="0.3">
      <c r="A565" t="s">
        <v>33</v>
      </c>
      <c r="B565" t="s">
        <v>51</v>
      </c>
      <c r="C565" t="s">
        <v>75</v>
      </c>
      <c r="D565">
        <v>37.287610000000001</v>
      </c>
      <c r="E565">
        <f>Tableau1[[#This Row],[Potential (PJ)]]/3.6*1000</f>
        <v>10357.669444444446</v>
      </c>
      <c r="F565">
        <v>4.3403137822462398E-2</v>
      </c>
      <c r="G565">
        <f>Tableau1[[#This Row],[Cost (€/GJ)]]/1000*3.6</f>
        <v>1.5625129616086462E-4</v>
      </c>
      <c r="H565">
        <v>11.74</v>
      </c>
      <c r="I565">
        <f>Tableau1[[#This Row],[GHG (kgCO2eq/GJ)]]/1000*3.6</f>
        <v>4.2264000000000003E-2</v>
      </c>
      <c r="J565" t="s">
        <v>104</v>
      </c>
      <c r="K565" t="s">
        <v>108</v>
      </c>
    </row>
    <row r="566" spans="1:11" hidden="1" x14ac:dyDescent="0.3">
      <c r="A566" t="s">
        <v>33</v>
      </c>
      <c r="B566" t="s">
        <v>60</v>
      </c>
      <c r="C566" t="s">
        <v>98</v>
      </c>
      <c r="D566">
        <v>1.047E-2</v>
      </c>
      <c r="E566">
        <f>Tableau1[[#This Row],[Potential (PJ)]]/3.6*1000</f>
        <v>2.9083333333333337</v>
      </c>
      <c r="F566">
        <v>12.19119226638024</v>
      </c>
      <c r="G566">
        <f>Tableau1[[#This Row],[Cost (€/GJ)]]/1000*3.6</f>
        <v>4.3888292158968861E-2</v>
      </c>
      <c r="H566">
        <v>61.8</v>
      </c>
      <c r="I566">
        <f>Tableau1[[#This Row],[GHG (kgCO2eq/GJ)]]/1000*3.6</f>
        <v>0.22247999999999998</v>
      </c>
      <c r="J566" t="s">
        <v>107</v>
      </c>
      <c r="K566" t="s">
        <v>109</v>
      </c>
    </row>
    <row r="567" spans="1:11" hidden="1" x14ac:dyDescent="0.3">
      <c r="A567" t="s">
        <v>33</v>
      </c>
      <c r="B567" t="s">
        <v>52</v>
      </c>
      <c r="C567" t="s">
        <v>76</v>
      </c>
      <c r="D567">
        <v>0.28000000000000003</v>
      </c>
      <c r="E567">
        <f>Tableau1[[#This Row],[Potential (PJ)]]/3.6*1000</f>
        <v>77.777777777777786</v>
      </c>
      <c r="F567">
        <v>6.1837425000000001</v>
      </c>
      <c r="G567">
        <f>Tableau1[[#This Row],[Cost (€/GJ)]]/1000*3.6</f>
        <v>2.2261473000000004E-2</v>
      </c>
      <c r="H567">
        <v>12.68872359754714</v>
      </c>
      <c r="I567">
        <f>Tableau1[[#This Row],[GHG (kgCO2eq/GJ)]]/1000*3.6</f>
        <v>4.5679404951169705E-2</v>
      </c>
      <c r="J567" t="s">
        <v>105</v>
      </c>
      <c r="K567" t="s">
        <v>108</v>
      </c>
    </row>
    <row r="568" spans="1:11" hidden="1" x14ac:dyDescent="0.3">
      <c r="A568" t="s">
        <v>33</v>
      </c>
      <c r="B568" t="s">
        <v>53</v>
      </c>
      <c r="C568" t="s">
        <v>77</v>
      </c>
      <c r="D568">
        <v>0.96850000000000003</v>
      </c>
      <c r="E568">
        <f>Tableau1[[#This Row],[Potential (PJ)]]/3.6*1000</f>
        <v>269.02777777777777</v>
      </c>
      <c r="F568">
        <v>4.3504527620030977</v>
      </c>
      <c r="G568">
        <f>Tableau1[[#This Row],[Cost (€/GJ)]]/1000*3.6</f>
        <v>1.5661629943211155E-2</v>
      </c>
      <c r="H568">
        <v>3.86607608129234</v>
      </c>
      <c r="I568">
        <f>Tableau1[[#This Row],[GHG (kgCO2eq/GJ)]]/1000*3.6</f>
        <v>1.3917873892652425E-2</v>
      </c>
      <c r="J568" t="s">
        <v>104</v>
      </c>
      <c r="K568" t="s">
        <v>108</v>
      </c>
    </row>
    <row r="569" spans="1:11" hidden="1" x14ac:dyDescent="0.3">
      <c r="A569" t="s">
        <v>33</v>
      </c>
      <c r="B569" t="s">
        <v>54</v>
      </c>
      <c r="C569" t="s">
        <v>78</v>
      </c>
      <c r="D569">
        <v>5.7</v>
      </c>
      <c r="E569">
        <f>Tableau1[[#This Row],[Potential (PJ)]]/3.6*1000</f>
        <v>1583.3333333333333</v>
      </c>
      <c r="F569">
        <v>9.0371578947368416</v>
      </c>
      <c r="G569">
        <f>Tableau1[[#This Row],[Cost (€/GJ)]]/1000*3.6</f>
        <v>3.2533768421052635E-2</v>
      </c>
      <c r="H569">
        <v>3.86607608129234</v>
      </c>
      <c r="I569">
        <f>Tableau1[[#This Row],[GHG (kgCO2eq/GJ)]]/1000*3.6</f>
        <v>1.3917873892652425E-2</v>
      </c>
      <c r="J569" t="s">
        <v>104</v>
      </c>
      <c r="K569" t="s">
        <v>108</v>
      </c>
    </row>
    <row r="570" spans="1:11" hidden="1" x14ac:dyDescent="0.3">
      <c r="A570" t="s">
        <v>34</v>
      </c>
      <c r="B570" t="s">
        <v>47</v>
      </c>
      <c r="C570" t="s">
        <v>101</v>
      </c>
      <c r="D570">
        <v>4.3</v>
      </c>
      <c r="E570">
        <f>Tableau1[[#This Row],[Potential (PJ)]]/3.6*1000</f>
        <v>1194.4444444444443</v>
      </c>
      <c r="F570">
        <v>7.399</v>
      </c>
      <c r="G570">
        <f>Tableau1[[#This Row],[Cost (€/GJ)]]/1000*3.6</f>
        <v>2.6636400000000001E-2</v>
      </c>
      <c r="H570">
        <v>0</v>
      </c>
      <c r="I570">
        <f>Tableau1[[#This Row],[GHG (kgCO2eq/GJ)]]/1000*3.6</f>
        <v>0</v>
      </c>
      <c r="J570" t="s">
        <v>104</v>
      </c>
      <c r="K570" t="s">
        <v>109</v>
      </c>
    </row>
    <row r="571" spans="1:11" hidden="1" x14ac:dyDescent="0.3">
      <c r="A571" t="s">
        <v>34</v>
      </c>
      <c r="B571" t="s">
        <v>57</v>
      </c>
      <c r="C571" t="s">
        <v>94</v>
      </c>
      <c r="D571">
        <v>4</v>
      </c>
      <c r="E571">
        <f>Tableau1[[#This Row],[Potential (PJ)]]/3.6*1000</f>
        <v>1111.1111111111111</v>
      </c>
      <c r="F571">
        <v>12.893000000000001</v>
      </c>
      <c r="G571">
        <f>Tableau1[[#This Row],[Cost (€/GJ)]]/1000*3.6</f>
        <v>4.6414799999999999E-2</v>
      </c>
      <c r="H571">
        <v>0</v>
      </c>
      <c r="I571">
        <f>Tableau1[[#This Row],[GHG (kgCO2eq/GJ)]]/1000*3.6</f>
        <v>0</v>
      </c>
      <c r="J571" t="s">
        <v>104</v>
      </c>
      <c r="K571" t="s">
        <v>109</v>
      </c>
    </row>
    <row r="572" spans="1:11" hidden="1" x14ac:dyDescent="0.3">
      <c r="A572" t="s">
        <v>34</v>
      </c>
      <c r="B572" t="s">
        <v>49</v>
      </c>
      <c r="C572" t="s">
        <v>71</v>
      </c>
      <c r="D572">
        <v>9.8438599999999994</v>
      </c>
      <c r="E572">
        <f>Tableau1[[#This Row],[Potential (PJ)]]/3.6*1000</f>
        <v>2734.4055555555556</v>
      </c>
      <c r="F572">
        <v>4.4158013452040157</v>
      </c>
      <c r="G572">
        <f>Tableau1[[#This Row],[Cost (€/GJ)]]/1000*3.6</f>
        <v>1.5896884842734459E-2</v>
      </c>
      <c r="H572">
        <v>3.86607608129234</v>
      </c>
      <c r="I572">
        <f>Tableau1[[#This Row],[GHG (kgCO2eq/GJ)]]/1000*3.6</f>
        <v>1.3917873892652425E-2</v>
      </c>
      <c r="J572" t="s">
        <v>104</v>
      </c>
      <c r="K572" t="s">
        <v>108</v>
      </c>
    </row>
    <row r="573" spans="1:11" hidden="1" x14ac:dyDescent="0.3">
      <c r="A573" t="s">
        <v>34</v>
      </c>
      <c r="B573" t="s">
        <v>49</v>
      </c>
      <c r="C573" t="s">
        <v>72</v>
      </c>
      <c r="D573">
        <v>0.9</v>
      </c>
      <c r="E573">
        <f>Tableau1[[#This Row],[Potential (PJ)]]/3.6*1000</f>
        <v>250</v>
      </c>
      <c r="F573">
        <v>3.529555555555556</v>
      </c>
      <c r="G573">
        <f>Tableau1[[#This Row],[Cost (€/GJ)]]/1000*3.6</f>
        <v>1.2706400000000003E-2</v>
      </c>
      <c r="H573">
        <v>3.86607608129234</v>
      </c>
      <c r="I573">
        <f>Tableau1[[#This Row],[GHG (kgCO2eq/GJ)]]/1000*3.6</f>
        <v>1.3917873892652425E-2</v>
      </c>
      <c r="J573" t="s">
        <v>104</v>
      </c>
      <c r="K573" t="s">
        <v>108</v>
      </c>
    </row>
    <row r="574" spans="1:11" hidden="1" x14ac:dyDescent="0.3">
      <c r="A574" t="s">
        <v>34</v>
      </c>
      <c r="B574" t="s">
        <v>51</v>
      </c>
      <c r="C574" t="s">
        <v>75</v>
      </c>
      <c r="D574">
        <v>19.993659999999998</v>
      </c>
      <c r="E574">
        <f>Tableau1[[#This Row],[Potential (PJ)]]/3.6*1000</f>
        <v>5553.7944444444438</v>
      </c>
      <c r="F574">
        <v>2.8543911837744899E-3</v>
      </c>
      <c r="G574">
        <f>Tableau1[[#This Row],[Cost (€/GJ)]]/1000*3.6</f>
        <v>1.0275808261588165E-5</v>
      </c>
      <c r="H574">
        <v>11.74</v>
      </c>
      <c r="I574">
        <f>Tableau1[[#This Row],[GHG (kgCO2eq/GJ)]]/1000*3.6</f>
        <v>4.2264000000000003E-2</v>
      </c>
      <c r="J574" t="s">
        <v>104</v>
      </c>
      <c r="K574" t="s">
        <v>108</v>
      </c>
    </row>
    <row r="575" spans="1:11" hidden="1" x14ac:dyDescent="0.3">
      <c r="A575" t="s">
        <v>34</v>
      </c>
      <c r="B575" t="s">
        <v>52</v>
      </c>
      <c r="C575" t="s">
        <v>76</v>
      </c>
      <c r="D575">
        <v>0.59</v>
      </c>
      <c r="E575">
        <f>Tableau1[[#This Row],[Potential (PJ)]]/3.6*1000</f>
        <v>163.88888888888889</v>
      </c>
      <c r="F575">
        <v>6.1837425000000001</v>
      </c>
      <c r="G575">
        <f>Tableau1[[#This Row],[Cost (€/GJ)]]/1000*3.6</f>
        <v>2.2261473000000004E-2</v>
      </c>
      <c r="H575">
        <v>12.68872359754714</v>
      </c>
      <c r="I575">
        <f>Tableau1[[#This Row],[GHG (kgCO2eq/GJ)]]/1000*3.6</f>
        <v>4.5679404951169705E-2</v>
      </c>
      <c r="J575" t="s">
        <v>105</v>
      </c>
      <c r="K575" t="s">
        <v>108</v>
      </c>
    </row>
    <row r="576" spans="1:11" hidden="1" x14ac:dyDescent="0.3">
      <c r="A576" t="s">
        <v>34</v>
      </c>
      <c r="B576" t="s">
        <v>53</v>
      </c>
      <c r="C576" t="s">
        <v>77</v>
      </c>
      <c r="D576">
        <v>4.9630999999999998</v>
      </c>
      <c r="E576">
        <f>Tableau1[[#This Row],[Potential (PJ)]]/3.6*1000</f>
        <v>1378.6388888888887</v>
      </c>
      <c r="F576">
        <v>3.5300214704519361</v>
      </c>
      <c r="G576">
        <f>Tableau1[[#This Row],[Cost (€/GJ)]]/1000*3.6</f>
        <v>1.270807729362697E-2</v>
      </c>
      <c r="H576">
        <v>3.86607608129234</v>
      </c>
      <c r="I576">
        <f>Tableau1[[#This Row],[GHG (kgCO2eq/GJ)]]/1000*3.6</f>
        <v>1.3917873892652425E-2</v>
      </c>
      <c r="J576" t="s">
        <v>104</v>
      </c>
      <c r="K576" t="s">
        <v>108</v>
      </c>
    </row>
    <row r="577" spans="1:11" hidden="1" x14ac:dyDescent="0.3">
      <c r="A577" t="s">
        <v>34</v>
      </c>
      <c r="B577" t="s">
        <v>54</v>
      </c>
      <c r="C577" t="s">
        <v>78</v>
      </c>
      <c r="D577">
        <v>57.099999999999987</v>
      </c>
      <c r="E577">
        <f>Tableau1[[#This Row],[Potential (PJ)]]/3.6*1000</f>
        <v>15861.111111111108</v>
      </c>
      <c r="F577">
        <v>7.2465306479859892</v>
      </c>
      <c r="G577">
        <f>Tableau1[[#This Row],[Cost (€/GJ)]]/1000*3.6</f>
        <v>2.6087510332749562E-2</v>
      </c>
      <c r="H577">
        <v>3.86607608129234</v>
      </c>
      <c r="I577">
        <f>Tableau1[[#This Row],[GHG (kgCO2eq/GJ)]]/1000*3.6</f>
        <v>1.3917873892652425E-2</v>
      </c>
      <c r="J577" t="s">
        <v>104</v>
      </c>
      <c r="K577" t="s">
        <v>108</v>
      </c>
    </row>
    <row r="578" spans="1:11" hidden="1" x14ac:dyDescent="0.3">
      <c r="A578" t="s">
        <v>35</v>
      </c>
      <c r="B578" t="s">
        <v>46</v>
      </c>
      <c r="C578" t="s">
        <v>64</v>
      </c>
      <c r="D578">
        <v>0.39818999999999999</v>
      </c>
      <c r="E578">
        <f>Tableau1[[#This Row],[Potential (PJ)]]/3.6*1000</f>
        <v>110.60833333333332</v>
      </c>
      <c r="F578">
        <v>5.2307054170119791</v>
      </c>
      <c r="G578">
        <f>Tableau1[[#This Row],[Cost (€/GJ)]]/1000*3.6</f>
        <v>1.8830539501243127E-2</v>
      </c>
      <c r="H578">
        <v>2.9521711768407801</v>
      </c>
      <c r="I578">
        <f>Tableau1[[#This Row],[GHG (kgCO2eq/GJ)]]/1000*3.6</f>
        <v>1.0627816236626808E-2</v>
      </c>
      <c r="J578" t="s">
        <v>104</v>
      </c>
      <c r="K578" t="s">
        <v>108</v>
      </c>
    </row>
    <row r="579" spans="1:11" hidden="1" x14ac:dyDescent="0.3">
      <c r="A579" t="s">
        <v>35</v>
      </c>
      <c r="B579" t="s">
        <v>46</v>
      </c>
      <c r="C579" t="s">
        <v>79</v>
      </c>
      <c r="D579">
        <v>33</v>
      </c>
      <c r="E579">
        <f>Tableau1[[#This Row],[Potential (PJ)]]/3.6*1000</f>
        <v>9166.6666666666661</v>
      </c>
      <c r="F579">
        <v>2.5207393939393938</v>
      </c>
      <c r="G579">
        <f>Tableau1[[#This Row],[Cost (€/GJ)]]/1000*3.6</f>
        <v>9.0746618181818187E-3</v>
      </c>
      <c r="H579">
        <v>6.8428961748633883</v>
      </c>
      <c r="I579">
        <f>Tableau1[[#This Row],[GHG (kgCO2eq/GJ)]]/1000*3.6</f>
        <v>2.4634426229508198E-2</v>
      </c>
      <c r="J579" t="s">
        <v>104</v>
      </c>
      <c r="K579" t="s">
        <v>108</v>
      </c>
    </row>
    <row r="580" spans="1:11" hidden="1" x14ac:dyDescent="0.3">
      <c r="A580" t="s">
        <v>35</v>
      </c>
      <c r="B580" t="s">
        <v>46</v>
      </c>
      <c r="C580" t="s">
        <v>65</v>
      </c>
      <c r="D580">
        <v>0.5</v>
      </c>
      <c r="E580">
        <f>Tableau1[[#This Row],[Potential (PJ)]]/3.6*1000</f>
        <v>138.88888888888889</v>
      </c>
      <c r="F580">
        <v>3.8879999999999999</v>
      </c>
      <c r="G580">
        <f>Tableau1[[#This Row],[Cost (€/GJ)]]/1000*3.6</f>
        <v>1.39968E-2</v>
      </c>
      <c r="H580">
        <v>2.9521711768407801</v>
      </c>
      <c r="I580">
        <f>Tableau1[[#This Row],[GHG (kgCO2eq/GJ)]]/1000*3.6</f>
        <v>1.0627816236626808E-2</v>
      </c>
      <c r="J580" t="s">
        <v>104</v>
      </c>
      <c r="K580" t="s">
        <v>108</v>
      </c>
    </row>
    <row r="581" spans="1:11" hidden="1" x14ac:dyDescent="0.3">
      <c r="A581" t="s">
        <v>35</v>
      </c>
      <c r="B581" t="s">
        <v>46</v>
      </c>
      <c r="C581" t="s">
        <v>80</v>
      </c>
      <c r="D581">
        <v>0.88819999999999999</v>
      </c>
      <c r="E581">
        <f>Tableau1[[#This Row],[Potential (PJ)]]/3.6*1000</f>
        <v>246.7222222222222</v>
      </c>
      <c r="F581">
        <v>0.46459878624409978</v>
      </c>
      <c r="G581">
        <f>Tableau1[[#This Row],[Cost (€/GJ)]]/1000*3.6</f>
        <v>1.6725556304787591E-3</v>
      </c>
      <c r="H581">
        <v>28.139870918023309</v>
      </c>
      <c r="I581">
        <f>Tableau1[[#This Row],[GHG (kgCO2eq/GJ)]]/1000*3.6</f>
        <v>0.10130353530488391</v>
      </c>
      <c r="J581" t="s">
        <v>105</v>
      </c>
      <c r="K581" t="s">
        <v>108</v>
      </c>
    </row>
    <row r="582" spans="1:11" hidden="1" x14ac:dyDescent="0.3">
      <c r="A582" t="s">
        <v>35</v>
      </c>
      <c r="B582" t="s">
        <v>46</v>
      </c>
      <c r="C582" t="s">
        <v>81</v>
      </c>
      <c r="D582">
        <v>3.4298999999999999</v>
      </c>
      <c r="E582">
        <f>Tableau1[[#This Row],[Potential (PJ)]]/3.6*1000</f>
        <v>952.75</v>
      </c>
      <c r="F582">
        <v>0.69388954171562867</v>
      </c>
      <c r="G582">
        <f>Tableau1[[#This Row],[Cost (€/GJ)]]/1000*3.6</f>
        <v>2.4980023501762635E-3</v>
      </c>
      <c r="H582">
        <v>8.9647473560517046</v>
      </c>
      <c r="I582">
        <f>Tableau1[[#This Row],[GHG (kgCO2eq/GJ)]]/1000*3.6</f>
        <v>3.2273090481786136E-2</v>
      </c>
      <c r="J582" t="s">
        <v>105</v>
      </c>
      <c r="K582" t="s">
        <v>108</v>
      </c>
    </row>
    <row r="583" spans="1:11" hidden="1" x14ac:dyDescent="0.3">
      <c r="A583" t="s">
        <v>35</v>
      </c>
      <c r="B583" t="s">
        <v>46</v>
      </c>
      <c r="C583" t="s">
        <v>82</v>
      </c>
      <c r="D583">
        <v>1.2</v>
      </c>
      <c r="E583">
        <f>Tableau1[[#This Row],[Potential (PJ)]]/3.6*1000</f>
        <v>333.33333333333331</v>
      </c>
      <c r="F583">
        <v>1.613833333333333</v>
      </c>
      <c r="G583">
        <f>Tableau1[[#This Row],[Cost (€/GJ)]]/1000*3.6</f>
        <v>5.8097999999999986E-3</v>
      </c>
      <c r="H583">
        <v>6.8428961748633883</v>
      </c>
      <c r="I583">
        <f>Tableau1[[#This Row],[GHG (kgCO2eq/GJ)]]/1000*3.6</f>
        <v>2.4634426229508198E-2</v>
      </c>
      <c r="J583" t="s">
        <v>104</v>
      </c>
      <c r="K583" t="s">
        <v>108</v>
      </c>
    </row>
    <row r="584" spans="1:11" hidden="1" x14ac:dyDescent="0.3">
      <c r="A584" t="s">
        <v>35</v>
      </c>
      <c r="B584" t="s">
        <v>46</v>
      </c>
      <c r="C584" t="s">
        <v>84</v>
      </c>
      <c r="D584">
        <v>1.1000000000000001</v>
      </c>
      <c r="E584">
        <f>Tableau1[[#This Row],[Potential (PJ)]]/3.6*1000</f>
        <v>305.5555555555556</v>
      </c>
      <c r="F584">
        <v>1.558272727272727</v>
      </c>
      <c r="G584">
        <f>Tableau1[[#This Row],[Cost (€/GJ)]]/1000*3.6</f>
        <v>5.6097818181818169E-3</v>
      </c>
      <c r="H584">
        <v>28.139870918023309</v>
      </c>
      <c r="I584">
        <f>Tableau1[[#This Row],[GHG (kgCO2eq/GJ)]]/1000*3.6</f>
        <v>0.10130353530488391</v>
      </c>
      <c r="J584" t="s">
        <v>105</v>
      </c>
      <c r="K584" t="s">
        <v>108</v>
      </c>
    </row>
    <row r="585" spans="1:11" hidden="1" x14ac:dyDescent="0.3">
      <c r="A585" t="s">
        <v>35</v>
      </c>
      <c r="B585" t="s">
        <v>55</v>
      </c>
      <c r="C585" t="s">
        <v>86</v>
      </c>
      <c r="D585">
        <v>5.6150000000000002</v>
      </c>
      <c r="E585">
        <f>Tableau1[[#This Row],[Potential (PJ)]]/3.6*1000</f>
        <v>1559.7222222222222</v>
      </c>
      <c r="F585">
        <v>14.813999999999989</v>
      </c>
      <c r="G585">
        <f>Tableau1[[#This Row],[Cost (€/GJ)]]/1000*3.6</f>
        <v>5.3330399999999958E-2</v>
      </c>
      <c r="H585">
        <v>12.3</v>
      </c>
      <c r="I585">
        <f>Tableau1[[#This Row],[GHG (kgCO2eq/GJ)]]/1000*3.6</f>
        <v>4.428E-2</v>
      </c>
      <c r="J585" t="s">
        <v>106</v>
      </c>
      <c r="K585" t="s">
        <v>109</v>
      </c>
    </row>
    <row r="586" spans="1:11" hidden="1" x14ac:dyDescent="0.3">
      <c r="A586" t="s">
        <v>35</v>
      </c>
      <c r="B586" t="s">
        <v>55</v>
      </c>
      <c r="C586" t="s">
        <v>88</v>
      </c>
      <c r="D586">
        <v>0.1028</v>
      </c>
      <c r="E586">
        <f>Tableau1[[#This Row],[Potential (PJ)]]/3.6*1000</f>
        <v>28.555555555555557</v>
      </c>
      <c r="F586">
        <v>15.557</v>
      </c>
      <c r="G586">
        <f>Tableau1[[#This Row],[Cost (€/GJ)]]/1000*3.6</f>
        <v>5.6005199999999998E-2</v>
      </c>
      <c r="H586">
        <v>12.3</v>
      </c>
      <c r="I586">
        <f>Tableau1[[#This Row],[GHG (kgCO2eq/GJ)]]/1000*3.6</f>
        <v>4.428E-2</v>
      </c>
      <c r="J586" t="s">
        <v>106</v>
      </c>
      <c r="K586" t="s">
        <v>109</v>
      </c>
    </row>
    <row r="587" spans="1:11" hidden="1" x14ac:dyDescent="0.3">
      <c r="A587" t="s">
        <v>35</v>
      </c>
      <c r="B587" t="s">
        <v>55</v>
      </c>
      <c r="C587" t="s">
        <v>90</v>
      </c>
      <c r="D587">
        <v>0.3327</v>
      </c>
      <c r="E587">
        <f>Tableau1[[#This Row],[Potential (PJ)]]/3.6*1000</f>
        <v>92.416666666666657</v>
      </c>
      <c r="F587">
        <v>15.294</v>
      </c>
      <c r="G587">
        <f>Tableau1[[#This Row],[Cost (€/GJ)]]/1000*3.6</f>
        <v>5.50584E-2</v>
      </c>
      <c r="H587">
        <v>12.3</v>
      </c>
      <c r="I587">
        <f>Tableau1[[#This Row],[GHG (kgCO2eq/GJ)]]/1000*3.6</f>
        <v>4.428E-2</v>
      </c>
      <c r="J587" t="s">
        <v>106</v>
      </c>
      <c r="K587" t="s">
        <v>109</v>
      </c>
    </row>
    <row r="588" spans="1:11" hidden="1" x14ac:dyDescent="0.3">
      <c r="A588" t="s">
        <v>35</v>
      </c>
      <c r="B588" t="s">
        <v>55</v>
      </c>
      <c r="C588" t="s">
        <v>91</v>
      </c>
      <c r="D588">
        <v>8.6145999999999994</v>
      </c>
      <c r="E588">
        <f>Tableau1[[#This Row],[Potential (PJ)]]/3.6*1000</f>
        <v>2392.9444444444443</v>
      </c>
      <c r="F588">
        <v>12.90199999999999</v>
      </c>
      <c r="G588">
        <f>Tableau1[[#This Row],[Cost (€/GJ)]]/1000*3.6</f>
        <v>4.6447199999999966E-2</v>
      </c>
      <c r="H588">
        <v>12.3</v>
      </c>
      <c r="I588">
        <f>Tableau1[[#This Row],[GHG (kgCO2eq/GJ)]]/1000*3.6</f>
        <v>4.428E-2</v>
      </c>
      <c r="J588" t="s">
        <v>106</v>
      </c>
      <c r="K588" t="s">
        <v>109</v>
      </c>
    </row>
    <row r="589" spans="1:11" hidden="1" x14ac:dyDescent="0.3">
      <c r="A589" t="s">
        <v>35</v>
      </c>
      <c r="B589" t="s">
        <v>55</v>
      </c>
      <c r="C589" t="s">
        <v>92</v>
      </c>
      <c r="D589">
        <v>3.80125</v>
      </c>
      <c r="E589">
        <f>Tableau1[[#This Row],[Potential (PJ)]]/3.6*1000</f>
        <v>1055.9027777777778</v>
      </c>
      <c r="F589">
        <v>15.932</v>
      </c>
      <c r="G589">
        <f>Tableau1[[#This Row],[Cost (€/GJ)]]/1000*3.6</f>
        <v>5.7355200000000009E-2</v>
      </c>
      <c r="H589">
        <v>12.3</v>
      </c>
      <c r="I589">
        <f>Tableau1[[#This Row],[GHG (kgCO2eq/GJ)]]/1000*3.6</f>
        <v>4.428E-2</v>
      </c>
      <c r="J589" t="s">
        <v>106</v>
      </c>
      <c r="K589" t="s">
        <v>109</v>
      </c>
    </row>
    <row r="590" spans="1:11" hidden="1" x14ac:dyDescent="0.3">
      <c r="A590" t="s">
        <v>35</v>
      </c>
      <c r="B590" t="s">
        <v>56</v>
      </c>
      <c r="C590" t="s">
        <v>93</v>
      </c>
      <c r="D590">
        <v>133.03559999999999</v>
      </c>
      <c r="E590">
        <f>Tableau1[[#This Row],[Potential (PJ)]]/3.6*1000</f>
        <v>36954.333333333328</v>
      </c>
      <c r="F590">
        <v>2.9493975903614462</v>
      </c>
      <c r="G590">
        <f>Tableau1[[#This Row],[Cost (€/GJ)]]/1000*3.6</f>
        <v>1.0617831325301207E-2</v>
      </c>
      <c r="H590">
        <v>29.5</v>
      </c>
      <c r="I590">
        <f>Tableau1[[#This Row],[GHG (kgCO2eq/GJ)]]/1000*3.6</f>
        <v>0.1062</v>
      </c>
      <c r="J590" t="s">
        <v>106</v>
      </c>
      <c r="K590" t="s">
        <v>109</v>
      </c>
    </row>
    <row r="591" spans="1:11" hidden="1" x14ac:dyDescent="0.3">
      <c r="A591" t="s">
        <v>35</v>
      </c>
      <c r="B591" t="s">
        <v>47</v>
      </c>
      <c r="C591" t="s">
        <v>101</v>
      </c>
      <c r="D591">
        <v>95</v>
      </c>
      <c r="E591">
        <f>Tableau1[[#This Row],[Potential (PJ)]]/3.6*1000</f>
        <v>26388.888888888891</v>
      </c>
      <c r="F591">
        <v>3.3947389473684209</v>
      </c>
      <c r="G591">
        <f>Tableau1[[#This Row],[Cost (€/GJ)]]/1000*3.6</f>
        <v>1.2221060210526314E-2</v>
      </c>
      <c r="H591">
        <v>44</v>
      </c>
      <c r="I591">
        <f>Tableau1[[#This Row],[GHG (kgCO2eq/GJ)]]/1000*3.6</f>
        <v>0.15839999999999999</v>
      </c>
      <c r="J591" t="s">
        <v>104</v>
      </c>
      <c r="K591" t="s">
        <v>109</v>
      </c>
    </row>
    <row r="592" spans="1:11" hidden="1" x14ac:dyDescent="0.3">
      <c r="A592" t="s">
        <v>35</v>
      </c>
      <c r="B592" t="s">
        <v>57</v>
      </c>
      <c r="C592" t="s">
        <v>94</v>
      </c>
      <c r="D592">
        <v>67</v>
      </c>
      <c r="E592">
        <f>Tableau1[[#This Row],[Potential (PJ)]]/3.6*1000</f>
        <v>18611.111111111109</v>
      </c>
      <c r="F592">
        <v>7.99805223880597</v>
      </c>
      <c r="G592">
        <f>Tableau1[[#This Row],[Cost (€/GJ)]]/1000*3.6</f>
        <v>2.8792988059701492E-2</v>
      </c>
      <c r="H592">
        <v>19.899999999999999</v>
      </c>
      <c r="I592">
        <f>Tableau1[[#This Row],[GHG (kgCO2eq/GJ)]]/1000*3.6</f>
        <v>7.1639999999999995E-2</v>
      </c>
      <c r="J592" t="s">
        <v>104</v>
      </c>
      <c r="K592" t="s">
        <v>109</v>
      </c>
    </row>
    <row r="593" spans="1:11" hidden="1" x14ac:dyDescent="0.3">
      <c r="A593" t="s">
        <v>35</v>
      </c>
      <c r="B593" t="s">
        <v>49</v>
      </c>
      <c r="C593" t="s">
        <v>71</v>
      </c>
      <c r="D593">
        <v>42.752319999999997</v>
      </c>
      <c r="E593">
        <f>Tableau1[[#This Row],[Potential (PJ)]]/3.6*1000</f>
        <v>11875.644444444444</v>
      </c>
      <c r="F593">
        <v>2.642585927500543</v>
      </c>
      <c r="G593">
        <f>Tableau1[[#This Row],[Cost (€/GJ)]]/1000*3.6</f>
        <v>9.513309339001956E-3</v>
      </c>
      <c r="H593">
        <v>3.86607608129234</v>
      </c>
      <c r="I593">
        <f>Tableau1[[#This Row],[GHG (kgCO2eq/GJ)]]/1000*3.6</f>
        <v>1.3917873892652425E-2</v>
      </c>
      <c r="J593" t="s">
        <v>104</v>
      </c>
      <c r="K593" t="s">
        <v>108</v>
      </c>
    </row>
    <row r="594" spans="1:11" hidden="1" x14ac:dyDescent="0.3">
      <c r="A594" t="s">
        <v>35</v>
      </c>
      <c r="B594" t="s">
        <v>49</v>
      </c>
      <c r="C594" t="s">
        <v>72</v>
      </c>
      <c r="D594">
        <v>2.2000000000000002</v>
      </c>
      <c r="E594">
        <f>Tableau1[[#This Row],[Potential (PJ)]]/3.6*1000</f>
        <v>611.1111111111112</v>
      </c>
      <c r="F594">
        <v>3.5821818181818181</v>
      </c>
      <c r="G594">
        <f>Tableau1[[#This Row],[Cost (€/GJ)]]/1000*3.6</f>
        <v>1.2895854545454546E-2</v>
      </c>
      <c r="H594">
        <v>3.86607608129234</v>
      </c>
      <c r="I594">
        <f>Tableau1[[#This Row],[GHG (kgCO2eq/GJ)]]/1000*3.6</f>
        <v>1.3917873892652425E-2</v>
      </c>
      <c r="J594" t="s">
        <v>104</v>
      </c>
      <c r="K594" t="s">
        <v>108</v>
      </c>
    </row>
    <row r="595" spans="1:11" hidden="1" x14ac:dyDescent="0.3">
      <c r="A595" t="s">
        <v>35</v>
      </c>
      <c r="B595" t="s">
        <v>58</v>
      </c>
      <c r="C595" t="s">
        <v>95</v>
      </c>
      <c r="D595">
        <v>4.9783099999999996</v>
      </c>
      <c r="E595">
        <f>Tableau1[[#This Row],[Potential (PJ)]]/3.6*1000</f>
        <v>1382.8638888888886</v>
      </c>
      <c r="F595">
        <v>1.4567728767392949</v>
      </c>
      <c r="G595">
        <f>Tableau1[[#This Row],[Cost (€/GJ)]]/1000*3.6</f>
        <v>5.2443823562614619E-3</v>
      </c>
      <c r="H595">
        <v>2.9521711768407801</v>
      </c>
      <c r="I595">
        <f>Tableau1[[#This Row],[GHG (kgCO2eq/GJ)]]/1000*3.6</f>
        <v>1.0627816236626808E-2</v>
      </c>
      <c r="J595" t="s">
        <v>104</v>
      </c>
      <c r="K595" t="s">
        <v>108</v>
      </c>
    </row>
    <row r="596" spans="1:11" hidden="1" x14ac:dyDescent="0.3">
      <c r="A596" t="s">
        <v>35</v>
      </c>
      <c r="B596" t="s">
        <v>50</v>
      </c>
      <c r="C596" t="s">
        <v>73</v>
      </c>
      <c r="D596">
        <v>2.2999999999999998</v>
      </c>
      <c r="E596">
        <f>Tableau1[[#This Row],[Potential (PJ)]]/3.6*1000</f>
        <v>638.8888888888888</v>
      </c>
      <c r="F596">
        <v>5.1072173913043484</v>
      </c>
      <c r="G596">
        <f>Tableau1[[#This Row],[Cost (€/GJ)]]/1000*3.6</f>
        <v>1.8385982608695655E-2</v>
      </c>
      <c r="H596">
        <v>20.723404255319149</v>
      </c>
      <c r="I596">
        <f>Tableau1[[#This Row],[GHG (kgCO2eq/GJ)]]/1000*3.6</f>
        <v>7.4604255319148938E-2</v>
      </c>
      <c r="J596" t="s">
        <v>105</v>
      </c>
      <c r="K596" t="s">
        <v>108</v>
      </c>
    </row>
    <row r="597" spans="1:11" hidden="1" x14ac:dyDescent="0.3">
      <c r="A597" t="s">
        <v>35</v>
      </c>
      <c r="B597" t="s">
        <v>50</v>
      </c>
      <c r="C597" t="s">
        <v>74</v>
      </c>
      <c r="D597">
        <v>70.100000000000009</v>
      </c>
      <c r="E597">
        <f>Tableau1[[#This Row],[Potential (PJ)]]/3.6*1000</f>
        <v>19472.222222222226</v>
      </c>
      <c r="F597">
        <v>3.780707560627675</v>
      </c>
      <c r="G597">
        <f>Tableau1[[#This Row],[Cost (€/GJ)]]/1000*3.6</f>
        <v>1.361054721825963E-2</v>
      </c>
      <c r="H597">
        <v>2.0635593220338988</v>
      </c>
      <c r="I597">
        <f>Tableau1[[#This Row],[GHG (kgCO2eq/GJ)]]/1000*3.6</f>
        <v>7.4288135593220351E-3</v>
      </c>
      <c r="J597" t="s">
        <v>105</v>
      </c>
      <c r="K597" t="s">
        <v>108</v>
      </c>
    </row>
    <row r="598" spans="1:11" hidden="1" x14ac:dyDescent="0.3">
      <c r="A598" t="s">
        <v>35</v>
      </c>
      <c r="B598" t="s">
        <v>59</v>
      </c>
      <c r="C598" t="s">
        <v>96</v>
      </c>
      <c r="D598">
        <v>9.2499999999999999E-2</v>
      </c>
      <c r="E598">
        <f>Tableau1[[#This Row],[Potential (PJ)]]/3.6*1000</f>
        <v>25.694444444444443</v>
      </c>
      <c r="F598">
        <v>29.969000000000001</v>
      </c>
      <c r="G598">
        <f>Tableau1[[#This Row],[Cost (€/GJ)]]/1000*3.6</f>
        <v>0.10788840000000001</v>
      </c>
      <c r="H598">
        <v>16</v>
      </c>
      <c r="I598">
        <f>Tableau1[[#This Row],[GHG (kgCO2eq/GJ)]]/1000*3.6</f>
        <v>5.7600000000000005E-2</v>
      </c>
      <c r="J598" t="s">
        <v>107</v>
      </c>
      <c r="K598" t="s">
        <v>109</v>
      </c>
    </row>
    <row r="599" spans="1:11" hidden="1" x14ac:dyDescent="0.3">
      <c r="A599" t="s">
        <v>35</v>
      </c>
      <c r="B599" t="s">
        <v>59</v>
      </c>
      <c r="C599" t="s">
        <v>97</v>
      </c>
      <c r="D599">
        <v>0.105</v>
      </c>
      <c r="E599">
        <f>Tableau1[[#This Row],[Potential (PJ)]]/3.6*1000</f>
        <v>29.166666666666664</v>
      </c>
      <c r="F599">
        <v>19.099294628323381</v>
      </c>
      <c r="G599">
        <f>Tableau1[[#This Row],[Cost (€/GJ)]]/1000*3.6</f>
        <v>6.8757460661964184E-2</v>
      </c>
      <c r="H599">
        <v>16</v>
      </c>
      <c r="I599">
        <f>Tableau1[[#This Row],[GHG (kgCO2eq/GJ)]]/1000*3.6</f>
        <v>5.7600000000000005E-2</v>
      </c>
      <c r="J599" t="s">
        <v>107</v>
      </c>
      <c r="K599" t="s">
        <v>109</v>
      </c>
    </row>
    <row r="600" spans="1:11" hidden="1" x14ac:dyDescent="0.3">
      <c r="A600" t="s">
        <v>35</v>
      </c>
      <c r="B600" t="s">
        <v>51</v>
      </c>
      <c r="C600" t="s">
        <v>75</v>
      </c>
      <c r="D600">
        <v>20.338450000000002</v>
      </c>
      <c r="E600">
        <f>Tableau1[[#This Row],[Potential (PJ)]]/3.6*1000</f>
        <v>5649.5694444444443</v>
      </c>
      <c r="F600">
        <v>2.3012324613981001E-3</v>
      </c>
      <c r="G600">
        <f>Tableau1[[#This Row],[Cost (€/GJ)]]/1000*3.6</f>
        <v>8.2844368610331601E-6</v>
      </c>
      <c r="H600">
        <v>11.74</v>
      </c>
      <c r="I600">
        <f>Tableau1[[#This Row],[GHG (kgCO2eq/GJ)]]/1000*3.6</f>
        <v>4.2264000000000003E-2</v>
      </c>
      <c r="J600" t="s">
        <v>104</v>
      </c>
      <c r="K600" t="s">
        <v>108</v>
      </c>
    </row>
    <row r="601" spans="1:11" hidden="1" x14ac:dyDescent="0.3">
      <c r="A601" t="s">
        <v>35</v>
      </c>
      <c r="B601" t="s">
        <v>60</v>
      </c>
      <c r="C601" t="s">
        <v>98</v>
      </c>
      <c r="D601">
        <v>7.8336299999999994</v>
      </c>
      <c r="E601">
        <f>Tableau1[[#This Row],[Potential (PJ)]]/3.6*1000</f>
        <v>2176.0083333333332</v>
      </c>
      <c r="F601">
        <v>16.165413533834581</v>
      </c>
      <c r="G601">
        <f>Tableau1[[#This Row],[Cost (€/GJ)]]/1000*3.6</f>
        <v>5.8195488721804495E-2</v>
      </c>
      <c r="H601">
        <v>46</v>
      </c>
      <c r="I601">
        <f>Tableau1[[#This Row],[GHG (kgCO2eq/GJ)]]/1000*3.6</f>
        <v>0.1656</v>
      </c>
      <c r="J601" t="s">
        <v>107</v>
      </c>
      <c r="K601" t="s">
        <v>109</v>
      </c>
    </row>
    <row r="602" spans="1:11" hidden="1" x14ac:dyDescent="0.3">
      <c r="A602" t="s">
        <v>35</v>
      </c>
      <c r="B602" t="s">
        <v>52</v>
      </c>
      <c r="C602" t="s">
        <v>76</v>
      </c>
      <c r="D602">
        <v>0.70299999999999996</v>
      </c>
      <c r="E602">
        <f>Tableau1[[#This Row],[Potential (PJ)]]/3.6*1000</f>
        <v>195.27777777777777</v>
      </c>
      <c r="F602">
        <v>6.1837425000000001</v>
      </c>
      <c r="G602">
        <f>Tableau1[[#This Row],[Cost (€/GJ)]]/1000*3.6</f>
        <v>2.2261473000000004E-2</v>
      </c>
      <c r="H602">
        <v>12.68872359754714</v>
      </c>
      <c r="I602">
        <f>Tableau1[[#This Row],[GHG (kgCO2eq/GJ)]]/1000*3.6</f>
        <v>4.5679404951169705E-2</v>
      </c>
      <c r="J602" t="s">
        <v>105</v>
      </c>
      <c r="K602" t="s">
        <v>108</v>
      </c>
    </row>
    <row r="603" spans="1:11" hidden="1" x14ac:dyDescent="0.3">
      <c r="A603" t="s">
        <v>35</v>
      </c>
      <c r="B603" t="s">
        <v>53</v>
      </c>
      <c r="C603" t="s">
        <v>77</v>
      </c>
      <c r="D603">
        <v>8.2977699999999999</v>
      </c>
      <c r="E603">
        <f>Tableau1[[#This Row],[Potential (PJ)]]/3.6*1000</f>
        <v>2304.9361111111111</v>
      </c>
      <c r="F603">
        <v>3.5822217656069042</v>
      </c>
      <c r="G603">
        <f>Tableau1[[#This Row],[Cost (€/GJ)]]/1000*3.6</f>
        <v>1.2895998356184856E-2</v>
      </c>
      <c r="H603">
        <v>3.86607608129234</v>
      </c>
      <c r="I603">
        <f>Tableau1[[#This Row],[GHG (kgCO2eq/GJ)]]/1000*3.6</f>
        <v>1.3917873892652425E-2</v>
      </c>
      <c r="J603" t="s">
        <v>104</v>
      </c>
      <c r="K603" t="s">
        <v>108</v>
      </c>
    </row>
    <row r="604" spans="1:11" hidden="1" x14ac:dyDescent="0.3">
      <c r="A604" t="s">
        <v>35</v>
      </c>
      <c r="B604" t="s">
        <v>61</v>
      </c>
      <c r="C604" t="s">
        <v>99</v>
      </c>
      <c r="D604">
        <v>4</v>
      </c>
      <c r="E604">
        <f>Tableau1[[#This Row],[Potential (PJ)]]/3.6*1000</f>
        <v>1111.1111111111111</v>
      </c>
      <c r="F604">
        <v>1.3432500000000001</v>
      </c>
      <c r="G604">
        <f>Tableau1[[#This Row],[Cost (€/GJ)]]/1000*3.6</f>
        <v>4.8357000000000001E-3</v>
      </c>
      <c r="H604">
        <v>2.9245635910224439</v>
      </c>
      <c r="I604">
        <f>Tableau1[[#This Row],[GHG (kgCO2eq/GJ)]]/1000*3.6</f>
        <v>1.0528428927680798E-2</v>
      </c>
      <c r="J604" t="s">
        <v>104</v>
      </c>
      <c r="K604" t="s">
        <v>108</v>
      </c>
    </row>
    <row r="605" spans="1:11" hidden="1" x14ac:dyDescent="0.3">
      <c r="A605" t="s">
        <v>35</v>
      </c>
      <c r="B605" t="s">
        <v>62</v>
      </c>
      <c r="C605" t="s">
        <v>100</v>
      </c>
      <c r="D605">
        <v>0.4</v>
      </c>
      <c r="E605">
        <f>Tableau1[[#This Row],[Potential (PJ)]]/3.6*1000</f>
        <v>111.11111111111111</v>
      </c>
      <c r="F605">
        <v>0.1</v>
      </c>
      <c r="G605">
        <f>Tableau1[[#This Row],[Cost (€/GJ)]]/1000*3.6</f>
        <v>3.6000000000000002E-4</v>
      </c>
      <c r="H605">
        <v>2.6764106050305911</v>
      </c>
      <c r="I605">
        <f>Tableau1[[#This Row],[GHG (kgCO2eq/GJ)]]/1000*3.6</f>
        <v>9.6350781781101291E-3</v>
      </c>
      <c r="J605" t="s">
        <v>104</v>
      </c>
      <c r="K605" t="s">
        <v>108</v>
      </c>
    </row>
    <row r="606" spans="1:11" hidden="1" x14ac:dyDescent="0.3">
      <c r="A606" t="s">
        <v>35</v>
      </c>
      <c r="B606" t="s">
        <v>54</v>
      </c>
      <c r="C606" t="s">
        <v>78</v>
      </c>
      <c r="D606">
        <v>169.8</v>
      </c>
      <c r="E606">
        <f>Tableau1[[#This Row],[Potential (PJ)]]/3.6*1000</f>
        <v>47166.666666666672</v>
      </c>
      <c r="F606">
        <v>3.5327302709069488</v>
      </c>
      <c r="G606">
        <f>Tableau1[[#This Row],[Cost (€/GJ)]]/1000*3.6</f>
        <v>1.2717828975265015E-2</v>
      </c>
      <c r="H606">
        <v>3.86607608129234</v>
      </c>
      <c r="I606">
        <f>Tableau1[[#This Row],[GHG (kgCO2eq/GJ)]]/1000*3.6</f>
        <v>1.3917873892652425E-2</v>
      </c>
      <c r="J606" t="s">
        <v>104</v>
      </c>
      <c r="K606" t="s">
        <v>108</v>
      </c>
    </row>
    <row r="607" spans="1:11" hidden="1" x14ac:dyDescent="0.3">
      <c r="A607" t="s">
        <v>36</v>
      </c>
      <c r="B607" t="s">
        <v>46</v>
      </c>
      <c r="C607" t="s">
        <v>63</v>
      </c>
      <c r="D607">
        <v>0.18479999999999999</v>
      </c>
      <c r="E607">
        <f>Tableau1[[#This Row],[Potential (PJ)]]/3.6*1000</f>
        <v>51.333333333333329</v>
      </c>
      <c r="F607">
        <v>2.9286474973375931</v>
      </c>
      <c r="G607">
        <f>Tableau1[[#This Row],[Cost (€/GJ)]]/1000*3.6</f>
        <v>1.0543130990415334E-2</v>
      </c>
      <c r="H607">
        <v>3.950479233226837</v>
      </c>
      <c r="I607">
        <f>Tableau1[[#This Row],[GHG (kgCO2eq/GJ)]]/1000*3.6</f>
        <v>1.4221725239616614E-2</v>
      </c>
      <c r="J607" t="s">
        <v>104</v>
      </c>
      <c r="K607" t="s">
        <v>108</v>
      </c>
    </row>
    <row r="608" spans="1:11" hidden="1" x14ac:dyDescent="0.3">
      <c r="A608" t="s">
        <v>36</v>
      </c>
      <c r="B608" t="s">
        <v>46</v>
      </c>
      <c r="C608" t="s">
        <v>64</v>
      </c>
      <c r="D608">
        <v>2.69E-2</v>
      </c>
      <c r="E608">
        <f>Tableau1[[#This Row],[Potential (PJ)]]/3.6*1000</f>
        <v>7.4722222222222223</v>
      </c>
      <c r="F608">
        <v>5.1519773234200752</v>
      </c>
      <c r="G608">
        <f>Tableau1[[#This Row],[Cost (€/GJ)]]/1000*3.6</f>
        <v>1.8547118364312269E-2</v>
      </c>
      <c r="H608">
        <v>2.9521711768407801</v>
      </c>
      <c r="I608">
        <f>Tableau1[[#This Row],[GHG (kgCO2eq/GJ)]]/1000*3.6</f>
        <v>1.0627816236626808E-2</v>
      </c>
      <c r="J608" t="s">
        <v>104</v>
      </c>
      <c r="K608" t="s">
        <v>108</v>
      </c>
    </row>
    <row r="609" spans="1:11" hidden="1" x14ac:dyDescent="0.3">
      <c r="A609" t="s">
        <v>36</v>
      </c>
      <c r="B609" t="s">
        <v>46</v>
      </c>
      <c r="C609" t="s">
        <v>65</v>
      </c>
      <c r="D609">
        <v>0.3</v>
      </c>
      <c r="E609">
        <f>Tableau1[[#This Row],[Potential (PJ)]]/3.6*1000</f>
        <v>83.333333333333329</v>
      </c>
      <c r="F609">
        <v>3.7229999999999999</v>
      </c>
      <c r="G609">
        <f>Tableau1[[#This Row],[Cost (€/GJ)]]/1000*3.6</f>
        <v>1.3402799999999999E-2</v>
      </c>
      <c r="H609">
        <v>2.9521711768407801</v>
      </c>
      <c r="I609">
        <f>Tableau1[[#This Row],[GHG (kgCO2eq/GJ)]]/1000*3.6</f>
        <v>1.0627816236626808E-2</v>
      </c>
      <c r="J609" t="s">
        <v>104</v>
      </c>
      <c r="K609" t="s">
        <v>108</v>
      </c>
    </row>
    <row r="610" spans="1:11" hidden="1" x14ac:dyDescent="0.3">
      <c r="A610" t="s">
        <v>36</v>
      </c>
      <c r="B610" t="s">
        <v>46</v>
      </c>
      <c r="C610" t="s">
        <v>80</v>
      </c>
      <c r="D610">
        <v>0.10979999999999999</v>
      </c>
      <c r="E610">
        <f>Tableau1[[#This Row],[Potential (PJ)]]/3.6*1000</f>
        <v>30.5</v>
      </c>
      <c r="F610">
        <v>0.36952124072825349</v>
      </c>
      <c r="G610">
        <f>Tableau1[[#This Row],[Cost (€/GJ)]]/1000*3.6</f>
        <v>1.3302764666217127E-3</v>
      </c>
      <c r="H610">
        <v>28.139870918023309</v>
      </c>
      <c r="I610">
        <f>Tableau1[[#This Row],[GHG (kgCO2eq/GJ)]]/1000*3.6</f>
        <v>0.10130353530488391</v>
      </c>
      <c r="J610" t="s">
        <v>105</v>
      </c>
      <c r="K610" t="s">
        <v>108</v>
      </c>
    </row>
    <row r="611" spans="1:11" hidden="1" x14ac:dyDescent="0.3">
      <c r="A611" t="s">
        <v>36</v>
      </c>
      <c r="B611" t="s">
        <v>46</v>
      </c>
      <c r="C611" t="s">
        <v>81</v>
      </c>
      <c r="D611">
        <v>0.73680000000000001</v>
      </c>
      <c r="E611">
        <f>Tableau1[[#This Row],[Potential (PJ)]]/3.6*1000</f>
        <v>204.66666666666666</v>
      </c>
      <c r="F611">
        <v>1.463572267920094</v>
      </c>
      <c r="G611">
        <f>Tableau1[[#This Row],[Cost (€/GJ)]]/1000*3.6</f>
        <v>5.268860164512338E-3</v>
      </c>
      <c r="H611">
        <v>8.9647473560517046</v>
      </c>
      <c r="I611">
        <f>Tableau1[[#This Row],[GHG (kgCO2eq/GJ)]]/1000*3.6</f>
        <v>3.2273090481786136E-2</v>
      </c>
      <c r="J611" t="s">
        <v>105</v>
      </c>
      <c r="K611" t="s">
        <v>108</v>
      </c>
    </row>
    <row r="612" spans="1:11" hidden="1" x14ac:dyDescent="0.3">
      <c r="A612" t="s">
        <v>36</v>
      </c>
      <c r="B612" t="s">
        <v>46</v>
      </c>
      <c r="C612" t="s">
        <v>66</v>
      </c>
      <c r="D612">
        <v>0.2</v>
      </c>
      <c r="E612">
        <f>Tableau1[[#This Row],[Potential (PJ)]]/3.6*1000</f>
        <v>55.555555555555557</v>
      </c>
      <c r="F612">
        <v>2.3159999999999998</v>
      </c>
      <c r="G612">
        <f>Tableau1[[#This Row],[Cost (€/GJ)]]/1000*3.6</f>
        <v>8.3376000000000006E-3</v>
      </c>
      <c r="H612">
        <v>6.8428961748633883</v>
      </c>
      <c r="I612">
        <f>Tableau1[[#This Row],[GHG (kgCO2eq/GJ)]]/1000*3.6</f>
        <v>2.4634426229508198E-2</v>
      </c>
      <c r="J612" t="s">
        <v>104</v>
      </c>
      <c r="K612" t="s">
        <v>108</v>
      </c>
    </row>
    <row r="613" spans="1:11" hidden="1" x14ac:dyDescent="0.3">
      <c r="A613" t="s">
        <v>36</v>
      </c>
      <c r="B613" t="s">
        <v>46</v>
      </c>
      <c r="C613" t="s">
        <v>67</v>
      </c>
      <c r="D613">
        <v>0.5</v>
      </c>
      <c r="E613">
        <f>Tableau1[[#This Row],[Potential (PJ)]]/3.6*1000</f>
        <v>138.88888888888889</v>
      </c>
      <c r="F613">
        <v>4.7122000000000002</v>
      </c>
      <c r="G613">
        <f>Tableau1[[#This Row],[Cost (€/GJ)]]/1000*3.6</f>
        <v>1.6963920000000004E-2</v>
      </c>
      <c r="H613">
        <v>2.9521711768407801</v>
      </c>
      <c r="I613">
        <f>Tableau1[[#This Row],[GHG (kgCO2eq/GJ)]]/1000*3.6</f>
        <v>1.0627816236626808E-2</v>
      </c>
      <c r="J613" t="s">
        <v>104</v>
      </c>
      <c r="K613" t="s">
        <v>108</v>
      </c>
    </row>
    <row r="614" spans="1:11" hidden="1" x14ac:dyDescent="0.3">
      <c r="A614" t="s">
        <v>36</v>
      </c>
      <c r="B614" t="s">
        <v>46</v>
      </c>
      <c r="C614" t="s">
        <v>83</v>
      </c>
      <c r="D614">
        <v>0.27184999999999998</v>
      </c>
      <c r="E614">
        <f>Tableau1[[#This Row],[Potential (PJ)]]/3.6*1000</f>
        <v>75.513888888888886</v>
      </c>
      <c r="F614">
        <v>2.099574250505793</v>
      </c>
      <c r="G614">
        <f>Tableau1[[#This Row],[Cost (€/GJ)]]/1000*3.6</f>
        <v>7.5584673018208549E-3</v>
      </c>
      <c r="H614">
        <v>6.8428961748633883</v>
      </c>
      <c r="I614">
        <f>Tableau1[[#This Row],[GHG (kgCO2eq/GJ)]]/1000*3.6</f>
        <v>2.4634426229508198E-2</v>
      </c>
      <c r="J614" t="s">
        <v>104</v>
      </c>
      <c r="K614" t="s">
        <v>108</v>
      </c>
    </row>
    <row r="615" spans="1:11" hidden="1" x14ac:dyDescent="0.3">
      <c r="A615" t="s">
        <v>36</v>
      </c>
      <c r="B615" t="s">
        <v>46</v>
      </c>
      <c r="C615" t="s">
        <v>85</v>
      </c>
      <c r="D615">
        <v>0.1</v>
      </c>
      <c r="E615">
        <f>Tableau1[[#This Row],[Potential (PJ)]]/3.6*1000</f>
        <v>27.777777777777779</v>
      </c>
      <c r="F615">
        <v>3.1320000000000001</v>
      </c>
      <c r="G615">
        <f>Tableau1[[#This Row],[Cost (€/GJ)]]/1000*3.6</f>
        <v>1.1275200000000001E-2</v>
      </c>
      <c r="H615">
        <v>2.9521711768407801</v>
      </c>
      <c r="I615">
        <f>Tableau1[[#This Row],[GHG (kgCO2eq/GJ)]]/1000*3.6</f>
        <v>1.0627816236626808E-2</v>
      </c>
      <c r="J615" t="s">
        <v>104</v>
      </c>
      <c r="K615" t="s">
        <v>108</v>
      </c>
    </row>
    <row r="616" spans="1:11" hidden="1" x14ac:dyDescent="0.3">
      <c r="A616" t="s">
        <v>36</v>
      </c>
      <c r="B616" t="s">
        <v>55</v>
      </c>
      <c r="C616" t="s">
        <v>86</v>
      </c>
      <c r="D616">
        <v>3.1399999999999997E-2</v>
      </c>
      <c r="E616">
        <f>Tableau1[[#This Row],[Potential (PJ)]]/3.6*1000</f>
        <v>8.7222222222222214</v>
      </c>
      <c r="F616">
        <v>20.815000000000001</v>
      </c>
      <c r="G616">
        <f>Tableau1[[#This Row],[Cost (€/GJ)]]/1000*3.6</f>
        <v>7.4934000000000001E-2</v>
      </c>
      <c r="H616">
        <v>26.1</v>
      </c>
      <c r="I616">
        <f>Tableau1[[#This Row],[GHG (kgCO2eq/GJ)]]/1000*3.6</f>
        <v>9.3960000000000002E-2</v>
      </c>
      <c r="J616" t="s">
        <v>106</v>
      </c>
      <c r="K616" t="s">
        <v>109</v>
      </c>
    </row>
    <row r="617" spans="1:11" hidden="1" x14ac:dyDescent="0.3">
      <c r="A617" t="s">
        <v>36</v>
      </c>
      <c r="B617" t="s">
        <v>55</v>
      </c>
      <c r="C617" t="s">
        <v>88</v>
      </c>
      <c r="D617">
        <v>3.2599999999999997E-2</v>
      </c>
      <c r="E617">
        <f>Tableau1[[#This Row],[Potential (PJ)]]/3.6*1000</f>
        <v>9.0555555555555554</v>
      </c>
      <c r="F617">
        <v>18.759</v>
      </c>
      <c r="G617">
        <f>Tableau1[[#This Row],[Cost (€/GJ)]]/1000*3.6</f>
        <v>6.7532400000000006E-2</v>
      </c>
      <c r="H617">
        <v>26.1</v>
      </c>
      <c r="I617">
        <f>Tableau1[[#This Row],[GHG (kgCO2eq/GJ)]]/1000*3.6</f>
        <v>9.3960000000000002E-2</v>
      </c>
      <c r="J617" t="s">
        <v>106</v>
      </c>
      <c r="K617" t="s">
        <v>109</v>
      </c>
    </row>
    <row r="618" spans="1:11" hidden="1" x14ac:dyDescent="0.3">
      <c r="A618" t="s">
        <v>36</v>
      </c>
      <c r="B618" t="s">
        <v>56</v>
      </c>
      <c r="C618" t="s">
        <v>93</v>
      </c>
      <c r="D618">
        <v>0.47670000000000001</v>
      </c>
      <c r="E618">
        <f>Tableau1[[#This Row],[Potential (PJ)]]/3.6*1000</f>
        <v>132.41666666666666</v>
      </c>
      <c r="F618">
        <v>2.939759036144578</v>
      </c>
      <c r="G618">
        <f>Tableau1[[#This Row],[Cost (€/GJ)]]/1000*3.6</f>
        <v>1.0583132530120481E-2</v>
      </c>
      <c r="H618">
        <v>26.7</v>
      </c>
      <c r="I618">
        <f>Tableau1[[#This Row],[GHG (kgCO2eq/GJ)]]/1000*3.6</f>
        <v>9.6119999999999997E-2</v>
      </c>
      <c r="J618" t="s">
        <v>106</v>
      </c>
      <c r="K618" t="s">
        <v>109</v>
      </c>
    </row>
    <row r="619" spans="1:11" hidden="1" x14ac:dyDescent="0.3">
      <c r="A619" t="s">
        <v>36</v>
      </c>
      <c r="B619" t="s">
        <v>47</v>
      </c>
      <c r="C619" t="s">
        <v>68</v>
      </c>
      <c r="D619">
        <v>8.3000000000000007</v>
      </c>
      <c r="E619">
        <f>Tableau1[[#This Row],[Potential (PJ)]]/3.6*1000</f>
        <v>2305.5555555555557</v>
      </c>
      <c r="F619">
        <v>4.2154096385542159</v>
      </c>
      <c r="G619">
        <f>Tableau1[[#This Row],[Cost (€/GJ)]]/1000*3.6</f>
        <v>1.5175474698795179E-2</v>
      </c>
      <c r="H619">
        <v>10</v>
      </c>
      <c r="I619">
        <f>Tableau1[[#This Row],[GHG (kgCO2eq/GJ)]]/1000*3.6</f>
        <v>3.6000000000000004E-2</v>
      </c>
      <c r="J619" t="s">
        <v>104</v>
      </c>
      <c r="K619" t="s">
        <v>109</v>
      </c>
    </row>
    <row r="620" spans="1:11" hidden="1" x14ac:dyDescent="0.3">
      <c r="A620" t="s">
        <v>36</v>
      </c>
      <c r="B620" t="s">
        <v>47</v>
      </c>
      <c r="C620" t="s">
        <v>69</v>
      </c>
      <c r="D620">
        <v>5.8999999999999986</v>
      </c>
      <c r="E620">
        <f>Tableau1[[#This Row],[Potential (PJ)]]/3.6*1000</f>
        <v>1638.8888888888885</v>
      </c>
      <c r="F620">
        <v>4.5922542372881354</v>
      </c>
      <c r="G620">
        <f>Tableau1[[#This Row],[Cost (€/GJ)]]/1000*3.6</f>
        <v>1.6532115254237291E-2</v>
      </c>
      <c r="H620">
        <v>10</v>
      </c>
      <c r="I620">
        <f>Tableau1[[#This Row],[GHG (kgCO2eq/GJ)]]/1000*3.6</f>
        <v>3.6000000000000004E-2</v>
      </c>
      <c r="J620" t="s">
        <v>104</v>
      </c>
      <c r="K620" t="s">
        <v>109</v>
      </c>
    </row>
    <row r="621" spans="1:11" hidden="1" x14ac:dyDescent="0.3">
      <c r="A621" t="s">
        <v>36</v>
      </c>
      <c r="B621" t="s">
        <v>48</v>
      </c>
      <c r="C621" t="s">
        <v>70</v>
      </c>
      <c r="D621">
        <v>3.7</v>
      </c>
      <c r="E621">
        <f>Tableau1[[#This Row],[Potential (PJ)]]/3.6*1000</f>
        <v>1027.7777777777778</v>
      </c>
      <c r="F621">
        <v>10.16848648648649</v>
      </c>
      <c r="G621">
        <f>Tableau1[[#This Row],[Cost (€/GJ)]]/1000*3.6</f>
        <v>3.6606551351351359E-2</v>
      </c>
      <c r="H621">
        <v>0</v>
      </c>
      <c r="I621">
        <f>Tableau1[[#This Row],[GHG (kgCO2eq/GJ)]]/1000*3.6</f>
        <v>0</v>
      </c>
      <c r="J621" t="s">
        <v>104</v>
      </c>
      <c r="K621" t="s">
        <v>109</v>
      </c>
    </row>
    <row r="622" spans="1:11" hidden="1" x14ac:dyDescent="0.3">
      <c r="A622" t="s">
        <v>36</v>
      </c>
      <c r="B622" t="s">
        <v>49</v>
      </c>
      <c r="C622" t="s">
        <v>71</v>
      </c>
      <c r="D622">
        <v>13.543699999999999</v>
      </c>
      <c r="E622">
        <f>Tableau1[[#This Row],[Potential (PJ)]]/3.6*1000</f>
        <v>3762.1388888888887</v>
      </c>
      <c r="F622">
        <v>4.9612501546844658</v>
      </c>
      <c r="G622">
        <f>Tableau1[[#This Row],[Cost (€/GJ)]]/1000*3.6</f>
        <v>1.7860500556864077E-2</v>
      </c>
      <c r="H622">
        <v>3.86607608129234</v>
      </c>
      <c r="I622">
        <f>Tableau1[[#This Row],[GHG (kgCO2eq/GJ)]]/1000*3.6</f>
        <v>1.3917873892652425E-2</v>
      </c>
      <c r="J622" t="s">
        <v>104</v>
      </c>
      <c r="K622" t="s">
        <v>108</v>
      </c>
    </row>
    <row r="623" spans="1:11" hidden="1" x14ac:dyDescent="0.3">
      <c r="A623" t="s">
        <v>36</v>
      </c>
      <c r="B623" t="s">
        <v>49</v>
      </c>
      <c r="C623" t="s">
        <v>72</v>
      </c>
      <c r="D623">
        <v>0.4</v>
      </c>
      <c r="E623">
        <f>Tableau1[[#This Row],[Potential (PJ)]]/3.6*1000</f>
        <v>111.11111111111111</v>
      </c>
      <c r="F623">
        <v>3.9744999999999999</v>
      </c>
      <c r="G623">
        <f>Tableau1[[#This Row],[Cost (€/GJ)]]/1000*3.6</f>
        <v>1.43082E-2</v>
      </c>
      <c r="H623">
        <v>3.86607608129234</v>
      </c>
      <c r="I623">
        <f>Tableau1[[#This Row],[GHG (kgCO2eq/GJ)]]/1000*3.6</f>
        <v>1.3917873892652425E-2</v>
      </c>
      <c r="J623" t="s">
        <v>104</v>
      </c>
      <c r="K623" t="s">
        <v>108</v>
      </c>
    </row>
    <row r="624" spans="1:11" hidden="1" x14ac:dyDescent="0.3">
      <c r="A624" t="s">
        <v>36</v>
      </c>
      <c r="B624" t="s">
        <v>58</v>
      </c>
      <c r="C624" t="s">
        <v>95</v>
      </c>
      <c r="D624">
        <v>1.3931899999999999</v>
      </c>
      <c r="E624">
        <f>Tableau1[[#This Row],[Potential (PJ)]]/3.6*1000</f>
        <v>386.99722222222221</v>
      </c>
      <c r="F624">
        <v>0</v>
      </c>
      <c r="G624">
        <f>Tableau1[[#This Row],[Cost (€/GJ)]]/1000*3.6</f>
        <v>0</v>
      </c>
      <c r="H624">
        <v>2.9521711768407801</v>
      </c>
      <c r="I624">
        <f>Tableau1[[#This Row],[GHG (kgCO2eq/GJ)]]/1000*3.6</f>
        <v>1.0627816236626808E-2</v>
      </c>
      <c r="J624" t="s">
        <v>104</v>
      </c>
      <c r="K624" t="s">
        <v>108</v>
      </c>
    </row>
    <row r="625" spans="1:11" hidden="1" x14ac:dyDescent="0.3">
      <c r="A625" t="s">
        <v>36</v>
      </c>
      <c r="B625" t="s">
        <v>50</v>
      </c>
      <c r="C625" t="s">
        <v>73</v>
      </c>
      <c r="D625">
        <v>1.9</v>
      </c>
      <c r="E625">
        <f>Tableau1[[#This Row],[Potential (PJ)]]/3.6*1000</f>
        <v>527.77777777777783</v>
      </c>
      <c r="F625">
        <v>5.0796315789473683</v>
      </c>
      <c r="G625">
        <f>Tableau1[[#This Row],[Cost (€/GJ)]]/1000*3.6</f>
        <v>1.8286673684210528E-2</v>
      </c>
      <c r="H625">
        <v>20.723404255319149</v>
      </c>
      <c r="I625">
        <f>Tableau1[[#This Row],[GHG (kgCO2eq/GJ)]]/1000*3.6</f>
        <v>7.4604255319148938E-2</v>
      </c>
      <c r="J625" t="s">
        <v>105</v>
      </c>
      <c r="K625" t="s">
        <v>108</v>
      </c>
    </row>
    <row r="626" spans="1:11" hidden="1" x14ac:dyDescent="0.3">
      <c r="A626" t="s">
        <v>36</v>
      </c>
      <c r="B626" t="s">
        <v>50</v>
      </c>
      <c r="C626" t="s">
        <v>74</v>
      </c>
      <c r="D626">
        <v>10.7</v>
      </c>
      <c r="E626">
        <f>Tableau1[[#This Row],[Potential (PJ)]]/3.6*1000</f>
        <v>2972.2222222222217</v>
      </c>
      <c r="F626">
        <v>4.1123457943925237</v>
      </c>
      <c r="G626">
        <f>Tableau1[[#This Row],[Cost (€/GJ)]]/1000*3.6</f>
        <v>1.4804444859813087E-2</v>
      </c>
      <c r="H626">
        <v>2.0635593220338988</v>
      </c>
      <c r="I626">
        <f>Tableau1[[#This Row],[GHG (kgCO2eq/GJ)]]/1000*3.6</f>
        <v>7.4288135593220351E-3</v>
      </c>
      <c r="J626" t="s">
        <v>105</v>
      </c>
      <c r="K626" t="s">
        <v>108</v>
      </c>
    </row>
    <row r="627" spans="1:11" hidden="1" x14ac:dyDescent="0.3">
      <c r="A627" t="s">
        <v>36</v>
      </c>
      <c r="B627" t="s">
        <v>59</v>
      </c>
      <c r="C627" t="s">
        <v>97</v>
      </c>
      <c r="D627">
        <v>0.36599999999999999</v>
      </c>
      <c r="E627">
        <f>Tableau1[[#This Row],[Potential (PJ)]]/3.6*1000</f>
        <v>101.66666666666666</v>
      </c>
      <c r="F627">
        <v>36.353771025501899</v>
      </c>
      <c r="G627">
        <f>Tableau1[[#This Row],[Cost (€/GJ)]]/1000*3.6</f>
        <v>0.13087357569180685</v>
      </c>
      <c r="H627">
        <v>36.299999999999997</v>
      </c>
      <c r="I627">
        <f>Tableau1[[#This Row],[GHG (kgCO2eq/GJ)]]/1000*3.6</f>
        <v>0.13067999999999999</v>
      </c>
      <c r="J627" t="s">
        <v>107</v>
      </c>
      <c r="K627" t="s">
        <v>109</v>
      </c>
    </row>
    <row r="628" spans="1:11" hidden="1" x14ac:dyDescent="0.3">
      <c r="A628" t="s">
        <v>36</v>
      </c>
      <c r="B628" t="s">
        <v>51</v>
      </c>
      <c r="C628" t="s">
        <v>75</v>
      </c>
      <c r="D628">
        <v>9.6828149999999997</v>
      </c>
      <c r="E628">
        <f>Tableau1[[#This Row],[Potential (PJ)]]/3.6*1000</f>
        <v>2689.6708333333331</v>
      </c>
      <c r="F628">
        <v>4.2638226997786296E-3</v>
      </c>
      <c r="G628">
        <f>Tableau1[[#This Row],[Cost (€/GJ)]]/1000*3.6</f>
        <v>1.5349761719203068E-5</v>
      </c>
      <c r="H628">
        <v>11.74</v>
      </c>
      <c r="I628">
        <f>Tableau1[[#This Row],[GHG (kgCO2eq/GJ)]]/1000*3.6</f>
        <v>4.2264000000000003E-2</v>
      </c>
      <c r="J628" t="s">
        <v>104</v>
      </c>
      <c r="K628" t="s">
        <v>108</v>
      </c>
    </row>
    <row r="629" spans="1:11" hidden="1" x14ac:dyDescent="0.3">
      <c r="A629" t="s">
        <v>36</v>
      </c>
      <c r="B629" t="s">
        <v>52</v>
      </c>
      <c r="C629" t="s">
        <v>76</v>
      </c>
      <c r="D629">
        <v>0.44500000000000001</v>
      </c>
      <c r="E629">
        <f>Tableau1[[#This Row],[Potential (PJ)]]/3.6*1000</f>
        <v>123.61111111111111</v>
      </c>
      <c r="F629">
        <v>6.1837425000000001</v>
      </c>
      <c r="G629">
        <f>Tableau1[[#This Row],[Cost (€/GJ)]]/1000*3.6</f>
        <v>2.2261473000000004E-2</v>
      </c>
      <c r="H629">
        <v>12.68872359754714</v>
      </c>
      <c r="I629">
        <f>Tableau1[[#This Row],[GHG (kgCO2eq/GJ)]]/1000*3.6</f>
        <v>4.5679404951169705E-2</v>
      </c>
      <c r="J629" t="s">
        <v>105</v>
      </c>
      <c r="K629" t="s">
        <v>108</v>
      </c>
    </row>
    <row r="630" spans="1:11" hidden="1" x14ac:dyDescent="0.3">
      <c r="A630" t="s">
        <v>36</v>
      </c>
      <c r="B630" t="s">
        <v>53</v>
      </c>
      <c r="C630" t="s">
        <v>77</v>
      </c>
      <c r="D630">
        <v>1.0542800000000001</v>
      </c>
      <c r="E630">
        <f>Tableau1[[#This Row],[Potential (PJ)]]/3.6*1000</f>
        <v>292.85555555555561</v>
      </c>
      <c r="F630">
        <v>3.973987783131617</v>
      </c>
      <c r="G630">
        <f>Tableau1[[#This Row],[Cost (€/GJ)]]/1000*3.6</f>
        <v>1.4306356019273821E-2</v>
      </c>
      <c r="H630">
        <v>3.86607608129234</v>
      </c>
      <c r="I630">
        <f>Tableau1[[#This Row],[GHG (kgCO2eq/GJ)]]/1000*3.6</f>
        <v>1.3917873892652425E-2</v>
      </c>
      <c r="J630" t="s">
        <v>104</v>
      </c>
      <c r="K630" t="s">
        <v>108</v>
      </c>
    </row>
    <row r="631" spans="1:11" hidden="1" x14ac:dyDescent="0.3">
      <c r="A631" t="s">
        <v>36</v>
      </c>
      <c r="B631" t="s">
        <v>61</v>
      </c>
      <c r="C631" t="s">
        <v>99</v>
      </c>
      <c r="D631">
        <v>1</v>
      </c>
      <c r="E631">
        <f>Tableau1[[#This Row],[Potential (PJ)]]/3.6*1000</f>
        <v>277.77777777777777</v>
      </c>
      <c r="F631">
        <v>1.8854</v>
      </c>
      <c r="G631">
        <f>Tableau1[[#This Row],[Cost (€/GJ)]]/1000*3.6</f>
        <v>6.7874399999999996E-3</v>
      </c>
      <c r="H631">
        <v>2.9245635910224439</v>
      </c>
      <c r="I631">
        <f>Tableau1[[#This Row],[GHG (kgCO2eq/GJ)]]/1000*3.6</f>
        <v>1.0528428927680798E-2</v>
      </c>
      <c r="J631" t="s">
        <v>104</v>
      </c>
      <c r="K631" t="s">
        <v>108</v>
      </c>
    </row>
    <row r="632" spans="1:11" hidden="1" x14ac:dyDescent="0.3">
      <c r="A632" t="s">
        <v>36</v>
      </c>
      <c r="B632" t="s">
        <v>62</v>
      </c>
      <c r="C632" t="s">
        <v>100</v>
      </c>
      <c r="D632">
        <v>0.1</v>
      </c>
      <c r="E632">
        <f>Tableau1[[#This Row],[Potential (PJ)]]/3.6*1000</f>
        <v>27.777777777777779</v>
      </c>
      <c r="F632">
        <v>1.1000000000000001</v>
      </c>
      <c r="G632">
        <f>Tableau1[[#This Row],[Cost (€/GJ)]]/1000*3.6</f>
        <v>3.96E-3</v>
      </c>
      <c r="H632">
        <v>2.6764106050305911</v>
      </c>
      <c r="I632">
        <f>Tableau1[[#This Row],[GHG (kgCO2eq/GJ)]]/1000*3.6</f>
        <v>9.6350781781101291E-3</v>
      </c>
      <c r="J632" t="s">
        <v>104</v>
      </c>
      <c r="K632" t="s">
        <v>108</v>
      </c>
    </row>
    <row r="633" spans="1:11" hidden="1" x14ac:dyDescent="0.3">
      <c r="A633" t="s">
        <v>36</v>
      </c>
      <c r="B633" t="s">
        <v>54</v>
      </c>
      <c r="C633" t="s">
        <v>78</v>
      </c>
      <c r="D633">
        <v>40</v>
      </c>
      <c r="E633">
        <f>Tableau1[[#This Row],[Potential (PJ)]]/3.6*1000</f>
        <v>11111.111111111111</v>
      </c>
      <c r="F633">
        <v>8.3370974999999987</v>
      </c>
      <c r="G633">
        <f>Tableau1[[#This Row],[Cost (€/GJ)]]/1000*3.6</f>
        <v>3.0013550999999992E-2</v>
      </c>
      <c r="H633">
        <v>3.86607608129234</v>
      </c>
      <c r="I633">
        <f>Tableau1[[#This Row],[GHG (kgCO2eq/GJ)]]/1000*3.6</f>
        <v>1.3917873892652425E-2</v>
      </c>
      <c r="J633" t="s">
        <v>104</v>
      </c>
      <c r="K633" t="s">
        <v>108</v>
      </c>
    </row>
    <row r="634" spans="1:11" hidden="1" x14ac:dyDescent="0.3">
      <c r="A634" t="s">
        <v>37</v>
      </c>
      <c r="B634" t="s">
        <v>46</v>
      </c>
      <c r="C634" t="s">
        <v>64</v>
      </c>
      <c r="D634">
        <v>6.8239999999999995E-2</v>
      </c>
      <c r="E634">
        <f>Tableau1[[#This Row],[Potential (PJ)]]/3.6*1000</f>
        <v>18.955555555555556</v>
      </c>
      <c r="F634">
        <v>4.9840656506447836</v>
      </c>
      <c r="G634">
        <f>Tableau1[[#This Row],[Cost (€/GJ)]]/1000*3.6</f>
        <v>1.7942636342321221E-2</v>
      </c>
      <c r="H634">
        <v>2.9521711768407801</v>
      </c>
      <c r="I634">
        <f>Tableau1[[#This Row],[GHG (kgCO2eq/GJ)]]/1000*3.6</f>
        <v>1.0627816236626808E-2</v>
      </c>
      <c r="J634" t="s">
        <v>104</v>
      </c>
      <c r="K634" t="s">
        <v>108</v>
      </c>
    </row>
    <row r="635" spans="1:11" hidden="1" x14ac:dyDescent="0.3">
      <c r="A635" t="s">
        <v>37</v>
      </c>
      <c r="B635" t="s">
        <v>46</v>
      </c>
      <c r="C635" t="s">
        <v>79</v>
      </c>
      <c r="D635">
        <v>18.899999999999999</v>
      </c>
      <c r="E635">
        <f>Tableau1[[#This Row],[Potential (PJ)]]/3.6*1000</f>
        <v>5249.9999999999991</v>
      </c>
      <c r="F635">
        <v>2.5139894179894182</v>
      </c>
      <c r="G635">
        <f>Tableau1[[#This Row],[Cost (€/GJ)]]/1000*3.6</f>
        <v>9.0503619047619058E-3</v>
      </c>
      <c r="H635">
        <v>6.8428961748633883</v>
      </c>
      <c r="I635">
        <f>Tableau1[[#This Row],[GHG (kgCO2eq/GJ)]]/1000*3.6</f>
        <v>2.4634426229508198E-2</v>
      </c>
      <c r="J635" t="s">
        <v>104</v>
      </c>
      <c r="K635" t="s">
        <v>108</v>
      </c>
    </row>
    <row r="636" spans="1:11" hidden="1" x14ac:dyDescent="0.3">
      <c r="A636" t="s">
        <v>37</v>
      </c>
      <c r="B636" t="s">
        <v>46</v>
      </c>
      <c r="C636" t="s">
        <v>65</v>
      </c>
      <c r="D636">
        <v>0.1</v>
      </c>
      <c r="E636">
        <f>Tableau1[[#This Row],[Potential (PJ)]]/3.6*1000</f>
        <v>27.777777777777779</v>
      </c>
      <c r="F636">
        <v>3.7480000000000002</v>
      </c>
      <c r="G636">
        <f>Tableau1[[#This Row],[Cost (€/GJ)]]/1000*3.6</f>
        <v>1.3492800000000001E-2</v>
      </c>
      <c r="H636">
        <v>2.9521711768407801</v>
      </c>
      <c r="I636">
        <f>Tableau1[[#This Row],[GHG (kgCO2eq/GJ)]]/1000*3.6</f>
        <v>1.0627816236626808E-2</v>
      </c>
      <c r="J636" t="s">
        <v>104</v>
      </c>
      <c r="K636" t="s">
        <v>108</v>
      </c>
    </row>
    <row r="637" spans="1:11" hidden="1" x14ac:dyDescent="0.3">
      <c r="A637" t="s">
        <v>37</v>
      </c>
      <c r="B637" t="s">
        <v>46</v>
      </c>
      <c r="C637" t="s">
        <v>80</v>
      </c>
      <c r="D637">
        <v>0.96989999999999998</v>
      </c>
      <c r="E637">
        <f>Tableau1[[#This Row],[Potential (PJ)]]/3.6*1000</f>
        <v>269.41666666666663</v>
      </c>
      <c r="F637">
        <v>1.7687120701281189</v>
      </c>
      <c r="G637">
        <f>Tableau1[[#This Row],[Cost (€/GJ)]]/1000*3.6</f>
        <v>6.3673634524612282E-3</v>
      </c>
      <c r="H637">
        <v>28.139870918023309</v>
      </c>
      <c r="I637">
        <f>Tableau1[[#This Row],[GHG (kgCO2eq/GJ)]]/1000*3.6</f>
        <v>0.10130353530488391</v>
      </c>
      <c r="J637" t="s">
        <v>105</v>
      </c>
      <c r="K637" t="s">
        <v>108</v>
      </c>
    </row>
    <row r="638" spans="1:11" hidden="1" x14ac:dyDescent="0.3">
      <c r="A638" t="s">
        <v>37</v>
      </c>
      <c r="B638" t="s">
        <v>46</v>
      </c>
      <c r="C638" t="s">
        <v>81</v>
      </c>
      <c r="D638">
        <v>0.99949999999999994</v>
      </c>
      <c r="E638">
        <f>Tableau1[[#This Row],[Potential (PJ)]]/3.6*1000</f>
        <v>277.63888888888886</v>
      </c>
      <c r="F638">
        <v>3.96180963572268</v>
      </c>
      <c r="G638">
        <f>Tableau1[[#This Row],[Cost (€/GJ)]]/1000*3.6</f>
        <v>1.426251468860165E-2</v>
      </c>
      <c r="H638">
        <v>8.9647473560517046</v>
      </c>
      <c r="I638">
        <f>Tableau1[[#This Row],[GHG (kgCO2eq/GJ)]]/1000*3.6</f>
        <v>3.2273090481786136E-2</v>
      </c>
      <c r="J638" t="s">
        <v>105</v>
      </c>
      <c r="K638" t="s">
        <v>108</v>
      </c>
    </row>
    <row r="639" spans="1:11" hidden="1" x14ac:dyDescent="0.3">
      <c r="A639" t="s">
        <v>37</v>
      </c>
      <c r="B639" t="s">
        <v>46</v>
      </c>
      <c r="C639" t="s">
        <v>66</v>
      </c>
      <c r="D639">
        <v>5.2</v>
      </c>
      <c r="E639">
        <f>Tableau1[[#This Row],[Potential (PJ)]]/3.6*1000</f>
        <v>1444.4444444444443</v>
      </c>
      <c r="F639">
        <v>2.6282884615384612</v>
      </c>
      <c r="G639">
        <f>Tableau1[[#This Row],[Cost (€/GJ)]]/1000*3.6</f>
        <v>9.4618384615384604E-3</v>
      </c>
      <c r="H639">
        <v>6.8428961748633883</v>
      </c>
      <c r="I639">
        <f>Tableau1[[#This Row],[GHG (kgCO2eq/GJ)]]/1000*3.6</f>
        <v>2.4634426229508198E-2</v>
      </c>
      <c r="J639" t="s">
        <v>104</v>
      </c>
      <c r="K639" t="s">
        <v>108</v>
      </c>
    </row>
    <row r="640" spans="1:11" hidden="1" x14ac:dyDescent="0.3">
      <c r="A640" t="s">
        <v>37</v>
      </c>
      <c r="B640" t="s">
        <v>46</v>
      </c>
      <c r="C640" t="s">
        <v>82</v>
      </c>
      <c r="D640">
        <v>3.3</v>
      </c>
      <c r="E640">
        <f>Tableau1[[#This Row],[Potential (PJ)]]/3.6*1000</f>
        <v>916.66666666666663</v>
      </c>
      <c r="F640">
        <v>1.5996969696969701</v>
      </c>
      <c r="G640">
        <f>Tableau1[[#This Row],[Cost (€/GJ)]]/1000*3.6</f>
        <v>5.7589090909090923E-3</v>
      </c>
      <c r="H640">
        <v>6.8428961748633883</v>
      </c>
      <c r="I640">
        <f>Tableau1[[#This Row],[GHG (kgCO2eq/GJ)]]/1000*3.6</f>
        <v>2.4634426229508198E-2</v>
      </c>
      <c r="J640" t="s">
        <v>104</v>
      </c>
      <c r="K640" t="s">
        <v>108</v>
      </c>
    </row>
    <row r="641" spans="1:11" hidden="1" x14ac:dyDescent="0.3">
      <c r="A641" t="s">
        <v>37</v>
      </c>
      <c r="B641" t="s">
        <v>46</v>
      </c>
      <c r="C641" t="s">
        <v>83</v>
      </c>
      <c r="D641">
        <v>7.392E-2</v>
      </c>
      <c r="E641">
        <f>Tableau1[[#This Row],[Potential (PJ)]]/3.6*1000</f>
        <v>20.533333333333335</v>
      </c>
      <c r="F641">
        <v>2.481280573593073</v>
      </c>
      <c r="G641">
        <f>Tableau1[[#This Row],[Cost (€/GJ)]]/1000*3.6</f>
        <v>8.9326100649350631E-3</v>
      </c>
      <c r="H641">
        <v>6.8428961748633883</v>
      </c>
      <c r="I641">
        <f>Tableau1[[#This Row],[GHG (kgCO2eq/GJ)]]/1000*3.6</f>
        <v>2.4634426229508198E-2</v>
      </c>
      <c r="J641" t="s">
        <v>104</v>
      </c>
      <c r="K641" t="s">
        <v>108</v>
      </c>
    </row>
    <row r="642" spans="1:11" hidden="1" x14ac:dyDescent="0.3">
      <c r="A642" t="s">
        <v>37</v>
      </c>
      <c r="B642" t="s">
        <v>46</v>
      </c>
      <c r="C642" t="s">
        <v>84</v>
      </c>
      <c r="D642">
        <v>0.3</v>
      </c>
      <c r="E642">
        <f>Tableau1[[#This Row],[Potential (PJ)]]/3.6*1000</f>
        <v>83.333333333333329</v>
      </c>
      <c r="F642">
        <v>1.630333333333333</v>
      </c>
      <c r="G642">
        <f>Tableau1[[#This Row],[Cost (€/GJ)]]/1000*3.6</f>
        <v>5.8691999999999989E-3</v>
      </c>
      <c r="H642">
        <v>28.139870918023309</v>
      </c>
      <c r="I642">
        <f>Tableau1[[#This Row],[GHG (kgCO2eq/GJ)]]/1000*3.6</f>
        <v>0.10130353530488391</v>
      </c>
      <c r="J642" t="s">
        <v>105</v>
      </c>
      <c r="K642" t="s">
        <v>108</v>
      </c>
    </row>
    <row r="643" spans="1:11" hidden="1" x14ac:dyDescent="0.3">
      <c r="A643" t="s">
        <v>37</v>
      </c>
      <c r="B643" t="s">
        <v>46</v>
      </c>
      <c r="C643" t="s">
        <v>85</v>
      </c>
      <c r="D643">
        <v>0.1</v>
      </c>
      <c r="E643">
        <f>Tableau1[[#This Row],[Potential (PJ)]]/3.6*1000</f>
        <v>27.777777777777779</v>
      </c>
      <c r="F643">
        <v>4.1559999999999997</v>
      </c>
      <c r="G643">
        <f>Tableau1[[#This Row],[Cost (€/GJ)]]/1000*3.6</f>
        <v>1.49616E-2</v>
      </c>
      <c r="H643">
        <v>2.9521711768407801</v>
      </c>
      <c r="I643">
        <f>Tableau1[[#This Row],[GHG (kgCO2eq/GJ)]]/1000*3.6</f>
        <v>1.0627816236626808E-2</v>
      </c>
      <c r="J643" t="s">
        <v>104</v>
      </c>
      <c r="K643" t="s">
        <v>108</v>
      </c>
    </row>
    <row r="644" spans="1:11" hidden="1" x14ac:dyDescent="0.3">
      <c r="A644" t="s">
        <v>37</v>
      </c>
      <c r="B644" t="s">
        <v>55</v>
      </c>
      <c r="C644" t="s">
        <v>86</v>
      </c>
      <c r="D644">
        <v>2.3113000000000001</v>
      </c>
      <c r="E644">
        <f>Tableau1[[#This Row],[Potential (PJ)]]/3.6*1000</f>
        <v>642.02777777777771</v>
      </c>
      <c r="F644">
        <v>20.597000000000001</v>
      </c>
      <c r="G644">
        <f>Tableau1[[#This Row],[Cost (€/GJ)]]/1000*3.6</f>
        <v>7.4149199999999998E-2</v>
      </c>
      <c r="H644">
        <v>8.6999999999999993</v>
      </c>
      <c r="I644">
        <f>Tableau1[[#This Row],[GHG (kgCO2eq/GJ)]]/1000*3.6</f>
        <v>3.1320000000000001E-2</v>
      </c>
      <c r="J644" t="s">
        <v>106</v>
      </c>
      <c r="K644" t="s">
        <v>109</v>
      </c>
    </row>
    <row r="645" spans="1:11" hidden="1" x14ac:dyDescent="0.3">
      <c r="A645" t="s">
        <v>37</v>
      </c>
      <c r="B645" t="s">
        <v>55</v>
      </c>
      <c r="C645" t="s">
        <v>87</v>
      </c>
      <c r="D645">
        <v>0.16830000000000001</v>
      </c>
      <c r="E645">
        <f>Tableau1[[#This Row],[Potential (PJ)]]/3.6*1000</f>
        <v>46.75</v>
      </c>
      <c r="F645">
        <v>18.068000000000001</v>
      </c>
      <c r="G645">
        <f>Tableau1[[#This Row],[Cost (€/GJ)]]/1000*3.6</f>
        <v>6.50448E-2</v>
      </c>
      <c r="H645">
        <v>8.6999999999999993</v>
      </c>
      <c r="I645">
        <f>Tableau1[[#This Row],[GHG (kgCO2eq/GJ)]]/1000*3.6</f>
        <v>3.1320000000000001E-2</v>
      </c>
      <c r="J645" t="s">
        <v>106</v>
      </c>
      <c r="K645" t="s">
        <v>109</v>
      </c>
    </row>
    <row r="646" spans="1:11" hidden="1" x14ac:dyDescent="0.3">
      <c r="A646" t="s">
        <v>37</v>
      </c>
      <c r="B646" t="s">
        <v>55</v>
      </c>
      <c r="C646" t="s">
        <v>88</v>
      </c>
      <c r="D646">
        <v>22.1309</v>
      </c>
      <c r="E646">
        <f>Tableau1[[#This Row],[Potential (PJ)]]/3.6*1000</f>
        <v>6147.4722222222226</v>
      </c>
      <c r="F646">
        <v>26.291</v>
      </c>
      <c r="G646">
        <f>Tableau1[[#This Row],[Cost (€/GJ)]]/1000*3.6</f>
        <v>9.4647600000000012E-2</v>
      </c>
      <c r="H646">
        <v>8.6999999999999993</v>
      </c>
      <c r="I646">
        <f>Tableau1[[#This Row],[GHG (kgCO2eq/GJ)]]/1000*3.6</f>
        <v>3.1320000000000001E-2</v>
      </c>
      <c r="J646" t="s">
        <v>106</v>
      </c>
      <c r="K646" t="s">
        <v>109</v>
      </c>
    </row>
    <row r="647" spans="1:11" hidden="1" x14ac:dyDescent="0.3">
      <c r="A647" t="s">
        <v>37</v>
      </c>
      <c r="B647" t="s">
        <v>55</v>
      </c>
      <c r="C647" t="s">
        <v>89</v>
      </c>
      <c r="D647">
        <v>6.4999999999999997E-3</v>
      </c>
      <c r="E647">
        <f>Tableau1[[#This Row],[Potential (PJ)]]/3.6*1000</f>
        <v>1.8055555555555556</v>
      </c>
      <c r="F647">
        <v>0</v>
      </c>
      <c r="G647">
        <f>Tableau1[[#This Row],[Cost (€/GJ)]]/1000*3.6</f>
        <v>0</v>
      </c>
      <c r="H647">
        <v>8.6999999999999993</v>
      </c>
      <c r="I647">
        <f>Tableau1[[#This Row],[GHG (kgCO2eq/GJ)]]/1000*3.6</f>
        <v>3.1320000000000001E-2</v>
      </c>
      <c r="J647" t="s">
        <v>106</v>
      </c>
      <c r="K647" t="s">
        <v>109</v>
      </c>
    </row>
    <row r="648" spans="1:11" hidden="1" x14ac:dyDescent="0.3">
      <c r="A648" t="s">
        <v>37</v>
      </c>
      <c r="B648" t="s">
        <v>55</v>
      </c>
      <c r="C648" t="s">
        <v>92</v>
      </c>
      <c r="D648">
        <v>2.0546799999999998</v>
      </c>
      <c r="E648">
        <f>Tableau1[[#This Row],[Potential (PJ)]]/3.6*1000</f>
        <v>570.74444444444441</v>
      </c>
      <c r="F648">
        <v>18.068000000000001</v>
      </c>
      <c r="G648">
        <f>Tableau1[[#This Row],[Cost (€/GJ)]]/1000*3.6</f>
        <v>6.50448E-2</v>
      </c>
      <c r="H648">
        <v>8.6999999999999993</v>
      </c>
      <c r="I648">
        <f>Tableau1[[#This Row],[GHG (kgCO2eq/GJ)]]/1000*3.6</f>
        <v>3.1320000000000001E-2</v>
      </c>
      <c r="J648" t="s">
        <v>106</v>
      </c>
      <c r="K648" t="s">
        <v>109</v>
      </c>
    </row>
    <row r="649" spans="1:11" hidden="1" x14ac:dyDescent="0.3">
      <c r="A649" t="s">
        <v>37</v>
      </c>
      <c r="B649" t="s">
        <v>56</v>
      </c>
      <c r="C649" t="s">
        <v>93</v>
      </c>
      <c r="D649">
        <v>9.3720999999999997</v>
      </c>
      <c r="E649">
        <f>Tableau1[[#This Row],[Potential (PJ)]]/3.6*1000</f>
        <v>2603.3611111111109</v>
      </c>
      <c r="F649">
        <v>2.9493975903614462</v>
      </c>
      <c r="G649">
        <f>Tableau1[[#This Row],[Cost (€/GJ)]]/1000*3.6</f>
        <v>1.0617831325301207E-2</v>
      </c>
      <c r="H649">
        <v>34</v>
      </c>
      <c r="I649">
        <f>Tableau1[[#This Row],[GHG (kgCO2eq/GJ)]]/1000*3.6</f>
        <v>0.12240000000000001</v>
      </c>
      <c r="J649" t="s">
        <v>106</v>
      </c>
      <c r="K649" t="s">
        <v>109</v>
      </c>
    </row>
    <row r="650" spans="1:11" hidden="1" x14ac:dyDescent="0.3">
      <c r="A650" t="s">
        <v>37</v>
      </c>
      <c r="B650" t="s">
        <v>47</v>
      </c>
      <c r="C650" t="s">
        <v>68</v>
      </c>
      <c r="D650">
        <v>79.5</v>
      </c>
      <c r="E650">
        <f>Tableau1[[#This Row],[Potential (PJ)]]/3.6*1000</f>
        <v>22083.333333333332</v>
      </c>
      <c r="F650">
        <v>2.838316981132075</v>
      </c>
      <c r="G650">
        <f>Tableau1[[#This Row],[Cost (€/GJ)]]/1000*3.6</f>
        <v>1.021794113207547E-2</v>
      </c>
      <c r="H650">
        <v>16.600000000000001</v>
      </c>
      <c r="I650">
        <f>Tableau1[[#This Row],[GHG (kgCO2eq/GJ)]]/1000*3.6</f>
        <v>5.9760000000000001E-2</v>
      </c>
      <c r="J650" t="s">
        <v>104</v>
      </c>
      <c r="K650" t="s">
        <v>109</v>
      </c>
    </row>
    <row r="651" spans="1:11" hidden="1" x14ac:dyDescent="0.3">
      <c r="A651" t="s">
        <v>37</v>
      </c>
      <c r="B651" t="s">
        <v>47</v>
      </c>
      <c r="C651" t="s">
        <v>69</v>
      </c>
      <c r="D651">
        <v>72.3</v>
      </c>
      <c r="E651">
        <f>Tableau1[[#This Row],[Potential (PJ)]]/3.6*1000</f>
        <v>20083.333333333332</v>
      </c>
      <c r="F651">
        <v>2.6091147994467501</v>
      </c>
      <c r="G651">
        <f>Tableau1[[#This Row],[Cost (€/GJ)]]/1000*3.6</f>
        <v>9.3928132780083003E-3</v>
      </c>
      <c r="H651">
        <v>16.600000000000001</v>
      </c>
      <c r="I651">
        <f>Tableau1[[#This Row],[GHG (kgCO2eq/GJ)]]/1000*3.6</f>
        <v>5.9760000000000001E-2</v>
      </c>
      <c r="J651" t="s">
        <v>104</v>
      </c>
      <c r="K651" t="s">
        <v>109</v>
      </c>
    </row>
    <row r="652" spans="1:11" hidden="1" x14ac:dyDescent="0.3">
      <c r="A652" t="s">
        <v>37</v>
      </c>
      <c r="B652" t="s">
        <v>57</v>
      </c>
      <c r="C652" t="s">
        <v>94</v>
      </c>
      <c r="D652">
        <v>55.2</v>
      </c>
      <c r="E652">
        <f>Tableau1[[#This Row],[Potential (PJ)]]/3.6*1000</f>
        <v>15333.333333333334</v>
      </c>
      <c r="F652">
        <v>7.211789855072464</v>
      </c>
      <c r="G652">
        <f>Tableau1[[#This Row],[Cost (€/GJ)]]/1000*3.6</f>
        <v>2.596244347826087E-2</v>
      </c>
      <c r="H652">
        <v>16.5</v>
      </c>
      <c r="I652">
        <f>Tableau1[[#This Row],[GHG (kgCO2eq/GJ)]]/1000*3.6</f>
        <v>5.9400000000000001E-2</v>
      </c>
      <c r="J652" t="s">
        <v>104</v>
      </c>
      <c r="K652" t="s">
        <v>109</v>
      </c>
    </row>
    <row r="653" spans="1:11" hidden="1" x14ac:dyDescent="0.3">
      <c r="A653" t="s">
        <v>37</v>
      </c>
      <c r="B653" t="s">
        <v>49</v>
      </c>
      <c r="C653" t="s">
        <v>71</v>
      </c>
      <c r="D653">
        <v>30.831340000000001</v>
      </c>
      <c r="E653">
        <f>Tableau1[[#This Row],[Potential (PJ)]]/3.6*1000</f>
        <v>8564.2611111111109</v>
      </c>
      <c r="F653">
        <v>2.126921162038367</v>
      </c>
      <c r="G653">
        <f>Tableau1[[#This Row],[Cost (€/GJ)]]/1000*3.6</f>
        <v>7.6569161833381213E-3</v>
      </c>
      <c r="H653">
        <v>3.86607608129234</v>
      </c>
      <c r="I653">
        <f>Tableau1[[#This Row],[GHG (kgCO2eq/GJ)]]/1000*3.6</f>
        <v>1.3917873892652425E-2</v>
      </c>
      <c r="J653" t="s">
        <v>104</v>
      </c>
      <c r="K653" t="s">
        <v>108</v>
      </c>
    </row>
    <row r="654" spans="1:11" hidden="1" x14ac:dyDescent="0.3">
      <c r="A654" t="s">
        <v>37</v>
      </c>
      <c r="B654" t="s">
        <v>49</v>
      </c>
      <c r="C654" t="s">
        <v>72</v>
      </c>
      <c r="D654">
        <v>2</v>
      </c>
      <c r="E654">
        <f>Tableau1[[#This Row],[Potential (PJ)]]/3.6*1000</f>
        <v>555.55555555555554</v>
      </c>
      <c r="F654">
        <v>2.8673000000000002</v>
      </c>
      <c r="G654">
        <f>Tableau1[[#This Row],[Cost (€/GJ)]]/1000*3.6</f>
        <v>1.0322280000000001E-2</v>
      </c>
      <c r="H654">
        <v>3.86607608129234</v>
      </c>
      <c r="I654">
        <f>Tableau1[[#This Row],[GHG (kgCO2eq/GJ)]]/1000*3.6</f>
        <v>1.3917873892652425E-2</v>
      </c>
      <c r="J654" t="s">
        <v>104</v>
      </c>
      <c r="K654" t="s">
        <v>108</v>
      </c>
    </row>
    <row r="655" spans="1:11" hidden="1" x14ac:dyDescent="0.3">
      <c r="A655" t="s">
        <v>37</v>
      </c>
      <c r="B655" t="s">
        <v>58</v>
      </c>
      <c r="C655" t="s">
        <v>95</v>
      </c>
      <c r="D655">
        <v>5.2273099999999992</v>
      </c>
      <c r="E655">
        <f>Tableau1[[#This Row],[Potential (PJ)]]/3.6*1000</f>
        <v>1452.0305555555553</v>
      </c>
      <c r="F655">
        <v>0</v>
      </c>
      <c r="G655">
        <f>Tableau1[[#This Row],[Cost (€/GJ)]]/1000*3.6</f>
        <v>0</v>
      </c>
      <c r="H655">
        <v>2.9521711768407801</v>
      </c>
      <c r="I655">
        <f>Tableau1[[#This Row],[GHG (kgCO2eq/GJ)]]/1000*3.6</f>
        <v>1.0627816236626808E-2</v>
      </c>
      <c r="J655" t="s">
        <v>104</v>
      </c>
      <c r="K655" t="s">
        <v>108</v>
      </c>
    </row>
    <row r="656" spans="1:11" hidden="1" x14ac:dyDescent="0.3">
      <c r="A656" t="s">
        <v>37</v>
      </c>
      <c r="B656" t="s">
        <v>50</v>
      </c>
      <c r="C656" t="s">
        <v>73</v>
      </c>
      <c r="D656">
        <v>1.1000000000000001</v>
      </c>
      <c r="E656">
        <f>Tableau1[[#This Row],[Potential (PJ)]]/3.6*1000</f>
        <v>305.5555555555556</v>
      </c>
      <c r="F656">
        <v>4.9517272727272728</v>
      </c>
      <c r="G656">
        <f>Tableau1[[#This Row],[Cost (€/GJ)]]/1000*3.6</f>
        <v>1.7826218181818183E-2</v>
      </c>
      <c r="H656">
        <v>20.723404255319149</v>
      </c>
      <c r="I656">
        <f>Tableau1[[#This Row],[GHG (kgCO2eq/GJ)]]/1000*3.6</f>
        <v>7.4604255319148938E-2</v>
      </c>
      <c r="J656" t="s">
        <v>105</v>
      </c>
      <c r="K656" t="s">
        <v>108</v>
      </c>
    </row>
    <row r="657" spans="1:11" hidden="1" x14ac:dyDescent="0.3">
      <c r="A657" t="s">
        <v>37</v>
      </c>
      <c r="B657" t="s">
        <v>50</v>
      </c>
      <c r="C657" t="s">
        <v>74</v>
      </c>
      <c r="D657">
        <v>14.4</v>
      </c>
      <c r="E657">
        <f>Tableau1[[#This Row],[Potential (PJ)]]/3.6*1000</f>
        <v>4000</v>
      </c>
      <c r="F657">
        <v>2.8490833333333332</v>
      </c>
      <c r="G657">
        <f>Tableau1[[#This Row],[Cost (€/GJ)]]/1000*3.6</f>
        <v>1.0256700000000001E-2</v>
      </c>
      <c r="H657">
        <v>2.0635593220338988</v>
      </c>
      <c r="I657">
        <f>Tableau1[[#This Row],[GHG (kgCO2eq/GJ)]]/1000*3.6</f>
        <v>7.4288135593220351E-3</v>
      </c>
      <c r="J657" t="s">
        <v>105</v>
      </c>
      <c r="K657" t="s">
        <v>108</v>
      </c>
    </row>
    <row r="658" spans="1:11" hidden="1" x14ac:dyDescent="0.3">
      <c r="A658" t="s">
        <v>37</v>
      </c>
      <c r="B658" t="s">
        <v>59</v>
      </c>
      <c r="C658" t="s">
        <v>96</v>
      </c>
      <c r="D658">
        <v>4.3224</v>
      </c>
      <c r="E658">
        <f>Tableau1[[#This Row],[Potential (PJ)]]/3.6*1000</f>
        <v>1200.6666666666665</v>
      </c>
      <c r="F658">
        <v>31.498000000000001</v>
      </c>
      <c r="G658">
        <f>Tableau1[[#This Row],[Cost (€/GJ)]]/1000*3.6</f>
        <v>0.1133928</v>
      </c>
      <c r="H658">
        <v>6</v>
      </c>
      <c r="I658">
        <f>Tableau1[[#This Row],[GHG (kgCO2eq/GJ)]]/1000*3.6</f>
        <v>2.1600000000000001E-2</v>
      </c>
      <c r="J658" t="s">
        <v>107</v>
      </c>
      <c r="K658" t="s">
        <v>109</v>
      </c>
    </row>
    <row r="659" spans="1:11" hidden="1" x14ac:dyDescent="0.3">
      <c r="A659" t="s">
        <v>37</v>
      </c>
      <c r="B659" t="s">
        <v>59</v>
      </c>
      <c r="C659" t="s">
        <v>97</v>
      </c>
      <c r="D659">
        <v>2.7867999999999999</v>
      </c>
      <c r="E659">
        <f>Tableau1[[#This Row],[Potential (PJ)]]/3.6*1000</f>
        <v>774.11111111111109</v>
      </c>
      <c r="F659">
        <v>15.95225176342919</v>
      </c>
      <c r="G659">
        <f>Tableau1[[#This Row],[Cost (€/GJ)]]/1000*3.6</f>
        <v>5.7428106348345095E-2</v>
      </c>
      <c r="H659">
        <v>6</v>
      </c>
      <c r="I659">
        <f>Tableau1[[#This Row],[GHG (kgCO2eq/GJ)]]/1000*3.6</f>
        <v>2.1600000000000001E-2</v>
      </c>
      <c r="J659" t="s">
        <v>107</v>
      </c>
      <c r="K659" t="s">
        <v>109</v>
      </c>
    </row>
    <row r="660" spans="1:11" hidden="1" x14ac:dyDescent="0.3">
      <c r="A660" t="s">
        <v>37</v>
      </c>
      <c r="B660" t="s">
        <v>51</v>
      </c>
      <c r="C660" t="s">
        <v>75</v>
      </c>
      <c r="D660">
        <v>6.7375939999999996</v>
      </c>
      <c r="E660">
        <f>Tableau1[[#This Row],[Potential (PJ)]]/3.6*1000</f>
        <v>1871.5538888888887</v>
      </c>
      <c r="F660">
        <v>8.4863973360258194E-2</v>
      </c>
      <c r="G660">
        <f>Tableau1[[#This Row],[Cost (€/GJ)]]/1000*3.6</f>
        <v>3.0551030409692949E-4</v>
      </c>
      <c r="H660">
        <v>11.74</v>
      </c>
      <c r="I660">
        <f>Tableau1[[#This Row],[GHG (kgCO2eq/GJ)]]/1000*3.6</f>
        <v>4.2264000000000003E-2</v>
      </c>
      <c r="J660" t="s">
        <v>104</v>
      </c>
      <c r="K660" t="s">
        <v>108</v>
      </c>
    </row>
    <row r="661" spans="1:11" hidden="1" x14ac:dyDescent="0.3">
      <c r="A661" t="s">
        <v>37</v>
      </c>
      <c r="B661" t="s">
        <v>60</v>
      </c>
      <c r="C661" t="s">
        <v>98</v>
      </c>
      <c r="D661">
        <v>14.5435</v>
      </c>
      <c r="E661">
        <f>Tableau1[[#This Row],[Potential (PJ)]]/3.6*1000</f>
        <v>4039.8611111111109</v>
      </c>
      <c r="F661">
        <v>13.856068743286791</v>
      </c>
      <c r="G661">
        <f>Tableau1[[#This Row],[Cost (€/GJ)]]/1000*3.6</f>
        <v>4.988184747583245E-2</v>
      </c>
      <c r="H661">
        <v>24.7</v>
      </c>
      <c r="I661">
        <f>Tableau1[[#This Row],[GHG (kgCO2eq/GJ)]]/1000*3.6</f>
        <v>8.8919999999999999E-2</v>
      </c>
      <c r="J661" t="s">
        <v>107</v>
      </c>
      <c r="K661" t="s">
        <v>109</v>
      </c>
    </row>
    <row r="662" spans="1:11" hidden="1" x14ac:dyDescent="0.3">
      <c r="A662" t="s">
        <v>37</v>
      </c>
      <c r="B662" t="s">
        <v>52</v>
      </c>
      <c r="C662" t="s">
        <v>76</v>
      </c>
      <c r="D662">
        <v>1.6E-2</v>
      </c>
      <c r="E662">
        <f>Tableau1[[#This Row],[Potential (PJ)]]/3.6*1000</f>
        <v>4.4444444444444446</v>
      </c>
      <c r="F662">
        <v>6.1837425000000001</v>
      </c>
      <c r="G662">
        <f>Tableau1[[#This Row],[Cost (€/GJ)]]/1000*3.6</f>
        <v>2.2261473000000004E-2</v>
      </c>
      <c r="H662">
        <v>12.68872359754714</v>
      </c>
      <c r="I662">
        <f>Tableau1[[#This Row],[GHG (kgCO2eq/GJ)]]/1000*3.6</f>
        <v>4.5679404951169705E-2</v>
      </c>
      <c r="J662" t="s">
        <v>105</v>
      </c>
      <c r="K662" t="s">
        <v>108</v>
      </c>
    </row>
    <row r="663" spans="1:11" hidden="1" x14ac:dyDescent="0.3">
      <c r="A663" t="s">
        <v>37</v>
      </c>
      <c r="B663" t="s">
        <v>53</v>
      </c>
      <c r="C663" t="s">
        <v>77</v>
      </c>
      <c r="D663">
        <v>6.3721999999999994</v>
      </c>
      <c r="E663">
        <f>Tableau1[[#This Row],[Potential (PJ)]]/3.6*1000</f>
        <v>1770.0555555555552</v>
      </c>
      <c r="F663">
        <v>2.867345929192429</v>
      </c>
      <c r="G663">
        <f>Tableau1[[#This Row],[Cost (€/GJ)]]/1000*3.6</f>
        <v>1.0322445345092746E-2</v>
      </c>
      <c r="H663">
        <v>3.86607608129234</v>
      </c>
      <c r="I663">
        <f>Tableau1[[#This Row],[GHG (kgCO2eq/GJ)]]/1000*3.6</f>
        <v>1.3917873892652425E-2</v>
      </c>
      <c r="J663" t="s">
        <v>104</v>
      </c>
      <c r="K663" t="s">
        <v>108</v>
      </c>
    </row>
    <row r="664" spans="1:11" hidden="1" x14ac:dyDescent="0.3">
      <c r="A664" t="s">
        <v>37</v>
      </c>
      <c r="B664" t="s">
        <v>61</v>
      </c>
      <c r="C664" t="s">
        <v>99</v>
      </c>
      <c r="D664">
        <v>5.6</v>
      </c>
      <c r="E664">
        <f>Tableau1[[#This Row],[Potential (PJ)]]/3.6*1000</f>
        <v>1555.5555555555554</v>
      </c>
      <c r="F664">
        <v>1.3652500000000001</v>
      </c>
      <c r="G664">
        <f>Tableau1[[#This Row],[Cost (€/GJ)]]/1000*3.6</f>
        <v>4.9149000000000007E-3</v>
      </c>
      <c r="H664">
        <v>2.9245635910224439</v>
      </c>
      <c r="I664">
        <f>Tableau1[[#This Row],[GHG (kgCO2eq/GJ)]]/1000*3.6</f>
        <v>1.0528428927680798E-2</v>
      </c>
      <c r="J664" t="s">
        <v>104</v>
      </c>
      <c r="K664" t="s">
        <v>108</v>
      </c>
    </row>
    <row r="665" spans="1:11" hidden="1" x14ac:dyDescent="0.3">
      <c r="A665" t="s">
        <v>37</v>
      </c>
      <c r="B665" t="s">
        <v>62</v>
      </c>
      <c r="C665" t="s">
        <v>100</v>
      </c>
      <c r="D665">
        <v>1.9</v>
      </c>
      <c r="E665">
        <f>Tableau1[[#This Row],[Potential (PJ)]]/3.6*1000</f>
        <v>527.77777777777783</v>
      </c>
      <c r="F665">
        <v>0.41578947368421049</v>
      </c>
      <c r="G665">
        <f>Tableau1[[#This Row],[Cost (€/GJ)]]/1000*3.6</f>
        <v>1.4968421052631577E-3</v>
      </c>
      <c r="H665">
        <v>2.6764106050305911</v>
      </c>
      <c r="I665">
        <f>Tableau1[[#This Row],[GHG (kgCO2eq/GJ)]]/1000*3.6</f>
        <v>9.6350781781101291E-3</v>
      </c>
      <c r="J665" t="s">
        <v>104</v>
      </c>
      <c r="K665" t="s">
        <v>108</v>
      </c>
    </row>
    <row r="666" spans="1:11" hidden="1" x14ac:dyDescent="0.3">
      <c r="A666" t="s">
        <v>37</v>
      </c>
      <c r="B666" t="s">
        <v>54</v>
      </c>
      <c r="C666" t="s">
        <v>78</v>
      </c>
      <c r="D666">
        <v>104.4</v>
      </c>
      <c r="E666">
        <f>Tableau1[[#This Row],[Potential (PJ)]]/3.6*1000</f>
        <v>29000</v>
      </c>
      <c r="F666">
        <v>2.8314521072796932</v>
      </c>
      <c r="G666">
        <f>Tableau1[[#This Row],[Cost (€/GJ)]]/1000*3.6</f>
        <v>1.0193227586206896E-2</v>
      </c>
      <c r="H666">
        <v>3.86607608129234</v>
      </c>
      <c r="I666">
        <f>Tableau1[[#This Row],[GHG (kgCO2eq/GJ)]]/1000*3.6</f>
        <v>1.3917873892652425E-2</v>
      </c>
      <c r="J666" t="s">
        <v>104</v>
      </c>
      <c r="K666" t="s">
        <v>108</v>
      </c>
    </row>
    <row r="667" spans="1:11" hidden="1" x14ac:dyDescent="0.3">
      <c r="A667" t="s">
        <v>38</v>
      </c>
      <c r="B667" t="s">
        <v>46</v>
      </c>
      <c r="C667" t="s">
        <v>64</v>
      </c>
      <c r="D667">
        <v>0.13933000000000001</v>
      </c>
      <c r="E667">
        <f>Tableau1[[#This Row],[Potential (PJ)]]/3.6*1000</f>
        <v>38.702777777777783</v>
      </c>
      <c r="F667">
        <v>5.0919999999999996</v>
      </c>
      <c r="G667">
        <f>Tableau1[[#This Row],[Cost (€/GJ)]]/1000*3.6</f>
        <v>1.8331199999999999E-2</v>
      </c>
      <c r="H667">
        <v>2.9521711768407801</v>
      </c>
      <c r="I667">
        <f>Tableau1[[#This Row],[GHG (kgCO2eq/GJ)]]/1000*3.6</f>
        <v>1.0627816236626808E-2</v>
      </c>
      <c r="J667" t="s">
        <v>104</v>
      </c>
      <c r="K667" t="s">
        <v>108</v>
      </c>
    </row>
    <row r="668" spans="1:11" hidden="1" x14ac:dyDescent="0.3">
      <c r="A668" t="s">
        <v>38</v>
      </c>
      <c r="B668" t="s">
        <v>46</v>
      </c>
      <c r="C668" t="s">
        <v>79</v>
      </c>
      <c r="D668">
        <v>8.4</v>
      </c>
      <c r="E668">
        <f>Tableau1[[#This Row],[Potential (PJ)]]/3.6*1000</f>
        <v>2333.3333333333335</v>
      </c>
      <c r="F668">
        <v>0</v>
      </c>
      <c r="G668">
        <f>Tableau1[[#This Row],[Cost (€/GJ)]]/1000*3.6</f>
        <v>0</v>
      </c>
      <c r="H668">
        <v>6.8428961748633883</v>
      </c>
      <c r="I668">
        <f>Tableau1[[#This Row],[GHG (kgCO2eq/GJ)]]/1000*3.6</f>
        <v>2.4634426229508198E-2</v>
      </c>
      <c r="J668" t="s">
        <v>104</v>
      </c>
      <c r="K668" t="s">
        <v>108</v>
      </c>
    </row>
    <row r="669" spans="1:11" hidden="1" x14ac:dyDescent="0.3">
      <c r="A669" t="s">
        <v>38</v>
      </c>
      <c r="B669" t="s">
        <v>46</v>
      </c>
      <c r="C669" t="s">
        <v>65</v>
      </c>
      <c r="D669">
        <v>0.4</v>
      </c>
      <c r="E669">
        <f>Tableau1[[#This Row],[Potential (PJ)]]/3.6*1000</f>
        <v>111.11111111111111</v>
      </c>
      <c r="F669">
        <v>4.41</v>
      </c>
      <c r="G669">
        <f>Tableau1[[#This Row],[Cost (€/GJ)]]/1000*3.6</f>
        <v>1.5876000000000001E-2</v>
      </c>
      <c r="H669">
        <v>2.9521711768407801</v>
      </c>
      <c r="I669">
        <f>Tableau1[[#This Row],[GHG (kgCO2eq/GJ)]]/1000*3.6</f>
        <v>1.0627816236626808E-2</v>
      </c>
      <c r="J669" t="s">
        <v>104</v>
      </c>
      <c r="K669" t="s">
        <v>108</v>
      </c>
    </row>
    <row r="670" spans="1:11" hidden="1" x14ac:dyDescent="0.3">
      <c r="A670" t="s">
        <v>38</v>
      </c>
      <c r="B670" t="s">
        <v>46</v>
      </c>
      <c r="C670" t="s">
        <v>66</v>
      </c>
      <c r="D670">
        <v>4.4000000000000004</v>
      </c>
      <c r="E670">
        <f>Tableau1[[#This Row],[Potential (PJ)]]/3.6*1000</f>
        <v>1222.2222222222224</v>
      </c>
      <c r="F670">
        <v>3.262</v>
      </c>
      <c r="G670">
        <f>Tableau1[[#This Row],[Cost (€/GJ)]]/1000*3.6</f>
        <v>1.1743200000000001E-2</v>
      </c>
      <c r="H670">
        <v>6.8428961748633883</v>
      </c>
      <c r="I670">
        <f>Tableau1[[#This Row],[GHG (kgCO2eq/GJ)]]/1000*3.6</f>
        <v>2.4634426229508198E-2</v>
      </c>
      <c r="J670" t="s">
        <v>104</v>
      </c>
      <c r="K670" t="s">
        <v>108</v>
      </c>
    </row>
    <row r="671" spans="1:11" hidden="1" x14ac:dyDescent="0.3">
      <c r="A671" t="s">
        <v>38</v>
      </c>
      <c r="B671" t="s">
        <v>46</v>
      </c>
      <c r="C671" t="s">
        <v>82</v>
      </c>
      <c r="D671">
        <v>0.1</v>
      </c>
      <c r="E671">
        <f>Tableau1[[#This Row],[Potential (PJ)]]/3.6*1000</f>
        <v>27.777777777777779</v>
      </c>
      <c r="F671">
        <v>0</v>
      </c>
      <c r="G671">
        <f>Tableau1[[#This Row],[Cost (€/GJ)]]/1000*3.6</f>
        <v>0</v>
      </c>
      <c r="H671">
        <v>6.8428961748633883</v>
      </c>
      <c r="I671">
        <f>Tableau1[[#This Row],[GHG (kgCO2eq/GJ)]]/1000*3.6</f>
        <v>2.4634426229508198E-2</v>
      </c>
      <c r="J671" t="s">
        <v>104</v>
      </c>
      <c r="K671" t="s">
        <v>108</v>
      </c>
    </row>
    <row r="672" spans="1:11" hidden="1" x14ac:dyDescent="0.3">
      <c r="A672" t="s">
        <v>38</v>
      </c>
      <c r="B672" t="s">
        <v>46</v>
      </c>
      <c r="C672" t="s">
        <v>84</v>
      </c>
      <c r="D672">
        <v>0.3</v>
      </c>
      <c r="E672">
        <f>Tableau1[[#This Row],[Potential (PJ)]]/3.6*1000</f>
        <v>83.333333333333329</v>
      </c>
      <c r="F672">
        <v>1.71</v>
      </c>
      <c r="G672">
        <f>Tableau1[[#This Row],[Cost (€/GJ)]]/1000*3.6</f>
        <v>6.156E-3</v>
      </c>
      <c r="H672">
        <v>28.139870918023309</v>
      </c>
      <c r="I672">
        <f>Tableau1[[#This Row],[GHG (kgCO2eq/GJ)]]/1000*3.6</f>
        <v>0.10130353530488391</v>
      </c>
      <c r="J672" t="s">
        <v>105</v>
      </c>
      <c r="K672" t="s">
        <v>108</v>
      </c>
    </row>
    <row r="673" spans="1:11" hidden="1" x14ac:dyDescent="0.3">
      <c r="A673" t="s">
        <v>38</v>
      </c>
      <c r="B673" t="s">
        <v>46</v>
      </c>
      <c r="C673" t="s">
        <v>85</v>
      </c>
      <c r="D673">
        <v>0.1</v>
      </c>
      <c r="E673">
        <f>Tableau1[[#This Row],[Potential (PJ)]]/3.6*1000</f>
        <v>27.777777777777779</v>
      </c>
      <c r="F673">
        <v>4.0919999999999996</v>
      </c>
      <c r="G673">
        <f>Tableau1[[#This Row],[Cost (€/GJ)]]/1000*3.6</f>
        <v>1.4731199999999998E-2</v>
      </c>
      <c r="H673">
        <v>2.9521711768407801</v>
      </c>
      <c r="I673">
        <f>Tableau1[[#This Row],[GHG (kgCO2eq/GJ)]]/1000*3.6</f>
        <v>1.0627816236626808E-2</v>
      </c>
      <c r="J673" t="s">
        <v>104</v>
      </c>
      <c r="K673" t="s">
        <v>108</v>
      </c>
    </row>
    <row r="674" spans="1:11" hidden="1" x14ac:dyDescent="0.3">
      <c r="A674" t="s">
        <v>38</v>
      </c>
      <c r="B674" t="s">
        <v>47</v>
      </c>
      <c r="C674" t="s">
        <v>68</v>
      </c>
      <c r="D674">
        <v>17.7</v>
      </c>
      <c r="E674">
        <f>Tableau1[[#This Row],[Potential (PJ)]]/3.6*1000</f>
        <v>4916.6666666666661</v>
      </c>
      <c r="F674">
        <v>3.8889999999999989</v>
      </c>
      <c r="G674">
        <f>Tableau1[[#This Row],[Cost (€/GJ)]]/1000*3.6</f>
        <v>1.4000399999999996E-2</v>
      </c>
      <c r="H674">
        <v>14.1</v>
      </c>
      <c r="I674">
        <f>Tableau1[[#This Row],[GHG (kgCO2eq/GJ)]]/1000*3.6</f>
        <v>5.076E-2</v>
      </c>
      <c r="J674" t="s">
        <v>104</v>
      </c>
      <c r="K674" t="s">
        <v>109</v>
      </c>
    </row>
    <row r="675" spans="1:11" hidden="1" x14ac:dyDescent="0.3">
      <c r="A675" t="s">
        <v>38</v>
      </c>
      <c r="B675" t="s">
        <v>47</v>
      </c>
      <c r="C675" t="s">
        <v>69</v>
      </c>
      <c r="D675">
        <v>12.4</v>
      </c>
      <c r="E675">
        <f>Tableau1[[#This Row],[Potential (PJ)]]/3.6*1000</f>
        <v>3444.4444444444448</v>
      </c>
      <c r="F675">
        <v>3.875999999999999</v>
      </c>
      <c r="G675">
        <f>Tableau1[[#This Row],[Cost (€/GJ)]]/1000*3.6</f>
        <v>1.3953599999999997E-2</v>
      </c>
      <c r="H675">
        <v>14.1</v>
      </c>
      <c r="I675">
        <f>Tableau1[[#This Row],[GHG (kgCO2eq/GJ)]]/1000*3.6</f>
        <v>5.076E-2</v>
      </c>
      <c r="J675" t="s">
        <v>104</v>
      </c>
      <c r="K675" t="s">
        <v>109</v>
      </c>
    </row>
    <row r="676" spans="1:11" hidden="1" x14ac:dyDescent="0.3">
      <c r="A676" t="s">
        <v>38</v>
      </c>
      <c r="B676" t="s">
        <v>48</v>
      </c>
      <c r="C676" t="s">
        <v>70</v>
      </c>
      <c r="D676">
        <v>6.6</v>
      </c>
      <c r="E676">
        <f>Tableau1[[#This Row],[Potential (PJ)]]/3.6*1000</f>
        <v>1833.3333333333333</v>
      </c>
      <c r="F676">
        <v>10.003</v>
      </c>
      <c r="G676">
        <f>Tableau1[[#This Row],[Cost (€/GJ)]]/1000*3.6</f>
        <v>3.6010800000000003E-2</v>
      </c>
      <c r="H676">
        <v>0</v>
      </c>
      <c r="I676">
        <f>Tableau1[[#This Row],[GHG (kgCO2eq/GJ)]]/1000*3.6</f>
        <v>0</v>
      </c>
      <c r="J676" t="s">
        <v>104</v>
      </c>
      <c r="K676" t="s">
        <v>109</v>
      </c>
    </row>
    <row r="677" spans="1:11" hidden="1" x14ac:dyDescent="0.3">
      <c r="A677" t="s">
        <v>38</v>
      </c>
      <c r="B677" t="s">
        <v>49</v>
      </c>
      <c r="C677" t="s">
        <v>72</v>
      </c>
      <c r="D677">
        <v>1.5</v>
      </c>
      <c r="E677">
        <f>Tableau1[[#This Row],[Potential (PJ)]]/3.6*1000</f>
        <v>416.66666666666663</v>
      </c>
      <c r="F677">
        <v>0</v>
      </c>
      <c r="G677">
        <f>Tableau1[[#This Row],[Cost (€/GJ)]]/1000*3.6</f>
        <v>0</v>
      </c>
      <c r="H677">
        <v>3.86607608129234</v>
      </c>
      <c r="I677">
        <f>Tableau1[[#This Row],[GHG (kgCO2eq/GJ)]]/1000*3.6</f>
        <v>1.3917873892652425E-2</v>
      </c>
      <c r="J677" t="s">
        <v>104</v>
      </c>
      <c r="K677" t="s">
        <v>108</v>
      </c>
    </row>
    <row r="678" spans="1:11" hidden="1" x14ac:dyDescent="0.3">
      <c r="A678" t="s">
        <v>38</v>
      </c>
      <c r="B678" t="s">
        <v>50</v>
      </c>
      <c r="C678" t="s">
        <v>73</v>
      </c>
      <c r="D678">
        <v>4.2</v>
      </c>
      <c r="E678">
        <f>Tableau1[[#This Row],[Potential (PJ)]]/3.6*1000</f>
        <v>1166.6666666666667</v>
      </c>
      <c r="F678">
        <v>5.4240000000000004</v>
      </c>
      <c r="G678">
        <f>Tableau1[[#This Row],[Cost (€/GJ)]]/1000*3.6</f>
        <v>1.9526399999999999E-2</v>
      </c>
      <c r="H678">
        <v>20.723404255319149</v>
      </c>
      <c r="I678">
        <f>Tableau1[[#This Row],[GHG (kgCO2eq/GJ)]]/1000*3.6</f>
        <v>7.4604255319148938E-2</v>
      </c>
      <c r="J678" t="s">
        <v>105</v>
      </c>
      <c r="K678" t="s">
        <v>108</v>
      </c>
    </row>
    <row r="679" spans="1:11" hidden="1" x14ac:dyDescent="0.3">
      <c r="A679" t="s">
        <v>38</v>
      </c>
      <c r="B679" t="s">
        <v>50</v>
      </c>
      <c r="C679" t="s">
        <v>74</v>
      </c>
      <c r="D679">
        <v>4.8</v>
      </c>
      <c r="E679">
        <f>Tableau1[[#This Row],[Potential (PJ)]]/3.6*1000</f>
        <v>1333.3333333333333</v>
      </c>
      <c r="F679">
        <v>3.484</v>
      </c>
      <c r="G679">
        <f>Tableau1[[#This Row],[Cost (€/GJ)]]/1000*3.6</f>
        <v>1.25424E-2</v>
      </c>
      <c r="H679">
        <v>2.0635593220338988</v>
      </c>
      <c r="I679">
        <f>Tableau1[[#This Row],[GHG (kgCO2eq/GJ)]]/1000*3.6</f>
        <v>7.4288135593220351E-3</v>
      </c>
      <c r="J679" t="s">
        <v>105</v>
      </c>
      <c r="K679" t="s">
        <v>108</v>
      </c>
    </row>
    <row r="680" spans="1:11" hidden="1" x14ac:dyDescent="0.3">
      <c r="A680" t="s">
        <v>38</v>
      </c>
      <c r="B680" t="s">
        <v>51</v>
      </c>
      <c r="C680" t="s">
        <v>75</v>
      </c>
      <c r="D680">
        <v>12.50666</v>
      </c>
      <c r="E680">
        <f>Tableau1[[#This Row],[Potential (PJ)]]/3.6*1000</f>
        <v>3474.0722222222221</v>
      </c>
      <c r="F680">
        <v>8.4863973360258194E-2</v>
      </c>
      <c r="G680">
        <f>Tableau1[[#This Row],[Cost (€/GJ)]]/1000*3.6</f>
        <v>3.0551030409692949E-4</v>
      </c>
      <c r="H680">
        <v>11.74</v>
      </c>
      <c r="I680">
        <f>Tableau1[[#This Row],[GHG (kgCO2eq/GJ)]]/1000*3.6</f>
        <v>4.2264000000000003E-2</v>
      </c>
      <c r="J680" t="s">
        <v>104</v>
      </c>
      <c r="K680" t="s">
        <v>108</v>
      </c>
    </row>
    <row r="681" spans="1:11" hidden="1" x14ac:dyDescent="0.3">
      <c r="A681" t="s">
        <v>38</v>
      </c>
      <c r="B681" t="s">
        <v>52</v>
      </c>
      <c r="C681" t="s">
        <v>76</v>
      </c>
      <c r="D681">
        <v>5.0000000000000001E-3</v>
      </c>
      <c r="E681">
        <f>Tableau1[[#This Row],[Potential (PJ)]]/3.6*1000</f>
        <v>1.3888888888888888</v>
      </c>
      <c r="F681">
        <v>6.1837425000000001</v>
      </c>
      <c r="G681">
        <f>Tableau1[[#This Row],[Cost (€/GJ)]]/1000*3.6</f>
        <v>2.2261473000000004E-2</v>
      </c>
      <c r="H681">
        <v>12.68872359754714</v>
      </c>
      <c r="I681">
        <f>Tableau1[[#This Row],[GHG (kgCO2eq/GJ)]]/1000*3.6</f>
        <v>4.5679404951169705E-2</v>
      </c>
      <c r="J681" t="s">
        <v>105</v>
      </c>
      <c r="K681" t="s">
        <v>108</v>
      </c>
    </row>
    <row r="682" spans="1:11" hidden="1" x14ac:dyDescent="0.3">
      <c r="A682" t="s">
        <v>38</v>
      </c>
      <c r="B682" t="s">
        <v>53</v>
      </c>
      <c r="C682" t="s">
        <v>77</v>
      </c>
      <c r="D682">
        <v>19.51679</v>
      </c>
      <c r="E682">
        <f>Tableau1[[#This Row],[Potential (PJ)]]/3.6*1000</f>
        <v>5421.3305555555553</v>
      </c>
      <c r="F682">
        <v>0</v>
      </c>
      <c r="G682">
        <f>Tableau1[[#This Row],[Cost (€/GJ)]]/1000*3.6</f>
        <v>0</v>
      </c>
      <c r="H682">
        <v>3.86607608129234</v>
      </c>
      <c r="I682">
        <f>Tableau1[[#This Row],[GHG (kgCO2eq/GJ)]]/1000*3.6</f>
        <v>1.3917873892652425E-2</v>
      </c>
      <c r="J682" t="s">
        <v>104</v>
      </c>
      <c r="K682" t="s">
        <v>108</v>
      </c>
    </row>
    <row r="683" spans="1:11" hidden="1" x14ac:dyDescent="0.3">
      <c r="A683" t="s">
        <v>39</v>
      </c>
      <c r="B683" t="s">
        <v>46</v>
      </c>
      <c r="C683" t="s">
        <v>64</v>
      </c>
      <c r="D683">
        <v>2.0200000000000001E-3</v>
      </c>
      <c r="E683">
        <f>Tableau1[[#This Row],[Potential (PJ)]]/3.6*1000</f>
        <v>0.56111111111111112</v>
      </c>
      <c r="F683">
        <v>5.2094603960396029</v>
      </c>
      <c r="G683">
        <f>Tableau1[[#This Row],[Cost (€/GJ)]]/1000*3.6</f>
        <v>1.8754057425742571E-2</v>
      </c>
      <c r="H683">
        <v>2.9521711768407801</v>
      </c>
      <c r="I683">
        <f>Tableau1[[#This Row],[GHG (kgCO2eq/GJ)]]/1000*3.6</f>
        <v>1.0627816236626808E-2</v>
      </c>
      <c r="J683" t="s">
        <v>104</v>
      </c>
      <c r="K683" t="s">
        <v>108</v>
      </c>
    </row>
    <row r="684" spans="1:11" hidden="1" x14ac:dyDescent="0.3">
      <c r="A684" t="s">
        <v>39</v>
      </c>
      <c r="B684" t="s">
        <v>46</v>
      </c>
      <c r="C684" t="s">
        <v>79</v>
      </c>
      <c r="D684">
        <v>9.3000000000000007</v>
      </c>
      <c r="E684">
        <f>Tableau1[[#This Row],[Potential (PJ)]]/3.6*1000</f>
        <v>2583.3333333333335</v>
      </c>
      <c r="F684">
        <v>4.1263655913978488</v>
      </c>
      <c r="G684">
        <f>Tableau1[[#This Row],[Cost (€/GJ)]]/1000*3.6</f>
        <v>1.4854916129032256E-2</v>
      </c>
      <c r="H684">
        <v>6.8428961748633883</v>
      </c>
      <c r="I684">
        <f>Tableau1[[#This Row],[GHG (kgCO2eq/GJ)]]/1000*3.6</f>
        <v>2.4634426229508198E-2</v>
      </c>
      <c r="J684" t="s">
        <v>104</v>
      </c>
      <c r="K684" t="s">
        <v>108</v>
      </c>
    </row>
    <row r="685" spans="1:11" hidden="1" x14ac:dyDescent="0.3">
      <c r="A685" t="s">
        <v>39</v>
      </c>
      <c r="B685" t="s">
        <v>46</v>
      </c>
      <c r="C685" t="s">
        <v>80</v>
      </c>
      <c r="D685">
        <v>0.89119999999999999</v>
      </c>
      <c r="E685">
        <f>Tableau1[[#This Row],[Potential (PJ)]]/3.6*1000</f>
        <v>247.55555555555554</v>
      </c>
      <c r="F685">
        <v>0.56844234659474036</v>
      </c>
      <c r="G685">
        <f>Tableau1[[#This Row],[Cost (€/GJ)]]/1000*3.6</f>
        <v>2.0463924477410653E-3</v>
      </c>
      <c r="H685">
        <v>28.139870918023309</v>
      </c>
      <c r="I685">
        <f>Tableau1[[#This Row],[GHG (kgCO2eq/GJ)]]/1000*3.6</f>
        <v>0.10130353530488391</v>
      </c>
      <c r="J685" t="s">
        <v>105</v>
      </c>
      <c r="K685" t="s">
        <v>108</v>
      </c>
    </row>
    <row r="686" spans="1:11" hidden="1" x14ac:dyDescent="0.3">
      <c r="A686" t="s">
        <v>39</v>
      </c>
      <c r="B686" t="s">
        <v>46</v>
      </c>
      <c r="C686" t="s">
        <v>81</v>
      </c>
      <c r="D686">
        <v>5.3E-3</v>
      </c>
      <c r="E686">
        <f>Tableau1[[#This Row],[Potential (PJ)]]/3.6*1000</f>
        <v>1.4722222222222221</v>
      </c>
      <c r="F686">
        <v>3.150998824911869</v>
      </c>
      <c r="G686">
        <f>Tableau1[[#This Row],[Cost (€/GJ)]]/1000*3.6</f>
        <v>1.1343595769682729E-2</v>
      </c>
      <c r="H686">
        <v>8.9647473560517046</v>
      </c>
      <c r="I686">
        <f>Tableau1[[#This Row],[GHG (kgCO2eq/GJ)]]/1000*3.6</f>
        <v>3.2273090481786136E-2</v>
      </c>
      <c r="J686" t="s">
        <v>105</v>
      </c>
      <c r="K686" t="s">
        <v>108</v>
      </c>
    </row>
    <row r="687" spans="1:11" hidden="1" x14ac:dyDescent="0.3">
      <c r="A687" t="s">
        <v>39</v>
      </c>
      <c r="B687" t="s">
        <v>46</v>
      </c>
      <c r="C687" t="s">
        <v>82</v>
      </c>
      <c r="D687">
        <v>0.2</v>
      </c>
      <c r="E687">
        <f>Tableau1[[#This Row],[Potential (PJ)]]/3.6*1000</f>
        <v>55.555555555555557</v>
      </c>
      <c r="F687">
        <v>2.6204999999999998</v>
      </c>
      <c r="G687">
        <f>Tableau1[[#This Row],[Cost (€/GJ)]]/1000*3.6</f>
        <v>9.4338000000000009E-3</v>
      </c>
      <c r="H687">
        <v>6.8428961748633883</v>
      </c>
      <c r="I687">
        <f>Tableau1[[#This Row],[GHG (kgCO2eq/GJ)]]/1000*3.6</f>
        <v>2.4634426229508198E-2</v>
      </c>
      <c r="J687" t="s">
        <v>104</v>
      </c>
      <c r="K687" t="s">
        <v>108</v>
      </c>
    </row>
    <row r="688" spans="1:11" hidden="1" x14ac:dyDescent="0.3">
      <c r="A688" t="s">
        <v>39</v>
      </c>
      <c r="B688" t="s">
        <v>46</v>
      </c>
      <c r="C688" t="s">
        <v>84</v>
      </c>
      <c r="D688">
        <v>0.2</v>
      </c>
      <c r="E688">
        <f>Tableau1[[#This Row],[Potential (PJ)]]/3.6*1000</f>
        <v>55.555555555555557</v>
      </c>
      <c r="F688">
        <v>2.9340000000000002</v>
      </c>
      <c r="G688">
        <f>Tableau1[[#This Row],[Cost (€/GJ)]]/1000*3.6</f>
        <v>1.05624E-2</v>
      </c>
      <c r="H688">
        <v>28.139870918023309</v>
      </c>
      <c r="I688">
        <f>Tableau1[[#This Row],[GHG (kgCO2eq/GJ)]]/1000*3.6</f>
        <v>0.10130353530488391</v>
      </c>
      <c r="J688" t="s">
        <v>105</v>
      </c>
      <c r="K688" t="s">
        <v>108</v>
      </c>
    </row>
    <row r="689" spans="1:11" hidden="1" x14ac:dyDescent="0.3">
      <c r="A689" t="s">
        <v>39</v>
      </c>
      <c r="B689" t="s">
        <v>55</v>
      </c>
      <c r="C689" t="s">
        <v>86</v>
      </c>
      <c r="D689">
        <v>0.3044</v>
      </c>
      <c r="E689">
        <f>Tableau1[[#This Row],[Potential (PJ)]]/3.6*1000</f>
        <v>84.555555555555557</v>
      </c>
      <c r="F689">
        <v>16.594999999999999</v>
      </c>
      <c r="G689">
        <f>Tableau1[[#This Row],[Cost (€/GJ)]]/1000*3.6</f>
        <v>5.9741999999999996E-2</v>
      </c>
      <c r="H689">
        <v>14.2</v>
      </c>
      <c r="I689">
        <f>Tableau1[[#This Row],[GHG (kgCO2eq/GJ)]]/1000*3.6</f>
        <v>5.1119999999999999E-2</v>
      </c>
      <c r="J689" t="s">
        <v>106</v>
      </c>
      <c r="K689" t="s">
        <v>109</v>
      </c>
    </row>
    <row r="690" spans="1:11" hidden="1" x14ac:dyDescent="0.3">
      <c r="A690" t="s">
        <v>39</v>
      </c>
      <c r="B690" t="s">
        <v>55</v>
      </c>
      <c r="C690" t="s">
        <v>89</v>
      </c>
      <c r="D690">
        <v>5.9200000000000003E-2</v>
      </c>
      <c r="E690">
        <f>Tableau1[[#This Row],[Potential (PJ)]]/3.6*1000</f>
        <v>16.444444444444446</v>
      </c>
      <c r="F690">
        <v>0</v>
      </c>
      <c r="G690">
        <f>Tableau1[[#This Row],[Cost (€/GJ)]]/1000*3.6</f>
        <v>0</v>
      </c>
      <c r="H690">
        <v>14.2</v>
      </c>
      <c r="I690">
        <f>Tableau1[[#This Row],[GHG (kgCO2eq/GJ)]]/1000*3.6</f>
        <v>5.1119999999999999E-2</v>
      </c>
      <c r="J690" t="s">
        <v>106</v>
      </c>
      <c r="K690" t="s">
        <v>109</v>
      </c>
    </row>
    <row r="691" spans="1:11" hidden="1" x14ac:dyDescent="0.3">
      <c r="A691" t="s">
        <v>39</v>
      </c>
      <c r="B691" t="s">
        <v>55</v>
      </c>
      <c r="C691" t="s">
        <v>91</v>
      </c>
      <c r="D691">
        <v>1E-4</v>
      </c>
      <c r="E691">
        <f>Tableau1[[#This Row],[Potential (PJ)]]/3.6*1000</f>
        <v>2.777777777777778E-2</v>
      </c>
      <c r="F691">
        <v>15.297000000000001</v>
      </c>
      <c r="G691">
        <f>Tableau1[[#This Row],[Cost (€/GJ)]]/1000*3.6</f>
        <v>5.5069199999999999E-2</v>
      </c>
      <c r="H691">
        <v>14.2</v>
      </c>
      <c r="I691">
        <f>Tableau1[[#This Row],[GHG (kgCO2eq/GJ)]]/1000*3.6</f>
        <v>5.1119999999999999E-2</v>
      </c>
      <c r="J691" t="s">
        <v>106</v>
      </c>
      <c r="K691" t="s">
        <v>109</v>
      </c>
    </row>
    <row r="692" spans="1:11" hidden="1" x14ac:dyDescent="0.3">
      <c r="A692" t="s">
        <v>39</v>
      </c>
      <c r="B692" t="s">
        <v>55</v>
      </c>
      <c r="C692" t="s">
        <v>92</v>
      </c>
      <c r="D692">
        <v>9.3119999999999994E-2</v>
      </c>
      <c r="E692">
        <f>Tableau1[[#This Row],[Potential (PJ)]]/3.6*1000</f>
        <v>25.866666666666664</v>
      </c>
      <c r="F692">
        <v>17.721</v>
      </c>
      <c r="G692">
        <f>Tableau1[[#This Row],[Cost (€/GJ)]]/1000*3.6</f>
        <v>6.3795600000000008E-2</v>
      </c>
      <c r="H692">
        <v>14.2</v>
      </c>
      <c r="I692">
        <f>Tableau1[[#This Row],[GHG (kgCO2eq/GJ)]]/1000*3.6</f>
        <v>5.1119999999999999E-2</v>
      </c>
      <c r="J692" t="s">
        <v>106</v>
      </c>
      <c r="K692" t="s">
        <v>109</v>
      </c>
    </row>
    <row r="693" spans="1:11" hidden="1" x14ac:dyDescent="0.3">
      <c r="A693" t="s">
        <v>39</v>
      </c>
      <c r="B693" t="s">
        <v>56</v>
      </c>
      <c r="C693" t="s">
        <v>93</v>
      </c>
      <c r="D693">
        <v>5.4375999999999998</v>
      </c>
      <c r="E693">
        <f>Tableau1[[#This Row],[Potential (PJ)]]/3.6*1000</f>
        <v>1510.4444444444443</v>
      </c>
      <c r="F693">
        <v>2.939759036144578</v>
      </c>
      <c r="G693">
        <f>Tableau1[[#This Row],[Cost (€/GJ)]]/1000*3.6</f>
        <v>1.0583132530120481E-2</v>
      </c>
      <c r="H693">
        <v>0.1</v>
      </c>
      <c r="I693">
        <f>Tableau1[[#This Row],[GHG (kgCO2eq/GJ)]]/1000*3.6</f>
        <v>3.6000000000000002E-4</v>
      </c>
      <c r="J693" t="s">
        <v>106</v>
      </c>
      <c r="K693" t="s">
        <v>109</v>
      </c>
    </row>
    <row r="694" spans="1:11" hidden="1" x14ac:dyDescent="0.3">
      <c r="A694" t="s">
        <v>39</v>
      </c>
      <c r="B694" t="s">
        <v>47</v>
      </c>
      <c r="C694" t="s">
        <v>101</v>
      </c>
      <c r="D694">
        <v>5.8</v>
      </c>
      <c r="E694">
        <f>Tableau1[[#This Row],[Potential (PJ)]]/3.6*1000</f>
        <v>1611.1111111111109</v>
      </c>
      <c r="F694">
        <v>6.7685000000000004</v>
      </c>
      <c r="G694">
        <f>Tableau1[[#This Row],[Cost (€/GJ)]]/1000*3.6</f>
        <v>2.4366600000000002E-2</v>
      </c>
      <c r="H694">
        <v>29.3</v>
      </c>
      <c r="I694">
        <f>Tableau1[[#This Row],[GHG (kgCO2eq/GJ)]]/1000*3.6</f>
        <v>0.10548</v>
      </c>
      <c r="J694" t="s">
        <v>104</v>
      </c>
      <c r="K694" t="s">
        <v>109</v>
      </c>
    </row>
    <row r="695" spans="1:11" hidden="1" x14ac:dyDescent="0.3">
      <c r="A695" t="s">
        <v>39</v>
      </c>
      <c r="B695" t="s">
        <v>57</v>
      </c>
      <c r="C695" t="s">
        <v>94</v>
      </c>
      <c r="D695">
        <v>3.6</v>
      </c>
      <c r="E695">
        <f>Tableau1[[#This Row],[Potential (PJ)]]/3.6*1000</f>
        <v>1000</v>
      </c>
      <c r="F695">
        <v>13.305138888888891</v>
      </c>
      <c r="G695">
        <f>Tableau1[[#This Row],[Cost (€/GJ)]]/1000*3.6</f>
        <v>4.7898500000000011E-2</v>
      </c>
      <c r="H695">
        <v>15.9</v>
      </c>
      <c r="I695">
        <f>Tableau1[[#This Row],[GHG (kgCO2eq/GJ)]]/1000*3.6</f>
        <v>5.7240000000000006E-2</v>
      </c>
      <c r="J695" t="s">
        <v>104</v>
      </c>
      <c r="K695" t="s">
        <v>109</v>
      </c>
    </row>
    <row r="696" spans="1:11" hidden="1" x14ac:dyDescent="0.3">
      <c r="A696" t="s">
        <v>39</v>
      </c>
      <c r="B696" t="s">
        <v>49</v>
      </c>
      <c r="C696" t="s">
        <v>71</v>
      </c>
      <c r="D696">
        <v>43.043589999999988</v>
      </c>
      <c r="E696">
        <f>Tableau1[[#This Row],[Potential (PJ)]]/3.6*1000</f>
        <v>11956.552777777775</v>
      </c>
      <c r="F696">
        <v>5.6567805670948923</v>
      </c>
      <c r="G696">
        <f>Tableau1[[#This Row],[Cost (€/GJ)]]/1000*3.6</f>
        <v>2.0364410041541613E-2</v>
      </c>
      <c r="H696">
        <v>3.86607608129234</v>
      </c>
      <c r="I696">
        <f>Tableau1[[#This Row],[GHG (kgCO2eq/GJ)]]/1000*3.6</f>
        <v>1.3917873892652425E-2</v>
      </c>
      <c r="J696" t="s">
        <v>104</v>
      </c>
      <c r="K696" t="s">
        <v>108</v>
      </c>
    </row>
    <row r="697" spans="1:11" hidden="1" x14ac:dyDescent="0.3">
      <c r="A697" t="s">
        <v>39</v>
      </c>
      <c r="B697" t="s">
        <v>49</v>
      </c>
      <c r="C697" t="s">
        <v>72</v>
      </c>
      <c r="D697">
        <v>2.1</v>
      </c>
      <c r="E697">
        <f>Tableau1[[#This Row],[Potential (PJ)]]/3.6*1000</f>
        <v>583.33333333333337</v>
      </c>
      <c r="F697">
        <v>4.5220952380952388</v>
      </c>
      <c r="G697">
        <f>Tableau1[[#This Row],[Cost (€/GJ)]]/1000*3.6</f>
        <v>1.6279542857142861E-2</v>
      </c>
      <c r="H697">
        <v>3.86607608129234</v>
      </c>
      <c r="I697">
        <f>Tableau1[[#This Row],[GHG (kgCO2eq/GJ)]]/1000*3.6</f>
        <v>1.3917873892652425E-2</v>
      </c>
      <c r="J697" t="s">
        <v>104</v>
      </c>
      <c r="K697" t="s">
        <v>108</v>
      </c>
    </row>
    <row r="698" spans="1:11" hidden="1" x14ac:dyDescent="0.3">
      <c r="A698" t="s">
        <v>39</v>
      </c>
      <c r="B698" t="s">
        <v>58</v>
      </c>
      <c r="C698" t="s">
        <v>95</v>
      </c>
      <c r="D698">
        <v>7.1447200000000004</v>
      </c>
      <c r="E698">
        <f>Tableau1[[#This Row],[Potential (PJ)]]/3.6*1000</f>
        <v>1984.6444444444444</v>
      </c>
      <c r="F698">
        <v>1.3520476323774759</v>
      </c>
      <c r="G698">
        <f>Tableau1[[#This Row],[Cost (€/GJ)]]/1000*3.6</f>
        <v>4.8673714765589135E-3</v>
      </c>
      <c r="H698">
        <v>2.9521711768407801</v>
      </c>
      <c r="I698">
        <f>Tableau1[[#This Row],[GHG (kgCO2eq/GJ)]]/1000*3.6</f>
        <v>1.0627816236626808E-2</v>
      </c>
      <c r="J698" t="s">
        <v>104</v>
      </c>
      <c r="K698" t="s">
        <v>108</v>
      </c>
    </row>
    <row r="699" spans="1:11" hidden="1" x14ac:dyDescent="0.3">
      <c r="A699" t="s">
        <v>39</v>
      </c>
      <c r="B699" t="s">
        <v>50</v>
      </c>
      <c r="C699" t="s">
        <v>73</v>
      </c>
      <c r="D699">
        <v>1.4</v>
      </c>
      <c r="E699">
        <f>Tableau1[[#This Row],[Potential (PJ)]]/3.6*1000</f>
        <v>388.88888888888886</v>
      </c>
      <c r="F699">
        <v>5.7796428571428562</v>
      </c>
      <c r="G699">
        <f>Tableau1[[#This Row],[Cost (€/GJ)]]/1000*3.6</f>
        <v>2.0806714285714283E-2</v>
      </c>
      <c r="H699">
        <v>20.723404255319149</v>
      </c>
      <c r="I699">
        <f>Tableau1[[#This Row],[GHG (kgCO2eq/GJ)]]/1000*3.6</f>
        <v>7.4604255319148938E-2</v>
      </c>
      <c r="J699" t="s">
        <v>105</v>
      </c>
      <c r="K699" t="s">
        <v>108</v>
      </c>
    </row>
    <row r="700" spans="1:11" hidden="1" x14ac:dyDescent="0.3">
      <c r="A700" t="s">
        <v>39</v>
      </c>
      <c r="B700" t="s">
        <v>50</v>
      </c>
      <c r="C700" t="s">
        <v>74</v>
      </c>
      <c r="D700">
        <v>4.2</v>
      </c>
      <c r="E700">
        <f>Tableau1[[#This Row],[Potential (PJ)]]/3.6*1000</f>
        <v>1166.6666666666667</v>
      </c>
      <c r="F700">
        <v>6.9276904761904774</v>
      </c>
      <c r="G700">
        <f>Tableau1[[#This Row],[Cost (€/GJ)]]/1000*3.6</f>
        <v>2.4939685714285717E-2</v>
      </c>
      <c r="H700">
        <v>2.0635593220338988</v>
      </c>
      <c r="I700">
        <f>Tableau1[[#This Row],[GHG (kgCO2eq/GJ)]]/1000*3.6</f>
        <v>7.4288135593220351E-3</v>
      </c>
      <c r="J700" t="s">
        <v>105</v>
      </c>
      <c r="K700" t="s">
        <v>108</v>
      </c>
    </row>
    <row r="701" spans="1:11" hidden="1" x14ac:dyDescent="0.3">
      <c r="A701" t="s">
        <v>39</v>
      </c>
      <c r="B701" t="s">
        <v>51</v>
      </c>
      <c r="C701" t="s">
        <v>75</v>
      </c>
      <c r="D701">
        <v>23.085760000000001</v>
      </c>
      <c r="E701">
        <f>Tableau1[[#This Row],[Potential (PJ)]]/3.6*1000</f>
        <v>6412.7111111111117</v>
      </c>
      <c r="F701">
        <v>2.9714065881842398E-3</v>
      </c>
      <c r="G701">
        <f>Tableau1[[#This Row],[Cost (€/GJ)]]/1000*3.6</f>
        <v>1.0697063717463263E-5</v>
      </c>
      <c r="H701">
        <v>11.74</v>
      </c>
      <c r="I701">
        <f>Tableau1[[#This Row],[GHG (kgCO2eq/GJ)]]/1000*3.6</f>
        <v>4.2264000000000003E-2</v>
      </c>
      <c r="J701" t="s">
        <v>104</v>
      </c>
      <c r="K701" t="s">
        <v>108</v>
      </c>
    </row>
    <row r="702" spans="1:11" hidden="1" x14ac:dyDescent="0.3">
      <c r="A702" t="s">
        <v>39</v>
      </c>
      <c r="B702" t="s">
        <v>60</v>
      </c>
      <c r="C702" t="s">
        <v>98</v>
      </c>
      <c r="D702">
        <v>1.3563700000000001</v>
      </c>
      <c r="E702">
        <f>Tableau1[[#This Row],[Potential (PJ)]]/3.6*1000</f>
        <v>376.76944444444445</v>
      </c>
      <c r="F702">
        <v>16.004296455424271</v>
      </c>
      <c r="G702">
        <f>Tableau1[[#This Row],[Cost (€/GJ)]]/1000*3.6</f>
        <v>5.7615467239527381E-2</v>
      </c>
      <c r="H702">
        <v>22.8</v>
      </c>
      <c r="I702">
        <f>Tableau1[[#This Row],[GHG (kgCO2eq/GJ)]]/1000*3.6</f>
        <v>8.208E-2</v>
      </c>
      <c r="J702" t="s">
        <v>107</v>
      </c>
      <c r="K702" t="s">
        <v>109</v>
      </c>
    </row>
    <row r="703" spans="1:11" hidden="1" x14ac:dyDescent="0.3">
      <c r="A703" t="s">
        <v>39</v>
      </c>
      <c r="B703" t="s">
        <v>52</v>
      </c>
      <c r="C703" t="s">
        <v>76</v>
      </c>
      <c r="D703">
        <v>1.3420000000000001</v>
      </c>
      <c r="E703">
        <f>Tableau1[[#This Row],[Potential (PJ)]]/3.6*1000</f>
        <v>372.77777777777783</v>
      </c>
      <c r="F703">
        <v>6.1837425000000001</v>
      </c>
      <c r="G703">
        <f>Tableau1[[#This Row],[Cost (€/GJ)]]/1000*3.6</f>
        <v>2.2261473000000004E-2</v>
      </c>
      <c r="H703">
        <v>12.68872359754714</v>
      </c>
      <c r="I703">
        <f>Tableau1[[#This Row],[GHG (kgCO2eq/GJ)]]/1000*3.6</f>
        <v>4.5679404951169705E-2</v>
      </c>
      <c r="J703" t="s">
        <v>105</v>
      </c>
      <c r="K703" t="s">
        <v>108</v>
      </c>
    </row>
    <row r="704" spans="1:11" hidden="1" x14ac:dyDescent="0.3">
      <c r="A704" t="s">
        <v>39</v>
      </c>
      <c r="B704" t="s">
        <v>53</v>
      </c>
      <c r="C704" t="s">
        <v>77</v>
      </c>
      <c r="D704">
        <v>14.86378</v>
      </c>
      <c r="E704">
        <f>Tableau1[[#This Row],[Potential (PJ)]]/3.6*1000</f>
        <v>4128.8277777777776</v>
      </c>
      <c r="F704">
        <v>4.5227970570070326</v>
      </c>
      <c r="G704">
        <f>Tableau1[[#This Row],[Cost (€/GJ)]]/1000*3.6</f>
        <v>1.6282069405225315E-2</v>
      </c>
      <c r="H704">
        <v>3.86607608129234</v>
      </c>
      <c r="I704">
        <f>Tableau1[[#This Row],[GHG (kgCO2eq/GJ)]]/1000*3.6</f>
        <v>1.3917873892652425E-2</v>
      </c>
      <c r="J704" t="s">
        <v>104</v>
      </c>
      <c r="K704" t="s">
        <v>108</v>
      </c>
    </row>
    <row r="705" spans="1:11" hidden="1" x14ac:dyDescent="0.3">
      <c r="A705" t="s">
        <v>39</v>
      </c>
      <c r="B705" t="s">
        <v>61</v>
      </c>
      <c r="C705" t="s">
        <v>99</v>
      </c>
      <c r="D705">
        <v>19</v>
      </c>
      <c r="E705">
        <f>Tableau1[[#This Row],[Potential (PJ)]]/3.6*1000</f>
        <v>5277.7777777777774</v>
      </c>
      <c r="F705">
        <v>1.633610526315789</v>
      </c>
      <c r="G705">
        <f>Tableau1[[#This Row],[Cost (€/GJ)]]/1000*3.6</f>
        <v>5.88099789473684E-3</v>
      </c>
      <c r="H705">
        <v>2.9245635910224439</v>
      </c>
      <c r="I705">
        <f>Tableau1[[#This Row],[GHG (kgCO2eq/GJ)]]/1000*3.6</f>
        <v>1.0528428927680798E-2</v>
      </c>
      <c r="J705" t="s">
        <v>104</v>
      </c>
      <c r="K705" t="s">
        <v>108</v>
      </c>
    </row>
    <row r="706" spans="1:11" hidden="1" x14ac:dyDescent="0.3">
      <c r="A706" t="s">
        <v>39</v>
      </c>
      <c r="B706" t="s">
        <v>62</v>
      </c>
      <c r="C706" t="s">
        <v>100</v>
      </c>
      <c r="D706">
        <v>8.6000000000000014</v>
      </c>
      <c r="E706">
        <f>Tableau1[[#This Row],[Potential (PJ)]]/3.6*1000</f>
        <v>2388.8888888888891</v>
      </c>
      <c r="F706">
        <v>0.46744186046511632</v>
      </c>
      <c r="G706">
        <f>Tableau1[[#This Row],[Cost (€/GJ)]]/1000*3.6</f>
        <v>1.6827906976744189E-3</v>
      </c>
      <c r="H706">
        <v>2.6764106050305911</v>
      </c>
      <c r="I706">
        <f>Tableau1[[#This Row],[GHG (kgCO2eq/GJ)]]/1000*3.6</f>
        <v>9.6350781781101291E-3</v>
      </c>
      <c r="J706" t="s">
        <v>104</v>
      </c>
      <c r="K706" t="s">
        <v>108</v>
      </c>
    </row>
    <row r="707" spans="1:11" hidden="1" x14ac:dyDescent="0.3">
      <c r="A707" t="s">
        <v>39</v>
      </c>
      <c r="B707" t="s">
        <v>54</v>
      </c>
      <c r="C707" t="s">
        <v>78</v>
      </c>
      <c r="D707">
        <v>287.60000000000002</v>
      </c>
      <c r="E707">
        <f>Tableau1[[#This Row],[Potential (PJ)]]/3.6*1000</f>
        <v>79888.888888888905</v>
      </c>
      <c r="F707">
        <v>9.4114321974965218</v>
      </c>
      <c r="G707">
        <f>Tableau1[[#This Row],[Cost (€/GJ)]]/1000*3.6</f>
        <v>3.3881155910987476E-2</v>
      </c>
      <c r="H707">
        <v>3.86607608129234</v>
      </c>
      <c r="I707">
        <f>Tableau1[[#This Row],[GHG (kgCO2eq/GJ)]]/1000*3.6</f>
        <v>1.3917873892652425E-2</v>
      </c>
      <c r="J707" t="s">
        <v>104</v>
      </c>
      <c r="K707" t="s">
        <v>108</v>
      </c>
    </row>
    <row r="708" spans="1:11" hidden="1" x14ac:dyDescent="0.3">
      <c r="A708" t="s">
        <v>40</v>
      </c>
      <c r="B708" t="s">
        <v>46</v>
      </c>
      <c r="C708" t="s">
        <v>63</v>
      </c>
      <c r="D708">
        <v>6.9999999999999999E-4</v>
      </c>
      <c r="E708">
        <f>Tableau1[[#This Row],[Potential (PJ)]]/3.6*1000</f>
        <v>0.19444444444444442</v>
      </c>
      <c r="F708">
        <v>2.9286474973375931</v>
      </c>
      <c r="G708">
        <f>Tableau1[[#This Row],[Cost (€/GJ)]]/1000*3.6</f>
        <v>1.0543130990415334E-2</v>
      </c>
      <c r="H708">
        <v>3.950479233226837</v>
      </c>
      <c r="I708">
        <f>Tableau1[[#This Row],[GHG (kgCO2eq/GJ)]]/1000*3.6</f>
        <v>1.4221725239616614E-2</v>
      </c>
      <c r="J708" t="s">
        <v>104</v>
      </c>
      <c r="K708" t="s">
        <v>108</v>
      </c>
    </row>
    <row r="709" spans="1:11" hidden="1" x14ac:dyDescent="0.3">
      <c r="A709" t="s">
        <v>40</v>
      </c>
      <c r="B709" t="s">
        <v>46</v>
      </c>
      <c r="C709" t="s">
        <v>64</v>
      </c>
      <c r="D709">
        <v>7.2600000000000008E-3</v>
      </c>
      <c r="E709">
        <f>Tableau1[[#This Row],[Potential (PJ)]]/3.6*1000</f>
        <v>2.0166666666666671</v>
      </c>
      <c r="F709">
        <v>5.0717272727272729</v>
      </c>
      <c r="G709">
        <f>Tableau1[[#This Row],[Cost (€/GJ)]]/1000*3.6</f>
        <v>1.8258218181818182E-2</v>
      </c>
      <c r="H709">
        <v>2.9521711768407801</v>
      </c>
      <c r="I709">
        <f>Tableau1[[#This Row],[GHG (kgCO2eq/GJ)]]/1000*3.6</f>
        <v>1.0627816236626808E-2</v>
      </c>
      <c r="J709" t="s">
        <v>104</v>
      </c>
      <c r="K709" t="s">
        <v>108</v>
      </c>
    </row>
    <row r="710" spans="1:11" hidden="1" x14ac:dyDescent="0.3">
      <c r="A710" t="s">
        <v>40</v>
      </c>
      <c r="B710" t="s">
        <v>46</v>
      </c>
      <c r="C710" t="s">
        <v>80</v>
      </c>
      <c r="D710">
        <v>0.12690000000000001</v>
      </c>
      <c r="E710">
        <f>Tableau1[[#This Row],[Potential (PJ)]]/3.6*1000</f>
        <v>35.25</v>
      </c>
      <c r="F710">
        <v>2.7417397167902902</v>
      </c>
      <c r="G710">
        <f>Tableau1[[#This Row],[Cost (€/GJ)]]/1000*3.6</f>
        <v>9.8702629804450458E-3</v>
      </c>
      <c r="H710">
        <v>28.139870918023309</v>
      </c>
      <c r="I710">
        <f>Tableau1[[#This Row],[GHG (kgCO2eq/GJ)]]/1000*3.6</f>
        <v>0.10130353530488391</v>
      </c>
      <c r="J710" t="s">
        <v>105</v>
      </c>
      <c r="K710" t="s">
        <v>108</v>
      </c>
    </row>
    <row r="711" spans="1:11" hidden="1" x14ac:dyDescent="0.3">
      <c r="A711" t="s">
        <v>40</v>
      </c>
      <c r="B711" t="s">
        <v>46</v>
      </c>
      <c r="C711" t="s">
        <v>81</v>
      </c>
      <c r="D711">
        <v>3.7400000000000003E-2</v>
      </c>
      <c r="E711">
        <f>Tableau1[[#This Row],[Potential (PJ)]]/3.6*1000</f>
        <v>10.388888888888891</v>
      </c>
      <c r="F711">
        <v>2.5616921269095179</v>
      </c>
      <c r="G711">
        <f>Tableau1[[#This Row],[Cost (€/GJ)]]/1000*3.6</f>
        <v>9.222091656874265E-3</v>
      </c>
      <c r="H711">
        <v>8.9647473560517046</v>
      </c>
      <c r="I711">
        <f>Tableau1[[#This Row],[GHG (kgCO2eq/GJ)]]/1000*3.6</f>
        <v>3.2273090481786136E-2</v>
      </c>
      <c r="J711" t="s">
        <v>105</v>
      </c>
      <c r="K711" t="s">
        <v>108</v>
      </c>
    </row>
    <row r="712" spans="1:11" hidden="1" x14ac:dyDescent="0.3">
      <c r="A712" t="s">
        <v>40</v>
      </c>
      <c r="B712" t="s">
        <v>46</v>
      </c>
      <c r="C712" t="s">
        <v>66</v>
      </c>
      <c r="D712">
        <v>0.1</v>
      </c>
      <c r="E712">
        <f>Tableau1[[#This Row],[Potential (PJ)]]/3.6*1000</f>
        <v>27.777777777777779</v>
      </c>
      <c r="F712">
        <v>2.798999999999999</v>
      </c>
      <c r="G712">
        <f>Tableau1[[#This Row],[Cost (€/GJ)]]/1000*3.6</f>
        <v>1.0076399999999996E-2</v>
      </c>
      <c r="H712">
        <v>6.8428961748633883</v>
      </c>
      <c r="I712">
        <f>Tableau1[[#This Row],[GHG (kgCO2eq/GJ)]]/1000*3.6</f>
        <v>2.4634426229508198E-2</v>
      </c>
      <c r="J712" t="s">
        <v>104</v>
      </c>
      <c r="K712" t="s">
        <v>108</v>
      </c>
    </row>
    <row r="713" spans="1:11" hidden="1" x14ac:dyDescent="0.3">
      <c r="A713" t="s">
        <v>40</v>
      </c>
      <c r="B713" t="s">
        <v>46</v>
      </c>
      <c r="C713" t="s">
        <v>82</v>
      </c>
      <c r="D713">
        <v>0.1</v>
      </c>
      <c r="E713">
        <f>Tableau1[[#This Row],[Potential (PJ)]]/3.6*1000</f>
        <v>27.777777777777779</v>
      </c>
      <c r="F713">
        <v>1.649</v>
      </c>
      <c r="G713">
        <f>Tableau1[[#This Row],[Cost (€/GJ)]]/1000*3.6</f>
        <v>5.9364000000000005E-3</v>
      </c>
      <c r="H713">
        <v>6.8428961748633883</v>
      </c>
      <c r="I713">
        <f>Tableau1[[#This Row],[GHG (kgCO2eq/GJ)]]/1000*3.6</f>
        <v>2.4634426229508198E-2</v>
      </c>
      <c r="J713" t="s">
        <v>104</v>
      </c>
      <c r="K713" t="s">
        <v>108</v>
      </c>
    </row>
    <row r="714" spans="1:11" hidden="1" x14ac:dyDescent="0.3">
      <c r="A714" t="s">
        <v>40</v>
      </c>
      <c r="B714" t="s">
        <v>55</v>
      </c>
      <c r="C714" t="s">
        <v>86</v>
      </c>
      <c r="D714">
        <v>0.1094</v>
      </c>
      <c r="E714">
        <f>Tableau1[[#This Row],[Potential (PJ)]]/3.6*1000</f>
        <v>30.388888888888889</v>
      </c>
      <c r="F714">
        <v>14.561</v>
      </c>
      <c r="G714">
        <f>Tableau1[[#This Row],[Cost (€/GJ)]]/1000*3.6</f>
        <v>5.2419599999999997E-2</v>
      </c>
      <c r="H714">
        <v>21.3</v>
      </c>
      <c r="I714">
        <f>Tableau1[[#This Row],[GHG (kgCO2eq/GJ)]]/1000*3.6</f>
        <v>7.6679999999999998E-2</v>
      </c>
      <c r="J714" t="s">
        <v>106</v>
      </c>
      <c r="K714" t="s">
        <v>109</v>
      </c>
    </row>
    <row r="715" spans="1:11" hidden="1" x14ac:dyDescent="0.3">
      <c r="A715" t="s">
        <v>40</v>
      </c>
      <c r="B715" t="s">
        <v>55</v>
      </c>
      <c r="C715" t="s">
        <v>88</v>
      </c>
      <c r="D715">
        <v>2.9100000000000001E-2</v>
      </c>
      <c r="E715">
        <f>Tableau1[[#This Row],[Potential (PJ)]]/3.6*1000</f>
        <v>8.0833333333333321</v>
      </c>
      <c r="F715">
        <v>15.038</v>
      </c>
      <c r="G715">
        <f>Tableau1[[#This Row],[Cost (€/GJ)]]/1000*3.6</f>
        <v>5.4136800000000006E-2</v>
      </c>
      <c r="H715">
        <v>21.3</v>
      </c>
      <c r="I715">
        <f>Tableau1[[#This Row],[GHG (kgCO2eq/GJ)]]/1000*3.6</f>
        <v>7.6679999999999998E-2</v>
      </c>
      <c r="J715" t="s">
        <v>106</v>
      </c>
      <c r="K715" t="s">
        <v>109</v>
      </c>
    </row>
    <row r="716" spans="1:11" hidden="1" x14ac:dyDescent="0.3">
      <c r="A716" t="s">
        <v>40</v>
      </c>
      <c r="B716" t="s">
        <v>47</v>
      </c>
      <c r="C716" t="s">
        <v>68</v>
      </c>
      <c r="D716">
        <v>0.7</v>
      </c>
      <c r="E716">
        <f>Tableau1[[#This Row],[Potential (PJ)]]/3.6*1000</f>
        <v>194.44444444444443</v>
      </c>
      <c r="F716">
        <v>3.027428571428572</v>
      </c>
      <c r="G716">
        <f>Tableau1[[#This Row],[Cost (€/GJ)]]/1000*3.6</f>
        <v>1.089874285714286E-2</v>
      </c>
      <c r="H716">
        <v>17.3</v>
      </c>
      <c r="I716">
        <f>Tableau1[[#This Row],[GHG (kgCO2eq/GJ)]]/1000*3.6</f>
        <v>6.2280000000000002E-2</v>
      </c>
      <c r="J716" t="s">
        <v>104</v>
      </c>
      <c r="K716" t="s">
        <v>109</v>
      </c>
    </row>
    <row r="717" spans="1:11" hidden="1" x14ac:dyDescent="0.3">
      <c r="A717" t="s">
        <v>40</v>
      </c>
      <c r="B717" t="s">
        <v>47</v>
      </c>
      <c r="C717" t="s">
        <v>69</v>
      </c>
      <c r="D717">
        <v>0.60000000000000009</v>
      </c>
      <c r="E717">
        <f>Tableau1[[#This Row],[Potential (PJ)]]/3.6*1000</f>
        <v>166.66666666666669</v>
      </c>
      <c r="F717">
        <v>3.0976666666666661</v>
      </c>
      <c r="G717">
        <f>Tableau1[[#This Row],[Cost (€/GJ)]]/1000*3.6</f>
        <v>1.1151599999999998E-2</v>
      </c>
      <c r="H717">
        <v>17.3</v>
      </c>
      <c r="I717">
        <f>Tableau1[[#This Row],[GHG (kgCO2eq/GJ)]]/1000*3.6</f>
        <v>6.2280000000000002E-2</v>
      </c>
      <c r="J717" t="s">
        <v>104</v>
      </c>
      <c r="K717" t="s">
        <v>109</v>
      </c>
    </row>
    <row r="718" spans="1:11" hidden="1" x14ac:dyDescent="0.3">
      <c r="A718" t="s">
        <v>40</v>
      </c>
      <c r="B718" t="s">
        <v>48</v>
      </c>
      <c r="C718" t="s">
        <v>70</v>
      </c>
      <c r="D718">
        <v>0.3</v>
      </c>
      <c r="E718">
        <f>Tableau1[[#This Row],[Potential (PJ)]]/3.6*1000</f>
        <v>83.333333333333329</v>
      </c>
      <c r="F718">
        <v>8.0336666666666652</v>
      </c>
      <c r="G718">
        <f>Tableau1[[#This Row],[Cost (€/GJ)]]/1000*3.6</f>
        <v>2.8921199999999994E-2</v>
      </c>
      <c r="H718">
        <v>0</v>
      </c>
      <c r="I718">
        <f>Tableau1[[#This Row],[GHG (kgCO2eq/GJ)]]/1000*3.6</f>
        <v>0</v>
      </c>
      <c r="J718" t="s">
        <v>104</v>
      </c>
      <c r="K718" t="s">
        <v>109</v>
      </c>
    </row>
    <row r="719" spans="1:11" hidden="1" x14ac:dyDescent="0.3">
      <c r="A719" t="s">
        <v>40</v>
      </c>
      <c r="B719" t="s">
        <v>49</v>
      </c>
      <c r="C719" t="s">
        <v>71</v>
      </c>
      <c r="D719">
        <v>7.5558999999999994</v>
      </c>
      <c r="E719">
        <f>Tableau1[[#This Row],[Potential (PJ)]]/3.6*1000</f>
        <v>2098.8611111111109</v>
      </c>
      <c r="F719">
        <v>2.4016232877618808</v>
      </c>
      <c r="G719">
        <f>Tableau1[[#This Row],[Cost (€/GJ)]]/1000*3.6</f>
        <v>8.6458438359427719E-3</v>
      </c>
      <c r="H719">
        <v>3.86607608129234</v>
      </c>
      <c r="I719">
        <f>Tableau1[[#This Row],[GHG (kgCO2eq/GJ)]]/1000*3.6</f>
        <v>1.3917873892652425E-2</v>
      </c>
      <c r="J719" t="s">
        <v>104</v>
      </c>
      <c r="K719" t="s">
        <v>108</v>
      </c>
    </row>
    <row r="720" spans="1:11" hidden="1" x14ac:dyDescent="0.3">
      <c r="A720" t="s">
        <v>40</v>
      </c>
      <c r="B720" t="s">
        <v>49</v>
      </c>
      <c r="C720" t="s">
        <v>72</v>
      </c>
      <c r="D720">
        <v>0.60000000000000009</v>
      </c>
      <c r="E720">
        <f>Tableau1[[#This Row],[Potential (PJ)]]/3.6*1000</f>
        <v>166.66666666666669</v>
      </c>
      <c r="F720">
        <v>3.1880000000000002</v>
      </c>
      <c r="G720">
        <f>Tableau1[[#This Row],[Cost (€/GJ)]]/1000*3.6</f>
        <v>1.1476800000000001E-2</v>
      </c>
      <c r="H720">
        <v>3.86607608129234</v>
      </c>
      <c r="I720">
        <f>Tableau1[[#This Row],[GHG (kgCO2eq/GJ)]]/1000*3.6</f>
        <v>1.3917873892652425E-2</v>
      </c>
      <c r="J720" t="s">
        <v>104</v>
      </c>
      <c r="K720" t="s">
        <v>108</v>
      </c>
    </row>
    <row r="721" spans="1:11" hidden="1" x14ac:dyDescent="0.3">
      <c r="A721" t="s">
        <v>40</v>
      </c>
      <c r="B721" t="s">
        <v>58</v>
      </c>
      <c r="C721" t="s">
        <v>95</v>
      </c>
      <c r="D721">
        <v>0.17424000000000001</v>
      </c>
      <c r="E721">
        <f>Tableau1[[#This Row],[Potential (PJ)]]/3.6*1000</f>
        <v>48.4</v>
      </c>
      <c r="F721">
        <v>2.657</v>
      </c>
      <c r="G721">
        <f>Tableau1[[#This Row],[Cost (€/GJ)]]/1000*3.6</f>
        <v>9.5652000000000011E-3</v>
      </c>
      <c r="H721">
        <v>2.9521711768407801</v>
      </c>
      <c r="I721">
        <f>Tableau1[[#This Row],[GHG (kgCO2eq/GJ)]]/1000*3.6</f>
        <v>1.0627816236626808E-2</v>
      </c>
      <c r="J721" t="s">
        <v>104</v>
      </c>
      <c r="K721" t="s">
        <v>108</v>
      </c>
    </row>
    <row r="722" spans="1:11" hidden="1" x14ac:dyDescent="0.3">
      <c r="A722" t="s">
        <v>40</v>
      </c>
      <c r="B722" t="s">
        <v>50</v>
      </c>
      <c r="C722" t="s">
        <v>73</v>
      </c>
      <c r="D722">
        <v>0.3</v>
      </c>
      <c r="E722">
        <f>Tableau1[[#This Row],[Potential (PJ)]]/3.6*1000</f>
        <v>83.333333333333329</v>
      </c>
      <c r="F722">
        <v>5.1550000000000002</v>
      </c>
      <c r="G722">
        <f>Tableau1[[#This Row],[Cost (€/GJ)]]/1000*3.6</f>
        <v>1.8558000000000002E-2</v>
      </c>
      <c r="H722">
        <v>20.723404255319149</v>
      </c>
      <c r="I722">
        <f>Tableau1[[#This Row],[GHG (kgCO2eq/GJ)]]/1000*3.6</f>
        <v>7.4604255319148938E-2</v>
      </c>
      <c r="J722" t="s">
        <v>105</v>
      </c>
      <c r="K722" t="s">
        <v>108</v>
      </c>
    </row>
    <row r="723" spans="1:11" hidden="1" x14ac:dyDescent="0.3">
      <c r="A723" t="s">
        <v>40</v>
      </c>
      <c r="B723" t="s">
        <v>50</v>
      </c>
      <c r="C723" t="s">
        <v>74</v>
      </c>
      <c r="D723">
        <v>0.60000000000000009</v>
      </c>
      <c r="E723">
        <f>Tableau1[[#This Row],[Potential (PJ)]]/3.6*1000</f>
        <v>166.66666666666669</v>
      </c>
      <c r="F723">
        <v>3.72</v>
      </c>
      <c r="G723">
        <f>Tableau1[[#This Row],[Cost (€/GJ)]]/1000*3.6</f>
        <v>1.3392000000000001E-2</v>
      </c>
      <c r="H723">
        <v>2.0635593220338988</v>
      </c>
      <c r="I723">
        <f>Tableau1[[#This Row],[GHG (kgCO2eq/GJ)]]/1000*3.6</f>
        <v>7.4288135593220351E-3</v>
      </c>
      <c r="J723" t="s">
        <v>105</v>
      </c>
      <c r="K723" t="s">
        <v>108</v>
      </c>
    </row>
    <row r="724" spans="1:11" hidden="1" x14ac:dyDescent="0.3">
      <c r="A724" t="s">
        <v>40</v>
      </c>
      <c r="B724" t="s">
        <v>51</v>
      </c>
      <c r="C724" t="s">
        <v>75</v>
      </c>
      <c r="D724">
        <v>0.763853</v>
      </c>
      <c r="E724">
        <f>Tableau1[[#This Row],[Potential (PJ)]]/3.6*1000</f>
        <v>212.18138888888888</v>
      </c>
      <c r="F724">
        <v>9.8616790521531106E-2</v>
      </c>
      <c r="G724">
        <f>Tableau1[[#This Row],[Cost (€/GJ)]]/1000*3.6</f>
        <v>3.5502044587751199E-4</v>
      </c>
      <c r="H724">
        <v>11.74</v>
      </c>
      <c r="I724">
        <f>Tableau1[[#This Row],[GHG (kgCO2eq/GJ)]]/1000*3.6</f>
        <v>4.2264000000000003E-2</v>
      </c>
      <c r="J724" t="s">
        <v>104</v>
      </c>
      <c r="K724" t="s">
        <v>108</v>
      </c>
    </row>
    <row r="725" spans="1:11" hidden="1" x14ac:dyDescent="0.3">
      <c r="A725" t="s">
        <v>40</v>
      </c>
      <c r="B725" t="s">
        <v>60</v>
      </c>
      <c r="C725" t="s">
        <v>98</v>
      </c>
      <c r="D725">
        <v>0.12501999999999999</v>
      </c>
      <c r="E725">
        <f>Tableau1[[#This Row],[Potential (PJ)]]/3.6*1000</f>
        <v>34.727777777777774</v>
      </c>
      <c r="F725">
        <v>28.73254564983888</v>
      </c>
      <c r="G725">
        <f>Tableau1[[#This Row],[Cost (€/GJ)]]/1000*3.6</f>
        <v>0.10343716433941996</v>
      </c>
      <c r="H725">
        <v>37.6</v>
      </c>
      <c r="I725">
        <f>Tableau1[[#This Row],[GHG (kgCO2eq/GJ)]]/1000*3.6</f>
        <v>0.13536000000000001</v>
      </c>
      <c r="J725" t="s">
        <v>107</v>
      </c>
      <c r="K725" t="s">
        <v>109</v>
      </c>
    </row>
    <row r="726" spans="1:11" hidden="1" x14ac:dyDescent="0.3">
      <c r="A726" t="s">
        <v>40</v>
      </c>
      <c r="B726" t="s">
        <v>52</v>
      </c>
      <c r="C726" t="s">
        <v>76</v>
      </c>
      <c r="D726">
        <v>4.9000000000000002E-2</v>
      </c>
      <c r="E726">
        <f>Tableau1[[#This Row],[Potential (PJ)]]/3.6*1000</f>
        <v>13.611111111111112</v>
      </c>
      <c r="F726">
        <v>6.1837425000000001</v>
      </c>
      <c r="G726">
        <f>Tableau1[[#This Row],[Cost (€/GJ)]]/1000*3.6</f>
        <v>2.2261473000000004E-2</v>
      </c>
      <c r="H726">
        <v>12.68872359754714</v>
      </c>
      <c r="I726">
        <f>Tableau1[[#This Row],[GHG (kgCO2eq/GJ)]]/1000*3.6</f>
        <v>4.5679404951169705E-2</v>
      </c>
      <c r="J726" t="s">
        <v>105</v>
      </c>
      <c r="K726" t="s">
        <v>108</v>
      </c>
    </row>
    <row r="727" spans="1:11" hidden="1" x14ac:dyDescent="0.3">
      <c r="A727" t="s">
        <v>40</v>
      </c>
      <c r="B727" t="s">
        <v>53</v>
      </c>
      <c r="C727" t="s">
        <v>77</v>
      </c>
      <c r="D727">
        <v>2.3380800000000002</v>
      </c>
      <c r="E727">
        <f>Tableau1[[#This Row],[Potential (PJ)]]/3.6*1000</f>
        <v>649.4666666666667</v>
      </c>
      <c r="F727">
        <v>3.1883896017244919</v>
      </c>
      <c r="G727">
        <f>Tableau1[[#This Row],[Cost (€/GJ)]]/1000*3.6</f>
        <v>1.1478202566208172E-2</v>
      </c>
      <c r="H727">
        <v>3.86607608129234</v>
      </c>
      <c r="I727">
        <f>Tableau1[[#This Row],[GHG (kgCO2eq/GJ)]]/1000*3.6</f>
        <v>1.3917873892652425E-2</v>
      </c>
      <c r="J727" t="s">
        <v>104</v>
      </c>
      <c r="K727" t="s">
        <v>108</v>
      </c>
    </row>
    <row r="728" spans="1:11" hidden="1" x14ac:dyDescent="0.3">
      <c r="A728" t="s">
        <v>40</v>
      </c>
      <c r="B728" t="s">
        <v>61</v>
      </c>
      <c r="C728" t="s">
        <v>99</v>
      </c>
      <c r="D728">
        <v>0.60000000000000009</v>
      </c>
      <c r="E728">
        <f>Tableau1[[#This Row],[Potential (PJ)]]/3.6*1000</f>
        <v>166.66666666666669</v>
      </c>
      <c r="F728">
        <v>1.510666666666667</v>
      </c>
      <c r="G728">
        <f>Tableau1[[#This Row],[Cost (€/GJ)]]/1000*3.6</f>
        <v>5.4384000000000021E-3</v>
      </c>
      <c r="H728">
        <v>2.9245635910224439</v>
      </c>
      <c r="I728">
        <f>Tableau1[[#This Row],[GHG (kgCO2eq/GJ)]]/1000*3.6</f>
        <v>1.0528428927680798E-2</v>
      </c>
      <c r="J728" t="s">
        <v>104</v>
      </c>
      <c r="K728" t="s">
        <v>108</v>
      </c>
    </row>
    <row r="729" spans="1:11" hidden="1" x14ac:dyDescent="0.3">
      <c r="A729" t="s">
        <v>40</v>
      </c>
      <c r="B729" t="s">
        <v>62</v>
      </c>
      <c r="C729" t="s">
        <v>100</v>
      </c>
      <c r="D729">
        <v>0.2</v>
      </c>
      <c r="E729">
        <f>Tableau1[[#This Row],[Potential (PJ)]]/3.6*1000</f>
        <v>55.555555555555557</v>
      </c>
      <c r="F729">
        <v>0.79999999999999993</v>
      </c>
      <c r="G729">
        <f>Tableau1[[#This Row],[Cost (€/GJ)]]/1000*3.6</f>
        <v>2.8799999999999997E-3</v>
      </c>
      <c r="H729">
        <v>2.6764106050305911</v>
      </c>
      <c r="I729">
        <f>Tableau1[[#This Row],[GHG (kgCO2eq/GJ)]]/1000*3.6</f>
        <v>9.6350781781101291E-3</v>
      </c>
      <c r="J729" t="s">
        <v>104</v>
      </c>
      <c r="K729" t="s">
        <v>108</v>
      </c>
    </row>
    <row r="730" spans="1:11" hidden="1" x14ac:dyDescent="0.3">
      <c r="A730" t="s">
        <v>40</v>
      </c>
      <c r="B730" t="s">
        <v>54</v>
      </c>
      <c r="C730" t="s">
        <v>78</v>
      </c>
      <c r="D730">
        <v>28.1</v>
      </c>
      <c r="E730">
        <f>Tableau1[[#This Row],[Potential (PJ)]]/3.6*1000</f>
        <v>7805.5555555555557</v>
      </c>
      <c r="F730">
        <v>3.1751316725978649</v>
      </c>
      <c r="G730">
        <f>Tableau1[[#This Row],[Cost (€/GJ)]]/1000*3.6</f>
        <v>1.1430474021352314E-2</v>
      </c>
      <c r="H730">
        <v>3.86607608129234</v>
      </c>
      <c r="I730">
        <f>Tableau1[[#This Row],[GHG (kgCO2eq/GJ)]]/1000*3.6</f>
        <v>1.3917873892652425E-2</v>
      </c>
      <c r="J730" t="s">
        <v>104</v>
      </c>
      <c r="K730" t="s">
        <v>108</v>
      </c>
    </row>
    <row r="731" spans="1:11" hidden="1" x14ac:dyDescent="0.3">
      <c r="A731" t="s">
        <v>41</v>
      </c>
      <c r="B731" t="s">
        <v>46</v>
      </c>
      <c r="C731" t="s">
        <v>64</v>
      </c>
      <c r="D731">
        <v>6.6499999999999997E-3</v>
      </c>
      <c r="E731">
        <f>Tableau1[[#This Row],[Potential (PJ)]]/3.6*1000</f>
        <v>1.8472222222222221</v>
      </c>
      <c r="F731">
        <v>4.9806706766917292</v>
      </c>
      <c r="G731">
        <f>Tableau1[[#This Row],[Cost (€/GJ)]]/1000*3.6</f>
        <v>1.7930414436090225E-2</v>
      </c>
      <c r="H731">
        <v>2.9521711768407801</v>
      </c>
      <c r="I731">
        <f>Tableau1[[#This Row],[GHG (kgCO2eq/GJ)]]/1000*3.6</f>
        <v>1.0627816236626808E-2</v>
      </c>
      <c r="J731" t="s">
        <v>104</v>
      </c>
      <c r="K731" t="s">
        <v>108</v>
      </c>
    </row>
    <row r="732" spans="1:11" hidden="1" x14ac:dyDescent="0.3">
      <c r="A732" t="s">
        <v>41</v>
      </c>
      <c r="B732" t="s">
        <v>46</v>
      </c>
      <c r="C732" t="s">
        <v>79</v>
      </c>
      <c r="D732">
        <v>5.9</v>
      </c>
      <c r="E732">
        <f>Tableau1[[#This Row],[Potential (PJ)]]/3.6*1000</f>
        <v>1638.8888888888889</v>
      </c>
      <c r="F732">
        <v>4.2323050847457626</v>
      </c>
      <c r="G732">
        <f>Tableau1[[#This Row],[Cost (€/GJ)]]/1000*3.6</f>
        <v>1.5236298305084746E-2</v>
      </c>
      <c r="H732">
        <v>6.8428961748633883</v>
      </c>
      <c r="I732">
        <f>Tableau1[[#This Row],[GHG (kgCO2eq/GJ)]]/1000*3.6</f>
        <v>2.4634426229508198E-2</v>
      </c>
      <c r="J732" t="s">
        <v>104</v>
      </c>
      <c r="K732" t="s">
        <v>108</v>
      </c>
    </row>
    <row r="733" spans="1:11" hidden="1" x14ac:dyDescent="0.3">
      <c r="A733" t="s">
        <v>41</v>
      </c>
      <c r="B733" t="s">
        <v>46</v>
      </c>
      <c r="C733" t="s">
        <v>80</v>
      </c>
      <c r="D733">
        <v>0.08</v>
      </c>
      <c r="E733">
        <f>Tableau1[[#This Row],[Potential (PJ)]]/3.6*1000</f>
        <v>22.222222222222221</v>
      </c>
      <c r="F733">
        <v>0.2002697235333783</v>
      </c>
      <c r="G733">
        <f>Tableau1[[#This Row],[Cost (€/GJ)]]/1000*3.6</f>
        <v>7.2097100472016192E-4</v>
      </c>
      <c r="H733">
        <v>28.139870918023309</v>
      </c>
      <c r="I733">
        <f>Tableau1[[#This Row],[GHG (kgCO2eq/GJ)]]/1000*3.6</f>
        <v>0.10130353530488391</v>
      </c>
      <c r="J733" t="s">
        <v>105</v>
      </c>
      <c r="K733" t="s">
        <v>108</v>
      </c>
    </row>
    <row r="734" spans="1:11" hidden="1" x14ac:dyDescent="0.3">
      <c r="A734" t="s">
        <v>41</v>
      </c>
      <c r="B734" t="s">
        <v>46</v>
      </c>
      <c r="C734" t="s">
        <v>81</v>
      </c>
      <c r="D734">
        <v>4.8099999999999997E-2</v>
      </c>
      <c r="E734">
        <f>Tableau1[[#This Row],[Potential (PJ)]]/3.6*1000</f>
        <v>13.361111111111111</v>
      </c>
      <c r="F734">
        <v>0.36251468860164521</v>
      </c>
      <c r="G734">
        <f>Tableau1[[#This Row],[Cost (€/GJ)]]/1000*3.6</f>
        <v>1.3050528789659227E-3</v>
      </c>
      <c r="H734">
        <v>8.9647473560517046</v>
      </c>
      <c r="I734">
        <f>Tableau1[[#This Row],[GHG (kgCO2eq/GJ)]]/1000*3.6</f>
        <v>3.2273090481786136E-2</v>
      </c>
      <c r="J734" t="s">
        <v>105</v>
      </c>
      <c r="K734" t="s">
        <v>108</v>
      </c>
    </row>
    <row r="735" spans="1:11" hidden="1" x14ac:dyDescent="0.3">
      <c r="A735" t="s">
        <v>41</v>
      </c>
      <c r="B735" t="s">
        <v>46</v>
      </c>
      <c r="C735" t="s">
        <v>66</v>
      </c>
      <c r="D735">
        <v>0.60000000000000009</v>
      </c>
      <c r="E735">
        <f>Tableau1[[#This Row],[Potential (PJ)]]/3.6*1000</f>
        <v>166.66666666666669</v>
      </c>
      <c r="F735">
        <v>4.3901666666666657</v>
      </c>
      <c r="G735">
        <f>Tableau1[[#This Row],[Cost (€/GJ)]]/1000*3.6</f>
        <v>1.5804599999999995E-2</v>
      </c>
      <c r="H735">
        <v>6.8428961748633883</v>
      </c>
      <c r="I735">
        <f>Tableau1[[#This Row],[GHG (kgCO2eq/GJ)]]/1000*3.6</f>
        <v>2.4634426229508198E-2</v>
      </c>
      <c r="J735" t="s">
        <v>104</v>
      </c>
      <c r="K735" t="s">
        <v>108</v>
      </c>
    </row>
    <row r="736" spans="1:11" hidden="1" x14ac:dyDescent="0.3">
      <c r="A736" t="s">
        <v>41</v>
      </c>
      <c r="B736" t="s">
        <v>46</v>
      </c>
      <c r="C736" t="s">
        <v>82</v>
      </c>
      <c r="D736">
        <v>0.4</v>
      </c>
      <c r="E736">
        <f>Tableau1[[#This Row],[Potential (PJ)]]/3.6*1000</f>
        <v>111.11111111111111</v>
      </c>
      <c r="F736">
        <v>2.6604999999999999</v>
      </c>
      <c r="G736">
        <f>Tableau1[[#This Row],[Cost (€/GJ)]]/1000*3.6</f>
        <v>9.5777999999999992E-3</v>
      </c>
      <c r="H736">
        <v>6.8428961748633883</v>
      </c>
      <c r="I736">
        <f>Tableau1[[#This Row],[GHG (kgCO2eq/GJ)]]/1000*3.6</f>
        <v>2.4634426229508198E-2</v>
      </c>
      <c r="J736" t="s">
        <v>104</v>
      </c>
      <c r="K736" t="s">
        <v>108</v>
      </c>
    </row>
    <row r="737" spans="1:11" hidden="1" x14ac:dyDescent="0.3">
      <c r="A737" t="s">
        <v>41</v>
      </c>
      <c r="B737" t="s">
        <v>46</v>
      </c>
      <c r="C737" t="s">
        <v>84</v>
      </c>
      <c r="D737">
        <v>0.1</v>
      </c>
      <c r="E737">
        <f>Tableau1[[#This Row],[Potential (PJ)]]/3.6*1000</f>
        <v>27.777777777777779</v>
      </c>
      <c r="F737">
        <v>2.2989999999999999</v>
      </c>
      <c r="G737">
        <f>Tableau1[[#This Row],[Cost (€/GJ)]]/1000*3.6</f>
        <v>8.2763999999999997E-3</v>
      </c>
      <c r="H737">
        <v>28.139870918023309</v>
      </c>
      <c r="I737">
        <f>Tableau1[[#This Row],[GHG (kgCO2eq/GJ)]]/1000*3.6</f>
        <v>0.10130353530488391</v>
      </c>
      <c r="J737" t="s">
        <v>105</v>
      </c>
      <c r="K737" t="s">
        <v>108</v>
      </c>
    </row>
    <row r="738" spans="1:11" hidden="1" x14ac:dyDescent="0.3">
      <c r="A738" t="s">
        <v>41</v>
      </c>
      <c r="B738" t="s">
        <v>55</v>
      </c>
      <c r="C738" t="s">
        <v>86</v>
      </c>
      <c r="D738">
        <v>3.9E-2</v>
      </c>
      <c r="E738">
        <f>Tableau1[[#This Row],[Potential (PJ)]]/3.6*1000</f>
        <v>10.833333333333334</v>
      </c>
      <c r="F738">
        <v>17.356000000000002</v>
      </c>
      <c r="G738">
        <f>Tableau1[[#This Row],[Cost (€/GJ)]]/1000*3.6</f>
        <v>6.2481600000000012E-2</v>
      </c>
      <c r="H738">
        <v>9</v>
      </c>
      <c r="I738">
        <f>Tableau1[[#This Row],[GHG (kgCO2eq/GJ)]]/1000*3.6</f>
        <v>3.2399999999999998E-2</v>
      </c>
      <c r="J738" t="s">
        <v>106</v>
      </c>
      <c r="K738" t="s">
        <v>109</v>
      </c>
    </row>
    <row r="739" spans="1:11" hidden="1" x14ac:dyDescent="0.3">
      <c r="A739" t="s">
        <v>41</v>
      </c>
      <c r="B739" t="s">
        <v>55</v>
      </c>
      <c r="C739" t="s">
        <v>87</v>
      </c>
      <c r="D739">
        <v>0.76640000000000008</v>
      </c>
      <c r="E739">
        <f>Tableau1[[#This Row],[Potential (PJ)]]/3.6*1000</f>
        <v>212.88888888888891</v>
      </c>
      <c r="F739">
        <v>15.88</v>
      </c>
      <c r="G739">
        <f>Tableau1[[#This Row],[Cost (€/GJ)]]/1000*3.6</f>
        <v>5.716800000000001E-2</v>
      </c>
      <c r="H739">
        <v>9</v>
      </c>
      <c r="I739">
        <f>Tableau1[[#This Row],[GHG (kgCO2eq/GJ)]]/1000*3.6</f>
        <v>3.2399999999999998E-2</v>
      </c>
      <c r="J739" t="s">
        <v>106</v>
      </c>
      <c r="K739" t="s">
        <v>109</v>
      </c>
    </row>
    <row r="740" spans="1:11" hidden="1" x14ac:dyDescent="0.3">
      <c r="A740" t="s">
        <v>41</v>
      </c>
      <c r="B740" t="s">
        <v>55</v>
      </c>
      <c r="C740" t="s">
        <v>88</v>
      </c>
      <c r="D740">
        <v>1.5778000000000001</v>
      </c>
      <c r="E740">
        <f>Tableau1[[#This Row],[Potential (PJ)]]/3.6*1000</f>
        <v>438.27777777777777</v>
      </c>
      <c r="F740">
        <v>14.911</v>
      </c>
      <c r="G740">
        <f>Tableau1[[#This Row],[Cost (€/GJ)]]/1000*3.6</f>
        <v>5.3679599999999994E-2</v>
      </c>
      <c r="H740">
        <v>9</v>
      </c>
      <c r="I740">
        <f>Tableau1[[#This Row],[GHG (kgCO2eq/GJ)]]/1000*3.6</f>
        <v>3.2399999999999998E-2</v>
      </c>
      <c r="J740" t="s">
        <v>106</v>
      </c>
      <c r="K740" t="s">
        <v>109</v>
      </c>
    </row>
    <row r="741" spans="1:11" hidden="1" x14ac:dyDescent="0.3">
      <c r="A741" t="s">
        <v>41</v>
      </c>
      <c r="B741" t="s">
        <v>55</v>
      </c>
      <c r="C741" t="s">
        <v>91</v>
      </c>
      <c r="D741">
        <v>0.22189999999999999</v>
      </c>
      <c r="E741">
        <f>Tableau1[[#This Row],[Potential (PJ)]]/3.6*1000</f>
        <v>61.638888888888879</v>
      </c>
      <c r="F741">
        <v>16.141999999999999</v>
      </c>
      <c r="G741">
        <f>Tableau1[[#This Row],[Cost (€/GJ)]]/1000*3.6</f>
        <v>5.8111200000000002E-2</v>
      </c>
      <c r="H741">
        <v>9</v>
      </c>
      <c r="I741">
        <f>Tableau1[[#This Row],[GHG (kgCO2eq/GJ)]]/1000*3.6</f>
        <v>3.2399999999999998E-2</v>
      </c>
      <c r="J741" t="s">
        <v>106</v>
      </c>
      <c r="K741" t="s">
        <v>109</v>
      </c>
    </row>
    <row r="742" spans="1:11" hidden="1" x14ac:dyDescent="0.3">
      <c r="A742" t="s">
        <v>41</v>
      </c>
      <c r="B742" t="s">
        <v>55</v>
      </c>
      <c r="C742" t="s">
        <v>92</v>
      </c>
      <c r="D742">
        <v>9.9239999999999995E-2</v>
      </c>
      <c r="E742">
        <f>Tableau1[[#This Row],[Potential (PJ)]]/3.6*1000</f>
        <v>27.566666666666663</v>
      </c>
      <c r="F742">
        <v>15.88</v>
      </c>
      <c r="G742">
        <f>Tableau1[[#This Row],[Cost (€/GJ)]]/1000*3.6</f>
        <v>5.716800000000001E-2</v>
      </c>
      <c r="H742">
        <v>9</v>
      </c>
      <c r="I742">
        <f>Tableau1[[#This Row],[GHG (kgCO2eq/GJ)]]/1000*3.6</f>
        <v>3.2399999999999998E-2</v>
      </c>
      <c r="J742" t="s">
        <v>106</v>
      </c>
      <c r="K742" t="s">
        <v>109</v>
      </c>
    </row>
    <row r="743" spans="1:11" hidden="1" x14ac:dyDescent="0.3">
      <c r="A743" t="s">
        <v>41</v>
      </c>
      <c r="B743" t="s">
        <v>56</v>
      </c>
      <c r="C743" t="s">
        <v>93</v>
      </c>
      <c r="D743">
        <v>8.7918000000000003</v>
      </c>
      <c r="E743">
        <f>Tableau1[[#This Row],[Potential (PJ)]]/3.6*1000</f>
        <v>2442.1666666666665</v>
      </c>
      <c r="F743">
        <v>2.9493975903614462</v>
      </c>
      <c r="G743">
        <f>Tableau1[[#This Row],[Cost (€/GJ)]]/1000*3.6</f>
        <v>1.0617831325301207E-2</v>
      </c>
      <c r="H743">
        <v>15.9</v>
      </c>
      <c r="I743">
        <f>Tableau1[[#This Row],[GHG (kgCO2eq/GJ)]]/1000*3.6</f>
        <v>5.7240000000000006E-2</v>
      </c>
      <c r="J743" t="s">
        <v>106</v>
      </c>
      <c r="K743" t="s">
        <v>109</v>
      </c>
    </row>
    <row r="744" spans="1:11" hidden="1" x14ac:dyDescent="0.3">
      <c r="A744" t="s">
        <v>41</v>
      </c>
      <c r="B744" t="s">
        <v>47</v>
      </c>
      <c r="C744" t="s">
        <v>68</v>
      </c>
      <c r="D744">
        <v>0.7</v>
      </c>
      <c r="E744">
        <f>Tableau1[[#This Row],[Potential (PJ)]]/3.6*1000</f>
        <v>194.44444444444443</v>
      </c>
      <c r="F744">
        <v>3.5221428571428568</v>
      </c>
      <c r="G744">
        <f>Tableau1[[#This Row],[Cost (€/GJ)]]/1000*3.6</f>
        <v>1.2679714285714285E-2</v>
      </c>
      <c r="H744">
        <v>22.8</v>
      </c>
      <c r="I744">
        <f>Tableau1[[#This Row],[GHG (kgCO2eq/GJ)]]/1000*3.6</f>
        <v>8.208E-2</v>
      </c>
      <c r="J744" t="s">
        <v>104</v>
      </c>
      <c r="K744" t="s">
        <v>109</v>
      </c>
    </row>
    <row r="745" spans="1:11" hidden="1" x14ac:dyDescent="0.3">
      <c r="A745" t="s">
        <v>41</v>
      </c>
      <c r="B745" t="s">
        <v>47</v>
      </c>
      <c r="C745" t="s">
        <v>69</v>
      </c>
      <c r="D745">
        <v>0.5</v>
      </c>
      <c r="E745">
        <f>Tableau1[[#This Row],[Potential (PJ)]]/3.6*1000</f>
        <v>138.88888888888889</v>
      </c>
      <c r="F745">
        <v>3.5066000000000002</v>
      </c>
      <c r="G745">
        <f>Tableau1[[#This Row],[Cost (€/GJ)]]/1000*3.6</f>
        <v>1.2623760000000001E-2</v>
      </c>
      <c r="H745">
        <v>22.8</v>
      </c>
      <c r="I745">
        <f>Tableau1[[#This Row],[GHG (kgCO2eq/GJ)]]/1000*3.6</f>
        <v>8.208E-2</v>
      </c>
      <c r="J745" t="s">
        <v>104</v>
      </c>
      <c r="K745" t="s">
        <v>109</v>
      </c>
    </row>
    <row r="746" spans="1:11" hidden="1" x14ac:dyDescent="0.3">
      <c r="A746" t="s">
        <v>41</v>
      </c>
      <c r="B746" t="s">
        <v>57</v>
      </c>
      <c r="C746" t="s">
        <v>94</v>
      </c>
      <c r="D746">
        <v>0.6</v>
      </c>
      <c r="E746">
        <f>Tableau1[[#This Row],[Potential (PJ)]]/3.6*1000</f>
        <v>166.66666666666666</v>
      </c>
      <c r="F746">
        <v>8.157333333333332</v>
      </c>
      <c r="G746">
        <f>Tableau1[[#This Row],[Cost (€/GJ)]]/1000*3.6</f>
        <v>2.9366399999999997E-2</v>
      </c>
      <c r="H746">
        <v>14.9</v>
      </c>
      <c r="I746">
        <f>Tableau1[[#This Row],[GHG (kgCO2eq/GJ)]]/1000*3.6</f>
        <v>5.364E-2</v>
      </c>
      <c r="J746" t="s">
        <v>104</v>
      </c>
      <c r="K746" t="s">
        <v>109</v>
      </c>
    </row>
    <row r="747" spans="1:11" hidden="1" x14ac:dyDescent="0.3">
      <c r="A747" t="s">
        <v>41</v>
      </c>
      <c r="B747" t="s">
        <v>49</v>
      </c>
      <c r="C747" t="s">
        <v>71</v>
      </c>
      <c r="D747">
        <v>7.7587200000000003</v>
      </c>
      <c r="E747">
        <f>Tableau1[[#This Row],[Potential (PJ)]]/3.6*1000</f>
        <v>2155.2000000000003</v>
      </c>
      <c r="F747">
        <v>2.2746631828445931</v>
      </c>
      <c r="G747">
        <f>Tableau1[[#This Row],[Cost (€/GJ)]]/1000*3.6</f>
        <v>8.188787458240537E-3</v>
      </c>
      <c r="H747">
        <v>3.86607608129234</v>
      </c>
      <c r="I747">
        <f>Tableau1[[#This Row],[GHG (kgCO2eq/GJ)]]/1000*3.6</f>
        <v>1.3917873892652425E-2</v>
      </c>
      <c r="J747" t="s">
        <v>104</v>
      </c>
      <c r="K747" t="s">
        <v>108</v>
      </c>
    </row>
    <row r="748" spans="1:11" hidden="1" x14ac:dyDescent="0.3">
      <c r="A748" t="s">
        <v>41</v>
      </c>
      <c r="B748" t="s">
        <v>49</v>
      </c>
      <c r="C748" t="s">
        <v>72</v>
      </c>
      <c r="D748">
        <v>0.2</v>
      </c>
      <c r="E748">
        <f>Tableau1[[#This Row],[Potential (PJ)]]/3.6*1000</f>
        <v>55.555555555555557</v>
      </c>
      <c r="F748">
        <v>3.036</v>
      </c>
      <c r="G748">
        <f>Tableau1[[#This Row],[Cost (€/GJ)]]/1000*3.6</f>
        <v>1.0929600000000001E-2</v>
      </c>
      <c r="H748">
        <v>3.86607608129234</v>
      </c>
      <c r="I748">
        <f>Tableau1[[#This Row],[GHG (kgCO2eq/GJ)]]/1000*3.6</f>
        <v>1.3917873892652425E-2</v>
      </c>
      <c r="J748" t="s">
        <v>104</v>
      </c>
      <c r="K748" t="s">
        <v>108</v>
      </c>
    </row>
    <row r="749" spans="1:11" hidden="1" x14ac:dyDescent="0.3">
      <c r="A749" t="s">
        <v>41</v>
      </c>
      <c r="B749" t="s">
        <v>58</v>
      </c>
      <c r="C749" t="s">
        <v>95</v>
      </c>
      <c r="D749">
        <v>0.74680000000000002</v>
      </c>
      <c r="E749">
        <f>Tableau1[[#This Row],[Potential (PJ)]]/3.6*1000</f>
        <v>207.44444444444443</v>
      </c>
      <c r="F749">
        <v>2.657</v>
      </c>
      <c r="G749">
        <f>Tableau1[[#This Row],[Cost (€/GJ)]]/1000*3.6</f>
        <v>9.5652000000000011E-3</v>
      </c>
      <c r="H749">
        <v>2.9521711768407801</v>
      </c>
      <c r="I749">
        <f>Tableau1[[#This Row],[GHG (kgCO2eq/GJ)]]/1000*3.6</f>
        <v>1.0627816236626808E-2</v>
      </c>
      <c r="J749" t="s">
        <v>104</v>
      </c>
      <c r="K749" t="s">
        <v>108</v>
      </c>
    </row>
    <row r="750" spans="1:11" hidden="1" x14ac:dyDescent="0.3">
      <c r="A750" t="s">
        <v>41</v>
      </c>
      <c r="B750" t="s">
        <v>50</v>
      </c>
      <c r="C750" t="s">
        <v>73</v>
      </c>
      <c r="D750">
        <v>1.3</v>
      </c>
      <c r="E750">
        <f>Tableau1[[#This Row],[Potential (PJ)]]/3.6*1000</f>
        <v>361.11111111111109</v>
      </c>
      <c r="F750">
        <v>5.1363076923076934</v>
      </c>
      <c r="G750">
        <f>Tableau1[[#This Row],[Cost (€/GJ)]]/1000*3.6</f>
        <v>1.8490707692307696E-2</v>
      </c>
      <c r="H750">
        <v>20.723404255319149</v>
      </c>
      <c r="I750">
        <f>Tableau1[[#This Row],[GHG (kgCO2eq/GJ)]]/1000*3.6</f>
        <v>7.4604255319148938E-2</v>
      </c>
      <c r="J750" t="s">
        <v>105</v>
      </c>
      <c r="K750" t="s">
        <v>108</v>
      </c>
    </row>
    <row r="751" spans="1:11" hidden="1" x14ac:dyDescent="0.3">
      <c r="A751" t="s">
        <v>41</v>
      </c>
      <c r="B751" t="s">
        <v>50</v>
      </c>
      <c r="C751" t="s">
        <v>74</v>
      </c>
      <c r="D751">
        <v>8</v>
      </c>
      <c r="E751">
        <f>Tableau1[[#This Row],[Potential (PJ)]]/3.6*1000</f>
        <v>2222.2222222222222</v>
      </c>
      <c r="F751">
        <v>3.3028249999999999</v>
      </c>
      <c r="G751">
        <f>Tableau1[[#This Row],[Cost (€/GJ)]]/1000*3.6</f>
        <v>1.1890169999999999E-2</v>
      </c>
      <c r="H751">
        <v>2.0635593220338988</v>
      </c>
      <c r="I751">
        <f>Tableau1[[#This Row],[GHG (kgCO2eq/GJ)]]/1000*3.6</f>
        <v>7.4288135593220351E-3</v>
      </c>
      <c r="J751" t="s">
        <v>105</v>
      </c>
      <c r="K751" t="s">
        <v>108</v>
      </c>
    </row>
    <row r="752" spans="1:11" hidden="1" x14ac:dyDescent="0.3">
      <c r="A752" t="s">
        <v>41</v>
      </c>
      <c r="B752" t="s">
        <v>59</v>
      </c>
      <c r="C752" t="s">
        <v>96</v>
      </c>
      <c r="D752">
        <v>6.93E-2</v>
      </c>
      <c r="E752">
        <f>Tableau1[[#This Row],[Potential (PJ)]]/3.6*1000</f>
        <v>19.25</v>
      </c>
      <c r="F752">
        <v>30.006</v>
      </c>
      <c r="G752">
        <f>Tableau1[[#This Row],[Cost (€/GJ)]]/1000*3.6</f>
        <v>0.10802160000000001</v>
      </c>
      <c r="H752">
        <v>1</v>
      </c>
      <c r="I752">
        <f>Tableau1[[#This Row],[GHG (kgCO2eq/GJ)]]/1000*3.6</f>
        <v>3.6000000000000003E-3</v>
      </c>
      <c r="J752" t="s">
        <v>107</v>
      </c>
      <c r="K752" t="s">
        <v>109</v>
      </c>
    </row>
    <row r="753" spans="1:11" hidden="1" x14ac:dyDescent="0.3">
      <c r="A753" t="s">
        <v>41</v>
      </c>
      <c r="B753" t="s">
        <v>59</v>
      </c>
      <c r="C753" t="s">
        <v>97</v>
      </c>
      <c r="D753">
        <v>4.2000000000000006E-3</v>
      </c>
      <c r="E753">
        <f>Tableau1[[#This Row],[Potential (PJ)]]/3.6*1000</f>
        <v>1.1666666666666667</v>
      </c>
      <c r="F753">
        <v>15.95225176342919</v>
      </c>
      <c r="G753">
        <f>Tableau1[[#This Row],[Cost (€/GJ)]]/1000*3.6</f>
        <v>5.7428106348345095E-2</v>
      </c>
      <c r="H753">
        <v>1</v>
      </c>
      <c r="I753">
        <f>Tableau1[[#This Row],[GHG (kgCO2eq/GJ)]]/1000*3.6</f>
        <v>3.6000000000000003E-3</v>
      </c>
      <c r="J753" t="s">
        <v>107</v>
      </c>
      <c r="K753" t="s">
        <v>109</v>
      </c>
    </row>
    <row r="754" spans="1:11" hidden="1" x14ac:dyDescent="0.3">
      <c r="A754" t="s">
        <v>41</v>
      </c>
      <c r="B754" t="s">
        <v>51</v>
      </c>
      <c r="C754" t="s">
        <v>75</v>
      </c>
      <c r="D754">
        <v>2.998129</v>
      </c>
      <c r="E754">
        <f>Tableau1[[#This Row],[Potential (PJ)]]/3.6*1000</f>
        <v>832.81361111111107</v>
      </c>
      <c r="F754">
        <v>1.60046712556123E-2</v>
      </c>
      <c r="G754">
        <f>Tableau1[[#This Row],[Cost (€/GJ)]]/1000*3.6</f>
        <v>5.7616816520204286E-5</v>
      </c>
      <c r="H754">
        <v>11.74</v>
      </c>
      <c r="I754">
        <f>Tableau1[[#This Row],[GHG (kgCO2eq/GJ)]]/1000*3.6</f>
        <v>4.2264000000000003E-2</v>
      </c>
      <c r="J754" t="s">
        <v>104</v>
      </c>
      <c r="K754" t="s">
        <v>108</v>
      </c>
    </row>
    <row r="755" spans="1:11" hidden="1" x14ac:dyDescent="0.3">
      <c r="A755" t="s">
        <v>41</v>
      </c>
      <c r="B755" t="s">
        <v>60</v>
      </c>
      <c r="C755" t="s">
        <v>98</v>
      </c>
      <c r="D755">
        <v>1.15541</v>
      </c>
      <c r="E755">
        <f>Tableau1[[#This Row],[Potential (PJ)]]/3.6*1000</f>
        <v>320.94722222222219</v>
      </c>
      <c r="F755">
        <v>18.367346938775508</v>
      </c>
      <c r="G755">
        <f>Tableau1[[#This Row],[Cost (€/GJ)]]/1000*3.6</f>
        <v>6.6122448979591839E-2</v>
      </c>
      <c r="H755">
        <v>18.8</v>
      </c>
      <c r="I755">
        <f>Tableau1[[#This Row],[GHG (kgCO2eq/GJ)]]/1000*3.6</f>
        <v>6.7680000000000004E-2</v>
      </c>
      <c r="J755" t="s">
        <v>107</v>
      </c>
      <c r="K755" t="s">
        <v>109</v>
      </c>
    </row>
    <row r="756" spans="1:11" hidden="1" x14ac:dyDescent="0.3">
      <c r="A756" t="s">
        <v>41</v>
      </c>
      <c r="B756" t="s">
        <v>52</v>
      </c>
      <c r="C756" t="s">
        <v>76</v>
      </c>
      <c r="D756">
        <v>1E-3</v>
      </c>
      <c r="E756">
        <f>Tableau1[[#This Row],[Potential (PJ)]]/3.6*1000</f>
        <v>0.27777777777777779</v>
      </c>
      <c r="F756">
        <v>6.1837425000000001</v>
      </c>
      <c r="G756">
        <f>Tableau1[[#This Row],[Cost (€/GJ)]]/1000*3.6</f>
        <v>2.2261473000000004E-2</v>
      </c>
      <c r="H756">
        <v>12.68872359754714</v>
      </c>
      <c r="I756">
        <f>Tableau1[[#This Row],[GHG (kgCO2eq/GJ)]]/1000*3.6</f>
        <v>4.5679404951169705E-2</v>
      </c>
      <c r="J756" t="s">
        <v>105</v>
      </c>
      <c r="K756" t="s">
        <v>108</v>
      </c>
    </row>
    <row r="757" spans="1:11" hidden="1" x14ac:dyDescent="0.3">
      <c r="A757" t="s">
        <v>41</v>
      </c>
      <c r="B757" t="s">
        <v>53</v>
      </c>
      <c r="C757" t="s">
        <v>77</v>
      </c>
      <c r="D757">
        <v>0.89702999999999999</v>
      </c>
      <c r="E757">
        <f>Tableau1[[#This Row],[Potential (PJ)]]/3.6*1000</f>
        <v>249.17499999999998</v>
      </c>
      <c r="F757">
        <v>3.0358584662720309</v>
      </c>
      <c r="G757">
        <f>Tableau1[[#This Row],[Cost (€/GJ)]]/1000*3.6</f>
        <v>1.0929090478579311E-2</v>
      </c>
      <c r="H757">
        <v>3.86607608129234</v>
      </c>
      <c r="I757">
        <f>Tableau1[[#This Row],[GHG (kgCO2eq/GJ)]]/1000*3.6</f>
        <v>1.3917873892652425E-2</v>
      </c>
      <c r="J757" t="s">
        <v>104</v>
      </c>
      <c r="K757" t="s">
        <v>108</v>
      </c>
    </row>
    <row r="758" spans="1:11" hidden="1" x14ac:dyDescent="0.3">
      <c r="A758" t="s">
        <v>41</v>
      </c>
      <c r="B758" t="s">
        <v>61</v>
      </c>
      <c r="C758" t="s">
        <v>99</v>
      </c>
      <c r="D758">
        <v>1.3</v>
      </c>
      <c r="E758">
        <f>Tableau1[[#This Row],[Potential (PJ)]]/3.6*1000</f>
        <v>361.11111111111109</v>
      </c>
      <c r="F758">
        <v>1.8626923076923081</v>
      </c>
      <c r="G758">
        <f>Tableau1[[#This Row],[Cost (€/GJ)]]/1000*3.6</f>
        <v>6.7056923076923092E-3</v>
      </c>
      <c r="H758">
        <v>2.9245635910224439</v>
      </c>
      <c r="I758">
        <f>Tableau1[[#This Row],[GHG (kgCO2eq/GJ)]]/1000*3.6</f>
        <v>1.0528428927680798E-2</v>
      </c>
      <c r="J758" t="s">
        <v>104</v>
      </c>
      <c r="K758" t="s">
        <v>108</v>
      </c>
    </row>
    <row r="759" spans="1:11" hidden="1" x14ac:dyDescent="0.3">
      <c r="A759" t="s">
        <v>41</v>
      </c>
      <c r="B759" t="s">
        <v>62</v>
      </c>
      <c r="C759" t="s">
        <v>100</v>
      </c>
      <c r="D759">
        <v>0.4</v>
      </c>
      <c r="E759">
        <f>Tableau1[[#This Row],[Potential (PJ)]]/3.6*1000</f>
        <v>111.11111111111111</v>
      </c>
      <c r="F759">
        <v>0.67500000000000004</v>
      </c>
      <c r="G759">
        <f>Tableau1[[#This Row],[Cost (€/GJ)]]/1000*3.6</f>
        <v>2.4300000000000003E-3</v>
      </c>
      <c r="H759">
        <v>2.6764106050305911</v>
      </c>
      <c r="I759">
        <f>Tableau1[[#This Row],[GHG (kgCO2eq/GJ)]]/1000*3.6</f>
        <v>9.6350781781101291E-3</v>
      </c>
      <c r="J759" t="s">
        <v>104</v>
      </c>
      <c r="K759" t="s">
        <v>108</v>
      </c>
    </row>
    <row r="760" spans="1:11" hidden="1" x14ac:dyDescent="0.3">
      <c r="A760" t="s">
        <v>41</v>
      </c>
      <c r="B760" t="s">
        <v>54</v>
      </c>
      <c r="C760" t="s">
        <v>78</v>
      </c>
      <c r="D760">
        <v>30.9</v>
      </c>
      <c r="E760">
        <f>Tableau1[[#This Row],[Potential (PJ)]]/3.6*1000</f>
        <v>8583.3333333333321</v>
      </c>
      <c r="F760">
        <v>3.01421359223301</v>
      </c>
      <c r="G760">
        <f>Tableau1[[#This Row],[Cost (€/GJ)]]/1000*3.6</f>
        <v>1.0851168932038836E-2</v>
      </c>
      <c r="H760">
        <v>3.86607608129234</v>
      </c>
      <c r="I760">
        <f>Tableau1[[#This Row],[GHG (kgCO2eq/GJ)]]/1000*3.6</f>
        <v>1.3917873892652425E-2</v>
      </c>
      <c r="J760" t="s">
        <v>104</v>
      </c>
      <c r="K760" t="s">
        <v>108</v>
      </c>
    </row>
    <row r="761" spans="1:11" hidden="1" x14ac:dyDescent="0.3">
      <c r="A761" t="s">
        <v>42</v>
      </c>
      <c r="B761" t="s">
        <v>46</v>
      </c>
      <c r="C761" t="s">
        <v>63</v>
      </c>
      <c r="D761">
        <v>0.52680000000000005</v>
      </c>
      <c r="E761">
        <f>Tableau1[[#This Row],[Potential (PJ)]]/3.6*1000</f>
        <v>146.33333333333334</v>
      </c>
      <c r="F761">
        <v>2.9286474973375931</v>
      </c>
      <c r="G761">
        <f>Tableau1[[#This Row],[Cost (€/GJ)]]/1000*3.6</f>
        <v>1.0543130990415334E-2</v>
      </c>
      <c r="H761">
        <v>3.950479233226837</v>
      </c>
      <c r="I761">
        <f>Tableau1[[#This Row],[GHG (kgCO2eq/GJ)]]/1000*3.6</f>
        <v>1.4221725239616614E-2</v>
      </c>
      <c r="J761" t="s">
        <v>104</v>
      </c>
      <c r="K761" t="s">
        <v>108</v>
      </c>
    </row>
    <row r="762" spans="1:11" hidden="1" x14ac:dyDescent="0.3">
      <c r="A762" t="s">
        <v>42</v>
      </c>
      <c r="B762" t="s">
        <v>46</v>
      </c>
      <c r="C762" t="s">
        <v>64</v>
      </c>
      <c r="D762">
        <v>0.44719999999999999</v>
      </c>
      <c r="E762">
        <f>Tableau1[[#This Row],[Potential (PJ)]]/3.6*1000</f>
        <v>124.22222222222221</v>
      </c>
      <c r="F762">
        <v>5.1731638864042937</v>
      </c>
      <c r="G762">
        <f>Tableau1[[#This Row],[Cost (€/GJ)]]/1000*3.6</f>
        <v>1.8623389991055457E-2</v>
      </c>
      <c r="H762">
        <v>2.9521711768407801</v>
      </c>
      <c r="I762">
        <f>Tableau1[[#This Row],[GHG (kgCO2eq/GJ)]]/1000*3.6</f>
        <v>1.0627816236626808E-2</v>
      </c>
      <c r="J762" t="s">
        <v>104</v>
      </c>
      <c r="K762" t="s">
        <v>108</v>
      </c>
    </row>
    <row r="763" spans="1:11" hidden="1" x14ac:dyDescent="0.3">
      <c r="A763" t="s">
        <v>42</v>
      </c>
      <c r="B763" t="s">
        <v>46</v>
      </c>
      <c r="C763" t="s">
        <v>65</v>
      </c>
      <c r="D763">
        <v>2.7</v>
      </c>
      <c r="E763">
        <f>Tableau1[[#This Row],[Potential (PJ)]]/3.6*1000</f>
        <v>750</v>
      </c>
      <c r="F763">
        <v>4.7791851851851854</v>
      </c>
      <c r="G763">
        <f>Tableau1[[#This Row],[Cost (€/GJ)]]/1000*3.6</f>
        <v>1.7205066666666668E-2</v>
      </c>
      <c r="H763">
        <v>2.9521711768407801</v>
      </c>
      <c r="I763">
        <f>Tableau1[[#This Row],[GHG (kgCO2eq/GJ)]]/1000*3.6</f>
        <v>1.0627816236626808E-2</v>
      </c>
      <c r="J763" t="s">
        <v>104</v>
      </c>
      <c r="K763" t="s">
        <v>108</v>
      </c>
    </row>
    <row r="764" spans="1:11" hidden="1" x14ac:dyDescent="0.3">
      <c r="A764" t="s">
        <v>42</v>
      </c>
      <c r="B764" t="s">
        <v>46</v>
      </c>
      <c r="C764" t="s">
        <v>67</v>
      </c>
      <c r="D764">
        <v>1.9</v>
      </c>
      <c r="E764">
        <f>Tableau1[[#This Row],[Potential (PJ)]]/3.6*1000</f>
        <v>527.77777777777783</v>
      </c>
      <c r="F764">
        <v>6.1639999999999997</v>
      </c>
      <c r="G764">
        <f>Tableau1[[#This Row],[Cost (€/GJ)]]/1000*3.6</f>
        <v>2.2190399999999999E-2</v>
      </c>
      <c r="H764">
        <v>2.9521711768407801</v>
      </c>
      <c r="I764">
        <f>Tableau1[[#This Row],[GHG (kgCO2eq/GJ)]]/1000*3.6</f>
        <v>1.0627816236626808E-2</v>
      </c>
      <c r="J764" t="s">
        <v>104</v>
      </c>
      <c r="K764" t="s">
        <v>108</v>
      </c>
    </row>
    <row r="765" spans="1:11" hidden="1" x14ac:dyDescent="0.3">
      <c r="A765" t="s">
        <v>42</v>
      </c>
      <c r="B765" t="s">
        <v>46</v>
      </c>
      <c r="C765" t="s">
        <v>85</v>
      </c>
      <c r="D765">
        <v>0.3</v>
      </c>
      <c r="E765">
        <f>Tableau1[[#This Row],[Potential (PJ)]]/3.6*1000</f>
        <v>83.333333333333329</v>
      </c>
      <c r="F765">
        <v>4.2389999999999999</v>
      </c>
      <c r="G765">
        <f>Tableau1[[#This Row],[Cost (€/GJ)]]/1000*3.6</f>
        <v>1.5260399999999999E-2</v>
      </c>
      <c r="H765">
        <v>2.9521711768407801</v>
      </c>
      <c r="I765">
        <f>Tableau1[[#This Row],[GHG (kgCO2eq/GJ)]]/1000*3.6</f>
        <v>1.0627816236626808E-2</v>
      </c>
      <c r="J765" t="s">
        <v>104</v>
      </c>
      <c r="K765" t="s">
        <v>108</v>
      </c>
    </row>
    <row r="766" spans="1:11" hidden="1" x14ac:dyDescent="0.3">
      <c r="A766" t="s">
        <v>42</v>
      </c>
      <c r="B766" t="s">
        <v>47</v>
      </c>
      <c r="C766" t="s">
        <v>68</v>
      </c>
      <c r="D766">
        <v>162.30000000000001</v>
      </c>
      <c r="E766">
        <f>Tableau1[[#This Row],[Potential (PJ)]]/3.6*1000</f>
        <v>45083.333333333336</v>
      </c>
      <c r="F766">
        <v>3.3370000000000002</v>
      </c>
      <c r="G766">
        <f>Tableau1[[#This Row],[Cost (€/GJ)]]/1000*3.6</f>
        <v>1.20132E-2</v>
      </c>
      <c r="I766">
        <f>Tableau1[[#This Row],[GHG (kgCO2eq/GJ)]]/1000*3.6</f>
        <v>0</v>
      </c>
      <c r="J766" t="s">
        <v>104</v>
      </c>
      <c r="K766" t="s">
        <v>109</v>
      </c>
    </row>
    <row r="767" spans="1:11" hidden="1" x14ac:dyDescent="0.3">
      <c r="A767" t="s">
        <v>42</v>
      </c>
      <c r="B767" t="s">
        <v>47</v>
      </c>
      <c r="C767" t="s">
        <v>69</v>
      </c>
      <c r="D767">
        <v>113.5</v>
      </c>
      <c r="E767">
        <f>Tableau1[[#This Row],[Potential (PJ)]]/3.6*1000</f>
        <v>31527.777777777777</v>
      </c>
      <c r="F767">
        <v>3.3279999999999998</v>
      </c>
      <c r="G767">
        <f>Tableau1[[#This Row],[Cost (€/GJ)]]/1000*3.6</f>
        <v>1.19808E-2</v>
      </c>
      <c r="I767">
        <f>Tableau1[[#This Row],[GHG (kgCO2eq/GJ)]]/1000*3.6</f>
        <v>0</v>
      </c>
      <c r="J767" t="s">
        <v>104</v>
      </c>
      <c r="K767" t="s">
        <v>109</v>
      </c>
    </row>
    <row r="768" spans="1:11" hidden="1" x14ac:dyDescent="0.3">
      <c r="A768" t="s">
        <v>42</v>
      </c>
      <c r="B768" t="s">
        <v>48</v>
      </c>
      <c r="C768" t="s">
        <v>70</v>
      </c>
      <c r="D768">
        <v>60.2</v>
      </c>
      <c r="E768">
        <f>Tableau1[[#This Row],[Potential (PJ)]]/3.6*1000</f>
        <v>16722.222222222223</v>
      </c>
      <c r="F768">
        <v>8.8049999999999979</v>
      </c>
      <c r="G768">
        <f>Tableau1[[#This Row],[Cost (€/GJ)]]/1000*3.6</f>
        <v>3.1697999999999997E-2</v>
      </c>
      <c r="I768">
        <f>Tableau1[[#This Row],[GHG (kgCO2eq/GJ)]]/1000*3.6</f>
        <v>0</v>
      </c>
      <c r="J768" t="s">
        <v>104</v>
      </c>
      <c r="K768" t="s">
        <v>109</v>
      </c>
    </row>
    <row r="769" spans="1:11" hidden="1" x14ac:dyDescent="0.3">
      <c r="A769" t="s">
        <v>42</v>
      </c>
      <c r="B769" t="s">
        <v>49</v>
      </c>
      <c r="C769" t="s">
        <v>71</v>
      </c>
      <c r="D769">
        <v>1.4109999999999999E-2</v>
      </c>
      <c r="E769">
        <f>Tableau1[[#This Row],[Potential (PJ)]]/3.6*1000</f>
        <v>3.9194444444444443</v>
      </c>
      <c r="F769">
        <v>3.23</v>
      </c>
      <c r="G769">
        <f>Tableau1[[#This Row],[Cost (€/GJ)]]/1000*3.6</f>
        <v>1.1627999999999999E-2</v>
      </c>
      <c r="H769">
        <v>3.86607608129234</v>
      </c>
      <c r="I769">
        <f>Tableau1[[#This Row],[GHG (kgCO2eq/GJ)]]/1000*3.6</f>
        <v>1.3917873892652425E-2</v>
      </c>
      <c r="J769" t="s">
        <v>104</v>
      </c>
      <c r="K769" t="s">
        <v>108</v>
      </c>
    </row>
    <row r="770" spans="1:11" hidden="1" x14ac:dyDescent="0.3">
      <c r="A770" t="s">
        <v>42</v>
      </c>
      <c r="B770" t="s">
        <v>52</v>
      </c>
      <c r="C770" t="s">
        <v>76</v>
      </c>
      <c r="D770">
        <v>5.2190000000000003</v>
      </c>
      <c r="E770">
        <f>Tableau1[[#This Row],[Potential (PJ)]]/3.6*1000</f>
        <v>1449.7222222222224</v>
      </c>
      <c r="F770">
        <v>0</v>
      </c>
      <c r="G770">
        <f>Tableau1[[#This Row],[Cost (€/GJ)]]/1000*3.6</f>
        <v>0</v>
      </c>
      <c r="H770">
        <v>12.68872359754714</v>
      </c>
      <c r="I770">
        <f>Tableau1[[#This Row],[GHG (kgCO2eq/GJ)]]/1000*3.6</f>
        <v>4.5679404951169705E-2</v>
      </c>
      <c r="J770" t="s">
        <v>105</v>
      </c>
      <c r="K770" t="s">
        <v>108</v>
      </c>
    </row>
    <row r="771" spans="1:11" hidden="1" x14ac:dyDescent="0.3">
      <c r="A771" t="s">
        <v>43</v>
      </c>
      <c r="B771" t="s">
        <v>49</v>
      </c>
      <c r="C771" t="s">
        <v>71</v>
      </c>
      <c r="D771">
        <v>31.18637</v>
      </c>
      <c r="E771">
        <f>Tableau1[[#This Row],[Potential (PJ)]]/3.6*1000</f>
        <v>8662.8805555555555</v>
      </c>
      <c r="F771">
        <v>0</v>
      </c>
      <c r="G771">
        <f>Tableau1[[#This Row],[Cost (€/GJ)]]/1000*3.6</f>
        <v>0</v>
      </c>
      <c r="I771">
        <f>Tableau1[[#This Row],[GHG (kgCO2eq/GJ)]]/1000*3.6</f>
        <v>0</v>
      </c>
      <c r="J771" t="s">
        <v>104</v>
      </c>
      <c r="K771" t="s">
        <v>108</v>
      </c>
    </row>
    <row r="772" spans="1:11" hidden="1" x14ac:dyDescent="0.3">
      <c r="A772" t="s">
        <v>43</v>
      </c>
      <c r="B772" t="s">
        <v>49</v>
      </c>
      <c r="C772" t="s">
        <v>72</v>
      </c>
      <c r="D772">
        <v>5.7</v>
      </c>
      <c r="E772">
        <f>Tableau1[[#This Row],[Potential (PJ)]]/3.6*1000</f>
        <v>1583.3333333333333</v>
      </c>
      <c r="F772">
        <v>0</v>
      </c>
      <c r="G772">
        <f>Tableau1[[#This Row],[Cost (€/GJ)]]/1000*3.6</f>
        <v>0</v>
      </c>
      <c r="I772">
        <f>Tableau1[[#This Row],[GHG (kgCO2eq/GJ)]]/1000*3.6</f>
        <v>0</v>
      </c>
      <c r="J772" t="s">
        <v>104</v>
      </c>
      <c r="K772" t="s">
        <v>108</v>
      </c>
    </row>
    <row r="773" spans="1:11" hidden="1" x14ac:dyDescent="0.3">
      <c r="A773" t="s">
        <v>43</v>
      </c>
      <c r="B773" t="s">
        <v>53</v>
      </c>
      <c r="C773" t="s">
        <v>77</v>
      </c>
      <c r="D773">
        <v>20.602129999999999</v>
      </c>
      <c r="E773">
        <f>Tableau1[[#This Row],[Potential (PJ)]]/3.6*1000</f>
        <v>5722.813888888888</v>
      </c>
      <c r="F773">
        <v>0</v>
      </c>
      <c r="G773">
        <f>Tableau1[[#This Row],[Cost (€/GJ)]]/1000*3.6</f>
        <v>0</v>
      </c>
      <c r="I773">
        <f>Tableau1[[#This Row],[GHG (kgCO2eq/GJ)]]/1000*3.6</f>
        <v>0</v>
      </c>
      <c r="J773" t="s">
        <v>104</v>
      </c>
      <c r="K773" t="s">
        <v>108</v>
      </c>
    </row>
    <row r="774" spans="1:11" hidden="1" x14ac:dyDescent="0.3">
      <c r="A774" t="s">
        <v>43</v>
      </c>
      <c r="B774" t="s">
        <v>54</v>
      </c>
      <c r="C774" t="s">
        <v>78</v>
      </c>
      <c r="D774">
        <v>113.1</v>
      </c>
      <c r="E774">
        <f>Tableau1[[#This Row],[Potential (PJ)]]/3.6*1000</f>
        <v>31416.666666666664</v>
      </c>
      <c r="F774">
        <v>0</v>
      </c>
      <c r="G774">
        <f>Tableau1[[#This Row],[Cost (€/GJ)]]/1000*3.6</f>
        <v>0</v>
      </c>
      <c r="I774">
        <f>Tableau1[[#This Row],[GHG (kgCO2eq/GJ)]]/1000*3.6</f>
        <v>0</v>
      </c>
      <c r="J774" t="s">
        <v>104</v>
      </c>
      <c r="K774" t="s">
        <v>108</v>
      </c>
    </row>
    <row r="775" spans="1:11" hidden="1" x14ac:dyDescent="0.3">
      <c r="A775" t="s">
        <v>44</v>
      </c>
      <c r="B775" t="s">
        <v>46</v>
      </c>
      <c r="C775" t="s">
        <v>64</v>
      </c>
      <c r="D775">
        <v>1.6310000000000002E-2</v>
      </c>
      <c r="E775">
        <f>Tableau1[[#This Row],[Potential (PJ)]]/3.6*1000</f>
        <v>4.5305555555555559</v>
      </c>
      <c r="F775">
        <v>5.1542826486817894</v>
      </c>
      <c r="G775">
        <f>Tableau1[[#This Row],[Cost (€/GJ)]]/1000*3.6</f>
        <v>1.8555417535254443E-2</v>
      </c>
      <c r="H775">
        <v>2.9521711768407801</v>
      </c>
      <c r="I775">
        <f>Tableau1[[#This Row],[GHG (kgCO2eq/GJ)]]/1000*3.6</f>
        <v>1.0627816236626808E-2</v>
      </c>
      <c r="J775" t="s">
        <v>104</v>
      </c>
      <c r="K775" t="s">
        <v>108</v>
      </c>
    </row>
    <row r="776" spans="1:11" hidden="1" x14ac:dyDescent="0.3">
      <c r="A776" t="s">
        <v>44</v>
      </c>
      <c r="B776" t="s">
        <v>46</v>
      </c>
      <c r="C776" t="s">
        <v>79</v>
      </c>
      <c r="D776">
        <v>30</v>
      </c>
      <c r="E776">
        <f>Tableau1[[#This Row],[Potential (PJ)]]/3.6*1000</f>
        <v>8333.3333333333339</v>
      </c>
      <c r="F776">
        <v>4.3702266666666656</v>
      </c>
      <c r="G776">
        <f>Tableau1[[#This Row],[Cost (€/GJ)]]/1000*3.6</f>
        <v>1.5732815999999997E-2</v>
      </c>
      <c r="H776">
        <v>6.8428961748633883</v>
      </c>
      <c r="I776">
        <f>Tableau1[[#This Row],[GHG (kgCO2eq/GJ)]]/1000*3.6</f>
        <v>2.4634426229508198E-2</v>
      </c>
      <c r="J776" t="s">
        <v>104</v>
      </c>
      <c r="K776" t="s">
        <v>108</v>
      </c>
    </row>
    <row r="777" spans="1:11" hidden="1" x14ac:dyDescent="0.3">
      <c r="A777" t="s">
        <v>44</v>
      </c>
      <c r="B777" t="s">
        <v>46</v>
      </c>
      <c r="C777" t="s">
        <v>80</v>
      </c>
      <c r="D777">
        <v>2.3449</v>
      </c>
      <c r="E777">
        <f>Tableau1[[#This Row],[Potential (PJ)]]/3.6*1000</f>
        <v>651.36111111111109</v>
      </c>
      <c r="F777">
        <v>4.7201618341200263E-2</v>
      </c>
      <c r="G777">
        <f>Tableau1[[#This Row],[Cost (€/GJ)]]/1000*3.6</f>
        <v>1.6992582602832094E-4</v>
      </c>
      <c r="H777">
        <v>28.139870918023309</v>
      </c>
      <c r="I777">
        <f>Tableau1[[#This Row],[GHG (kgCO2eq/GJ)]]/1000*3.6</f>
        <v>0.10130353530488391</v>
      </c>
      <c r="J777" t="s">
        <v>105</v>
      </c>
      <c r="K777" t="s">
        <v>108</v>
      </c>
    </row>
    <row r="778" spans="1:11" hidden="1" x14ac:dyDescent="0.3">
      <c r="A778" t="s">
        <v>44</v>
      </c>
      <c r="B778" t="s">
        <v>46</v>
      </c>
      <c r="C778" t="s">
        <v>81</v>
      </c>
      <c r="D778">
        <v>0.28010000000000002</v>
      </c>
      <c r="E778">
        <f>Tableau1[[#This Row],[Potential (PJ)]]/3.6*1000</f>
        <v>77.805555555555557</v>
      </c>
      <c r="F778">
        <v>0.69388954171562867</v>
      </c>
      <c r="G778">
        <f>Tableau1[[#This Row],[Cost (€/GJ)]]/1000*3.6</f>
        <v>2.4980023501762635E-3</v>
      </c>
      <c r="H778">
        <v>8.9647473560517046</v>
      </c>
      <c r="I778">
        <f>Tableau1[[#This Row],[GHG (kgCO2eq/GJ)]]/1000*3.6</f>
        <v>3.2273090481786136E-2</v>
      </c>
      <c r="J778" t="s">
        <v>105</v>
      </c>
      <c r="K778" t="s">
        <v>108</v>
      </c>
    </row>
    <row r="779" spans="1:11" hidden="1" x14ac:dyDescent="0.3">
      <c r="A779" t="s">
        <v>44</v>
      </c>
      <c r="B779" t="s">
        <v>46</v>
      </c>
      <c r="C779" t="s">
        <v>82</v>
      </c>
      <c r="D779">
        <v>2.1</v>
      </c>
      <c r="E779">
        <f>Tableau1[[#This Row],[Potential (PJ)]]/3.6*1000</f>
        <v>583.33333333333337</v>
      </c>
      <c r="F779">
        <v>2.751523809523809</v>
      </c>
      <c r="G779">
        <f>Tableau1[[#This Row],[Cost (€/GJ)]]/1000*3.6</f>
        <v>9.9054857142857125E-3</v>
      </c>
      <c r="H779">
        <v>6.8428961748633883</v>
      </c>
      <c r="I779">
        <f>Tableau1[[#This Row],[GHG (kgCO2eq/GJ)]]/1000*3.6</f>
        <v>2.4634426229508198E-2</v>
      </c>
      <c r="J779" t="s">
        <v>104</v>
      </c>
      <c r="K779" t="s">
        <v>108</v>
      </c>
    </row>
    <row r="780" spans="1:11" hidden="1" x14ac:dyDescent="0.3">
      <c r="A780" t="s">
        <v>44</v>
      </c>
      <c r="B780" t="s">
        <v>46</v>
      </c>
      <c r="C780" t="s">
        <v>84</v>
      </c>
      <c r="D780">
        <v>0.8</v>
      </c>
      <c r="E780">
        <f>Tableau1[[#This Row],[Potential (PJ)]]/3.6*1000</f>
        <v>222.22222222222223</v>
      </c>
      <c r="F780">
        <v>2.63225</v>
      </c>
      <c r="G780">
        <f>Tableau1[[#This Row],[Cost (€/GJ)]]/1000*3.6</f>
        <v>9.4761000000000012E-3</v>
      </c>
      <c r="H780">
        <v>28.139870918023309</v>
      </c>
      <c r="I780">
        <f>Tableau1[[#This Row],[GHG (kgCO2eq/GJ)]]/1000*3.6</f>
        <v>0.10130353530488391</v>
      </c>
      <c r="J780" t="s">
        <v>105</v>
      </c>
      <c r="K780" t="s">
        <v>108</v>
      </c>
    </row>
    <row r="781" spans="1:11" hidden="1" x14ac:dyDescent="0.3">
      <c r="A781" t="s">
        <v>44</v>
      </c>
      <c r="B781" t="s">
        <v>55</v>
      </c>
      <c r="C781" t="s">
        <v>86</v>
      </c>
      <c r="D781">
        <v>3.1061000000000001</v>
      </c>
      <c r="E781">
        <f>Tableau1[[#This Row],[Potential (PJ)]]/3.6*1000</f>
        <v>862.80555555555566</v>
      </c>
      <c r="F781">
        <v>18.461000000000009</v>
      </c>
      <c r="G781">
        <f>Tableau1[[#This Row],[Cost (€/GJ)]]/1000*3.6</f>
        <v>6.6459600000000035E-2</v>
      </c>
      <c r="H781">
        <v>11.6</v>
      </c>
      <c r="I781">
        <f>Tableau1[[#This Row],[GHG (kgCO2eq/GJ)]]/1000*3.6</f>
        <v>4.1759999999999999E-2</v>
      </c>
      <c r="J781" t="s">
        <v>106</v>
      </c>
      <c r="K781" t="s">
        <v>109</v>
      </c>
    </row>
    <row r="782" spans="1:11" hidden="1" x14ac:dyDescent="0.3">
      <c r="A782" t="s">
        <v>44</v>
      </c>
      <c r="B782" t="s">
        <v>55</v>
      </c>
      <c r="C782" t="s">
        <v>89</v>
      </c>
      <c r="D782">
        <v>3.923</v>
      </c>
      <c r="E782">
        <f>Tableau1[[#This Row],[Potential (PJ)]]/3.6*1000</f>
        <v>1089.7222222222222</v>
      </c>
      <c r="F782">
        <v>0</v>
      </c>
      <c r="G782">
        <f>Tableau1[[#This Row],[Cost (€/GJ)]]/1000*3.6</f>
        <v>0</v>
      </c>
      <c r="H782">
        <v>11.6</v>
      </c>
      <c r="I782">
        <f>Tableau1[[#This Row],[GHG (kgCO2eq/GJ)]]/1000*3.6</f>
        <v>4.1759999999999999E-2</v>
      </c>
      <c r="J782" t="s">
        <v>106</v>
      </c>
      <c r="K782" t="s">
        <v>109</v>
      </c>
    </row>
    <row r="783" spans="1:11" hidden="1" x14ac:dyDescent="0.3">
      <c r="A783" t="s">
        <v>44</v>
      </c>
      <c r="B783" t="s">
        <v>55</v>
      </c>
      <c r="C783" t="s">
        <v>92</v>
      </c>
      <c r="D783">
        <v>15.23157</v>
      </c>
      <c r="E783">
        <f>Tableau1[[#This Row],[Potential (PJ)]]/3.6*1000</f>
        <v>4230.9916666666659</v>
      </c>
      <c r="F783">
        <v>18.32500000000001</v>
      </c>
      <c r="G783">
        <f>Tableau1[[#This Row],[Cost (€/GJ)]]/1000*3.6</f>
        <v>6.5970000000000042E-2</v>
      </c>
      <c r="H783">
        <v>11.6</v>
      </c>
      <c r="I783">
        <f>Tableau1[[#This Row],[GHG (kgCO2eq/GJ)]]/1000*3.6</f>
        <v>4.1759999999999999E-2</v>
      </c>
      <c r="J783" t="s">
        <v>106</v>
      </c>
      <c r="K783" t="s">
        <v>109</v>
      </c>
    </row>
    <row r="784" spans="1:11" hidden="1" x14ac:dyDescent="0.3">
      <c r="A784" t="s">
        <v>44</v>
      </c>
      <c r="B784" t="s">
        <v>56</v>
      </c>
      <c r="C784" t="s">
        <v>93</v>
      </c>
      <c r="D784">
        <v>67.979600000000005</v>
      </c>
      <c r="E784">
        <f>Tableau1[[#This Row],[Potential (PJ)]]/3.6*1000</f>
        <v>18883.222222222223</v>
      </c>
      <c r="F784">
        <v>2.939759036144578</v>
      </c>
      <c r="G784">
        <f>Tableau1[[#This Row],[Cost (€/GJ)]]/1000*3.6</f>
        <v>1.0583132530120481E-2</v>
      </c>
      <c r="H784">
        <v>28.8</v>
      </c>
      <c r="I784">
        <f>Tableau1[[#This Row],[GHG (kgCO2eq/GJ)]]/1000*3.6</f>
        <v>0.10367999999999999</v>
      </c>
      <c r="J784" t="s">
        <v>106</v>
      </c>
      <c r="K784" t="s">
        <v>109</v>
      </c>
    </row>
    <row r="785" spans="1:11" hidden="1" x14ac:dyDescent="0.3">
      <c r="A785" t="s">
        <v>44</v>
      </c>
      <c r="B785" t="s">
        <v>47</v>
      </c>
      <c r="C785" t="s">
        <v>68</v>
      </c>
      <c r="D785">
        <v>13.4</v>
      </c>
      <c r="E785">
        <f>Tableau1[[#This Row],[Potential (PJ)]]/3.6*1000</f>
        <v>3722.2222222222222</v>
      </c>
      <c r="F785">
        <v>6.8233134328358211</v>
      </c>
      <c r="G785">
        <f>Tableau1[[#This Row],[Cost (€/GJ)]]/1000*3.6</f>
        <v>2.4563928358208958E-2</v>
      </c>
      <c r="H785">
        <v>15.6</v>
      </c>
      <c r="I785">
        <f>Tableau1[[#This Row],[GHG (kgCO2eq/GJ)]]/1000*3.6</f>
        <v>5.6160000000000002E-2</v>
      </c>
      <c r="J785" t="s">
        <v>104</v>
      </c>
      <c r="K785" t="s">
        <v>109</v>
      </c>
    </row>
    <row r="786" spans="1:11" hidden="1" x14ac:dyDescent="0.3">
      <c r="A786" t="s">
        <v>44</v>
      </c>
      <c r="B786" t="s">
        <v>47</v>
      </c>
      <c r="C786" t="s">
        <v>69</v>
      </c>
      <c r="D786">
        <v>13.4</v>
      </c>
      <c r="E786">
        <f>Tableau1[[#This Row],[Potential (PJ)]]/3.6*1000</f>
        <v>3722.2222222222222</v>
      </c>
      <c r="F786">
        <v>7.4968134328358209</v>
      </c>
      <c r="G786">
        <f>Tableau1[[#This Row],[Cost (€/GJ)]]/1000*3.6</f>
        <v>2.6988528358208957E-2</v>
      </c>
      <c r="H786">
        <v>15.6</v>
      </c>
      <c r="I786">
        <f>Tableau1[[#This Row],[GHG (kgCO2eq/GJ)]]/1000*3.6</f>
        <v>5.6160000000000002E-2</v>
      </c>
      <c r="J786" t="s">
        <v>104</v>
      </c>
      <c r="K786" t="s">
        <v>109</v>
      </c>
    </row>
    <row r="787" spans="1:11" hidden="1" x14ac:dyDescent="0.3">
      <c r="A787" t="s">
        <v>44</v>
      </c>
      <c r="B787" t="s">
        <v>57</v>
      </c>
      <c r="C787" t="s">
        <v>94</v>
      </c>
      <c r="D787">
        <v>19.5</v>
      </c>
      <c r="E787">
        <f>Tableau1[[#This Row],[Potential (PJ)]]/3.6*1000</f>
        <v>5416.666666666667</v>
      </c>
      <c r="F787">
        <v>10.22846153846154</v>
      </c>
      <c r="G787">
        <f>Tableau1[[#This Row],[Cost (€/GJ)]]/1000*3.6</f>
        <v>3.6822461538461547E-2</v>
      </c>
      <c r="H787">
        <v>24.4</v>
      </c>
      <c r="I787">
        <f>Tableau1[[#This Row],[GHG (kgCO2eq/GJ)]]/1000*3.6</f>
        <v>8.7840000000000001E-2</v>
      </c>
      <c r="J787" t="s">
        <v>104</v>
      </c>
      <c r="K787" t="s">
        <v>109</v>
      </c>
    </row>
    <row r="788" spans="1:11" hidden="1" x14ac:dyDescent="0.3">
      <c r="A788" t="s">
        <v>44</v>
      </c>
      <c r="B788" t="s">
        <v>49</v>
      </c>
      <c r="C788" t="s">
        <v>71</v>
      </c>
      <c r="D788">
        <v>9.5678999999999998</v>
      </c>
      <c r="E788">
        <f>Tableau1[[#This Row],[Potential (PJ)]]/3.6*1000</f>
        <v>2657.75</v>
      </c>
      <c r="F788">
        <v>3.1126124489177349</v>
      </c>
      <c r="G788">
        <f>Tableau1[[#This Row],[Cost (€/GJ)]]/1000*3.6</f>
        <v>1.1205404816103846E-2</v>
      </c>
      <c r="H788">
        <v>3.86607608129234</v>
      </c>
      <c r="I788">
        <f>Tableau1[[#This Row],[GHG (kgCO2eq/GJ)]]/1000*3.6</f>
        <v>1.3917873892652425E-2</v>
      </c>
      <c r="J788" t="s">
        <v>104</v>
      </c>
      <c r="K788" t="s">
        <v>108</v>
      </c>
    </row>
    <row r="789" spans="1:11" hidden="1" x14ac:dyDescent="0.3">
      <c r="A789" t="s">
        <v>44</v>
      </c>
      <c r="B789" t="s">
        <v>49</v>
      </c>
      <c r="C789" t="s">
        <v>72</v>
      </c>
      <c r="D789">
        <v>0.5</v>
      </c>
      <c r="E789">
        <f>Tableau1[[#This Row],[Potential (PJ)]]/3.6*1000</f>
        <v>138.88888888888889</v>
      </c>
      <c r="F789">
        <v>2.0164</v>
      </c>
      <c r="G789">
        <f>Tableau1[[#This Row],[Cost (€/GJ)]]/1000*3.6</f>
        <v>7.2590399999999996E-3</v>
      </c>
      <c r="H789">
        <v>3.86607608129234</v>
      </c>
      <c r="I789">
        <f>Tableau1[[#This Row],[GHG (kgCO2eq/GJ)]]/1000*3.6</f>
        <v>1.3917873892652425E-2</v>
      </c>
      <c r="J789" t="s">
        <v>104</v>
      </c>
      <c r="K789" t="s">
        <v>108</v>
      </c>
    </row>
    <row r="790" spans="1:11" hidden="1" x14ac:dyDescent="0.3">
      <c r="A790" t="s">
        <v>44</v>
      </c>
      <c r="B790" t="s">
        <v>58</v>
      </c>
      <c r="C790" t="s">
        <v>95</v>
      </c>
      <c r="D790">
        <v>3.6194199999999999</v>
      </c>
      <c r="E790">
        <f>Tableau1[[#This Row],[Potential (PJ)]]/3.6*1000</f>
        <v>1005.3944444444445</v>
      </c>
      <c r="F790">
        <v>2.3267393035348198</v>
      </c>
      <c r="G790">
        <f>Tableau1[[#This Row],[Cost (€/GJ)]]/1000*3.6</f>
        <v>8.3762614927253513E-3</v>
      </c>
      <c r="H790">
        <v>2.9521711768407801</v>
      </c>
      <c r="I790">
        <f>Tableau1[[#This Row],[GHG (kgCO2eq/GJ)]]/1000*3.6</f>
        <v>1.0627816236626808E-2</v>
      </c>
      <c r="J790" t="s">
        <v>104</v>
      </c>
      <c r="K790" t="s">
        <v>108</v>
      </c>
    </row>
    <row r="791" spans="1:11" hidden="1" x14ac:dyDescent="0.3">
      <c r="A791" t="s">
        <v>44</v>
      </c>
      <c r="B791" t="s">
        <v>50</v>
      </c>
      <c r="C791" t="s">
        <v>73</v>
      </c>
      <c r="D791">
        <v>2.9</v>
      </c>
      <c r="E791">
        <f>Tableau1[[#This Row],[Potential (PJ)]]/3.6*1000</f>
        <v>805.55555555555543</v>
      </c>
      <c r="F791">
        <v>5.974275862068966</v>
      </c>
      <c r="G791">
        <f>Tableau1[[#This Row],[Cost (€/GJ)]]/1000*3.6</f>
        <v>2.1507393103448277E-2</v>
      </c>
      <c r="H791">
        <v>20.723404255319149</v>
      </c>
      <c r="I791">
        <f>Tableau1[[#This Row],[GHG (kgCO2eq/GJ)]]/1000*3.6</f>
        <v>7.4604255319148938E-2</v>
      </c>
      <c r="J791" t="s">
        <v>105</v>
      </c>
      <c r="K791" t="s">
        <v>108</v>
      </c>
    </row>
    <row r="792" spans="1:11" hidden="1" x14ac:dyDescent="0.3">
      <c r="A792" t="s">
        <v>44</v>
      </c>
      <c r="B792" t="s">
        <v>50</v>
      </c>
      <c r="C792" t="s">
        <v>74</v>
      </c>
      <c r="D792">
        <v>68</v>
      </c>
      <c r="E792">
        <f>Tableau1[[#This Row],[Potential (PJ)]]/3.6*1000</f>
        <v>18888.888888888891</v>
      </c>
      <c r="F792">
        <v>6.8750779411764711</v>
      </c>
      <c r="G792">
        <f>Tableau1[[#This Row],[Cost (€/GJ)]]/1000*3.6</f>
        <v>2.4750280588235297E-2</v>
      </c>
      <c r="H792">
        <v>2.0635593220338988</v>
      </c>
      <c r="I792">
        <f>Tableau1[[#This Row],[GHG (kgCO2eq/GJ)]]/1000*3.6</f>
        <v>7.4288135593220351E-3</v>
      </c>
      <c r="J792" t="s">
        <v>105</v>
      </c>
      <c r="K792" t="s">
        <v>108</v>
      </c>
    </row>
    <row r="793" spans="1:11" hidden="1" x14ac:dyDescent="0.3">
      <c r="A793" t="s">
        <v>44</v>
      </c>
      <c r="B793" t="s">
        <v>51</v>
      </c>
      <c r="C793" t="s">
        <v>75</v>
      </c>
      <c r="D793">
        <v>16.811489999999999</v>
      </c>
      <c r="E793">
        <f>Tableau1[[#This Row],[Potential (PJ)]]/3.6*1000</f>
        <v>4669.8583333333327</v>
      </c>
      <c r="F793">
        <v>2.31830560663406E-2</v>
      </c>
      <c r="G793">
        <f>Tableau1[[#This Row],[Cost (€/GJ)]]/1000*3.6</f>
        <v>8.3459001838826171E-5</v>
      </c>
      <c r="H793">
        <v>11.74</v>
      </c>
      <c r="I793">
        <f>Tableau1[[#This Row],[GHG (kgCO2eq/GJ)]]/1000*3.6</f>
        <v>4.2264000000000003E-2</v>
      </c>
      <c r="J793" t="s">
        <v>104</v>
      </c>
      <c r="K793" t="s">
        <v>108</v>
      </c>
    </row>
    <row r="794" spans="1:11" hidden="1" x14ac:dyDescent="0.3">
      <c r="A794" t="s">
        <v>44</v>
      </c>
      <c r="B794" t="s">
        <v>60</v>
      </c>
      <c r="C794" t="s">
        <v>98</v>
      </c>
      <c r="D794">
        <v>8.9805200000000003</v>
      </c>
      <c r="E794">
        <f>Tableau1[[#This Row],[Potential (PJ)]]/3.6*1000</f>
        <v>2494.588888888889</v>
      </c>
      <c r="F794">
        <v>19.60257787325456</v>
      </c>
      <c r="G794">
        <f>Tableau1[[#This Row],[Cost (€/GJ)]]/1000*3.6</f>
        <v>7.0569280343716428E-2</v>
      </c>
      <c r="H794">
        <v>20.6</v>
      </c>
      <c r="I794">
        <f>Tableau1[[#This Row],[GHG (kgCO2eq/GJ)]]/1000*3.6</f>
        <v>7.4160000000000004E-2</v>
      </c>
      <c r="J794" t="s">
        <v>107</v>
      </c>
      <c r="K794" t="s">
        <v>109</v>
      </c>
    </row>
    <row r="795" spans="1:11" hidden="1" x14ac:dyDescent="0.3">
      <c r="A795" t="s">
        <v>44</v>
      </c>
      <c r="B795" t="s">
        <v>52</v>
      </c>
      <c r="C795" t="s">
        <v>76</v>
      </c>
      <c r="D795">
        <v>0.113</v>
      </c>
      <c r="E795">
        <f>Tableau1[[#This Row],[Potential (PJ)]]/3.6*1000</f>
        <v>31.388888888888889</v>
      </c>
      <c r="F795">
        <v>6.1837425000000001</v>
      </c>
      <c r="G795">
        <f>Tableau1[[#This Row],[Cost (€/GJ)]]/1000*3.6</f>
        <v>2.2261473000000004E-2</v>
      </c>
      <c r="H795">
        <v>12.68872359754714</v>
      </c>
      <c r="I795">
        <f>Tableau1[[#This Row],[GHG (kgCO2eq/GJ)]]/1000*3.6</f>
        <v>4.5679404951169705E-2</v>
      </c>
      <c r="J795" t="s">
        <v>105</v>
      </c>
      <c r="K795" t="s">
        <v>108</v>
      </c>
    </row>
    <row r="796" spans="1:11" hidden="1" x14ac:dyDescent="0.3">
      <c r="A796" t="s">
        <v>44</v>
      </c>
      <c r="B796" t="s">
        <v>53</v>
      </c>
      <c r="C796" t="s">
        <v>77</v>
      </c>
      <c r="D796">
        <v>3.8922300000000001</v>
      </c>
      <c r="E796">
        <f>Tableau1[[#This Row],[Potential (PJ)]]/3.6*1000</f>
        <v>1081.175</v>
      </c>
      <c r="F796">
        <v>2.4747433142440189</v>
      </c>
      <c r="G796">
        <f>Tableau1[[#This Row],[Cost (€/GJ)]]/1000*3.6</f>
        <v>8.9090759312784682E-3</v>
      </c>
      <c r="H796">
        <v>3.86607608129234</v>
      </c>
      <c r="I796">
        <f>Tableau1[[#This Row],[GHG (kgCO2eq/GJ)]]/1000*3.6</f>
        <v>1.3917873892652425E-2</v>
      </c>
      <c r="J796" t="s">
        <v>104</v>
      </c>
      <c r="K796" t="s">
        <v>108</v>
      </c>
    </row>
    <row r="797" spans="1:11" hidden="1" x14ac:dyDescent="0.3">
      <c r="A797" t="s">
        <v>44</v>
      </c>
      <c r="B797" t="s">
        <v>61</v>
      </c>
      <c r="C797" t="s">
        <v>99</v>
      </c>
      <c r="D797">
        <v>1.9</v>
      </c>
      <c r="E797">
        <f>Tableau1[[#This Row],[Potential (PJ)]]/3.6*1000</f>
        <v>527.77777777777783</v>
      </c>
      <c r="F797">
        <v>1.5234736842105261</v>
      </c>
      <c r="G797">
        <f>Tableau1[[#This Row],[Cost (€/GJ)]]/1000*3.6</f>
        <v>5.4845052631578945E-3</v>
      </c>
      <c r="H797">
        <v>2.9245635910224439</v>
      </c>
      <c r="I797">
        <f>Tableau1[[#This Row],[GHG (kgCO2eq/GJ)]]/1000*3.6</f>
        <v>1.0528428927680798E-2</v>
      </c>
      <c r="J797" t="s">
        <v>104</v>
      </c>
      <c r="K797" t="s">
        <v>108</v>
      </c>
    </row>
    <row r="798" spans="1:11" hidden="1" x14ac:dyDescent="0.3">
      <c r="A798" t="s">
        <v>44</v>
      </c>
      <c r="B798" t="s">
        <v>62</v>
      </c>
      <c r="C798" t="s">
        <v>100</v>
      </c>
      <c r="D798">
        <v>0.4</v>
      </c>
      <c r="E798">
        <f>Tableau1[[#This Row],[Potential (PJ)]]/3.6*1000</f>
        <v>111.11111111111111</v>
      </c>
      <c r="F798">
        <v>0.125</v>
      </c>
      <c r="G798">
        <f>Tableau1[[#This Row],[Cost (€/GJ)]]/1000*3.6</f>
        <v>4.5000000000000004E-4</v>
      </c>
      <c r="H798">
        <v>2.6764106050305911</v>
      </c>
      <c r="I798">
        <f>Tableau1[[#This Row],[GHG (kgCO2eq/GJ)]]/1000*3.6</f>
        <v>9.6350781781101291E-3</v>
      </c>
      <c r="J798" t="s">
        <v>104</v>
      </c>
      <c r="K798" t="s">
        <v>108</v>
      </c>
    </row>
    <row r="799" spans="1:11" hidden="1" x14ac:dyDescent="0.3">
      <c r="A799" t="s">
        <v>44</v>
      </c>
      <c r="B799" t="s">
        <v>54</v>
      </c>
      <c r="C799" t="s">
        <v>78</v>
      </c>
      <c r="D799">
        <v>53.4</v>
      </c>
      <c r="E799">
        <f>Tableau1[[#This Row],[Potential (PJ)]]/3.6*1000</f>
        <v>14833.333333333332</v>
      </c>
      <c r="F799">
        <v>5.0604756554307118</v>
      </c>
      <c r="G799">
        <f>Tableau1[[#This Row],[Cost (€/GJ)]]/1000*3.6</f>
        <v>1.8217712359550563E-2</v>
      </c>
      <c r="H799">
        <v>3.86607608129234</v>
      </c>
      <c r="I799">
        <f>Tableau1[[#This Row],[GHG (kgCO2eq/GJ)]]/1000*3.6</f>
        <v>1.3917873892652425E-2</v>
      </c>
      <c r="J799" t="s">
        <v>104</v>
      </c>
      <c r="K799" t="s">
        <v>108</v>
      </c>
    </row>
    <row r="800" spans="1:11" hidden="1" x14ac:dyDescent="0.3">
      <c r="A800" t="s">
        <v>45</v>
      </c>
      <c r="B800" t="s">
        <v>46</v>
      </c>
      <c r="C800" t="s">
        <v>64</v>
      </c>
      <c r="D800">
        <v>3.5799999999999998E-3</v>
      </c>
      <c r="E800">
        <f>Tableau1[[#This Row],[Potential (PJ)]]/3.6*1000</f>
        <v>0.99444444444444424</v>
      </c>
      <c r="F800">
        <v>4.9450000000000003</v>
      </c>
      <c r="G800">
        <f>Tableau1[[#This Row],[Cost (€/GJ)]]/1000*3.6</f>
        <v>1.7802000000000002E-2</v>
      </c>
      <c r="H800">
        <v>2.9521711768407801</v>
      </c>
      <c r="I800">
        <f>Tableau1[[#This Row],[GHG (kgCO2eq/GJ)]]/1000*3.6</f>
        <v>1.0627816236626808E-2</v>
      </c>
      <c r="J800" t="s">
        <v>104</v>
      </c>
      <c r="K800" t="s">
        <v>108</v>
      </c>
    </row>
    <row r="801" spans="1:11" hidden="1" x14ac:dyDescent="0.3">
      <c r="A801" t="s">
        <v>45</v>
      </c>
      <c r="B801" t="s">
        <v>46</v>
      </c>
      <c r="C801" t="s">
        <v>79</v>
      </c>
      <c r="D801">
        <v>0.8</v>
      </c>
      <c r="E801">
        <f>Tableau1[[#This Row],[Potential (PJ)]]/3.6*1000</f>
        <v>222.22222222222223</v>
      </c>
      <c r="F801">
        <v>0</v>
      </c>
      <c r="G801">
        <f>Tableau1[[#This Row],[Cost (€/GJ)]]/1000*3.6</f>
        <v>0</v>
      </c>
      <c r="H801">
        <v>6.8428961748633883</v>
      </c>
      <c r="I801">
        <f>Tableau1[[#This Row],[GHG (kgCO2eq/GJ)]]/1000*3.6</f>
        <v>2.4634426229508198E-2</v>
      </c>
      <c r="J801" t="s">
        <v>104</v>
      </c>
      <c r="K801" t="s">
        <v>108</v>
      </c>
    </row>
    <row r="802" spans="1:11" hidden="1" x14ac:dyDescent="0.3">
      <c r="A802" t="s">
        <v>45</v>
      </c>
      <c r="B802" t="s">
        <v>46</v>
      </c>
      <c r="C802" t="s">
        <v>66</v>
      </c>
      <c r="D802">
        <v>0.1</v>
      </c>
      <c r="E802">
        <f>Tableau1[[#This Row],[Potential (PJ)]]/3.6*1000</f>
        <v>27.777777777777779</v>
      </c>
      <c r="F802">
        <v>2.9889999999999999</v>
      </c>
      <c r="G802">
        <f>Tableau1[[#This Row],[Cost (€/GJ)]]/1000*3.6</f>
        <v>1.07604E-2</v>
      </c>
      <c r="H802">
        <v>6.8428961748633883</v>
      </c>
      <c r="I802">
        <f>Tableau1[[#This Row],[GHG (kgCO2eq/GJ)]]/1000*3.6</f>
        <v>2.4634426229508198E-2</v>
      </c>
      <c r="J802" t="s">
        <v>104</v>
      </c>
      <c r="K802" t="s">
        <v>108</v>
      </c>
    </row>
    <row r="803" spans="1:11" hidden="1" x14ac:dyDescent="0.3">
      <c r="A803" t="s">
        <v>45</v>
      </c>
      <c r="B803" t="s">
        <v>47</v>
      </c>
      <c r="C803" t="s">
        <v>68</v>
      </c>
      <c r="D803">
        <v>24.7</v>
      </c>
      <c r="E803">
        <f>Tableau1[[#This Row],[Potential (PJ)]]/3.6*1000</f>
        <v>6861.1111111111104</v>
      </c>
      <c r="F803">
        <v>3.883</v>
      </c>
      <c r="G803">
        <f>Tableau1[[#This Row],[Cost (€/GJ)]]/1000*3.6</f>
        <v>1.3978800000000001E-2</v>
      </c>
      <c r="I803">
        <f>Tableau1[[#This Row],[GHG (kgCO2eq/GJ)]]/1000*3.6</f>
        <v>0</v>
      </c>
      <c r="J803" t="s">
        <v>104</v>
      </c>
      <c r="K803" t="s">
        <v>109</v>
      </c>
    </row>
    <row r="804" spans="1:11" hidden="1" x14ac:dyDescent="0.3">
      <c r="A804" t="s">
        <v>45</v>
      </c>
      <c r="B804" t="s">
        <v>47</v>
      </c>
      <c r="C804" t="s">
        <v>69</v>
      </c>
      <c r="D804">
        <v>17.3</v>
      </c>
      <c r="E804">
        <f>Tableau1[[#This Row],[Potential (PJ)]]/3.6*1000</f>
        <v>4805.5555555555557</v>
      </c>
      <c r="F804">
        <v>3.8690000000000002</v>
      </c>
      <c r="G804">
        <f>Tableau1[[#This Row],[Cost (€/GJ)]]/1000*3.6</f>
        <v>1.3928400000000001E-2</v>
      </c>
      <c r="I804">
        <f>Tableau1[[#This Row],[GHG (kgCO2eq/GJ)]]/1000*3.6</f>
        <v>0</v>
      </c>
      <c r="J804" t="s">
        <v>104</v>
      </c>
      <c r="K804" t="s">
        <v>109</v>
      </c>
    </row>
    <row r="805" spans="1:11" hidden="1" x14ac:dyDescent="0.3">
      <c r="A805" t="s">
        <v>45</v>
      </c>
      <c r="B805" t="s">
        <v>48</v>
      </c>
      <c r="C805" t="s">
        <v>70</v>
      </c>
      <c r="D805">
        <v>9.1</v>
      </c>
      <c r="E805">
        <f>Tableau1[[#This Row],[Potential (PJ)]]/3.6*1000</f>
        <v>2527.7777777777778</v>
      </c>
      <c r="F805">
        <v>9.9860000000000007</v>
      </c>
      <c r="G805">
        <f>Tableau1[[#This Row],[Cost (€/GJ)]]/1000*3.6</f>
        <v>3.5949599999999998E-2</v>
      </c>
      <c r="I805">
        <f>Tableau1[[#This Row],[GHG (kgCO2eq/GJ)]]/1000*3.6</f>
        <v>0</v>
      </c>
      <c r="J805" t="s">
        <v>104</v>
      </c>
      <c r="K805" t="s">
        <v>109</v>
      </c>
    </row>
    <row r="806" spans="1:11" hidden="1" x14ac:dyDescent="0.3">
      <c r="A806" t="s">
        <v>45</v>
      </c>
      <c r="B806" t="s">
        <v>49</v>
      </c>
      <c r="C806" t="s">
        <v>71</v>
      </c>
      <c r="D806">
        <v>0.14652000000000001</v>
      </c>
      <c r="E806">
        <f>Tableau1[[#This Row],[Potential (PJ)]]/3.6*1000</f>
        <v>40.700000000000003</v>
      </c>
      <c r="F806">
        <v>0</v>
      </c>
      <c r="G806">
        <f>Tableau1[[#This Row],[Cost (€/GJ)]]/1000*3.6</f>
        <v>0</v>
      </c>
      <c r="H806">
        <v>3.86607608129234</v>
      </c>
      <c r="I806">
        <f>Tableau1[[#This Row],[GHG (kgCO2eq/GJ)]]/1000*3.6</f>
        <v>1.3917873892652425E-2</v>
      </c>
      <c r="J806" t="s">
        <v>104</v>
      </c>
      <c r="K806" t="s">
        <v>108</v>
      </c>
    </row>
    <row r="807" spans="1:11" hidden="1" x14ac:dyDescent="0.3">
      <c r="A807" t="s">
        <v>45</v>
      </c>
      <c r="B807" t="s">
        <v>52</v>
      </c>
      <c r="C807" t="s">
        <v>76</v>
      </c>
      <c r="D807">
        <v>0.03</v>
      </c>
      <c r="E807">
        <f>Tableau1[[#This Row],[Potential (PJ)]]/3.6*1000</f>
        <v>8.3333333333333339</v>
      </c>
      <c r="F807">
        <v>0</v>
      </c>
      <c r="G807">
        <f>Tableau1[[#This Row],[Cost (€/GJ)]]/1000*3.6</f>
        <v>0</v>
      </c>
      <c r="H807">
        <v>12.68872359754714</v>
      </c>
      <c r="I807">
        <f>Tableau1[[#This Row],[GHG (kgCO2eq/GJ)]]/1000*3.6</f>
        <v>4.5679404951169705E-2</v>
      </c>
      <c r="J807" t="s">
        <v>105</v>
      </c>
      <c r="K807" t="s">
        <v>108</v>
      </c>
    </row>
    <row r="808" spans="1:11" hidden="1" x14ac:dyDescent="0.3">
      <c r="A808" t="s">
        <v>45</v>
      </c>
      <c r="B808" t="s">
        <v>54</v>
      </c>
      <c r="C808" t="s">
        <v>78</v>
      </c>
      <c r="D808">
        <v>2</v>
      </c>
      <c r="E808">
        <f>Tableau1[[#This Row],[Potential (PJ)]]/3.6*1000</f>
        <v>555.55555555555554</v>
      </c>
      <c r="F808">
        <v>0</v>
      </c>
      <c r="G808">
        <f>Tableau1[[#This Row],[Cost (€/GJ)]]/1000*3.6</f>
        <v>0</v>
      </c>
      <c r="H808">
        <v>3.86607608129234</v>
      </c>
      <c r="I808">
        <f>Tableau1[[#This Row],[GHG (kgCO2eq/GJ)]]/1000*3.6</f>
        <v>1.3917873892652425E-2</v>
      </c>
      <c r="J808" t="s">
        <v>104</v>
      </c>
      <c r="K808" t="s">
        <v>108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863"/>
  <sheetViews>
    <sheetView workbookViewId="0">
      <selection activeCell="I343" sqref="I343"/>
    </sheetView>
  </sheetViews>
  <sheetFormatPr baseColWidth="10" defaultColWidth="8.88671875" defaultRowHeight="14.4" x14ac:dyDescent="0.3"/>
  <cols>
    <col min="2" max="2" width="10.109375" customWidth="1"/>
    <col min="4" max="5" width="14.44140625" customWidth="1"/>
    <col min="6" max="7" width="12.33203125" customWidth="1"/>
    <col min="8" max="9" width="19.33203125" customWidth="1"/>
    <col min="10" max="10" width="10.5546875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115</v>
      </c>
      <c r="F1" s="2" t="s">
        <v>112</v>
      </c>
      <c r="G1" s="2" t="s">
        <v>110</v>
      </c>
      <c r="H1" s="2" t="s">
        <v>4</v>
      </c>
      <c r="I1" s="2" t="s">
        <v>111</v>
      </c>
      <c r="J1" s="2" t="s">
        <v>5</v>
      </c>
      <c r="K1" s="2" t="s">
        <v>6</v>
      </c>
    </row>
    <row r="2" spans="1:11" hidden="1" x14ac:dyDescent="0.3">
      <c r="A2" t="s">
        <v>7</v>
      </c>
      <c r="B2" t="s">
        <v>46</v>
      </c>
      <c r="C2" t="s">
        <v>63</v>
      </c>
      <c r="D2">
        <v>0.15509999999999999</v>
      </c>
      <c r="E2">
        <f>Tableau4[[#This Row],[Potential (PJ)]]*1000/3.6</f>
        <v>43.083333333333329</v>
      </c>
      <c r="F2">
        <v>2.9286474973375931</v>
      </c>
      <c r="G2">
        <f>Tableau4[[#This Row],[Cost (€/GJ)]]*3.6/1000</f>
        <v>1.0543130990415334E-2</v>
      </c>
      <c r="H2">
        <v>3.950479233226837</v>
      </c>
      <c r="I2">
        <f>Tableau4[[#This Row],[GHG (kgCO2eq/GJ)]]*3.6/1000</f>
        <v>1.4221725239616614E-2</v>
      </c>
      <c r="J2" t="s">
        <v>104</v>
      </c>
      <c r="K2" t="s">
        <v>108</v>
      </c>
    </row>
    <row r="3" spans="1:11" hidden="1" x14ac:dyDescent="0.3">
      <c r="A3" t="s">
        <v>7</v>
      </c>
      <c r="B3" t="s">
        <v>46</v>
      </c>
      <c r="C3" t="s">
        <v>64</v>
      </c>
      <c r="D3">
        <v>0.69164000000000003</v>
      </c>
      <c r="E3">
        <f>Tableau4[[#This Row],[Potential (PJ)]]*1000/3.6</f>
        <v>192.12222222222221</v>
      </c>
      <c r="F3">
        <v>0</v>
      </c>
      <c r="G3">
        <f>Tableau4[[#This Row],[Cost (€/GJ)]]*3.6/1000</f>
        <v>0</v>
      </c>
      <c r="H3">
        <v>2.9521711768407801</v>
      </c>
      <c r="I3">
        <f>Tableau4[[#This Row],[GHG (kgCO2eq/GJ)]]*3.6/1000</f>
        <v>1.0627816236626808E-2</v>
      </c>
      <c r="J3" t="s">
        <v>104</v>
      </c>
      <c r="K3" t="s">
        <v>108</v>
      </c>
    </row>
    <row r="4" spans="1:11" hidden="1" x14ac:dyDescent="0.3">
      <c r="A4" t="s">
        <v>7</v>
      </c>
      <c r="B4" t="s">
        <v>46</v>
      </c>
      <c r="C4" t="s">
        <v>65</v>
      </c>
      <c r="D4">
        <v>0.9</v>
      </c>
      <c r="E4">
        <f>Tableau4[[#This Row],[Potential (PJ)]]*1000/3.6</f>
        <v>250</v>
      </c>
      <c r="F4">
        <v>4.2649999999999997</v>
      </c>
      <c r="G4">
        <f>Tableau4[[#This Row],[Cost (€/GJ)]]*3.6/1000</f>
        <v>1.5354E-2</v>
      </c>
      <c r="H4">
        <v>2.9521711768407801</v>
      </c>
      <c r="I4">
        <f>Tableau4[[#This Row],[GHG (kgCO2eq/GJ)]]*3.6/1000</f>
        <v>1.0627816236626808E-2</v>
      </c>
      <c r="J4" t="s">
        <v>104</v>
      </c>
      <c r="K4" t="s">
        <v>108</v>
      </c>
    </row>
    <row r="5" spans="1:11" hidden="1" x14ac:dyDescent="0.3">
      <c r="A5" t="s">
        <v>7</v>
      </c>
      <c r="B5" t="s">
        <v>46</v>
      </c>
      <c r="C5" t="s">
        <v>66</v>
      </c>
      <c r="D5">
        <v>0.9</v>
      </c>
      <c r="E5">
        <f>Tableau4[[#This Row],[Potential (PJ)]]*1000/3.6</f>
        <v>250</v>
      </c>
      <c r="F5">
        <v>1.385</v>
      </c>
      <c r="G5">
        <f>Tableau4[[#This Row],[Cost (€/GJ)]]*3.6/1000</f>
        <v>4.986E-3</v>
      </c>
      <c r="H5">
        <v>6.8428961748633883</v>
      </c>
      <c r="I5">
        <f>Tableau4[[#This Row],[GHG (kgCO2eq/GJ)]]*3.6/1000</f>
        <v>2.4634426229508198E-2</v>
      </c>
      <c r="J5" t="s">
        <v>104</v>
      </c>
      <c r="K5" t="s">
        <v>108</v>
      </c>
    </row>
    <row r="6" spans="1:11" hidden="1" x14ac:dyDescent="0.3">
      <c r="A6" t="s">
        <v>7</v>
      </c>
      <c r="B6" t="s">
        <v>46</v>
      </c>
      <c r="C6" t="s">
        <v>67</v>
      </c>
      <c r="D6">
        <v>0.3</v>
      </c>
      <c r="E6">
        <f>Tableau4[[#This Row],[Potential (PJ)]]*1000/3.6</f>
        <v>83.333333333333329</v>
      </c>
      <c r="F6">
        <v>4.6159999999999997</v>
      </c>
      <c r="G6">
        <f>Tableau4[[#This Row],[Cost (€/GJ)]]*3.6/1000</f>
        <v>1.66176E-2</v>
      </c>
      <c r="H6">
        <v>2.9521711768407801</v>
      </c>
      <c r="I6">
        <f>Tableau4[[#This Row],[GHG (kgCO2eq/GJ)]]*3.6/1000</f>
        <v>1.0627816236626808E-2</v>
      </c>
      <c r="J6" t="s">
        <v>104</v>
      </c>
      <c r="K6" t="s">
        <v>108</v>
      </c>
    </row>
    <row r="7" spans="1:11" hidden="1" x14ac:dyDescent="0.3">
      <c r="A7" t="s">
        <v>7</v>
      </c>
      <c r="B7" t="s">
        <v>46</v>
      </c>
      <c r="C7" t="s">
        <v>85</v>
      </c>
      <c r="D7">
        <v>0.3</v>
      </c>
      <c r="E7">
        <f>Tableau4[[#This Row],[Potential (PJ)]]*1000/3.6</f>
        <v>83.333333333333329</v>
      </c>
      <c r="F7">
        <v>0</v>
      </c>
      <c r="G7">
        <f>Tableau4[[#This Row],[Cost (€/GJ)]]*3.6/1000</f>
        <v>0</v>
      </c>
      <c r="H7">
        <v>2.9521711768407801</v>
      </c>
      <c r="I7">
        <f>Tableau4[[#This Row],[GHG (kgCO2eq/GJ)]]*3.6/1000</f>
        <v>1.0627816236626808E-2</v>
      </c>
      <c r="J7" t="s">
        <v>104</v>
      </c>
      <c r="K7" t="s">
        <v>108</v>
      </c>
    </row>
    <row r="8" spans="1:11" hidden="1" x14ac:dyDescent="0.3">
      <c r="A8" t="s">
        <v>7</v>
      </c>
      <c r="B8" t="s">
        <v>47</v>
      </c>
      <c r="C8" t="s">
        <v>68</v>
      </c>
      <c r="D8">
        <v>23.2</v>
      </c>
      <c r="E8">
        <f>Tableau4[[#This Row],[Potential (PJ)]]*1000/3.6</f>
        <v>6444.4444444444443</v>
      </c>
      <c r="F8">
        <v>3.3740000000000001</v>
      </c>
      <c r="G8">
        <f>Tableau4[[#This Row],[Cost (€/GJ)]]*3.6/1000</f>
        <v>1.21464E-2</v>
      </c>
      <c r="H8">
        <v>14.1</v>
      </c>
      <c r="I8">
        <f>Tableau4[[#This Row],[GHG (kgCO2eq/GJ)]]*3.6/1000</f>
        <v>5.076E-2</v>
      </c>
      <c r="J8" t="s">
        <v>104</v>
      </c>
      <c r="K8" t="s">
        <v>109</v>
      </c>
    </row>
    <row r="9" spans="1:11" hidden="1" x14ac:dyDescent="0.3">
      <c r="A9" t="s">
        <v>7</v>
      </c>
      <c r="B9" t="s">
        <v>47</v>
      </c>
      <c r="C9" t="s">
        <v>69</v>
      </c>
      <c r="D9">
        <v>16.2</v>
      </c>
      <c r="E9">
        <f>Tableau4[[#This Row],[Potential (PJ)]]*1000/3.6</f>
        <v>4500</v>
      </c>
      <c r="F9">
        <v>3.3820000000000001</v>
      </c>
      <c r="G9">
        <f>Tableau4[[#This Row],[Cost (€/GJ)]]*3.6/1000</f>
        <v>1.2175200000000001E-2</v>
      </c>
      <c r="H9">
        <v>14.1</v>
      </c>
      <c r="I9">
        <f>Tableau4[[#This Row],[GHG (kgCO2eq/GJ)]]*3.6/1000</f>
        <v>5.076E-2</v>
      </c>
      <c r="J9" t="s">
        <v>104</v>
      </c>
      <c r="K9" t="s">
        <v>109</v>
      </c>
    </row>
    <row r="10" spans="1:11" hidden="1" x14ac:dyDescent="0.3">
      <c r="A10" t="s">
        <v>7</v>
      </c>
      <c r="B10" t="s">
        <v>48</v>
      </c>
      <c r="C10" t="s">
        <v>70</v>
      </c>
      <c r="D10">
        <v>8.6</v>
      </c>
      <c r="E10">
        <f>Tableau4[[#This Row],[Potential (PJ)]]*1000/3.6</f>
        <v>2388.8888888888887</v>
      </c>
      <c r="F10">
        <v>8.9079999999999995</v>
      </c>
      <c r="G10">
        <f>Tableau4[[#This Row],[Cost (€/GJ)]]*3.6/1000</f>
        <v>3.2068799999999995E-2</v>
      </c>
      <c r="H10">
        <v>0</v>
      </c>
      <c r="I10">
        <f>Tableau4[[#This Row],[GHG (kgCO2eq/GJ)]]*3.6/1000</f>
        <v>0</v>
      </c>
      <c r="J10" t="s">
        <v>104</v>
      </c>
      <c r="K10" t="s">
        <v>109</v>
      </c>
    </row>
    <row r="11" spans="1:11" hidden="1" x14ac:dyDescent="0.3">
      <c r="A11" t="s">
        <v>7</v>
      </c>
      <c r="B11" t="s">
        <v>49</v>
      </c>
      <c r="C11" t="s">
        <v>71</v>
      </c>
      <c r="D11">
        <v>11.501010000000001</v>
      </c>
      <c r="E11">
        <f>Tableau4[[#This Row],[Potential (PJ)]]*1000/3.6</f>
        <v>3194.7249999999999</v>
      </c>
      <c r="F11">
        <v>0</v>
      </c>
      <c r="G11">
        <f>Tableau4[[#This Row],[Cost (€/GJ)]]*3.6/1000</f>
        <v>0</v>
      </c>
      <c r="H11">
        <v>3.86607608129234</v>
      </c>
      <c r="I11">
        <f>Tableau4[[#This Row],[GHG (kgCO2eq/GJ)]]*3.6/1000</f>
        <v>1.3917873892652425E-2</v>
      </c>
      <c r="J11" t="s">
        <v>104</v>
      </c>
      <c r="K11" t="s">
        <v>108</v>
      </c>
    </row>
    <row r="12" spans="1:11" hidden="1" x14ac:dyDescent="0.3">
      <c r="A12" t="s">
        <v>7</v>
      </c>
      <c r="B12" t="s">
        <v>49</v>
      </c>
      <c r="C12" t="s">
        <v>72</v>
      </c>
      <c r="D12">
        <v>3.2</v>
      </c>
      <c r="E12">
        <f>Tableau4[[#This Row],[Potential (PJ)]]*1000/3.6</f>
        <v>888.88888888888891</v>
      </c>
      <c r="F12">
        <v>0</v>
      </c>
      <c r="G12">
        <f>Tableau4[[#This Row],[Cost (€/GJ)]]*3.6/1000</f>
        <v>0</v>
      </c>
      <c r="H12">
        <v>3.86607608129234</v>
      </c>
      <c r="I12">
        <f>Tableau4[[#This Row],[GHG (kgCO2eq/GJ)]]*3.6/1000</f>
        <v>1.3917873892652425E-2</v>
      </c>
      <c r="J12" t="s">
        <v>104</v>
      </c>
      <c r="K12" t="s">
        <v>108</v>
      </c>
    </row>
    <row r="13" spans="1:11" hidden="1" x14ac:dyDescent="0.3">
      <c r="A13" t="s">
        <v>7</v>
      </c>
      <c r="B13" t="s">
        <v>50</v>
      </c>
      <c r="C13" t="s">
        <v>73</v>
      </c>
      <c r="D13">
        <v>0.5</v>
      </c>
      <c r="E13">
        <f>Tableau4[[#This Row],[Potential (PJ)]]*1000/3.6</f>
        <v>138.88888888888889</v>
      </c>
      <c r="F13">
        <v>5.4240000000000004</v>
      </c>
      <c r="G13">
        <f>Tableau4[[#This Row],[Cost (€/GJ)]]*3.6/1000</f>
        <v>1.9526400000000003E-2</v>
      </c>
      <c r="H13">
        <v>20.723404255319149</v>
      </c>
      <c r="I13">
        <f>Tableau4[[#This Row],[GHG (kgCO2eq/GJ)]]*3.6/1000</f>
        <v>7.4604255319148938E-2</v>
      </c>
      <c r="J13" t="s">
        <v>105</v>
      </c>
      <c r="K13" t="s">
        <v>108</v>
      </c>
    </row>
    <row r="14" spans="1:11" hidden="1" x14ac:dyDescent="0.3">
      <c r="A14" t="s">
        <v>7</v>
      </c>
      <c r="B14" t="s">
        <v>50</v>
      </c>
      <c r="C14" t="s">
        <v>74</v>
      </c>
      <c r="D14">
        <v>2.2999999999999998</v>
      </c>
      <c r="E14">
        <f>Tableau4[[#This Row],[Potential (PJ)]]*1000/3.6</f>
        <v>638.88888888888891</v>
      </c>
      <c r="F14">
        <v>3.484</v>
      </c>
      <c r="G14">
        <f>Tableau4[[#This Row],[Cost (€/GJ)]]*3.6/1000</f>
        <v>1.25424E-2</v>
      </c>
      <c r="H14">
        <v>2.0635593220338988</v>
      </c>
      <c r="I14">
        <f>Tableau4[[#This Row],[GHG (kgCO2eq/GJ)]]*3.6/1000</f>
        <v>7.428813559322036E-3</v>
      </c>
      <c r="J14" t="s">
        <v>105</v>
      </c>
      <c r="K14" t="s">
        <v>108</v>
      </c>
    </row>
    <row r="15" spans="1:11" hidden="1" x14ac:dyDescent="0.3">
      <c r="A15" t="s">
        <v>7</v>
      </c>
      <c r="B15" t="s">
        <v>51</v>
      </c>
      <c r="C15" t="s">
        <v>75</v>
      </c>
      <c r="D15">
        <v>2.4212999999999998E-2</v>
      </c>
      <c r="E15">
        <f>Tableau4[[#This Row],[Potential (PJ)]]*1000/3.6</f>
        <v>6.7258333333333322</v>
      </c>
      <c r="F15">
        <v>8.84487541138336E-2</v>
      </c>
      <c r="G15">
        <f>Tableau4[[#This Row],[Cost (€/GJ)]]*3.6/1000</f>
        <v>3.1841551480980097E-4</v>
      </c>
      <c r="H15">
        <v>11.74</v>
      </c>
      <c r="I15">
        <f>Tableau4[[#This Row],[GHG (kgCO2eq/GJ)]]*3.6/1000</f>
        <v>4.2264000000000003E-2</v>
      </c>
      <c r="J15" t="s">
        <v>104</v>
      </c>
      <c r="K15" t="s">
        <v>108</v>
      </c>
    </row>
    <row r="16" spans="1:11" hidden="1" x14ac:dyDescent="0.3">
      <c r="A16" t="s">
        <v>7</v>
      </c>
      <c r="B16" t="s">
        <v>52</v>
      </c>
      <c r="C16" t="s">
        <v>76</v>
      </c>
      <c r="D16">
        <v>6.4000000000000001E-2</v>
      </c>
      <c r="E16">
        <f>Tableau4[[#This Row],[Potential (PJ)]]*1000/3.6</f>
        <v>17.777777777777779</v>
      </c>
      <c r="F16">
        <v>4.7567250000000003</v>
      </c>
      <c r="G16">
        <f>Tableau4[[#This Row],[Cost (€/GJ)]]*3.6/1000</f>
        <v>1.7124210000000001E-2</v>
      </c>
      <c r="H16">
        <v>12.68872359754714</v>
      </c>
      <c r="I16">
        <f>Tableau4[[#This Row],[GHG (kgCO2eq/GJ)]]*3.6/1000</f>
        <v>4.5679404951169705E-2</v>
      </c>
      <c r="J16" t="s">
        <v>105</v>
      </c>
      <c r="K16" t="s">
        <v>108</v>
      </c>
    </row>
    <row r="17" spans="1:11" hidden="1" x14ac:dyDescent="0.3">
      <c r="A17" t="s">
        <v>7</v>
      </c>
      <c r="B17" t="s">
        <v>53</v>
      </c>
      <c r="C17" t="s">
        <v>77</v>
      </c>
      <c r="D17">
        <v>1.5</v>
      </c>
      <c r="E17">
        <f>Tableau4[[#This Row],[Potential (PJ)]]*1000/3.6</f>
        <v>416.66666666666663</v>
      </c>
      <c r="F17">
        <v>0</v>
      </c>
      <c r="G17">
        <f>Tableau4[[#This Row],[Cost (€/GJ)]]*3.6/1000</f>
        <v>0</v>
      </c>
      <c r="H17">
        <v>3.86607608129234</v>
      </c>
      <c r="I17">
        <f>Tableau4[[#This Row],[GHG (kgCO2eq/GJ)]]*3.6/1000</f>
        <v>1.3917873892652425E-2</v>
      </c>
      <c r="J17" t="s">
        <v>104</v>
      </c>
      <c r="K17" t="s">
        <v>108</v>
      </c>
    </row>
    <row r="18" spans="1:11" hidden="1" x14ac:dyDescent="0.3">
      <c r="A18" t="s">
        <v>7</v>
      </c>
      <c r="B18" t="s">
        <v>54</v>
      </c>
      <c r="C18" t="s">
        <v>78</v>
      </c>
      <c r="D18">
        <v>5.3</v>
      </c>
      <c r="E18">
        <f>Tableau4[[#This Row],[Potential (PJ)]]*1000/3.6</f>
        <v>1472.2222222222222</v>
      </c>
      <c r="F18">
        <v>0</v>
      </c>
      <c r="G18">
        <f>Tableau4[[#This Row],[Cost (€/GJ)]]*3.6/1000</f>
        <v>0</v>
      </c>
      <c r="H18">
        <v>3.86607608129234</v>
      </c>
      <c r="I18">
        <f>Tableau4[[#This Row],[GHG (kgCO2eq/GJ)]]*3.6/1000</f>
        <v>1.3917873892652425E-2</v>
      </c>
      <c r="J18" t="s">
        <v>104</v>
      </c>
      <c r="K18" t="s">
        <v>108</v>
      </c>
    </row>
    <row r="19" spans="1:11" hidden="1" x14ac:dyDescent="0.3">
      <c r="A19" t="s">
        <v>8</v>
      </c>
      <c r="B19" t="s">
        <v>46</v>
      </c>
      <c r="C19" t="s">
        <v>64</v>
      </c>
      <c r="D19">
        <v>0.1</v>
      </c>
      <c r="E19">
        <f>Tableau4[[#This Row],[Potential (PJ)]]*1000/3.6</f>
        <v>27.777777777777779</v>
      </c>
      <c r="F19">
        <v>3.5070000000000001</v>
      </c>
      <c r="G19">
        <f>Tableau4[[#This Row],[Cost (€/GJ)]]*3.6/1000</f>
        <v>1.2625200000000001E-2</v>
      </c>
      <c r="H19">
        <v>2.9521711768407801</v>
      </c>
      <c r="I19">
        <f>Tableau4[[#This Row],[GHG (kgCO2eq/GJ)]]*3.6/1000</f>
        <v>1.0627816236626808E-2</v>
      </c>
      <c r="J19" t="s">
        <v>104</v>
      </c>
      <c r="K19" t="s">
        <v>108</v>
      </c>
    </row>
    <row r="20" spans="1:11" hidden="1" x14ac:dyDescent="0.3">
      <c r="A20" t="s">
        <v>8</v>
      </c>
      <c r="B20" t="s">
        <v>46</v>
      </c>
      <c r="C20" t="s">
        <v>79</v>
      </c>
      <c r="D20">
        <v>10.8</v>
      </c>
      <c r="E20">
        <f>Tableau4[[#This Row],[Potential (PJ)]]*1000/3.6</f>
        <v>3000</v>
      </c>
      <c r="F20">
        <v>7.2969444444444438</v>
      </c>
      <c r="G20">
        <f>Tableau4[[#This Row],[Cost (€/GJ)]]*3.6/1000</f>
        <v>2.6268999999999997E-2</v>
      </c>
      <c r="H20">
        <v>6.8428961748633883</v>
      </c>
      <c r="I20">
        <f>Tableau4[[#This Row],[GHG (kgCO2eq/GJ)]]*3.6/1000</f>
        <v>2.4634426229508198E-2</v>
      </c>
      <c r="J20" t="s">
        <v>104</v>
      </c>
      <c r="K20" t="s">
        <v>108</v>
      </c>
    </row>
    <row r="21" spans="1:11" hidden="1" x14ac:dyDescent="0.3">
      <c r="A21" t="s">
        <v>8</v>
      </c>
      <c r="B21" t="s">
        <v>46</v>
      </c>
      <c r="C21" t="s">
        <v>80</v>
      </c>
      <c r="D21">
        <v>9.6026000000000007</v>
      </c>
      <c r="E21">
        <f>Tableau4[[#This Row],[Potential (PJ)]]*1000/3.6</f>
        <v>2667.3888888888891</v>
      </c>
      <c r="F21">
        <v>0.71274443695212408</v>
      </c>
      <c r="G21">
        <f>Tableau4[[#This Row],[Cost (€/GJ)]]*3.6/1000</f>
        <v>2.5658799730276468E-3</v>
      </c>
      <c r="H21">
        <v>28.139870918023309</v>
      </c>
      <c r="I21">
        <f>Tableau4[[#This Row],[GHG (kgCO2eq/GJ)]]*3.6/1000</f>
        <v>0.10130353530488391</v>
      </c>
      <c r="J21" t="s">
        <v>105</v>
      </c>
      <c r="K21" t="s">
        <v>108</v>
      </c>
    </row>
    <row r="22" spans="1:11" hidden="1" x14ac:dyDescent="0.3">
      <c r="A22" t="s">
        <v>8</v>
      </c>
      <c r="B22" t="s">
        <v>46</v>
      </c>
      <c r="C22" t="s">
        <v>81</v>
      </c>
      <c r="D22">
        <v>2.2425999999999999</v>
      </c>
      <c r="E22">
        <f>Tableau4[[#This Row],[Potential (PJ)]]*1000/3.6</f>
        <v>622.94444444444446</v>
      </c>
      <c r="F22">
        <v>1.242655699177438</v>
      </c>
      <c r="G22">
        <f>Tableau4[[#This Row],[Cost (€/GJ)]]*3.6/1000</f>
        <v>4.4735605170387769E-3</v>
      </c>
      <c r="H22">
        <v>8.9647473560517046</v>
      </c>
      <c r="I22">
        <f>Tableau4[[#This Row],[GHG (kgCO2eq/GJ)]]*3.6/1000</f>
        <v>3.2273090481786136E-2</v>
      </c>
      <c r="J22" t="s">
        <v>105</v>
      </c>
      <c r="K22" t="s">
        <v>108</v>
      </c>
    </row>
    <row r="23" spans="1:11" hidden="1" x14ac:dyDescent="0.3">
      <c r="A23" t="s">
        <v>8</v>
      </c>
      <c r="B23" t="s">
        <v>46</v>
      </c>
      <c r="C23" t="s">
        <v>66</v>
      </c>
      <c r="D23">
        <v>6.9</v>
      </c>
      <c r="E23">
        <f>Tableau4[[#This Row],[Potential (PJ)]]*1000/3.6</f>
        <v>1916.6666666666665</v>
      </c>
      <c r="F23">
        <v>7.6722753623188398</v>
      </c>
      <c r="G23">
        <f>Tableau4[[#This Row],[Cost (€/GJ)]]*3.6/1000</f>
        <v>2.7620191304347824E-2</v>
      </c>
      <c r="H23">
        <v>6.8428961748633883</v>
      </c>
      <c r="I23">
        <f>Tableau4[[#This Row],[GHG (kgCO2eq/GJ)]]*3.6/1000</f>
        <v>2.4634426229508198E-2</v>
      </c>
      <c r="J23" t="s">
        <v>104</v>
      </c>
      <c r="K23" t="s">
        <v>108</v>
      </c>
    </row>
    <row r="24" spans="1:11" hidden="1" x14ac:dyDescent="0.3">
      <c r="A24" t="s">
        <v>8</v>
      </c>
      <c r="B24" t="s">
        <v>46</v>
      </c>
      <c r="C24" t="s">
        <v>82</v>
      </c>
      <c r="D24">
        <v>2.4</v>
      </c>
      <c r="E24">
        <f>Tableau4[[#This Row],[Potential (PJ)]]*1000/3.6</f>
        <v>666.66666666666663</v>
      </c>
      <c r="F24">
        <v>4.5457083333333337</v>
      </c>
      <c r="G24">
        <f>Tableau4[[#This Row],[Cost (€/GJ)]]*3.6/1000</f>
        <v>1.6364550000000002E-2</v>
      </c>
      <c r="H24">
        <v>6.8428961748633883</v>
      </c>
      <c r="I24">
        <f>Tableau4[[#This Row],[GHG (kgCO2eq/GJ)]]*3.6/1000</f>
        <v>2.4634426229508198E-2</v>
      </c>
      <c r="J24" t="s">
        <v>104</v>
      </c>
      <c r="K24" t="s">
        <v>108</v>
      </c>
    </row>
    <row r="25" spans="1:11" hidden="1" x14ac:dyDescent="0.3">
      <c r="A25" t="s">
        <v>8</v>
      </c>
      <c r="B25" t="s">
        <v>46</v>
      </c>
      <c r="C25" t="s">
        <v>83</v>
      </c>
      <c r="D25">
        <v>0.3</v>
      </c>
      <c r="E25">
        <f>Tableau4[[#This Row],[Potential (PJ)]]*1000/3.6</f>
        <v>83.333333333333329</v>
      </c>
      <c r="F25">
        <v>0</v>
      </c>
      <c r="G25">
        <f>Tableau4[[#This Row],[Cost (€/GJ)]]*3.6/1000</f>
        <v>0</v>
      </c>
      <c r="H25">
        <v>6.8428961748633883</v>
      </c>
      <c r="I25">
        <f>Tableau4[[#This Row],[GHG (kgCO2eq/GJ)]]*3.6/1000</f>
        <v>2.4634426229508198E-2</v>
      </c>
      <c r="J25" t="s">
        <v>104</v>
      </c>
      <c r="K25" t="s">
        <v>108</v>
      </c>
    </row>
    <row r="26" spans="1:11" hidden="1" x14ac:dyDescent="0.3">
      <c r="A26" t="s">
        <v>8</v>
      </c>
      <c r="B26" t="s">
        <v>46</v>
      </c>
      <c r="C26" t="s">
        <v>84</v>
      </c>
      <c r="D26">
        <v>0.3</v>
      </c>
      <c r="E26">
        <f>Tableau4[[#This Row],[Potential (PJ)]]*1000/3.6</f>
        <v>83.333333333333329</v>
      </c>
      <c r="F26">
        <v>3.8460000000000001</v>
      </c>
      <c r="G26">
        <f>Tableau4[[#This Row],[Cost (€/GJ)]]*3.6/1000</f>
        <v>1.3845600000000001E-2</v>
      </c>
      <c r="H26">
        <v>28.139870918023309</v>
      </c>
      <c r="I26">
        <f>Tableau4[[#This Row],[GHG (kgCO2eq/GJ)]]*3.6/1000</f>
        <v>0.10130353530488391</v>
      </c>
      <c r="J26" t="s">
        <v>105</v>
      </c>
      <c r="K26" t="s">
        <v>108</v>
      </c>
    </row>
    <row r="27" spans="1:11" hidden="1" x14ac:dyDescent="0.3">
      <c r="A27" t="s">
        <v>8</v>
      </c>
      <c r="B27" t="s">
        <v>46</v>
      </c>
      <c r="C27" t="s">
        <v>85</v>
      </c>
      <c r="D27">
        <v>0.6</v>
      </c>
      <c r="E27">
        <f>Tableau4[[#This Row],[Potential (PJ)]]*1000/3.6</f>
        <v>166.66666666666666</v>
      </c>
      <c r="F27">
        <v>0</v>
      </c>
      <c r="G27">
        <f>Tableau4[[#This Row],[Cost (€/GJ)]]*3.6/1000</f>
        <v>0</v>
      </c>
      <c r="H27">
        <v>2.9521711768407801</v>
      </c>
      <c r="I27">
        <f>Tableau4[[#This Row],[GHG (kgCO2eq/GJ)]]*3.6/1000</f>
        <v>1.0627816236626808E-2</v>
      </c>
      <c r="J27" t="s">
        <v>104</v>
      </c>
      <c r="K27" t="s">
        <v>108</v>
      </c>
    </row>
    <row r="28" spans="1:11" hidden="1" x14ac:dyDescent="0.3">
      <c r="A28" t="s">
        <v>8</v>
      </c>
      <c r="B28" t="s">
        <v>55</v>
      </c>
      <c r="C28" t="s">
        <v>86</v>
      </c>
      <c r="D28">
        <v>0.12280000000000001</v>
      </c>
      <c r="E28">
        <f>Tableau4[[#This Row],[Potential (PJ)]]*1000/3.6</f>
        <v>34.111111111111114</v>
      </c>
      <c r="F28">
        <v>15.507999999999999</v>
      </c>
      <c r="G28">
        <f>Tableau4[[#This Row],[Cost (€/GJ)]]*3.6/1000</f>
        <v>5.5828799999999998E-2</v>
      </c>
      <c r="H28">
        <v>9.3000000000000007</v>
      </c>
      <c r="I28">
        <f>Tableau4[[#This Row],[GHG (kgCO2eq/GJ)]]*3.6/1000</f>
        <v>3.3480000000000003E-2</v>
      </c>
      <c r="J28" t="s">
        <v>106</v>
      </c>
      <c r="K28" t="s">
        <v>109</v>
      </c>
    </row>
    <row r="29" spans="1:11" hidden="1" x14ac:dyDescent="0.3">
      <c r="A29" t="s">
        <v>8</v>
      </c>
      <c r="B29" t="s">
        <v>55</v>
      </c>
      <c r="C29" t="s">
        <v>87</v>
      </c>
      <c r="D29">
        <v>0.41909999999999997</v>
      </c>
      <c r="E29">
        <f>Tableau4[[#This Row],[Potential (PJ)]]*1000/3.6</f>
        <v>116.41666666666666</v>
      </c>
      <c r="F29">
        <v>17.648</v>
      </c>
      <c r="G29">
        <f>Tableau4[[#This Row],[Cost (€/GJ)]]*3.6/1000</f>
        <v>6.35328E-2</v>
      </c>
      <c r="H29">
        <v>9.3000000000000007</v>
      </c>
      <c r="I29">
        <f>Tableau4[[#This Row],[GHG (kgCO2eq/GJ)]]*3.6/1000</f>
        <v>3.3480000000000003E-2</v>
      </c>
      <c r="J29" t="s">
        <v>106</v>
      </c>
      <c r="K29" t="s">
        <v>109</v>
      </c>
    </row>
    <row r="30" spans="1:11" hidden="1" x14ac:dyDescent="0.3">
      <c r="A30" t="s">
        <v>8</v>
      </c>
      <c r="B30" t="s">
        <v>55</v>
      </c>
      <c r="C30" t="s">
        <v>88</v>
      </c>
      <c r="D30">
        <v>0.81559999999999999</v>
      </c>
      <c r="E30">
        <f>Tableau4[[#This Row],[Potential (PJ)]]*1000/3.6</f>
        <v>226.55555555555554</v>
      </c>
      <c r="F30">
        <v>15.755000000000001</v>
      </c>
      <c r="G30">
        <f>Tableau4[[#This Row],[Cost (€/GJ)]]*3.6/1000</f>
        <v>5.6718000000000005E-2</v>
      </c>
      <c r="H30">
        <v>9.3000000000000007</v>
      </c>
      <c r="I30">
        <f>Tableau4[[#This Row],[GHG (kgCO2eq/GJ)]]*3.6/1000</f>
        <v>3.3480000000000003E-2</v>
      </c>
      <c r="J30" t="s">
        <v>106</v>
      </c>
      <c r="K30" t="s">
        <v>109</v>
      </c>
    </row>
    <row r="31" spans="1:11" hidden="1" x14ac:dyDescent="0.3">
      <c r="A31" t="s">
        <v>8</v>
      </c>
      <c r="B31" t="s">
        <v>55</v>
      </c>
      <c r="C31" t="s">
        <v>89</v>
      </c>
      <c r="D31">
        <v>0.1469</v>
      </c>
      <c r="E31">
        <f>Tableau4[[#This Row],[Potential (PJ)]]*1000/3.6</f>
        <v>40.805555555555557</v>
      </c>
      <c r="F31">
        <v>0</v>
      </c>
      <c r="G31">
        <f>Tableau4[[#This Row],[Cost (€/GJ)]]*3.6/1000</f>
        <v>0</v>
      </c>
      <c r="H31">
        <v>9.3000000000000007</v>
      </c>
      <c r="I31">
        <f>Tableau4[[#This Row],[GHG (kgCO2eq/GJ)]]*3.6/1000</f>
        <v>3.3480000000000003E-2</v>
      </c>
      <c r="J31" t="s">
        <v>106</v>
      </c>
      <c r="K31" t="s">
        <v>109</v>
      </c>
    </row>
    <row r="32" spans="1:11" hidden="1" x14ac:dyDescent="0.3">
      <c r="A32" t="s">
        <v>8</v>
      </c>
      <c r="B32" t="s">
        <v>55</v>
      </c>
      <c r="C32" t="s">
        <v>91</v>
      </c>
      <c r="D32">
        <v>0.1065</v>
      </c>
      <c r="E32">
        <f>Tableau4[[#This Row],[Potential (PJ)]]*1000/3.6</f>
        <v>29.583333333333332</v>
      </c>
      <c r="F32">
        <v>14.819000000000001</v>
      </c>
      <c r="G32">
        <f>Tableau4[[#This Row],[Cost (€/GJ)]]*3.6/1000</f>
        <v>5.3348400000000004E-2</v>
      </c>
      <c r="H32">
        <v>9.3000000000000007</v>
      </c>
      <c r="I32">
        <f>Tableau4[[#This Row],[GHG (kgCO2eq/GJ)]]*3.6/1000</f>
        <v>3.3480000000000003E-2</v>
      </c>
      <c r="J32" t="s">
        <v>106</v>
      </c>
      <c r="K32" t="s">
        <v>109</v>
      </c>
    </row>
    <row r="33" spans="1:11" hidden="1" x14ac:dyDescent="0.3">
      <c r="A33" t="s">
        <v>8</v>
      </c>
      <c r="B33" t="s">
        <v>55</v>
      </c>
      <c r="C33" t="s">
        <v>92</v>
      </c>
      <c r="D33">
        <v>0.54218</v>
      </c>
      <c r="E33">
        <f>Tableau4[[#This Row],[Potential (PJ)]]*1000/3.6</f>
        <v>150.60555555555553</v>
      </c>
      <c r="F33">
        <v>17.648</v>
      </c>
      <c r="G33">
        <f>Tableau4[[#This Row],[Cost (€/GJ)]]*3.6/1000</f>
        <v>6.35328E-2</v>
      </c>
      <c r="H33">
        <v>9.3000000000000007</v>
      </c>
      <c r="I33">
        <f>Tableau4[[#This Row],[GHG (kgCO2eq/GJ)]]*3.6/1000</f>
        <v>3.3480000000000003E-2</v>
      </c>
      <c r="J33" t="s">
        <v>106</v>
      </c>
      <c r="K33" t="s">
        <v>109</v>
      </c>
    </row>
    <row r="34" spans="1:11" hidden="1" x14ac:dyDescent="0.3">
      <c r="A34" t="s">
        <v>8</v>
      </c>
      <c r="B34" t="s">
        <v>56</v>
      </c>
      <c r="C34" t="s">
        <v>93</v>
      </c>
      <c r="D34">
        <v>15.7689</v>
      </c>
      <c r="E34">
        <f>Tableau4[[#This Row],[Potential (PJ)]]*1000/3.6</f>
        <v>4380.25</v>
      </c>
      <c r="F34">
        <v>2.939759036144578</v>
      </c>
      <c r="G34">
        <f>Tableau4[[#This Row],[Cost (€/GJ)]]*3.6/1000</f>
        <v>1.0583132530120483E-2</v>
      </c>
      <c r="H34">
        <v>16.899999999999999</v>
      </c>
      <c r="I34">
        <f>Tableau4[[#This Row],[GHG (kgCO2eq/GJ)]]*3.6/1000</f>
        <v>6.0839999999999998E-2</v>
      </c>
      <c r="J34" t="s">
        <v>106</v>
      </c>
      <c r="K34" t="s">
        <v>109</v>
      </c>
    </row>
    <row r="35" spans="1:11" hidden="1" x14ac:dyDescent="0.3">
      <c r="A35" t="s">
        <v>8</v>
      </c>
      <c r="B35" t="s">
        <v>47</v>
      </c>
      <c r="C35" t="s">
        <v>68</v>
      </c>
      <c r="D35">
        <v>7.3999999999999986</v>
      </c>
      <c r="E35">
        <f>Tableau4[[#This Row],[Potential (PJ)]]*1000/3.6</f>
        <v>2055.5555555555552</v>
      </c>
      <c r="F35">
        <v>5.2072972972972984</v>
      </c>
      <c r="G35">
        <f>Tableau4[[#This Row],[Cost (€/GJ)]]*3.6/1000</f>
        <v>1.8746270270270277E-2</v>
      </c>
      <c r="H35">
        <v>21.1</v>
      </c>
      <c r="I35">
        <f>Tableau4[[#This Row],[GHG (kgCO2eq/GJ)]]*3.6/1000</f>
        <v>7.5960000000000014E-2</v>
      </c>
      <c r="J35" t="s">
        <v>104</v>
      </c>
      <c r="K35" t="s">
        <v>109</v>
      </c>
    </row>
    <row r="36" spans="1:11" hidden="1" x14ac:dyDescent="0.3">
      <c r="A36" t="s">
        <v>8</v>
      </c>
      <c r="B36" t="s">
        <v>47</v>
      </c>
      <c r="C36" t="s">
        <v>69</v>
      </c>
      <c r="D36">
        <v>16.3</v>
      </c>
      <c r="E36">
        <f>Tableau4[[#This Row],[Potential (PJ)]]*1000/3.6</f>
        <v>4527.7777777777774</v>
      </c>
      <c r="F36">
        <v>4.6367055214723916</v>
      </c>
      <c r="G36">
        <f>Tableau4[[#This Row],[Cost (€/GJ)]]*3.6/1000</f>
        <v>1.6692139877300612E-2</v>
      </c>
      <c r="H36">
        <v>21.1</v>
      </c>
      <c r="I36">
        <f>Tableau4[[#This Row],[GHG (kgCO2eq/GJ)]]*3.6/1000</f>
        <v>7.5960000000000014E-2</v>
      </c>
      <c r="J36" t="s">
        <v>104</v>
      </c>
      <c r="K36" t="s">
        <v>109</v>
      </c>
    </row>
    <row r="37" spans="1:11" hidden="1" x14ac:dyDescent="0.3">
      <c r="A37" t="s">
        <v>8</v>
      </c>
      <c r="B37" t="s">
        <v>57</v>
      </c>
      <c r="C37" t="s">
        <v>94</v>
      </c>
      <c r="D37">
        <v>4.8</v>
      </c>
      <c r="E37">
        <f>Tableau4[[#This Row],[Potential (PJ)]]*1000/3.6</f>
        <v>1333.3333333333333</v>
      </c>
      <c r="F37">
        <v>10.255437499999999</v>
      </c>
      <c r="G37">
        <f>Tableau4[[#This Row],[Cost (€/GJ)]]*3.6/1000</f>
        <v>3.6919575000000003E-2</v>
      </c>
      <c r="H37">
        <v>14.9</v>
      </c>
      <c r="I37">
        <f>Tableau4[[#This Row],[GHG (kgCO2eq/GJ)]]*3.6/1000</f>
        <v>5.364E-2</v>
      </c>
      <c r="J37" t="s">
        <v>104</v>
      </c>
      <c r="K37" t="s">
        <v>109</v>
      </c>
    </row>
    <row r="38" spans="1:11" hidden="1" x14ac:dyDescent="0.3">
      <c r="A38" t="s">
        <v>8</v>
      </c>
      <c r="B38" t="s">
        <v>49</v>
      </c>
      <c r="C38" t="s">
        <v>71</v>
      </c>
      <c r="D38">
        <v>207.34476000000001</v>
      </c>
      <c r="E38">
        <f>Tableau4[[#This Row],[Potential (PJ)]]*1000/3.6</f>
        <v>57595.76666666667</v>
      </c>
      <c r="F38">
        <v>3.752386687515036</v>
      </c>
      <c r="G38">
        <f>Tableau4[[#This Row],[Cost (€/GJ)]]*3.6/1000</f>
        <v>1.3508592075054129E-2</v>
      </c>
      <c r="H38">
        <v>3.86607608129234</v>
      </c>
      <c r="I38">
        <f>Tableau4[[#This Row],[GHG (kgCO2eq/GJ)]]*3.6/1000</f>
        <v>1.3917873892652425E-2</v>
      </c>
      <c r="J38" t="s">
        <v>104</v>
      </c>
      <c r="K38" t="s">
        <v>108</v>
      </c>
    </row>
    <row r="39" spans="1:11" hidden="1" x14ac:dyDescent="0.3">
      <c r="A39" t="s">
        <v>8</v>
      </c>
      <c r="B39" t="s">
        <v>49</v>
      </c>
      <c r="C39" t="s">
        <v>72</v>
      </c>
      <c r="D39">
        <v>24.8</v>
      </c>
      <c r="E39">
        <f>Tableau4[[#This Row],[Potential (PJ)]]*1000/3.6</f>
        <v>6888.8888888888887</v>
      </c>
      <c r="F39">
        <v>3.0032338709677422</v>
      </c>
      <c r="G39">
        <f>Tableau4[[#This Row],[Cost (€/GJ)]]*3.6/1000</f>
        <v>1.0811641935483871E-2</v>
      </c>
      <c r="H39">
        <v>3.86607608129234</v>
      </c>
      <c r="I39">
        <f>Tableau4[[#This Row],[GHG (kgCO2eq/GJ)]]*3.6/1000</f>
        <v>1.3917873892652425E-2</v>
      </c>
      <c r="J39" t="s">
        <v>104</v>
      </c>
      <c r="K39" t="s">
        <v>108</v>
      </c>
    </row>
    <row r="40" spans="1:11" hidden="1" x14ac:dyDescent="0.3">
      <c r="A40" t="s">
        <v>8</v>
      </c>
      <c r="B40" t="s">
        <v>58</v>
      </c>
      <c r="C40" t="s">
        <v>95</v>
      </c>
      <c r="D40">
        <v>7.5159900000000004</v>
      </c>
      <c r="E40">
        <f>Tableau4[[#This Row],[Potential (PJ)]]*1000/3.6</f>
        <v>2087.7750000000001</v>
      </c>
      <c r="F40">
        <v>2.36240544625525</v>
      </c>
      <c r="G40">
        <f>Tableau4[[#This Row],[Cost (€/GJ)]]*3.6/1000</f>
        <v>8.5046596065188988E-3</v>
      </c>
      <c r="H40">
        <v>2.9521711768407801</v>
      </c>
      <c r="I40">
        <f>Tableau4[[#This Row],[GHG (kgCO2eq/GJ)]]*3.6/1000</f>
        <v>1.0627816236626808E-2</v>
      </c>
      <c r="J40" t="s">
        <v>104</v>
      </c>
      <c r="K40" t="s">
        <v>108</v>
      </c>
    </row>
    <row r="41" spans="1:11" hidden="1" x14ac:dyDescent="0.3">
      <c r="A41" t="s">
        <v>8</v>
      </c>
      <c r="B41" t="s">
        <v>50</v>
      </c>
      <c r="C41" t="s">
        <v>73</v>
      </c>
      <c r="D41">
        <v>2.1</v>
      </c>
      <c r="E41">
        <f>Tableau4[[#This Row],[Potential (PJ)]]*1000/3.6</f>
        <v>583.33333333333337</v>
      </c>
      <c r="F41">
        <v>5.5201904761904759</v>
      </c>
      <c r="G41">
        <f>Tableau4[[#This Row],[Cost (€/GJ)]]*3.6/1000</f>
        <v>1.9872685714285711E-2</v>
      </c>
      <c r="H41">
        <v>20.723404255319149</v>
      </c>
      <c r="I41">
        <f>Tableau4[[#This Row],[GHG (kgCO2eq/GJ)]]*3.6/1000</f>
        <v>7.4604255319148938E-2</v>
      </c>
      <c r="J41" t="s">
        <v>105</v>
      </c>
      <c r="K41" t="s">
        <v>108</v>
      </c>
    </row>
    <row r="42" spans="1:11" hidden="1" x14ac:dyDescent="0.3">
      <c r="A42" t="s">
        <v>8</v>
      </c>
      <c r="B42" t="s">
        <v>50</v>
      </c>
      <c r="C42" t="s">
        <v>74</v>
      </c>
      <c r="D42">
        <v>7.1999999999999993</v>
      </c>
      <c r="E42">
        <f>Tableau4[[#This Row],[Potential (PJ)]]*1000/3.6</f>
        <v>1999.9999999999998</v>
      </c>
      <c r="F42">
        <v>6.2497222222222222</v>
      </c>
      <c r="G42">
        <f>Tableau4[[#This Row],[Cost (€/GJ)]]*3.6/1000</f>
        <v>2.2498999999999998E-2</v>
      </c>
      <c r="H42">
        <v>2.0635593220338988</v>
      </c>
      <c r="I42">
        <f>Tableau4[[#This Row],[GHG (kgCO2eq/GJ)]]*3.6/1000</f>
        <v>7.428813559322036E-3</v>
      </c>
      <c r="J42" t="s">
        <v>105</v>
      </c>
      <c r="K42" t="s">
        <v>108</v>
      </c>
    </row>
    <row r="43" spans="1:11" hidden="1" x14ac:dyDescent="0.3">
      <c r="A43" t="s">
        <v>8</v>
      </c>
      <c r="B43" t="s">
        <v>59</v>
      </c>
      <c r="C43" t="s">
        <v>96</v>
      </c>
      <c r="D43">
        <v>5.9499999999999997E-2</v>
      </c>
      <c r="E43">
        <f>Tableau4[[#This Row],[Potential (PJ)]]*1000/3.6</f>
        <v>16.527777777777779</v>
      </c>
      <c r="F43">
        <v>28.414000000000001</v>
      </c>
      <c r="G43">
        <f>Tableau4[[#This Row],[Cost (€/GJ)]]*3.6/1000</f>
        <v>0.1022904</v>
      </c>
      <c r="H43">
        <v>16.899999999999999</v>
      </c>
      <c r="I43">
        <f>Tableau4[[#This Row],[GHG (kgCO2eq/GJ)]]*3.6/1000</f>
        <v>6.0839999999999998E-2</v>
      </c>
      <c r="J43" t="s">
        <v>107</v>
      </c>
      <c r="K43" t="s">
        <v>109</v>
      </c>
    </row>
    <row r="44" spans="1:11" hidden="1" x14ac:dyDescent="0.3">
      <c r="A44" t="s">
        <v>8</v>
      </c>
      <c r="B44" t="s">
        <v>59</v>
      </c>
      <c r="C44" t="s">
        <v>97</v>
      </c>
      <c r="D44">
        <v>1.5239</v>
      </c>
      <c r="E44">
        <f>Tableau4[[#This Row],[Potential (PJ)]]*1000/3.6</f>
        <v>423.30555555555554</v>
      </c>
      <c r="F44">
        <v>16.657623440043409</v>
      </c>
      <c r="G44">
        <f>Tableau4[[#This Row],[Cost (€/GJ)]]*3.6/1000</f>
        <v>5.9967444384156271E-2</v>
      </c>
      <c r="H44">
        <v>16.899999999999999</v>
      </c>
      <c r="I44">
        <f>Tableau4[[#This Row],[GHG (kgCO2eq/GJ)]]*3.6/1000</f>
        <v>6.0839999999999998E-2</v>
      </c>
      <c r="J44" t="s">
        <v>107</v>
      </c>
      <c r="K44" t="s">
        <v>109</v>
      </c>
    </row>
    <row r="45" spans="1:11" hidden="1" x14ac:dyDescent="0.3">
      <c r="A45" t="s">
        <v>8</v>
      </c>
      <c r="B45" t="s">
        <v>51</v>
      </c>
      <c r="C45" t="s">
        <v>75</v>
      </c>
      <c r="D45">
        <v>13.234959999999999</v>
      </c>
      <c r="E45">
        <f>Tableau4[[#This Row],[Potential (PJ)]]*1000/3.6</f>
        <v>3676.3777777777773</v>
      </c>
      <c r="F45">
        <v>0.106920641299939</v>
      </c>
      <c r="G45">
        <f>Tableau4[[#This Row],[Cost (€/GJ)]]*3.6/1000</f>
        <v>3.8491430867978045E-4</v>
      </c>
      <c r="H45">
        <v>11.74</v>
      </c>
      <c r="I45">
        <f>Tableau4[[#This Row],[GHG (kgCO2eq/GJ)]]*3.6/1000</f>
        <v>4.2264000000000003E-2</v>
      </c>
      <c r="J45" t="s">
        <v>104</v>
      </c>
      <c r="K45" t="s">
        <v>108</v>
      </c>
    </row>
    <row r="46" spans="1:11" hidden="1" x14ac:dyDescent="0.3">
      <c r="A46" t="s">
        <v>8</v>
      </c>
      <c r="B46" t="s">
        <v>60</v>
      </c>
      <c r="C46" t="s">
        <v>98</v>
      </c>
      <c r="D46">
        <v>2.9853700000000001</v>
      </c>
      <c r="E46">
        <f>Tableau4[[#This Row],[Potential (PJ)]]*1000/3.6</f>
        <v>829.26944444444439</v>
      </c>
      <c r="F46">
        <v>20.300751879699249</v>
      </c>
      <c r="G46">
        <f>Tableau4[[#This Row],[Cost (€/GJ)]]*3.6/1000</f>
        <v>7.3082706766917291E-2</v>
      </c>
      <c r="H46">
        <v>21</v>
      </c>
      <c r="I46">
        <f>Tableau4[[#This Row],[GHG (kgCO2eq/GJ)]]*3.6/1000</f>
        <v>7.5600000000000014E-2</v>
      </c>
      <c r="J46" t="s">
        <v>107</v>
      </c>
      <c r="K46" t="s">
        <v>109</v>
      </c>
    </row>
    <row r="47" spans="1:11" hidden="1" x14ac:dyDescent="0.3">
      <c r="A47" t="s">
        <v>8</v>
      </c>
      <c r="B47" t="s">
        <v>52</v>
      </c>
      <c r="C47" t="s">
        <v>76</v>
      </c>
      <c r="D47">
        <v>5.593</v>
      </c>
      <c r="E47">
        <f>Tableau4[[#This Row],[Potential (PJ)]]*1000/3.6</f>
        <v>1553.6111111111111</v>
      </c>
      <c r="F47">
        <v>4.7567250000000003</v>
      </c>
      <c r="G47">
        <f>Tableau4[[#This Row],[Cost (€/GJ)]]*3.6/1000</f>
        <v>1.7124210000000001E-2</v>
      </c>
      <c r="H47">
        <v>12.68872359754714</v>
      </c>
      <c r="I47">
        <f>Tableau4[[#This Row],[GHG (kgCO2eq/GJ)]]*3.6/1000</f>
        <v>4.5679404951169705E-2</v>
      </c>
      <c r="J47" t="s">
        <v>105</v>
      </c>
      <c r="K47" t="s">
        <v>108</v>
      </c>
    </row>
    <row r="48" spans="1:11" hidden="1" x14ac:dyDescent="0.3">
      <c r="A48" t="s">
        <v>8</v>
      </c>
      <c r="B48" t="s">
        <v>53</v>
      </c>
      <c r="C48" t="s">
        <v>77</v>
      </c>
      <c r="D48">
        <v>15.8</v>
      </c>
      <c r="E48">
        <f>Tableau4[[#This Row],[Potential (PJ)]]*1000/3.6</f>
        <v>4388.8888888888887</v>
      </c>
      <c r="F48">
        <v>3.002601265822785</v>
      </c>
      <c r="G48">
        <f>Tableau4[[#This Row],[Cost (€/GJ)]]*3.6/1000</f>
        <v>1.0809364556962025E-2</v>
      </c>
      <c r="H48">
        <v>3.86607608129234</v>
      </c>
      <c r="I48">
        <f>Tableau4[[#This Row],[GHG (kgCO2eq/GJ)]]*3.6/1000</f>
        <v>1.3917873892652425E-2</v>
      </c>
      <c r="J48" t="s">
        <v>104</v>
      </c>
      <c r="K48" t="s">
        <v>108</v>
      </c>
    </row>
    <row r="49" spans="1:11" hidden="1" x14ac:dyDescent="0.3">
      <c r="A49" t="s">
        <v>8</v>
      </c>
      <c r="B49" t="s">
        <v>61</v>
      </c>
      <c r="C49" t="s">
        <v>99</v>
      </c>
      <c r="D49">
        <v>42.2</v>
      </c>
      <c r="E49">
        <f>Tableau4[[#This Row],[Potential (PJ)]]*1000/3.6</f>
        <v>11722.222222222223</v>
      </c>
      <c r="F49">
        <v>1.6326943127962079</v>
      </c>
      <c r="G49">
        <f>Tableau4[[#This Row],[Cost (€/GJ)]]*3.6/1000</f>
        <v>5.8776995260663486E-3</v>
      </c>
      <c r="H49">
        <v>2.9245635910224439</v>
      </c>
      <c r="I49">
        <f>Tableau4[[#This Row],[GHG (kgCO2eq/GJ)]]*3.6/1000</f>
        <v>1.0528428927680798E-2</v>
      </c>
      <c r="J49" t="s">
        <v>104</v>
      </c>
      <c r="K49" t="s">
        <v>108</v>
      </c>
    </row>
    <row r="50" spans="1:11" hidden="1" x14ac:dyDescent="0.3">
      <c r="A50" t="s">
        <v>8</v>
      </c>
      <c r="B50" t="s">
        <v>62</v>
      </c>
      <c r="C50" t="s">
        <v>100</v>
      </c>
      <c r="D50">
        <v>15.4</v>
      </c>
      <c r="E50">
        <f>Tableau4[[#This Row],[Potential (PJ)]]*1000/3.6</f>
        <v>4277.7777777777774</v>
      </c>
      <c r="F50">
        <v>0.24545454545454551</v>
      </c>
      <c r="G50">
        <f>Tableau4[[#This Row],[Cost (€/GJ)]]*3.6/1000</f>
        <v>8.8363636363636389E-4</v>
      </c>
      <c r="H50">
        <v>2.6764106050305911</v>
      </c>
      <c r="I50">
        <f>Tableau4[[#This Row],[GHG (kgCO2eq/GJ)]]*3.6/1000</f>
        <v>9.6350781781101274E-3</v>
      </c>
      <c r="J50" t="s">
        <v>104</v>
      </c>
      <c r="K50" t="s">
        <v>108</v>
      </c>
    </row>
    <row r="51" spans="1:11" hidden="1" x14ac:dyDescent="0.3">
      <c r="A51" t="s">
        <v>8</v>
      </c>
      <c r="B51" t="s">
        <v>54</v>
      </c>
      <c r="C51" t="s">
        <v>78</v>
      </c>
      <c r="D51">
        <v>132.1</v>
      </c>
      <c r="E51">
        <f>Tableau4[[#This Row],[Potential (PJ)]]*1000/3.6</f>
        <v>36694.444444444445</v>
      </c>
      <c r="F51">
        <v>6.1441226343679034</v>
      </c>
      <c r="G51">
        <f>Tableau4[[#This Row],[Cost (€/GJ)]]*3.6/1000</f>
        <v>2.2118841483724453E-2</v>
      </c>
      <c r="H51">
        <v>3.86607608129234</v>
      </c>
      <c r="I51">
        <f>Tableau4[[#This Row],[GHG (kgCO2eq/GJ)]]*3.6/1000</f>
        <v>1.3917873892652425E-2</v>
      </c>
      <c r="J51" t="s">
        <v>104</v>
      </c>
      <c r="K51" t="s">
        <v>108</v>
      </c>
    </row>
    <row r="52" spans="1:11" hidden="1" x14ac:dyDescent="0.3">
      <c r="A52" t="s">
        <v>9</v>
      </c>
      <c r="B52" t="s">
        <v>46</v>
      </c>
      <c r="C52" t="s">
        <v>63</v>
      </c>
      <c r="D52">
        <v>1.1000000000000001E-3</v>
      </c>
      <c r="E52">
        <f>Tableau4[[#This Row],[Potential (PJ)]]*1000/3.6</f>
        <v>0.30555555555555558</v>
      </c>
      <c r="F52">
        <v>2.9286474973375931</v>
      </c>
      <c r="G52">
        <f>Tableau4[[#This Row],[Cost (€/GJ)]]*3.6/1000</f>
        <v>1.0543130990415334E-2</v>
      </c>
      <c r="H52">
        <v>3.950479233226837</v>
      </c>
      <c r="I52">
        <f>Tableau4[[#This Row],[GHG (kgCO2eq/GJ)]]*3.6/1000</f>
        <v>1.4221725239616614E-2</v>
      </c>
      <c r="J52" t="s">
        <v>104</v>
      </c>
      <c r="K52" t="s">
        <v>108</v>
      </c>
    </row>
    <row r="53" spans="1:11" hidden="1" x14ac:dyDescent="0.3">
      <c r="A53" t="s">
        <v>9</v>
      </c>
      <c r="B53" t="s">
        <v>46</v>
      </c>
      <c r="C53" t="s">
        <v>64</v>
      </c>
      <c r="D53">
        <v>1.4205700000000001</v>
      </c>
      <c r="E53">
        <f>Tableau4[[#This Row],[Potential (PJ)]]*1000/3.6</f>
        <v>394.60277777777782</v>
      </c>
      <c r="F53">
        <v>0</v>
      </c>
      <c r="G53">
        <f>Tableau4[[#This Row],[Cost (€/GJ)]]*3.6/1000</f>
        <v>0</v>
      </c>
      <c r="H53">
        <v>2.9521711768407801</v>
      </c>
      <c r="I53">
        <f>Tableau4[[#This Row],[GHG (kgCO2eq/GJ)]]*3.6/1000</f>
        <v>1.0627816236626808E-2</v>
      </c>
      <c r="J53" t="s">
        <v>104</v>
      </c>
      <c r="K53" t="s">
        <v>108</v>
      </c>
    </row>
    <row r="54" spans="1:11" hidden="1" x14ac:dyDescent="0.3">
      <c r="A54" t="s">
        <v>9</v>
      </c>
      <c r="B54" t="s">
        <v>46</v>
      </c>
      <c r="C54" t="s">
        <v>65</v>
      </c>
      <c r="D54">
        <v>1</v>
      </c>
      <c r="E54">
        <f>Tableau4[[#This Row],[Potential (PJ)]]*1000/3.6</f>
        <v>277.77777777777777</v>
      </c>
      <c r="F54">
        <v>4.3090000000000002</v>
      </c>
      <c r="G54">
        <f>Tableau4[[#This Row],[Cost (€/GJ)]]*3.6/1000</f>
        <v>1.5512400000000001E-2</v>
      </c>
      <c r="H54">
        <v>2.9521711768407801</v>
      </c>
      <c r="I54">
        <f>Tableau4[[#This Row],[GHG (kgCO2eq/GJ)]]*3.6/1000</f>
        <v>1.0627816236626808E-2</v>
      </c>
      <c r="J54" t="s">
        <v>104</v>
      </c>
      <c r="K54" t="s">
        <v>108</v>
      </c>
    </row>
    <row r="55" spans="1:11" hidden="1" x14ac:dyDescent="0.3">
      <c r="A55" t="s">
        <v>9</v>
      </c>
      <c r="B55" t="s">
        <v>46</v>
      </c>
      <c r="C55" t="s">
        <v>66</v>
      </c>
      <c r="D55">
        <v>3.4</v>
      </c>
      <c r="E55">
        <f>Tableau4[[#This Row],[Potential (PJ)]]*1000/3.6</f>
        <v>944.44444444444446</v>
      </c>
      <c r="F55">
        <v>1.95</v>
      </c>
      <c r="G55">
        <f>Tableau4[[#This Row],[Cost (€/GJ)]]*3.6/1000</f>
        <v>7.0199999999999993E-3</v>
      </c>
      <c r="H55">
        <v>6.8428961748633883</v>
      </c>
      <c r="I55">
        <f>Tableau4[[#This Row],[GHG (kgCO2eq/GJ)]]*3.6/1000</f>
        <v>2.4634426229508198E-2</v>
      </c>
      <c r="J55" t="s">
        <v>104</v>
      </c>
      <c r="K55" t="s">
        <v>108</v>
      </c>
    </row>
    <row r="56" spans="1:11" hidden="1" x14ac:dyDescent="0.3">
      <c r="A56" t="s">
        <v>9</v>
      </c>
      <c r="B56" t="s">
        <v>46</v>
      </c>
      <c r="C56" t="s">
        <v>85</v>
      </c>
      <c r="D56">
        <v>0.2</v>
      </c>
      <c r="E56">
        <f>Tableau4[[#This Row],[Potential (PJ)]]*1000/3.6</f>
        <v>55.555555555555557</v>
      </c>
      <c r="F56">
        <v>0</v>
      </c>
      <c r="G56">
        <f>Tableau4[[#This Row],[Cost (€/GJ)]]*3.6/1000</f>
        <v>0</v>
      </c>
      <c r="H56">
        <v>2.9521711768407801</v>
      </c>
      <c r="I56">
        <f>Tableau4[[#This Row],[GHG (kgCO2eq/GJ)]]*3.6/1000</f>
        <v>1.0627816236626808E-2</v>
      </c>
      <c r="J56" t="s">
        <v>104</v>
      </c>
      <c r="K56" t="s">
        <v>108</v>
      </c>
    </row>
    <row r="57" spans="1:11" hidden="1" x14ac:dyDescent="0.3">
      <c r="A57" t="s">
        <v>9</v>
      </c>
      <c r="B57" t="s">
        <v>47</v>
      </c>
      <c r="C57" t="s">
        <v>68</v>
      </c>
      <c r="D57">
        <v>51.4</v>
      </c>
      <c r="E57">
        <f>Tableau4[[#This Row],[Potential (PJ)]]*1000/3.6</f>
        <v>14277.777777777777</v>
      </c>
      <c r="F57">
        <v>3.9710000000000001</v>
      </c>
      <c r="G57">
        <f>Tableau4[[#This Row],[Cost (€/GJ)]]*3.6/1000</f>
        <v>1.42956E-2</v>
      </c>
      <c r="I57">
        <f>Tableau4[[#This Row],[GHG (kgCO2eq/GJ)]]*3.6/1000</f>
        <v>0</v>
      </c>
      <c r="J57" t="s">
        <v>104</v>
      </c>
      <c r="K57" t="s">
        <v>109</v>
      </c>
    </row>
    <row r="58" spans="1:11" hidden="1" x14ac:dyDescent="0.3">
      <c r="A58" t="s">
        <v>9</v>
      </c>
      <c r="B58" t="s">
        <v>47</v>
      </c>
      <c r="C58" t="s">
        <v>69</v>
      </c>
      <c r="D58">
        <v>36</v>
      </c>
      <c r="E58">
        <f>Tableau4[[#This Row],[Potential (PJ)]]*1000/3.6</f>
        <v>10000</v>
      </c>
      <c r="F58">
        <v>3.9830000000000001</v>
      </c>
      <c r="G58">
        <f>Tableau4[[#This Row],[Cost (€/GJ)]]*3.6/1000</f>
        <v>1.4338800000000001E-2</v>
      </c>
      <c r="I58">
        <f>Tableau4[[#This Row],[GHG (kgCO2eq/GJ)]]*3.6/1000</f>
        <v>0</v>
      </c>
      <c r="J58" t="s">
        <v>104</v>
      </c>
      <c r="K58" t="s">
        <v>109</v>
      </c>
    </row>
    <row r="59" spans="1:11" hidden="1" x14ac:dyDescent="0.3">
      <c r="A59" t="s">
        <v>9</v>
      </c>
      <c r="B59" t="s">
        <v>48</v>
      </c>
      <c r="C59" t="s">
        <v>70</v>
      </c>
      <c r="D59">
        <v>19</v>
      </c>
      <c r="E59">
        <f>Tableau4[[#This Row],[Potential (PJ)]]*1000/3.6</f>
        <v>5277.7777777777774</v>
      </c>
      <c r="F59">
        <v>10.238</v>
      </c>
      <c r="G59">
        <f>Tableau4[[#This Row],[Cost (€/GJ)]]*3.6/1000</f>
        <v>3.6856800000000002E-2</v>
      </c>
      <c r="I59">
        <f>Tableau4[[#This Row],[GHG (kgCO2eq/GJ)]]*3.6/1000</f>
        <v>0</v>
      </c>
      <c r="J59" t="s">
        <v>104</v>
      </c>
      <c r="K59" t="s">
        <v>109</v>
      </c>
    </row>
    <row r="60" spans="1:11" hidden="1" x14ac:dyDescent="0.3">
      <c r="A60" t="s">
        <v>9</v>
      </c>
      <c r="B60" t="s">
        <v>49</v>
      </c>
      <c r="C60" t="s">
        <v>71</v>
      </c>
      <c r="D60">
        <v>26.151900000000001</v>
      </c>
      <c r="E60">
        <f>Tableau4[[#This Row],[Potential (PJ)]]*1000/3.6</f>
        <v>7264.416666666667</v>
      </c>
      <c r="F60">
        <v>0</v>
      </c>
      <c r="G60">
        <f>Tableau4[[#This Row],[Cost (€/GJ)]]*3.6/1000</f>
        <v>0</v>
      </c>
      <c r="H60">
        <v>3.86607608129234</v>
      </c>
      <c r="I60">
        <f>Tableau4[[#This Row],[GHG (kgCO2eq/GJ)]]*3.6/1000</f>
        <v>1.3917873892652425E-2</v>
      </c>
      <c r="J60" t="s">
        <v>104</v>
      </c>
      <c r="K60" t="s">
        <v>108</v>
      </c>
    </row>
    <row r="61" spans="1:11" hidden="1" x14ac:dyDescent="0.3">
      <c r="A61" t="s">
        <v>9</v>
      </c>
      <c r="B61" t="s">
        <v>49</v>
      </c>
      <c r="C61" t="s">
        <v>72</v>
      </c>
      <c r="D61">
        <v>10.7</v>
      </c>
      <c r="E61">
        <f>Tableau4[[#This Row],[Potential (PJ)]]*1000/3.6</f>
        <v>2972.2222222222222</v>
      </c>
      <c r="F61">
        <v>0</v>
      </c>
      <c r="G61">
        <f>Tableau4[[#This Row],[Cost (€/GJ)]]*3.6/1000</f>
        <v>0</v>
      </c>
      <c r="H61">
        <v>3.86607608129234</v>
      </c>
      <c r="I61">
        <f>Tableau4[[#This Row],[GHG (kgCO2eq/GJ)]]*3.6/1000</f>
        <v>1.3917873892652425E-2</v>
      </c>
      <c r="J61" t="s">
        <v>104</v>
      </c>
      <c r="K61" t="s">
        <v>108</v>
      </c>
    </row>
    <row r="62" spans="1:11" hidden="1" x14ac:dyDescent="0.3">
      <c r="A62" t="s">
        <v>9</v>
      </c>
      <c r="B62" t="s">
        <v>50</v>
      </c>
      <c r="C62" t="s">
        <v>73</v>
      </c>
      <c r="D62">
        <v>0.6</v>
      </c>
      <c r="E62">
        <f>Tableau4[[#This Row],[Potential (PJ)]]*1000/3.6</f>
        <v>166.66666666666666</v>
      </c>
      <c r="F62">
        <v>5.4240000000000004</v>
      </c>
      <c r="G62">
        <f>Tableau4[[#This Row],[Cost (€/GJ)]]*3.6/1000</f>
        <v>1.9526400000000003E-2</v>
      </c>
      <c r="H62">
        <v>20.723404255319149</v>
      </c>
      <c r="I62">
        <f>Tableau4[[#This Row],[GHG (kgCO2eq/GJ)]]*3.6/1000</f>
        <v>7.4604255319148938E-2</v>
      </c>
      <c r="J62" t="s">
        <v>105</v>
      </c>
      <c r="K62" t="s">
        <v>108</v>
      </c>
    </row>
    <row r="63" spans="1:11" hidden="1" x14ac:dyDescent="0.3">
      <c r="A63" t="s">
        <v>9</v>
      </c>
      <c r="B63" t="s">
        <v>50</v>
      </c>
      <c r="C63" t="s">
        <v>74</v>
      </c>
      <c r="D63">
        <v>1.9</v>
      </c>
      <c r="E63">
        <f>Tableau4[[#This Row],[Potential (PJ)]]*1000/3.6</f>
        <v>527.77777777777771</v>
      </c>
      <c r="F63">
        <v>3.484</v>
      </c>
      <c r="G63">
        <f>Tableau4[[#This Row],[Cost (€/GJ)]]*3.6/1000</f>
        <v>1.25424E-2</v>
      </c>
      <c r="H63">
        <v>2.0635593220338988</v>
      </c>
      <c r="I63">
        <f>Tableau4[[#This Row],[GHG (kgCO2eq/GJ)]]*3.6/1000</f>
        <v>7.428813559322036E-3</v>
      </c>
      <c r="J63" t="s">
        <v>105</v>
      </c>
      <c r="K63" t="s">
        <v>108</v>
      </c>
    </row>
    <row r="64" spans="1:11" hidden="1" x14ac:dyDescent="0.3">
      <c r="A64" t="s">
        <v>9</v>
      </c>
      <c r="B64" t="s">
        <v>51</v>
      </c>
      <c r="C64" t="s">
        <v>75</v>
      </c>
      <c r="D64">
        <v>0</v>
      </c>
      <c r="E64">
        <f>Tableau4[[#This Row],[Potential (PJ)]]*1000/3.6</f>
        <v>0</v>
      </c>
      <c r="F64">
        <v>0</v>
      </c>
      <c r="G64">
        <f>Tableau4[[#This Row],[Cost (€/GJ)]]*3.6/1000</f>
        <v>0</v>
      </c>
      <c r="H64">
        <v>11.74</v>
      </c>
      <c r="I64">
        <f>Tableau4[[#This Row],[GHG (kgCO2eq/GJ)]]*3.6/1000</f>
        <v>4.2264000000000003E-2</v>
      </c>
      <c r="J64" t="s">
        <v>104</v>
      </c>
      <c r="K64" t="s">
        <v>108</v>
      </c>
    </row>
    <row r="65" spans="1:11" hidden="1" x14ac:dyDescent="0.3">
      <c r="A65" t="s">
        <v>9</v>
      </c>
      <c r="B65" t="s">
        <v>52</v>
      </c>
      <c r="C65" t="s">
        <v>76</v>
      </c>
      <c r="D65">
        <v>0.28299999999999997</v>
      </c>
      <c r="E65">
        <f>Tableau4[[#This Row],[Potential (PJ)]]*1000/3.6</f>
        <v>78.611111111111114</v>
      </c>
      <c r="F65">
        <v>0</v>
      </c>
      <c r="G65">
        <f>Tableau4[[#This Row],[Cost (€/GJ)]]*3.6/1000</f>
        <v>0</v>
      </c>
      <c r="H65">
        <v>12.68872359754714</v>
      </c>
      <c r="I65">
        <f>Tableau4[[#This Row],[GHG (kgCO2eq/GJ)]]*3.6/1000</f>
        <v>4.5679404951169705E-2</v>
      </c>
      <c r="J65" t="s">
        <v>105</v>
      </c>
      <c r="K65" t="s">
        <v>108</v>
      </c>
    </row>
    <row r="66" spans="1:11" hidden="1" x14ac:dyDescent="0.3">
      <c r="A66" t="s">
        <v>9</v>
      </c>
      <c r="B66" t="s">
        <v>53</v>
      </c>
      <c r="C66" t="s">
        <v>77</v>
      </c>
      <c r="D66">
        <v>6.9</v>
      </c>
      <c r="E66">
        <f>Tableau4[[#This Row],[Potential (PJ)]]*1000/3.6</f>
        <v>1916.6666666666665</v>
      </c>
      <c r="F66">
        <v>0</v>
      </c>
      <c r="G66">
        <f>Tableau4[[#This Row],[Cost (€/GJ)]]*3.6/1000</f>
        <v>0</v>
      </c>
      <c r="H66">
        <v>3.86607608129234</v>
      </c>
      <c r="I66">
        <f>Tableau4[[#This Row],[GHG (kgCO2eq/GJ)]]*3.6/1000</f>
        <v>1.3917873892652425E-2</v>
      </c>
      <c r="J66" t="s">
        <v>104</v>
      </c>
      <c r="K66" t="s">
        <v>108</v>
      </c>
    </row>
    <row r="67" spans="1:11" hidden="1" x14ac:dyDescent="0.3">
      <c r="A67" t="s">
        <v>9</v>
      </c>
      <c r="B67" t="s">
        <v>54</v>
      </c>
      <c r="C67" t="s">
        <v>78</v>
      </c>
      <c r="D67">
        <v>16.899999999999999</v>
      </c>
      <c r="E67">
        <f>Tableau4[[#This Row],[Potential (PJ)]]*1000/3.6</f>
        <v>4694.4444444444443</v>
      </c>
      <c r="F67">
        <v>0</v>
      </c>
      <c r="G67">
        <f>Tableau4[[#This Row],[Cost (€/GJ)]]*3.6/1000</f>
        <v>0</v>
      </c>
      <c r="H67">
        <v>3.86607608129234</v>
      </c>
      <c r="I67">
        <f>Tableau4[[#This Row],[GHG (kgCO2eq/GJ)]]*3.6/1000</f>
        <v>1.3917873892652425E-2</v>
      </c>
      <c r="J67" t="s">
        <v>104</v>
      </c>
      <c r="K67" t="s">
        <v>108</v>
      </c>
    </row>
    <row r="68" spans="1:11" hidden="1" x14ac:dyDescent="0.3">
      <c r="A68" t="s">
        <v>10</v>
      </c>
      <c r="B68" t="s">
        <v>46</v>
      </c>
      <c r="C68" t="s">
        <v>64</v>
      </c>
      <c r="D68">
        <v>0.2</v>
      </c>
      <c r="E68">
        <f>Tableau4[[#This Row],[Potential (PJ)]]*1000/3.6</f>
        <v>55.555555555555557</v>
      </c>
      <c r="F68">
        <v>4.7043333333333326</v>
      </c>
      <c r="G68">
        <f>Tableau4[[#This Row],[Cost (€/GJ)]]*3.6/1000</f>
        <v>1.6935599999999999E-2</v>
      </c>
      <c r="H68">
        <v>2.9521711768407801</v>
      </c>
      <c r="I68">
        <f>Tableau4[[#This Row],[GHG (kgCO2eq/GJ)]]*3.6/1000</f>
        <v>1.0627816236626808E-2</v>
      </c>
      <c r="J68" t="s">
        <v>104</v>
      </c>
      <c r="K68" t="s">
        <v>108</v>
      </c>
    </row>
    <row r="69" spans="1:11" hidden="1" x14ac:dyDescent="0.3">
      <c r="A69" t="s">
        <v>10</v>
      </c>
      <c r="B69" t="s">
        <v>46</v>
      </c>
      <c r="C69" t="s">
        <v>79</v>
      </c>
      <c r="D69">
        <v>5.7</v>
      </c>
      <c r="E69">
        <f>Tableau4[[#This Row],[Potential (PJ)]]*1000/3.6</f>
        <v>1583.3333333333333</v>
      </c>
      <c r="F69">
        <v>2.9859090909090908</v>
      </c>
      <c r="G69">
        <f>Tableau4[[#This Row],[Cost (€/GJ)]]*3.6/1000</f>
        <v>1.0749272727272727E-2</v>
      </c>
      <c r="H69">
        <v>6.8428961748633883</v>
      </c>
      <c r="I69">
        <f>Tableau4[[#This Row],[GHG (kgCO2eq/GJ)]]*3.6/1000</f>
        <v>2.4634426229508198E-2</v>
      </c>
      <c r="J69" t="s">
        <v>104</v>
      </c>
      <c r="K69" t="s">
        <v>108</v>
      </c>
    </row>
    <row r="70" spans="1:11" hidden="1" x14ac:dyDescent="0.3">
      <c r="A70" t="s">
        <v>10</v>
      </c>
      <c r="B70" t="s">
        <v>46</v>
      </c>
      <c r="C70" t="s">
        <v>80</v>
      </c>
      <c r="D70">
        <v>0.62949999999999995</v>
      </c>
      <c r="E70">
        <f>Tableau4[[#This Row],[Potential (PJ)]]*1000/3.6</f>
        <v>174.86111111111111</v>
      </c>
      <c r="F70">
        <v>1.026972353337829</v>
      </c>
      <c r="G70">
        <f>Tableau4[[#This Row],[Cost (€/GJ)]]*3.6/1000</f>
        <v>3.6971004720161844E-3</v>
      </c>
      <c r="H70">
        <v>28.139870918023309</v>
      </c>
      <c r="I70">
        <f>Tableau4[[#This Row],[GHG (kgCO2eq/GJ)]]*3.6/1000</f>
        <v>0.10130353530488391</v>
      </c>
      <c r="J70" t="s">
        <v>105</v>
      </c>
      <c r="K70" t="s">
        <v>108</v>
      </c>
    </row>
    <row r="71" spans="1:11" hidden="1" x14ac:dyDescent="0.3">
      <c r="A71" t="s">
        <v>10</v>
      </c>
      <c r="B71" t="s">
        <v>46</v>
      </c>
      <c r="C71" t="s">
        <v>81</v>
      </c>
      <c r="D71">
        <v>1.3172999999999999</v>
      </c>
      <c r="E71">
        <f>Tableau4[[#This Row],[Potential (PJ)]]*1000/3.6</f>
        <v>365.91666666666663</v>
      </c>
      <c r="F71">
        <v>1.078730904817861</v>
      </c>
      <c r="G71">
        <f>Tableau4[[#This Row],[Cost (€/GJ)]]*3.6/1000</f>
        <v>3.8834312573443001E-3</v>
      </c>
      <c r="H71">
        <v>8.9647473560517046</v>
      </c>
      <c r="I71">
        <f>Tableau4[[#This Row],[GHG (kgCO2eq/GJ)]]*3.6/1000</f>
        <v>3.2273090481786136E-2</v>
      </c>
      <c r="J71" t="s">
        <v>105</v>
      </c>
      <c r="K71" t="s">
        <v>108</v>
      </c>
    </row>
    <row r="72" spans="1:11" hidden="1" x14ac:dyDescent="0.3">
      <c r="A72" t="s">
        <v>10</v>
      </c>
      <c r="B72" t="s">
        <v>46</v>
      </c>
      <c r="C72" t="s">
        <v>66</v>
      </c>
      <c r="D72">
        <v>2.1</v>
      </c>
      <c r="E72">
        <f>Tableau4[[#This Row],[Potential (PJ)]]*1000/3.6</f>
        <v>583.33333333333337</v>
      </c>
      <c r="F72">
        <v>3.714428571428571</v>
      </c>
      <c r="G72">
        <f>Tableau4[[#This Row],[Cost (€/GJ)]]*3.6/1000</f>
        <v>1.3371942857142854E-2</v>
      </c>
      <c r="H72">
        <v>6.8428961748633883</v>
      </c>
      <c r="I72">
        <f>Tableau4[[#This Row],[GHG (kgCO2eq/GJ)]]*3.6/1000</f>
        <v>2.4634426229508198E-2</v>
      </c>
      <c r="J72" t="s">
        <v>104</v>
      </c>
      <c r="K72" t="s">
        <v>108</v>
      </c>
    </row>
    <row r="73" spans="1:11" hidden="1" x14ac:dyDescent="0.3">
      <c r="A73" t="s">
        <v>10</v>
      </c>
      <c r="B73" t="s">
        <v>46</v>
      </c>
      <c r="C73" t="s">
        <v>83</v>
      </c>
      <c r="D73">
        <v>0.9</v>
      </c>
      <c r="E73">
        <f>Tableau4[[#This Row],[Potential (PJ)]]*1000/3.6</f>
        <v>250</v>
      </c>
      <c r="F73">
        <v>0</v>
      </c>
      <c r="G73">
        <f>Tableau4[[#This Row],[Cost (€/GJ)]]*3.6/1000</f>
        <v>0</v>
      </c>
      <c r="H73">
        <v>6.8428961748633883</v>
      </c>
      <c r="I73">
        <f>Tableau4[[#This Row],[GHG (kgCO2eq/GJ)]]*3.6/1000</f>
        <v>2.4634426229508198E-2</v>
      </c>
      <c r="J73" t="s">
        <v>104</v>
      </c>
      <c r="K73" t="s">
        <v>108</v>
      </c>
    </row>
    <row r="74" spans="1:11" hidden="1" x14ac:dyDescent="0.3">
      <c r="A74" t="s">
        <v>10</v>
      </c>
      <c r="B74" t="s">
        <v>46</v>
      </c>
      <c r="C74" t="s">
        <v>84</v>
      </c>
      <c r="D74">
        <v>0.9</v>
      </c>
      <c r="E74">
        <f>Tableau4[[#This Row],[Potential (PJ)]]*1000/3.6</f>
        <v>250</v>
      </c>
      <c r="F74">
        <v>2.2932222222222221</v>
      </c>
      <c r="G74">
        <f>Tableau4[[#This Row],[Cost (€/GJ)]]*3.6/1000</f>
        <v>8.2556000000000001E-3</v>
      </c>
      <c r="H74">
        <v>28.139870918023309</v>
      </c>
      <c r="I74">
        <f>Tableau4[[#This Row],[GHG (kgCO2eq/GJ)]]*3.6/1000</f>
        <v>0.10130353530488391</v>
      </c>
      <c r="J74" t="s">
        <v>105</v>
      </c>
      <c r="K74" t="s">
        <v>108</v>
      </c>
    </row>
    <row r="75" spans="1:11" hidden="1" x14ac:dyDescent="0.3">
      <c r="A75" t="s">
        <v>10</v>
      </c>
      <c r="B75" t="s">
        <v>55</v>
      </c>
      <c r="C75" t="s">
        <v>86</v>
      </c>
      <c r="D75">
        <v>1.2726999999999999</v>
      </c>
      <c r="E75">
        <f>Tableau4[[#This Row],[Potential (PJ)]]*1000/3.6</f>
        <v>353.52777777777777</v>
      </c>
      <c r="F75">
        <v>16.411999999999999</v>
      </c>
      <c r="G75">
        <f>Tableau4[[#This Row],[Cost (€/GJ)]]*3.6/1000</f>
        <v>5.9083199999999995E-2</v>
      </c>
      <c r="H75">
        <v>26.3</v>
      </c>
      <c r="I75">
        <f>Tableau4[[#This Row],[GHG (kgCO2eq/GJ)]]*3.6/1000</f>
        <v>9.468E-2</v>
      </c>
      <c r="J75" t="s">
        <v>106</v>
      </c>
      <c r="K75" t="s">
        <v>109</v>
      </c>
    </row>
    <row r="76" spans="1:11" hidden="1" x14ac:dyDescent="0.3">
      <c r="A76" t="s">
        <v>10</v>
      </c>
      <c r="B76" t="s">
        <v>55</v>
      </c>
      <c r="C76" t="s">
        <v>88</v>
      </c>
      <c r="D76">
        <v>1.2674000000000001</v>
      </c>
      <c r="E76">
        <f>Tableau4[[#This Row],[Potential (PJ)]]*1000/3.6</f>
        <v>352.0555555555556</v>
      </c>
      <c r="F76">
        <v>10.111000000000001</v>
      </c>
      <c r="G76">
        <f>Tableau4[[#This Row],[Cost (€/GJ)]]*3.6/1000</f>
        <v>3.6399600000000004E-2</v>
      </c>
      <c r="H76">
        <v>26.3</v>
      </c>
      <c r="I76">
        <f>Tableau4[[#This Row],[GHG (kgCO2eq/GJ)]]*3.6/1000</f>
        <v>9.468E-2</v>
      </c>
      <c r="J76" t="s">
        <v>106</v>
      </c>
      <c r="K76" t="s">
        <v>109</v>
      </c>
    </row>
    <row r="77" spans="1:11" hidden="1" x14ac:dyDescent="0.3">
      <c r="A77" t="s">
        <v>10</v>
      </c>
      <c r="B77" t="s">
        <v>55</v>
      </c>
      <c r="C77" t="s">
        <v>92</v>
      </c>
      <c r="D77">
        <v>3.61843</v>
      </c>
      <c r="E77">
        <f>Tableau4[[#This Row],[Potential (PJ)]]*1000/3.6</f>
        <v>1005.1194444444444</v>
      </c>
      <c r="F77">
        <v>17.815999999999999</v>
      </c>
      <c r="G77">
        <f>Tableau4[[#This Row],[Cost (€/GJ)]]*3.6/1000</f>
        <v>6.4137599999999989E-2</v>
      </c>
      <c r="H77">
        <v>26.3</v>
      </c>
      <c r="I77">
        <f>Tableau4[[#This Row],[GHG (kgCO2eq/GJ)]]*3.6/1000</f>
        <v>9.468E-2</v>
      </c>
      <c r="J77" t="s">
        <v>106</v>
      </c>
      <c r="K77" t="s">
        <v>109</v>
      </c>
    </row>
    <row r="78" spans="1:11" hidden="1" x14ac:dyDescent="0.3">
      <c r="A78" t="s">
        <v>10</v>
      </c>
      <c r="B78" t="s">
        <v>56</v>
      </c>
      <c r="C78" t="s">
        <v>93</v>
      </c>
      <c r="D78">
        <v>40.040999999999997</v>
      </c>
      <c r="E78">
        <f>Tableau4[[#This Row],[Potential (PJ)]]*1000/3.6</f>
        <v>11122.5</v>
      </c>
      <c r="F78">
        <v>2.939759036144578</v>
      </c>
      <c r="G78">
        <f>Tableau4[[#This Row],[Cost (€/GJ)]]*3.6/1000</f>
        <v>1.0583132530120483E-2</v>
      </c>
      <c r="H78">
        <v>31.2</v>
      </c>
      <c r="I78">
        <f>Tableau4[[#This Row],[GHG (kgCO2eq/GJ)]]*3.6/1000</f>
        <v>0.11231999999999999</v>
      </c>
      <c r="J78" t="s">
        <v>106</v>
      </c>
      <c r="K78" t="s">
        <v>109</v>
      </c>
    </row>
    <row r="79" spans="1:11" hidden="1" x14ac:dyDescent="0.3">
      <c r="A79" t="s">
        <v>10</v>
      </c>
      <c r="B79" t="s">
        <v>47</v>
      </c>
      <c r="C79" t="s">
        <v>68</v>
      </c>
      <c r="D79">
        <v>1.3</v>
      </c>
      <c r="E79">
        <f>Tableau4[[#This Row],[Potential (PJ)]]*1000/3.6</f>
        <v>361.11111111111109</v>
      </c>
      <c r="F79">
        <v>5.9241538461538461</v>
      </c>
      <c r="G79">
        <f>Tableau4[[#This Row],[Cost (€/GJ)]]*3.6/1000</f>
        <v>2.1326953846153844E-2</v>
      </c>
      <c r="H79">
        <v>20.5</v>
      </c>
      <c r="I79">
        <f>Tableau4[[#This Row],[GHG (kgCO2eq/GJ)]]*3.6/1000</f>
        <v>7.3799999999999991E-2</v>
      </c>
      <c r="J79" t="s">
        <v>104</v>
      </c>
      <c r="K79" t="s">
        <v>109</v>
      </c>
    </row>
    <row r="80" spans="1:11" hidden="1" x14ac:dyDescent="0.3">
      <c r="A80" t="s">
        <v>10</v>
      </c>
      <c r="B80" t="s">
        <v>47</v>
      </c>
      <c r="C80" t="s">
        <v>69</v>
      </c>
      <c r="D80">
        <v>3</v>
      </c>
      <c r="E80">
        <f>Tableau4[[#This Row],[Potential (PJ)]]*1000/3.6</f>
        <v>833.33333333333326</v>
      </c>
      <c r="F80">
        <v>5.1433333333333344</v>
      </c>
      <c r="G80">
        <f>Tableau4[[#This Row],[Cost (€/GJ)]]*3.6/1000</f>
        <v>1.8516000000000005E-2</v>
      </c>
      <c r="H80">
        <v>20.5</v>
      </c>
      <c r="I80">
        <f>Tableau4[[#This Row],[GHG (kgCO2eq/GJ)]]*3.6/1000</f>
        <v>7.3799999999999991E-2</v>
      </c>
      <c r="J80" t="s">
        <v>104</v>
      </c>
      <c r="K80" t="s">
        <v>109</v>
      </c>
    </row>
    <row r="81" spans="1:11" hidden="1" x14ac:dyDescent="0.3">
      <c r="A81" t="s">
        <v>10</v>
      </c>
      <c r="B81" t="s">
        <v>57</v>
      </c>
      <c r="C81" t="s">
        <v>94</v>
      </c>
      <c r="D81">
        <v>1.2</v>
      </c>
      <c r="E81">
        <f>Tableau4[[#This Row],[Potential (PJ)]]*1000/3.6</f>
        <v>333.33333333333331</v>
      </c>
      <c r="F81">
        <v>10.22766666666667</v>
      </c>
      <c r="G81">
        <f>Tableau4[[#This Row],[Cost (€/GJ)]]*3.6/1000</f>
        <v>3.6819600000000008E-2</v>
      </c>
      <c r="H81">
        <v>16.399999999999999</v>
      </c>
      <c r="I81">
        <f>Tableau4[[#This Row],[GHG (kgCO2eq/GJ)]]*3.6/1000</f>
        <v>5.9040000000000002E-2</v>
      </c>
      <c r="J81" t="s">
        <v>104</v>
      </c>
      <c r="K81" t="s">
        <v>109</v>
      </c>
    </row>
    <row r="82" spans="1:11" hidden="1" x14ac:dyDescent="0.3">
      <c r="A82" t="s">
        <v>10</v>
      </c>
      <c r="B82" t="s">
        <v>49</v>
      </c>
      <c r="C82" t="s">
        <v>71</v>
      </c>
      <c r="D82">
        <v>43.011229999999998</v>
      </c>
      <c r="E82">
        <f>Tableau4[[#This Row],[Potential (PJ)]]*1000/3.6</f>
        <v>11947.563888888888</v>
      </c>
      <c r="F82">
        <v>3.823625460373953</v>
      </c>
      <c r="G82">
        <f>Tableau4[[#This Row],[Cost (€/GJ)]]*3.6/1000</f>
        <v>1.376505165734623E-2</v>
      </c>
      <c r="H82">
        <v>3.86607608129234</v>
      </c>
      <c r="I82">
        <f>Tableau4[[#This Row],[GHG (kgCO2eq/GJ)]]*3.6/1000</f>
        <v>1.3917873892652425E-2</v>
      </c>
      <c r="J82" t="s">
        <v>104</v>
      </c>
      <c r="K82" t="s">
        <v>108</v>
      </c>
    </row>
    <row r="83" spans="1:11" hidden="1" x14ac:dyDescent="0.3">
      <c r="A83" t="s">
        <v>10</v>
      </c>
      <c r="B83" t="s">
        <v>49</v>
      </c>
      <c r="C83" t="s">
        <v>72</v>
      </c>
      <c r="D83">
        <v>4.3</v>
      </c>
      <c r="E83">
        <f>Tableau4[[#This Row],[Potential (PJ)]]*1000/3.6</f>
        <v>1194.4444444444443</v>
      </c>
      <c r="F83">
        <v>3.0653255813953488</v>
      </c>
      <c r="G83">
        <f>Tableau4[[#This Row],[Cost (€/GJ)]]*3.6/1000</f>
        <v>1.1035172093023255E-2</v>
      </c>
      <c r="H83">
        <v>3.86607608129234</v>
      </c>
      <c r="I83">
        <f>Tableau4[[#This Row],[GHG (kgCO2eq/GJ)]]*3.6/1000</f>
        <v>1.3917873892652425E-2</v>
      </c>
      <c r="J83" t="s">
        <v>104</v>
      </c>
      <c r="K83" t="s">
        <v>108</v>
      </c>
    </row>
    <row r="84" spans="1:11" hidden="1" x14ac:dyDescent="0.3">
      <c r="A84" t="s">
        <v>10</v>
      </c>
      <c r="B84" t="s">
        <v>58</v>
      </c>
      <c r="C84" t="s">
        <v>95</v>
      </c>
      <c r="D84">
        <v>14.341100000000001</v>
      </c>
      <c r="E84">
        <f>Tableau4[[#This Row],[Potential (PJ)]]*1000/3.6</f>
        <v>3983.6388888888887</v>
      </c>
      <c r="F84">
        <v>2.426826940053413</v>
      </c>
      <c r="G84">
        <f>Tableau4[[#This Row],[Cost (€/GJ)]]*3.6/1000</f>
        <v>8.7365769841922878E-3</v>
      </c>
      <c r="H84">
        <v>2.9521711768407801</v>
      </c>
      <c r="I84">
        <f>Tableau4[[#This Row],[GHG (kgCO2eq/GJ)]]*3.6/1000</f>
        <v>1.0627816236626808E-2</v>
      </c>
      <c r="J84" t="s">
        <v>104</v>
      </c>
      <c r="K84" t="s">
        <v>108</v>
      </c>
    </row>
    <row r="85" spans="1:11" hidden="1" x14ac:dyDescent="0.3">
      <c r="A85" t="s">
        <v>10</v>
      </c>
      <c r="B85" t="s">
        <v>50</v>
      </c>
      <c r="C85" t="s">
        <v>73</v>
      </c>
      <c r="D85">
        <v>12.3</v>
      </c>
      <c r="E85">
        <f>Tableau4[[#This Row],[Potential (PJ)]]*1000/3.6</f>
        <v>3416.6666666666665</v>
      </c>
      <c r="F85">
        <v>5.6701707317073167</v>
      </c>
      <c r="G85">
        <f>Tableau4[[#This Row],[Cost (€/GJ)]]*3.6/1000</f>
        <v>2.0412614634146339E-2</v>
      </c>
      <c r="H85">
        <v>20.723404255319149</v>
      </c>
      <c r="I85">
        <f>Tableau4[[#This Row],[GHG (kgCO2eq/GJ)]]*3.6/1000</f>
        <v>7.4604255319148938E-2</v>
      </c>
      <c r="J85" t="s">
        <v>105</v>
      </c>
      <c r="K85" t="s">
        <v>108</v>
      </c>
    </row>
    <row r="86" spans="1:11" hidden="1" x14ac:dyDescent="0.3">
      <c r="A86" t="s">
        <v>10</v>
      </c>
      <c r="B86" t="s">
        <v>50</v>
      </c>
      <c r="C86" t="s">
        <v>74</v>
      </c>
      <c r="D86">
        <v>54</v>
      </c>
      <c r="E86">
        <f>Tableau4[[#This Row],[Potential (PJ)]]*1000/3.6</f>
        <v>15000</v>
      </c>
      <c r="F86">
        <v>6.3370388888888893</v>
      </c>
      <c r="G86">
        <f>Tableau4[[#This Row],[Cost (€/GJ)]]*3.6/1000</f>
        <v>2.2813340000000005E-2</v>
      </c>
      <c r="H86">
        <v>2.0635593220338988</v>
      </c>
      <c r="I86">
        <f>Tableau4[[#This Row],[GHG (kgCO2eq/GJ)]]*3.6/1000</f>
        <v>7.428813559322036E-3</v>
      </c>
      <c r="J86" t="s">
        <v>105</v>
      </c>
      <c r="K86" t="s">
        <v>108</v>
      </c>
    </row>
    <row r="87" spans="1:11" hidden="1" x14ac:dyDescent="0.3">
      <c r="A87" t="s">
        <v>10</v>
      </c>
      <c r="B87" t="s">
        <v>51</v>
      </c>
      <c r="C87" t="s">
        <v>75</v>
      </c>
      <c r="D87">
        <v>68.172020000000003</v>
      </c>
      <c r="E87">
        <f>Tableau4[[#This Row],[Potential (PJ)]]*1000/3.6</f>
        <v>18936.672222222223</v>
      </c>
      <c r="F87">
        <v>3.0697353254929501E-2</v>
      </c>
      <c r="G87">
        <f>Tableau4[[#This Row],[Cost (€/GJ)]]*3.6/1000</f>
        <v>1.1051047171774621E-4</v>
      </c>
      <c r="H87">
        <v>11.74</v>
      </c>
      <c r="I87">
        <f>Tableau4[[#This Row],[GHG (kgCO2eq/GJ)]]*3.6/1000</f>
        <v>4.2264000000000003E-2</v>
      </c>
      <c r="J87" t="s">
        <v>104</v>
      </c>
      <c r="K87" t="s">
        <v>108</v>
      </c>
    </row>
    <row r="88" spans="1:11" hidden="1" x14ac:dyDescent="0.3">
      <c r="A88" t="s">
        <v>10</v>
      </c>
      <c r="B88" t="s">
        <v>60</v>
      </c>
      <c r="C88" t="s">
        <v>98</v>
      </c>
      <c r="D88">
        <v>9.3689999999999996E-2</v>
      </c>
      <c r="E88">
        <f>Tableau4[[#This Row],[Potential (PJ)]]*1000/3.6</f>
        <v>26.024999999999999</v>
      </c>
      <c r="F88">
        <v>24.86573576799141</v>
      </c>
      <c r="G88">
        <f>Tableau4[[#This Row],[Cost (€/GJ)]]*3.6/1000</f>
        <v>8.9516648764769072E-2</v>
      </c>
      <c r="H88">
        <v>37.799999999999997</v>
      </c>
      <c r="I88">
        <f>Tableau4[[#This Row],[GHG (kgCO2eq/GJ)]]*3.6/1000</f>
        <v>0.13607999999999998</v>
      </c>
      <c r="J88" t="s">
        <v>107</v>
      </c>
      <c r="K88" t="s">
        <v>109</v>
      </c>
    </row>
    <row r="89" spans="1:11" hidden="1" x14ac:dyDescent="0.3">
      <c r="A89" t="s">
        <v>10</v>
      </c>
      <c r="B89" t="s">
        <v>52</v>
      </c>
      <c r="C89" t="s">
        <v>76</v>
      </c>
      <c r="D89">
        <v>25.701000000000001</v>
      </c>
      <c r="E89">
        <f>Tableau4[[#This Row],[Potential (PJ)]]*1000/3.6</f>
        <v>7139.1666666666661</v>
      </c>
      <c r="F89">
        <v>4.7567250000000003</v>
      </c>
      <c r="G89">
        <f>Tableau4[[#This Row],[Cost (€/GJ)]]*3.6/1000</f>
        <v>1.7124210000000001E-2</v>
      </c>
      <c r="H89">
        <v>12.68872359754714</v>
      </c>
      <c r="I89">
        <f>Tableau4[[#This Row],[GHG (kgCO2eq/GJ)]]*3.6/1000</f>
        <v>4.5679404951169705E-2</v>
      </c>
      <c r="J89" t="s">
        <v>105</v>
      </c>
      <c r="K89" t="s">
        <v>108</v>
      </c>
    </row>
    <row r="90" spans="1:11" hidden="1" x14ac:dyDescent="0.3">
      <c r="A90" t="s">
        <v>10</v>
      </c>
      <c r="B90" t="s">
        <v>53</v>
      </c>
      <c r="C90" t="s">
        <v>77</v>
      </c>
      <c r="D90">
        <v>2.4</v>
      </c>
      <c r="E90">
        <f>Tableau4[[#This Row],[Potential (PJ)]]*1000/3.6</f>
        <v>666.66666666666663</v>
      </c>
      <c r="F90">
        <v>3.0657916666666671</v>
      </c>
      <c r="G90">
        <f>Tableau4[[#This Row],[Cost (€/GJ)]]*3.6/1000</f>
        <v>1.1036850000000001E-2</v>
      </c>
      <c r="H90">
        <v>3.86607608129234</v>
      </c>
      <c r="I90">
        <f>Tableau4[[#This Row],[GHG (kgCO2eq/GJ)]]*3.6/1000</f>
        <v>1.3917873892652425E-2</v>
      </c>
      <c r="J90" t="s">
        <v>104</v>
      </c>
      <c r="K90" t="s">
        <v>108</v>
      </c>
    </row>
    <row r="91" spans="1:11" hidden="1" x14ac:dyDescent="0.3">
      <c r="A91" t="s">
        <v>10</v>
      </c>
      <c r="B91" t="s">
        <v>61</v>
      </c>
      <c r="C91" t="s">
        <v>99</v>
      </c>
      <c r="D91">
        <v>26.7</v>
      </c>
      <c r="E91">
        <f>Tableau4[[#This Row],[Potential (PJ)]]*1000/3.6</f>
        <v>7416.6666666666661</v>
      </c>
      <c r="F91">
        <v>1.6516050724637681</v>
      </c>
      <c r="G91">
        <f>Tableau4[[#This Row],[Cost (€/GJ)]]*3.6/1000</f>
        <v>5.9457782608695652E-3</v>
      </c>
      <c r="H91">
        <v>2.9245635910224439</v>
      </c>
      <c r="I91">
        <f>Tableau4[[#This Row],[GHG (kgCO2eq/GJ)]]*3.6/1000</f>
        <v>1.0528428927680798E-2</v>
      </c>
      <c r="J91" t="s">
        <v>104</v>
      </c>
      <c r="K91" t="s">
        <v>108</v>
      </c>
    </row>
    <row r="92" spans="1:11" hidden="1" x14ac:dyDescent="0.3">
      <c r="A92" t="s">
        <v>10</v>
      </c>
      <c r="B92" t="s">
        <v>62</v>
      </c>
      <c r="C92" t="s">
        <v>100</v>
      </c>
      <c r="D92">
        <v>13.1</v>
      </c>
      <c r="E92">
        <f>Tableau4[[#This Row],[Potential (PJ)]]*1000/3.6</f>
        <v>3638.8888888888887</v>
      </c>
      <c r="F92">
        <v>0.26412213740458013</v>
      </c>
      <c r="G92">
        <f>Tableau4[[#This Row],[Cost (€/GJ)]]*3.6/1000</f>
        <v>9.5083969465648845E-4</v>
      </c>
      <c r="H92">
        <v>2.6764106050305911</v>
      </c>
      <c r="I92">
        <f>Tableau4[[#This Row],[GHG (kgCO2eq/GJ)]]*3.6/1000</f>
        <v>9.6350781781101274E-3</v>
      </c>
      <c r="J92" t="s">
        <v>104</v>
      </c>
      <c r="K92" t="s">
        <v>108</v>
      </c>
    </row>
    <row r="93" spans="1:11" hidden="1" x14ac:dyDescent="0.3">
      <c r="A93" t="s">
        <v>10</v>
      </c>
      <c r="B93" t="s">
        <v>54</v>
      </c>
      <c r="C93" t="s">
        <v>78</v>
      </c>
      <c r="D93">
        <v>21.9</v>
      </c>
      <c r="E93">
        <f>Tableau4[[#This Row],[Potential (PJ)]]*1000/3.6</f>
        <v>6083.333333333333</v>
      </c>
      <c r="F93">
        <v>6.2674931506849321</v>
      </c>
      <c r="G93">
        <f>Tableau4[[#This Row],[Cost (€/GJ)]]*3.6/1000</f>
        <v>2.2562975342465756E-2</v>
      </c>
      <c r="H93">
        <v>3.86607608129234</v>
      </c>
      <c r="I93">
        <f>Tableau4[[#This Row],[GHG (kgCO2eq/GJ)]]*3.6/1000</f>
        <v>1.3917873892652425E-2</v>
      </c>
      <c r="J93" t="s">
        <v>104</v>
      </c>
      <c r="K93" t="s">
        <v>108</v>
      </c>
    </row>
    <row r="94" spans="1:11" hidden="1" x14ac:dyDescent="0.3">
      <c r="A94" t="s">
        <v>11</v>
      </c>
      <c r="B94" t="s">
        <v>46</v>
      </c>
      <c r="C94" t="s">
        <v>64</v>
      </c>
      <c r="D94">
        <v>0.10215</v>
      </c>
      <c r="E94">
        <f>Tableau4[[#This Row],[Potential (PJ)]]*1000/3.6</f>
        <v>28.375</v>
      </c>
      <c r="F94">
        <v>7.7738256485560449</v>
      </c>
      <c r="G94">
        <f>Tableau4[[#This Row],[Cost (€/GJ)]]*3.6/1000</f>
        <v>2.7985772334801762E-2</v>
      </c>
      <c r="H94">
        <v>2.9521711768407801</v>
      </c>
      <c r="I94">
        <f>Tableau4[[#This Row],[GHG (kgCO2eq/GJ)]]*3.6/1000</f>
        <v>1.0627816236626808E-2</v>
      </c>
      <c r="J94" t="s">
        <v>104</v>
      </c>
      <c r="K94" t="s">
        <v>108</v>
      </c>
    </row>
    <row r="95" spans="1:11" hidden="1" x14ac:dyDescent="0.3">
      <c r="A95" t="s">
        <v>11</v>
      </c>
      <c r="B95" t="s">
        <v>46</v>
      </c>
      <c r="C95" t="s">
        <v>79</v>
      </c>
      <c r="D95">
        <v>20</v>
      </c>
      <c r="E95">
        <f>Tableau4[[#This Row],[Potential (PJ)]]*1000/3.6</f>
        <v>5555.5555555555557</v>
      </c>
      <c r="F95">
        <v>2.05816</v>
      </c>
      <c r="G95">
        <f>Tableau4[[#This Row],[Cost (€/GJ)]]*3.6/1000</f>
        <v>7.4093759999999996E-3</v>
      </c>
      <c r="H95">
        <v>6.8428961748633883</v>
      </c>
      <c r="I95">
        <f>Tableau4[[#This Row],[GHG (kgCO2eq/GJ)]]*3.6/1000</f>
        <v>2.4634426229508198E-2</v>
      </c>
      <c r="J95" t="s">
        <v>104</v>
      </c>
      <c r="K95" t="s">
        <v>108</v>
      </c>
    </row>
    <row r="96" spans="1:11" hidden="1" x14ac:dyDescent="0.3">
      <c r="A96" t="s">
        <v>11</v>
      </c>
      <c r="B96" t="s">
        <v>46</v>
      </c>
      <c r="C96" t="s">
        <v>65</v>
      </c>
      <c r="D96">
        <v>1</v>
      </c>
      <c r="E96">
        <f>Tableau4[[#This Row],[Potential (PJ)]]*1000/3.6</f>
        <v>277.77777777777777</v>
      </c>
      <c r="F96">
        <v>3.4146999999999998</v>
      </c>
      <c r="G96">
        <f>Tableau4[[#This Row],[Cost (€/GJ)]]*3.6/1000</f>
        <v>1.2292920000000001E-2</v>
      </c>
      <c r="H96">
        <v>2.9521711768407801</v>
      </c>
      <c r="I96">
        <f>Tableau4[[#This Row],[GHG (kgCO2eq/GJ)]]*3.6/1000</f>
        <v>1.0627816236626808E-2</v>
      </c>
      <c r="J96" t="s">
        <v>104</v>
      </c>
      <c r="K96" t="s">
        <v>108</v>
      </c>
    </row>
    <row r="97" spans="1:11" hidden="1" x14ac:dyDescent="0.3">
      <c r="A97" t="s">
        <v>11</v>
      </c>
      <c r="B97" t="s">
        <v>46</v>
      </c>
      <c r="C97" t="s">
        <v>80</v>
      </c>
      <c r="D97">
        <v>0.43419999999999997</v>
      </c>
      <c r="E97">
        <f>Tableau4[[#This Row],[Potential (PJ)]]*1000/3.6</f>
        <v>120.6111111111111</v>
      </c>
      <c r="F97">
        <v>0.44234659474039112</v>
      </c>
      <c r="G97">
        <f>Tableau4[[#This Row],[Cost (€/GJ)]]*3.6/1000</f>
        <v>1.5924477410654081E-3</v>
      </c>
      <c r="H97">
        <v>28.139870918023309</v>
      </c>
      <c r="I97">
        <f>Tableau4[[#This Row],[GHG (kgCO2eq/GJ)]]*3.6/1000</f>
        <v>0.10130353530488391</v>
      </c>
      <c r="J97" t="s">
        <v>105</v>
      </c>
      <c r="K97" t="s">
        <v>108</v>
      </c>
    </row>
    <row r="98" spans="1:11" hidden="1" x14ac:dyDescent="0.3">
      <c r="A98" t="s">
        <v>11</v>
      </c>
      <c r="B98" t="s">
        <v>46</v>
      </c>
      <c r="C98" t="s">
        <v>81</v>
      </c>
      <c r="D98">
        <v>1.37E-2</v>
      </c>
      <c r="E98">
        <f>Tableau4[[#This Row],[Potential (PJ)]]*1000/3.6</f>
        <v>3.8055555555555558</v>
      </c>
      <c r="F98">
        <v>2.839600470035252</v>
      </c>
      <c r="G98">
        <f>Tableau4[[#This Row],[Cost (€/GJ)]]*3.6/1000</f>
        <v>1.0222561692126908E-2</v>
      </c>
      <c r="H98">
        <v>8.9647473560517046</v>
      </c>
      <c r="I98">
        <f>Tableau4[[#This Row],[GHG (kgCO2eq/GJ)]]*3.6/1000</f>
        <v>3.2273090481786136E-2</v>
      </c>
      <c r="J98" t="s">
        <v>105</v>
      </c>
      <c r="K98" t="s">
        <v>108</v>
      </c>
    </row>
    <row r="99" spans="1:11" hidden="1" x14ac:dyDescent="0.3">
      <c r="A99" t="s">
        <v>11</v>
      </c>
      <c r="B99" t="s">
        <v>46</v>
      </c>
      <c r="C99" t="s">
        <v>66</v>
      </c>
      <c r="D99">
        <v>5.2</v>
      </c>
      <c r="E99">
        <f>Tableau4[[#This Row],[Potential (PJ)]]*1000/3.6</f>
        <v>1444.4444444444443</v>
      </c>
      <c r="F99">
        <v>2.1474230769230771</v>
      </c>
      <c r="G99">
        <f>Tableau4[[#This Row],[Cost (€/GJ)]]*3.6/1000</f>
        <v>7.7307230769230783E-3</v>
      </c>
      <c r="H99">
        <v>6.8428961748633883</v>
      </c>
      <c r="I99">
        <f>Tableau4[[#This Row],[GHG (kgCO2eq/GJ)]]*3.6/1000</f>
        <v>2.4634426229508198E-2</v>
      </c>
      <c r="J99" t="s">
        <v>104</v>
      </c>
      <c r="K99" t="s">
        <v>108</v>
      </c>
    </row>
    <row r="100" spans="1:11" hidden="1" x14ac:dyDescent="0.3">
      <c r="A100" t="s">
        <v>11</v>
      </c>
      <c r="B100" t="s">
        <v>46</v>
      </c>
      <c r="C100" t="s">
        <v>82</v>
      </c>
      <c r="D100">
        <v>15.1</v>
      </c>
      <c r="E100">
        <f>Tableau4[[#This Row],[Potential (PJ)]]*1000/3.6</f>
        <v>4194.4444444444443</v>
      </c>
      <c r="F100">
        <v>1.30812582781457</v>
      </c>
      <c r="G100">
        <f>Tableau4[[#This Row],[Cost (€/GJ)]]*3.6/1000</f>
        <v>4.7092529801324515E-3</v>
      </c>
      <c r="H100">
        <v>6.8428961748633883</v>
      </c>
      <c r="I100">
        <f>Tableau4[[#This Row],[GHG (kgCO2eq/GJ)]]*3.6/1000</f>
        <v>2.4634426229508198E-2</v>
      </c>
      <c r="J100" t="s">
        <v>104</v>
      </c>
      <c r="K100" t="s">
        <v>108</v>
      </c>
    </row>
    <row r="101" spans="1:11" hidden="1" x14ac:dyDescent="0.3">
      <c r="A101" t="s">
        <v>11</v>
      </c>
      <c r="B101" t="s">
        <v>46</v>
      </c>
      <c r="C101" t="s">
        <v>83</v>
      </c>
      <c r="D101">
        <v>8.4200000000000004E-3</v>
      </c>
      <c r="E101">
        <f>Tableau4[[#This Row],[Potential (PJ)]]*1000/3.6</f>
        <v>2.338888888888889</v>
      </c>
      <c r="F101">
        <v>2.0499999999999998</v>
      </c>
      <c r="G101">
        <f>Tableau4[[#This Row],[Cost (€/GJ)]]*3.6/1000</f>
        <v>7.3800000000000003E-3</v>
      </c>
      <c r="H101">
        <v>6.8428961748633883</v>
      </c>
      <c r="I101">
        <f>Tableau4[[#This Row],[GHG (kgCO2eq/GJ)]]*3.6/1000</f>
        <v>2.4634426229508198E-2</v>
      </c>
      <c r="J101" t="s">
        <v>104</v>
      </c>
      <c r="K101" t="s">
        <v>108</v>
      </c>
    </row>
    <row r="102" spans="1:11" hidden="1" x14ac:dyDescent="0.3">
      <c r="A102" t="s">
        <v>11</v>
      </c>
      <c r="B102" t="s">
        <v>46</v>
      </c>
      <c r="C102" t="s">
        <v>85</v>
      </c>
      <c r="D102">
        <v>0.5</v>
      </c>
      <c r="E102">
        <f>Tableau4[[#This Row],[Potential (PJ)]]*1000/3.6</f>
        <v>138.88888888888889</v>
      </c>
      <c r="F102">
        <v>5.5538000000000007</v>
      </c>
      <c r="G102">
        <f>Tableau4[[#This Row],[Cost (€/GJ)]]*3.6/1000</f>
        <v>1.9993680000000003E-2</v>
      </c>
      <c r="H102">
        <v>2.9521711768407801</v>
      </c>
      <c r="I102">
        <f>Tableau4[[#This Row],[GHG (kgCO2eq/GJ)]]*3.6/1000</f>
        <v>1.0627816236626808E-2</v>
      </c>
      <c r="J102" t="s">
        <v>104</v>
      </c>
      <c r="K102" t="s">
        <v>108</v>
      </c>
    </row>
    <row r="103" spans="1:11" hidden="1" x14ac:dyDescent="0.3">
      <c r="A103" t="s">
        <v>11</v>
      </c>
      <c r="B103" t="s">
        <v>55</v>
      </c>
      <c r="C103" t="s">
        <v>86</v>
      </c>
      <c r="D103">
        <v>2.6897000000000002</v>
      </c>
      <c r="E103">
        <f>Tableau4[[#This Row],[Potential (PJ)]]*1000/3.6</f>
        <v>747.13888888888891</v>
      </c>
      <c r="F103">
        <v>15.287000000000001</v>
      </c>
      <c r="G103">
        <f>Tableau4[[#This Row],[Cost (€/GJ)]]*3.6/1000</f>
        <v>5.5033199999999997E-2</v>
      </c>
      <c r="H103">
        <v>9.1999999999999993</v>
      </c>
      <c r="I103">
        <f>Tableau4[[#This Row],[GHG (kgCO2eq/GJ)]]*3.6/1000</f>
        <v>3.3119999999999997E-2</v>
      </c>
      <c r="J103" t="s">
        <v>106</v>
      </c>
      <c r="K103" t="s">
        <v>109</v>
      </c>
    </row>
    <row r="104" spans="1:11" hidden="1" x14ac:dyDescent="0.3">
      <c r="A104" t="s">
        <v>11</v>
      </c>
      <c r="B104" t="s">
        <v>55</v>
      </c>
      <c r="C104" t="s">
        <v>87</v>
      </c>
      <c r="D104">
        <v>2.3121</v>
      </c>
      <c r="E104">
        <f>Tableau4[[#This Row],[Potential (PJ)]]*1000/3.6</f>
        <v>642.25</v>
      </c>
      <c r="F104">
        <v>15.510999999999999</v>
      </c>
      <c r="G104">
        <f>Tableau4[[#This Row],[Cost (€/GJ)]]*3.6/1000</f>
        <v>5.5839599999999996E-2</v>
      </c>
      <c r="H104">
        <v>9.1999999999999993</v>
      </c>
      <c r="I104">
        <f>Tableau4[[#This Row],[GHG (kgCO2eq/GJ)]]*3.6/1000</f>
        <v>3.3119999999999997E-2</v>
      </c>
      <c r="J104" t="s">
        <v>106</v>
      </c>
      <c r="K104" t="s">
        <v>109</v>
      </c>
    </row>
    <row r="105" spans="1:11" hidden="1" x14ac:dyDescent="0.3">
      <c r="A105" t="s">
        <v>11</v>
      </c>
      <c r="B105" t="s">
        <v>55</v>
      </c>
      <c r="C105" t="s">
        <v>88</v>
      </c>
      <c r="D105">
        <v>3.1434000000000002</v>
      </c>
      <c r="E105">
        <f>Tableau4[[#This Row],[Potential (PJ)]]*1000/3.6</f>
        <v>873.16666666666663</v>
      </c>
      <c r="F105">
        <v>16.786000000000001</v>
      </c>
      <c r="G105">
        <f>Tableau4[[#This Row],[Cost (€/GJ)]]*3.6/1000</f>
        <v>6.0429600000000007E-2</v>
      </c>
      <c r="H105">
        <v>9.1999999999999993</v>
      </c>
      <c r="I105">
        <f>Tableau4[[#This Row],[GHG (kgCO2eq/GJ)]]*3.6/1000</f>
        <v>3.3119999999999997E-2</v>
      </c>
      <c r="J105" t="s">
        <v>106</v>
      </c>
      <c r="K105" t="s">
        <v>109</v>
      </c>
    </row>
    <row r="106" spans="1:11" hidden="1" x14ac:dyDescent="0.3">
      <c r="A106" t="s">
        <v>11</v>
      </c>
      <c r="B106" t="s">
        <v>55</v>
      </c>
      <c r="C106" t="s">
        <v>89</v>
      </c>
      <c r="D106">
        <v>8.9999999999999998E-4</v>
      </c>
      <c r="E106">
        <f>Tableau4[[#This Row],[Potential (PJ)]]*1000/3.6</f>
        <v>0.25</v>
      </c>
      <c r="F106">
        <v>0</v>
      </c>
      <c r="G106">
        <f>Tableau4[[#This Row],[Cost (€/GJ)]]*3.6/1000</f>
        <v>0</v>
      </c>
      <c r="H106">
        <v>9.1999999999999993</v>
      </c>
      <c r="I106">
        <f>Tableau4[[#This Row],[GHG (kgCO2eq/GJ)]]*3.6/1000</f>
        <v>3.3119999999999997E-2</v>
      </c>
      <c r="J106" t="s">
        <v>106</v>
      </c>
      <c r="K106" t="s">
        <v>109</v>
      </c>
    </row>
    <row r="107" spans="1:11" hidden="1" x14ac:dyDescent="0.3">
      <c r="A107" t="s">
        <v>11</v>
      </c>
      <c r="B107" t="s">
        <v>55</v>
      </c>
      <c r="C107" t="s">
        <v>92</v>
      </c>
      <c r="D107">
        <v>2.5231300000000001</v>
      </c>
      <c r="E107">
        <f>Tableau4[[#This Row],[Potential (PJ)]]*1000/3.6</f>
        <v>700.86944444444441</v>
      </c>
      <c r="F107">
        <v>15.510999999999999</v>
      </c>
      <c r="G107">
        <f>Tableau4[[#This Row],[Cost (€/GJ)]]*3.6/1000</f>
        <v>5.5839599999999996E-2</v>
      </c>
      <c r="H107">
        <v>9.1999999999999993</v>
      </c>
      <c r="I107">
        <f>Tableau4[[#This Row],[GHG (kgCO2eq/GJ)]]*3.6/1000</f>
        <v>3.3119999999999997E-2</v>
      </c>
      <c r="J107" t="s">
        <v>106</v>
      </c>
      <c r="K107" t="s">
        <v>109</v>
      </c>
    </row>
    <row r="108" spans="1:11" hidden="1" x14ac:dyDescent="0.3">
      <c r="A108" t="s">
        <v>11</v>
      </c>
      <c r="B108" t="s">
        <v>56</v>
      </c>
      <c r="C108" t="s">
        <v>93</v>
      </c>
      <c r="D108">
        <v>12.8421</v>
      </c>
      <c r="E108">
        <f>Tableau4[[#This Row],[Potential (PJ)]]*1000/3.6</f>
        <v>3567.25</v>
      </c>
      <c r="F108">
        <v>6.7759036144578308</v>
      </c>
      <c r="G108">
        <f>Tableau4[[#This Row],[Cost (€/GJ)]]*3.6/1000</f>
        <v>2.4393253012048192E-2</v>
      </c>
      <c r="H108">
        <v>22.9</v>
      </c>
      <c r="I108">
        <f>Tableau4[[#This Row],[GHG (kgCO2eq/GJ)]]*3.6/1000</f>
        <v>8.2439999999999999E-2</v>
      </c>
      <c r="J108" t="s">
        <v>106</v>
      </c>
      <c r="K108" t="s">
        <v>109</v>
      </c>
    </row>
    <row r="109" spans="1:11" hidden="1" x14ac:dyDescent="0.3">
      <c r="A109" t="s">
        <v>11</v>
      </c>
      <c r="B109" t="s">
        <v>47</v>
      </c>
      <c r="C109" t="s">
        <v>68</v>
      </c>
      <c r="D109">
        <v>58.7</v>
      </c>
      <c r="E109">
        <f>Tableau4[[#This Row],[Potential (PJ)]]*1000/3.6</f>
        <v>16305.555555555555</v>
      </c>
      <c r="F109">
        <v>2.6540919931856899</v>
      </c>
      <c r="G109">
        <f>Tableau4[[#This Row],[Cost (€/GJ)]]*3.6/1000</f>
        <v>9.5547311754684838E-3</v>
      </c>
      <c r="H109">
        <v>15</v>
      </c>
      <c r="I109">
        <f>Tableau4[[#This Row],[GHG (kgCO2eq/GJ)]]*3.6/1000</f>
        <v>5.3999999999999999E-2</v>
      </c>
      <c r="J109" t="s">
        <v>104</v>
      </c>
      <c r="K109" t="s">
        <v>109</v>
      </c>
    </row>
    <row r="110" spans="1:11" hidden="1" x14ac:dyDescent="0.3">
      <c r="A110" t="s">
        <v>11</v>
      </c>
      <c r="B110" t="s">
        <v>47</v>
      </c>
      <c r="C110" t="s">
        <v>69</v>
      </c>
      <c r="D110">
        <v>45</v>
      </c>
      <c r="E110">
        <f>Tableau4[[#This Row],[Potential (PJ)]]*1000/3.6</f>
        <v>12500</v>
      </c>
      <c r="F110">
        <v>2.4992022222222219</v>
      </c>
      <c r="G110">
        <f>Tableau4[[#This Row],[Cost (€/GJ)]]*3.6/1000</f>
        <v>8.9971279999999983E-3</v>
      </c>
      <c r="H110">
        <v>15</v>
      </c>
      <c r="I110">
        <f>Tableau4[[#This Row],[GHG (kgCO2eq/GJ)]]*3.6/1000</f>
        <v>5.3999999999999999E-2</v>
      </c>
      <c r="J110" t="s">
        <v>104</v>
      </c>
      <c r="K110" t="s">
        <v>109</v>
      </c>
    </row>
    <row r="111" spans="1:11" hidden="1" x14ac:dyDescent="0.3">
      <c r="A111" t="s">
        <v>11</v>
      </c>
      <c r="B111" t="s">
        <v>57</v>
      </c>
      <c r="C111" t="s">
        <v>94</v>
      </c>
      <c r="D111">
        <v>15.8</v>
      </c>
      <c r="E111">
        <f>Tableau4[[#This Row],[Potential (PJ)]]*1000/3.6</f>
        <v>4388.8888888888887</v>
      </c>
      <c r="F111">
        <v>6.7073101265822794</v>
      </c>
      <c r="G111">
        <f>Tableau4[[#This Row],[Cost (€/GJ)]]*3.6/1000</f>
        <v>2.4146316455696204E-2</v>
      </c>
      <c r="H111">
        <v>15.6</v>
      </c>
      <c r="I111">
        <f>Tableau4[[#This Row],[GHG (kgCO2eq/GJ)]]*3.6/1000</f>
        <v>5.6159999999999995E-2</v>
      </c>
      <c r="J111" t="s">
        <v>104</v>
      </c>
      <c r="K111" t="s">
        <v>109</v>
      </c>
    </row>
    <row r="112" spans="1:11" hidden="1" x14ac:dyDescent="0.3">
      <c r="A112" t="s">
        <v>11</v>
      </c>
      <c r="B112" t="s">
        <v>49</v>
      </c>
      <c r="C112" t="s">
        <v>71</v>
      </c>
      <c r="D112">
        <v>103.63339000000001</v>
      </c>
      <c r="E112">
        <f>Tableau4[[#This Row],[Potential (PJ)]]*1000/3.6</f>
        <v>28787.052777777775</v>
      </c>
      <c r="F112">
        <v>1.8768303955896839</v>
      </c>
      <c r="G112">
        <f>Tableau4[[#This Row],[Cost (€/GJ)]]*3.6/1000</f>
        <v>6.7565894241228622E-3</v>
      </c>
      <c r="H112">
        <v>3.86607608129234</v>
      </c>
      <c r="I112">
        <f>Tableau4[[#This Row],[GHG (kgCO2eq/GJ)]]*3.6/1000</f>
        <v>1.3917873892652425E-2</v>
      </c>
      <c r="J112" t="s">
        <v>104</v>
      </c>
      <c r="K112" t="s">
        <v>108</v>
      </c>
    </row>
    <row r="113" spans="1:11" hidden="1" x14ac:dyDescent="0.3">
      <c r="A113" t="s">
        <v>11</v>
      </c>
      <c r="B113" t="s">
        <v>49</v>
      </c>
      <c r="C113" t="s">
        <v>72</v>
      </c>
      <c r="D113">
        <v>14.5</v>
      </c>
      <c r="E113">
        <f>Tableau4[[#This Row],[Potential (PJ)]]*1000/3.6</f>
        <v>4027.7777777777778</v>
      </c>
      <c r="F113">
        <v>2.5083034482758619</v>
      </c>
      <c r="G113">
        <f>Tableau4[[#This Row],[Cost (€/GJ)]]*3.6/1000</f>
        <v>9.0298924137931034E-3</v>
      </c>
      <c r="H113">
        <v>3.86607608129234</v>
      </c>
      <c r="I113">
        <f>Tableau4[[#This Row],[GHG (kgCO2eq/GJ)]]*3.6/1000</f>
        <v>1.3917873892652425E-2</v>
      </c>
      <c r="J113" t="s">
        <v>104</v>
      </c>
      <c r="K113" t="s">
        <v>108</v>
      </c>
    </row>
    <row r="114" spans="1:11" hidden="1" x14ac:dyDescent="0.3">
      <c r="A114" t="s">
        <v>11</v>
      </c>
      <c r="B114" t="s">
        <v>58</v>
      </c>
      <c r="C114" t="s">
        <v>95</v>
      </c>
      <c r="D114">
        <v>8.8825099999999999</v>
      </c>
      <c r="E114">
        <f>Tableau4[[#This Row],[Potential (PJ)]]*1000/3.6</f>
        <v>2467.3638888888891</v>
      </c>
      <c r="F114">
        <v>2.5005459672997832</v>
      </c>
      <c r="G114">
        <f>Tableau4[[#This Row],[Cost (€/GJ)]]*3.6/1000</f>
        <v>9.001965482279219E-3</v>
      </c>
      <c r="H114">
        <v>2.9521711768407801</v>
      </c>
      <c r="I114">
        <f>Tableau4[[#This Row],[GHG (kgCO2eq/GJ)]]*3.6/1000</f>
        <v>1.0627816236626808E-2</v>
      </c>
      <c r="J114" t="s">
        <v>104</v>
      </c>
      <c r="K114" t="s">
        <v>108</v>
      </c>
    </row>
    <row r="115" spans="1:11" hidden="1" x14ac:dyDescent="0.3">
      <c r="A115" t="s">
        <v>11</v>
      </c>
      <c r="B115" t="s">
        <v>50</v>
      </c>
      <c r="C115" t="s">
        <v>73</v>
      </c>
      <c r="D115">
        <v>0.3</v>
      </c>
      <c r="E115">
        <f>Tableau4[[#This Row],[Potential (PJ)]]*1000/3.6</f>
        <v>83.333333333333329</v>
      </c>
      <c r="F115">
        <v>5.0996666666666659</v>
      </c>
      <c r="G115">
        <f>Tableau4[[#This Row],[Cost (€/GJ)]]*3.6/1000</f>
        <v>1.8358799999999998E-2</v>
      </c>
      <c r="H115">
        <v>20.723404255319149</v>
      </c>
      <c r="I115">
        <f>Tableau4[[#This Row],[GHG (kgCO2eq/GJ)]]*3.6/1000</f>
        <v>7.4604255319148938E-2</v>
      </c>
      <c r="J115" t="s">
        <v>105</v>
      </c>
      <c r="K115" t="s">
        <v>108</v>
      </c>
    </row>
    <row r="116" spans="1:11" hidden="1" x14ac:dyDescent="0.3">
      <c r="A116" t="s">
        <v>11</v>
      </c>
      <c r="B116" t="s">
        <v>50</v>
      </c>
      <c r="C116" t="s">
        <v>74</v>
      </c>
      <c r="D116">
        <v>8</v>
      </c>
      <c r="E116">
        <f>Tableau4[[#This Row],[Potential (PJ)]]*1000/3.6</f>
        <v>2222.2222222222222</v>
      </c>
      <c r="F116">
        <v>3.3484500000000001</v>
      </c>
      <c r="G116">
        <f>Tableau4[[#This Row],[Cost (€/GJ)]]*3.6/1000</f>
        <v>1.205442E-2</v>
      </c>
      <c r="H116">
        <v>2.0635593220338988</v>
      </c>
      <c r="I116">
        <f>Tableau4[[#This Row],[GHG (kgCO2eq/GJ)]]*3.6/1000</f>
        <v>7.428813559322036E-3</v>
      </c>
      <c r="J116" t="s">
        <v>105</v>
      </c>
      <c r="K116" t="s">
        <v>108</v>
      </c>
    </row>
    <row r="117" spans="1:11" hidden="1" x14ac:dyDescent="0.3">
      <c r="A117" t="s">
        <v>11</v>
      </c>
      <c r="B117" t="s">
        <v>59</v>
      </c>
      <c r="C117" t="s">
        <v>96</v>
      </c>
      <c r="D117">
        <v>0.20150000000000001</v>
      </c>
      <c r="E117">
        <f>Tableau4[[#This Row],[Potential (PJ)]]*1000/3.6</f>
        <v>55.972222222222221</v>
      </c>
      <c r="F117">
        <v>31.494</v>
      </c>
      <c r="G117">
        <f>Tableau4[[#This Row],[Cost (€/GJ)]]*3.6/1000</f>
        <v>0.1133784</v>
      </c>
      <c r="H117">
        <v>15.4</v>
      </c>
      <c r="I117">
        <f>Tableau4[[#This Row],[GHG (kgCO2eq/GJ)]]*3.6/1000</f>
        <v>5.5440000000000003E-2</v>
      </c>
      <c r="J117" t="s">
        <v>107</v>
      </c>
      <c r="K117" t="s">
        <v>109</v>
      </c>
    </row>
    <row r="118" spans="1:11" hidden="1" x14ac:dyDescent="0.3">
      <c r="A118" t="s">
        <v>11</v>
      </c>
      <c r="B118" t="s">
        <v>59</v>
      </c>
      <c r="C118" t="s">
        <v>97</v>
      </c>
      <c r="D118">
        <v>5.2123999999999997</v>
      </c>
      <c r="E118">
        <f>Tableau4[[#This Row],[Potential (PJ)]]*1000/3.6</f>
        <v>1447.8888888888887</v>
      </c>
      <c r="F118">
        <v>13.4020618556701</v>
      </c>
      <c r="G118">
        <f>Tableau4[[#This Row],[Cost (€/GJ)]]*3.6/1000</f>
        <v>4.8247422680412363E-2</v>
      </c>
      <c r="H118">
        <v>15.4</v>
      </c>
      <c r="I118">
        <f>Tableau4[[#This Row],[GHG (kgCO2eq/GJ)]]*3.6/1000</f>
        <v>5.5440000000000003E-2</v>
      </c>
      <c r="J118" t="s">
        <v>107</v>
      </c>
      <c r="K118" t="s">
        <v>109</v>
      </c>
    </row>
    <row r="119" spans="1:11" hidden="1" x14ac:dyDescent="0.3">
      <c r="A119" t="s">
        <v>11</v>
      </c>
      <c r="B119" t="s">
        <v>51</v>
      </c>
      <c r="C119" t="s">
        <v>75</v>
      </c>
      <c r="D119">
        <v>4.2135129999999998</v>
      </c>
      <c r="E119">
        <f>Tableau4[[#This Row],[Potential (PJ)]]*1000/3.6</f>
        <v>1170.4202777777778</v>
      </c>
      <c r="F119">
        <v>5.6796584131830501E-5</v>
      </c>
      <c r="G119">
        <f>Tableau4[[#This Row],[Cost (€/GJ)]]*3.6/1000</f>
        <v>2.0446770287458982E-7</v>
      </c>
      <c r="H119">
        <v>11.74</v>
      </c>
      <c r="I119">
        <f>Tableau4[[#This Row],[GHG (kgCO2eq/GJ)]]*3.6/1000</f>
        <v>4.2264000000000003E-2</v>
      </c>
      <c r="J119" t="s">
        <v>104</v>
      </c>
      <c r="K119" t="s">
        <v>108</v>
      </c>
    </row>
    <row r="120" spans="1:11" hidden="1" x14ac:dyDescent="0.3">
      <c r="A120" t="s">
        <v>11</v>
      </c>
      <c r="B120" t="s">
        <v>60</v>
      </c>
      <c r="C120" t="s">
        <v>98</v>
      </c>
      <c r="D120">
        <v>25.552510000000002</v>
      </c>
      <c r="E120">
        <f>Tableau4[[#This Row],[Potential (PJ)]]*1000/3.6</f>
        <v>7097.9194444444447</v>
      </c>
      <c r="F120">
        <v>15.789473684210529</v>
      </c>
      <c r="G120">
        <f>Tableau4[[#This Row],[Cost (€/GJ)]]*3.6/1000</f>
        <v>5.6842105263157902E-2</v>
      </c>
      <c r="H120">
        <v>1.5</v>
      </c>
      <c r="I120">
        <f>Tableau4[[#This Row],[GHG (kgCO2eq/GJ)]]*3.6/1000</f>
        <v>5.4000000000000003E-3</v>
      </c>
      <c r="J120" t="s">
        <v>107</v>
      </c>
      <c r="K120" t="s">
        <v>109</v>
      </c>
    </row>
    <row r="121" spans="1:11" hidden="1" x14ac:dyDescent="0.3">
      <c r="A121" t="s">
        <v>11</v>
      </c>
      <c r="B121" t="s">
        <v>53</v>
      </c>
      <c r="C121" t="s">
        <v>77</v>
      </c>
      <c r="D121">
        <v>5</v>
      </c>
      <c r="E121">
        <f>Tableau4[[#This Row],[Potential (PJ)]]*1000/3.6</f>
        <v>1388.8888888888889</v>
      </c>
      <c r="F121">
        <v>2.5082599999999999</v>
      </c>
      <c r="G121">
        <f>Tableau4[[#This Row],[Cost (€/GJ)]]*3.6/1000</f>
        <v>9.029736E-3</v>
      </c>
      <c r="H121">
        <v>3.86607608129234</v>
      </c>
      <c r="I121">
        <f>Tableau4[[#This Row],[GHG (kgCO2eq/GJ)]]*3.6/1000</f>
        <v>1.3917873892652425E-2</v>
      </c>
      <c r="J121" t="s">
        <v>104</v>
      </c>
      <c r="K121" t="s">
        <v>108</v>
      </c>
    </row>
    <row r="122" spans="1:11" hidden="1" x14ac:dyDescent="0.3">
      <c r="A122" t="s">
        <v>11</v>
      </c>
      <c r="B122" t="s">
        <v>61</v>
      </c>
      <c r="C122" t="s">
        <v>99</v>
      </c>
      <c r="D122">
        <v>4</v>
      </c>
      <c r="E122">
        <f>Tableau4[[#This Row],[Potential (PJ)]]*1000/3.6</f>
        <v>1111.1111111111111</v>
      </c>
      <c r="F122">
        <v>1.1709499999999999</v>
      </c>
      <c r="G122">
        <f>Tableau4[[#This Row],[Cost (€/GJ)]]*3.6/1000</f>
        <v>4.2154200000000001E-3</v>
      </c>
      <c r="H122">
        <v>2.9245635910224439</v>
      </c>
      <c r="I122">
        <f>Tableau4[[#This Row],[GHG (kgCO2eq/GJ)]]*3.6/1000</f>
        <v>1.0528428927680798E-2</v>
      </c>
      <c r="J122" t="s">
        <v>104</v>
      </c>
      <c r="K122" t="s">
        <v>108</v>
      </c>
    </row>
    <row r="123" spans="1:11" hidden="1" x14ac:dyDescent="0.3">
      <c r="A123" t="s">
        <v>11</v>
      </c>
      <c r="B123" t="s">
        <v>62</v>
      </c>
      <c r="C123" t="s">
        <v>100</v>
      </c>
      <c r="D123">
        <v>1.1000000000000001</v>
      </c>
      <c r="E123">
        <f>Tableau4[[#This Row],[Potential (PJ)]]*1000/3.6</f>
        <v>305.55555555555554</v>
      </c>
      <c r="F123">
        <v>0.1545454545454546</v>
      </c>
      <c r="G123">
        <f>Tableau4[[#This Row],[Cost (€/GJ)]]*3.6/1000</f>
        <v>5.5636363636363663E-4</v>
      </c>
      <c r="H123">
        <v>2.6764106050305911</v>
      </c>
      <c r="I123">
        <f>Tableau4[[#This Row],[GHG (kgCO2eq/GJ)]]*3.6/1000</f>
        <v>9.6350781781101274E-3</v>
      </c>
      <c r="J123" t="s">
        <v>104</v>
      </c>
      <c r="K123" t="s">
        <v>108</v>
      </c>
    </row>
    <row r="124" spans="1:11" hidden="1" x14ac:dyDescent="0.3">
      <c r="A124" t="s">
        <v>11</v>
      </c>
      <c r="B124" t="s">
        <v>54</v>
      </c>
      <c r="C124" t="s">
        <v>78</v>
      </c>
      <c r="D124">
        <v>35.400000000000013</v>
      </c>
      <c r="E124">
        <f>Tableau4[[#This Row],[Potential (PJ)]]*1000/3.6</f>
        <v>9833.3333333333376</v>
      </c>
      <c r="F124">
        <v>2.4798361581920898</v>
      </c>
      <c r="G124">
        <f>Tableau4[[#This Row],[Cost (€/GJ)]]*3.6/1000</f>
        <v>8.9274101694915235E-3</v>
      </c>
      <c r="H124">
        <v>3.86607608129234</v>
      </c>
      <c r="I124">
        <f>Tableau4[[#This Row],[GHG (kgCO2eq/GJ)]]*3.6/1000</f>
        <v>1.3917873892652425E-2</v>
      </c>
      <c r="J124" t="s">
        <v>104</v>
      </c>
      <c r="K124" t="s">
        <v>108</v>
      </c>
    </row>
    <row r="125" spans="1:11" hidden="1" x14ac:dyDescent="0.3">
      <c r="A125" t="s">
        <v>12</v>
      </c>
      <c r="B125" t="s">
        <v>49</v>
      </c>
      <c r="C125" t="s">
        <v>71</v>
      </c>
      <c r="D125">
        <v>105.41513999999999</v>
      </c>
      <c r="E125">
        <f>Tableau4[[#This Row],[Potential (PJ)]]*1000/3.6</f>
        <v>29281.983333333334</v>
      </c>
      <c r="F125">
        <v>0</v>
      </c>
      <c r="G125">
        <f>Tableau4[[#This Row],[Cost (€/GJ)]]*3.6/1000</f>
        <v>0</v>
      </c>
      <c r="H125">
        <v>3.86607608129234</v>
      </c>
      <c r="I125">
        <f>Tableau4[[#This Row],[GHG (kgCO2eq/GJ)]]*3.6/1000</f>
        <v>1.3917873892652425E-2</v>
      </c>
      <c r="J125" t="s">
        <v>104</v>
      </c>
      <c r="K125" t="s">
        <v>108</v>
      </c>
    </row>
    <row r="126" spans="1:11" hidden="1" x14ac:dyDescent="0.3">
      <c r="A126" t="s">
        <v>12</v>
      </c>
      <c r="B126" t="s">
        <v>49</v>
      </c>
      <c r="C126" t="s">
        <v>72</v>
      </c>
      <c r="D126">
        <v>8.6</v>
      </c>
      <c r="E126">
        <f>Tableau4[[#This Row],[Potential (PJ)]]*1000/3.6</f>
        <v>2388.8888888888887</v>
      </c>
      <c r="F126">
        <v>0</v>
      </c>
      <c r="G126">
        <f>Tableau4[[#This Row],[Cost (€/GJ)]]*3.6/1000</f>
        <v>0</v>
      </c>
      <c r="H126">
        <v>3.86607608129234</v>
      </c>
      <c r="I126">
        <f>Tableau4[[#This Row],[GHG (kgCO2eq/GJ)]]*3.6/1000</f>
        <v>1.3917873892652425E-2</v>
      </c>
      <c r="J126" t="s">
        <v>104</v>
      </c>
      <c r="K126" t="s">
        <v>108</v>
      </c>
    </row>
    <row r="127" spans="1:11" hidden="1" x14ac:dyDescent="0.3">
      <c r="A127" t="s">
        <v>12</v>
      </c>
      <c r="B127" t="s">
        <v>51</v>
      </c>
      <c r="C127" t="s">
        <v>75</v>
      </c>
      <c r="D127">
        <v>38.812809999999999</v>
      </c>
      <c r="E127">
        <f>Tableau4[[#This Row],[Potential (PJ)]]*1000/3.6</f>
        <v>10781.33611111111</v>
      </c>
      <c r="F127">
        <v>0.106920641299939</v>
      </c>
      <c r="G127">
        <f>Tableau4[[#This Row],[Cost (€/GJ)]]*3.6/1000</f>
        <v>3.8491430867978045E-4</v>
      </c>
      <c r="H127">
        <v>11.74</v>
      </c>
      <c r="I127">
        <f>Tableau4[[#This Row],[GHG (kgCO2eq/GJ)]]*3.6/1000</f>
        <v>4.2264000000000003E-2</v>
      </c>
      <c r="J127" t="s">
        <v>104</v>
      </c>
      <c r="K127" t="s">
        <v>108</v>
      </c>
    </row>
    <row r="128" spans="1:11" hidden="1" x14ac:dyDescent="0.3">
      <c r="A128" t="s">
        <v>12</v>
      </c>
      <c r="B128" t="s">
        <v>53</v>
      </c>
      <c r="C128" t="s">
        <v>77</v>
      </c>
      <c r="D128">
        <v>3.8</v>
      </c>
      <c r="E128">
        <f>Tableau4[[#This Row],[Potential (PJ)]]*1000/3.6</f>
        <v>1055.5555555555554</v>
      </c>
      <c r="F128">
        <v>0</v>
      </c>
      <c r="G128">
        <f>Tableau4[[#This Row],[Cost (€/GJ)]]*3.6/1000</f>
        <v>0</v>
      </c>
      <c r="H128">
        <v>3.86607608129234</v>
      </c>
      <c r="I128">
        <f>Tableau4[[#This Row],[GHG (kgCO2eq/GJ)]]*3.6/1000</f>
        <v>1.3917873892652425E-2</v>
      </c>
      <c r="J128" t="s">
        <v>104</v>
      </c>
      <c r="K128" t="s">
        <v>108</v>
      </c>
    </row>
    <row r="129" spans="1:11" hidden="1" x14ac:dyDescent="0.3">
      <c r="A129" t="s">
        <v>12</v>
      </c>
      <c r="B129" t="s">
        <v>54</v>
      </c>
      <c r="C129" t="s">
        <v>78</v>
      </c>
      <c r="D129">
        <v>47.2</v>
      </c>
      <c r="E129">
        <f>Tableau4[[#This Row],[Potential (PJ)]]*1000/3.6</f>
        <v>13111.111111111111</v>
      </c>
      <c r="F129">
        <v>0</v>
      </c>
      <c r="G129">
        <f>Tableau4[[#This Row],[Cost (€/GJ)]]*3.6/1000</f>
        <v>0</v>
      </c>
      <c r="H129">
        <v>3.86607608129234</v>
      </c>
      <c r="I129">
        <f>Tableau4[[#This Row],[GHG (kgCO2eq/GJ)]]*3.6/1000</f>
        <v>1.3917873892652425E-2</v>
      </c>
      <c r="J129" t="s">
        <v>104</v>
      </c>
      <c r="K129" t="s">
        <v>108</v>
      </c>
    </row>
    <row r="130" spans="1:11" hidden="1" x14ac:dyDescent="0.3">
      <c r="A130" t="s">
        <v>13</v>
      </c>
      <c r="B130" t="s">
        <v>46</v>
      </c>
      <c r="C130" t="s">
        <v>63</v>
      </c>
      <c r="D130">
        <v>6.8900000000000003E-2</v>
      </c>
      <c r="E130">
        <f>Tableau4[[#This Row],[Potential (PJ)]]*1000/3.6</f>
        <v>19.138888888888889</v>
      </c>
      <c r="F130">
        <v>2.9286474973375931</v>
      </c>
      <c r="G130">
        <f>Tableau4[[#This Row],[Cost (€/GJ)]]*3.6/1000</f>
        <v>1.0543130990415334E-2</v>
      </c>
      <c r="H130">
        <v>3.950479233226837</v>
      </c>
      <c r="I130">
        <f>Tableau4[[#This Row],[GHG (kgCO2eq/GJ)]]*3.6/1000</f>
        <v>1.4221725239616614E-2</v>
      </c>
      <c r="J130" t="s">
        <v>104</v>
      </c>
      <c r="K130" t="s">
        <v>108</v>
      </c>
    </row>
    <row r="131" spans="1:11" hidden="1" x14ac:dyDescent="0.3">
      <c r="A131" t="s">
        <v>13</v>
      </c>
      <c r="B131" t="s">
        <v>46</v>
      </c>
      <c r="C131" t="s">
        <v>64</v>
      </c>
      <c r="D131">
        <v>1.685E-2</v>
      </c>
      <c r="E131">
        <f>Tableau4[[#This Row],[Potential (PJ)]]*1000/3.6</f>
        <v>4.6805555555555562</v>
      </c>
      <c r="F131">
        <v>7.5709999999999997</v>
      </c>
      <c r="G131">
        <f>Tableau4[[#This Row],[Cost (€/GJ)]]*3.6/1000</f>
        <v>2.7255600000000001E-2</v>
      </c>
      <c r="H131">
        <v>2.9521711768407801</v>
      </c>
      <c r="I131">
        <f>Tableau4[[#This Row],[GHG (kgCO2eq/GJ)]]*3.6/1000</f>
        <v>1.0627816236626808E-2</v>
      </c>
      <c r="J131" t="s">
        <v>104</v>
      </c>
      <c r="K131" t="s">
        <v>108</v>
      </c>
    </row>
    <row r="132" spans="1:11" hidden="1" x14ac:dyDescent="0.3">
      <c r="A132" t="s">
        <v>13</v>
      </c>
      <c r="B132" t="s">
        <v>46</v>
      </c>
      <c r="C132" t="s">
        <v>65</v>
      </c>
      <c r="D132">
        <v>0.1</v>
      </c>
      <c r="E132">
        <f>Tableau4[[#This Row],[Potential (PJ)]]*1000/3.6</f>
        <v>27.777777777777779</v>
      </c>
      <c r="F132">
        <v>4.2789999999999999</v>
      </c>
      <c r="G132">
        <f>Tableau4[[#This Row],[Cost (€/GJ)]]*3.6/1000</f>
        <v>1.54044E-2</v>
      </c>
      <c r="H132">
        <v>2.9521711768407801</v>
      </c>
      <c r="I132">
        <f>Tableau4[[#This Row],[GHG (kgCO2eq/GJ)]]*3.6/1000</f>
        <v>1.0627816236626808E-2</v>
      </c>
      <c r="J132" t="s">
        <v>104</v>
      </c>
      <c r="K132" t="s">
        <v>108</v>
      </c>
    </row>
    <row r="133" spans="1:11" hidden="1" x14ac:dyDescent="0.3">
      <c r="A133" t="s">
        <v>13</v>
      </c>
      <c r="B133" t="s">
        <v>46</v>
      </c>
      <c r="C133" t="s">
        <v>102</v>
      </c>
      <c r="D133">
        <v>0.3</v>
      </c>
      <c r="E133">
        <f>Tableau4[[#This Row],[Potential (PJ)]]*1000/3.6</f>
        <v>83.333333333333329</v>
      </c>
      <c r="F133">
        <v>3.8159999999999989</v>
      </c>
      <c r="G133">
        <f>Tableau4[[#This Row],[Cost (€/GJ)]]*3.6/1000</f>
        <v>1.3737599999999997E-2</v>
      </c>
      <c r="H133">
        <v>2.9521711768407801</v>
      </c>
      <c r="I133">
        <f>Tableau4[[#This Row],[GHG (kgCO2eq/GJ)]]*3.6/1000</f>
        <v>1.0627816236626808E-2</v>
      </c>
      <c r="J133" t="s">
        <v>104</v>
      </c>
      <c r="K133" t="s">
        <v>108</v>
      </c>
    </row>
    <row r="134" spans="1:11" hidden="1" x14ac:dyDescent="0.3">
      <c r="A134" t="s">
        <v>13</v>
      </c>
      <c r="B134" t="s">
        <v>46</v>
      </c>
      <c r="C134" t="s">
        <v>80</v>
      </c>
      <c r="D134">
        <v>0.13569999999999999</v>
      </c>
      <c r="E134">
        <f>Tableau4[[#This Row],[Potential (PJ)]]*1000/3.6</f>
        <v>37.694444444444443</v>
      </c>
      <c r="F134">
        <v>1.2157788267026299</v>
      </c>
      <c r="G134">
        <f>Tableau4[[#This Row],[Cost (€/GJ)]]*3.6/1000</f>
        <v>4.3768037761294683E-3</v>
      </c>
      <c r="H134">
        <v>28.139870918023309</v>
      </c>
      <c r="I134">
        <f>Tableau4[[#This Row],[GHG (kgCO2eq/GJ)]]*3.6/1000</f>
        <v>0.10130353530488391</v>
      </c>
      <c r="J134" t="s">
        <v>105</v>
      </c>
      <c r="K134" t="s">
        <v>108</v>
      </c>
    </row>
    <row r="135" spans="1:11" hidden="1" x14ac:dyDescent="0.3">
      <c r="A135" t="s">
        <v>13</v>
      </c>
      <c r="B135" t="s">
        <v>46</v>
      </c>
      <c r="C135" t="s">
        <v>81</v>
      </c>
      <c r="D135">
        <v>3.3999999999999998E-3</v>
      </c>
      <c r="E135">
        <f>Tableau4[[#This Row],[Potential (PJ)]]*1000/3.6</f>
        <v>0.94444444444444442</v>
      </c>
      <c r="F135">
        <v>3.252643948296122</v>
      </c>
      <c r="G135">
        <f>Tableau4[[#This Row],[Cost (€/GJ)]]*3.6/1000</f>
        <v>1.1709518213866038E-2</v>
      </c>
      <c r="H135">
        <v>8.9647473560517046</v>
      </c>
      <c r="I135">
        <f>Tableau4[[#This Row],[GHG (kgCO2eq/GJ)]]*3.6/1000</f>
        <v>3.2273090481786136E-2</v>
      </c>
      <c r="J135" t="s">
        <v>105</v>
      </c>
      <c r="K135" t="s">
        <v>108</v>
      </c>
    </row>
    <row r="136" spans="1:11" hidden="1" x14ac:dyDescent="0.3">
      <c r="A136" t="s">
        <v>13</v>
      </c>
      <c r="B136" t="s">
        <v>46</v>
      </c>
      <c r="C136" t="s">
        <v>67</v>
      </c>
      <c r="D136">
        <v>0.2</v>
      </c>
      <c r="E136">
        <f>Tableau4[[#This Row],[Potential (PJ)]]*1000/3.6</f>
        <v>55.555555555555557</v>
      </c>
      <c r="F136">
        <v>5.7959999999999994</v>
      </c>
      <c r="G136">
        <f>Tableau4[[#This Row],[Cost (€/GJ)]]*3.6/1000</f>
        <v>2.0865599999999998E-2</v>
      </c>
      <c r="H136">
        <v>2.9521711768407801</v>
      </c>
      <c r="I136">
        <f>Tableau4[[#This Row],[GHG (kgCO2eq/GJ)]]*3.6/1000</f>
        <v>1.0627816236626808E-2</v>
      </c>
      <c r="J136" t="s">
        <v>104</v>
      </c>
      <c r="K136" t="s">
        <v>108</v>
      </c>
    </row>
    <row r="137" spans="1:11" hidden="1" x14ac:dyDescent="0.3">
      <c r="A137" t="s">
        <v>13</v>
      </c>
      <c r="B137" t="s">
        <v>47</v>
      </c>
      <c r="C137" t="s">
        <v>68</v>
      </c>
      <c r="D137">
        <v>1.4</v>
      </c>
      <c r="E137">
        <f>Tableau4[[#This Row],[Potential (PJ)]]*1000/3.6</f>
        <v>388.88888888888886</v>
      </c>
      <c r="F137">
        <v>5.1970000000000001</v>
      </c>
      <c r="G137">
        <f>Tableau4[[#This Row],[Cost (€/GJ)]]*3.6/1000</f>
        <v>1.8709199999999999E-2</v>
      </c>
      <c r="H137">
        <v>13.5</v>
      </c>
      <c r="I137">
        <f>Tableau4[[#This Row],[GHG (kgCO2eq/GJ)]]*3.6/1000</f>
        <v>4.8600000000000004E-2</v>
      </c>
      <c r="J137" t="s">
        <v>104</v>
      </c>
      <c r="K137" t="s">
        <v>109</v>
      </c>
    </row>
    <row r="138" spans="1:11" hidden="1" x14ac:dyDescent="0.3">
      <c r="A138" t="s">
        <v>13</v>
      </c>
      <c r="B138" t="s">
        <v>48</v>
      </c>
      <c r="C138" t="s">
        <v>70</v>
      </c>
      <c r="D138">
        <v>0.6</v>
      </c>
      <c r="E138">
        <f>Tableau4[[#This Row],[Potential (PJ)]]*1000/3.6</f>
        <v>166.66666666666666</v>
      </c>
      <c r="F138">
        <v>12.824</v>
      </c>
      <c r="G138">
        <f>Tableau4[[#This Row],[Cost (€/GJ)]]*3.6/1000</f>
        <v>4.6166400000000003E-2</v>
      </c>
      <c r="H138">
        <v>0</v>
      </c>
      <c r="I138">
        <f>Tableau4[[#This Row],[GHG (kgCO2eq/GJ)]]*3.6/1000</f>
        <v>0</v>
      </c>
      <c r="J138" t="s">
        <v>104</v>
      </c>
      <c r="K138" t="s">
        <v>109</v>
      </c>
    </row>
    <row r="139" spans="1:11" hidden="1" x14ac:dyDescent="0.3">
      <c r="A139" t="s">
        <v>13</v>
      </c>
      <c r="B139" t="s">
        <v>50</v>
      </c>
      <c r="C139" t="s">
        <v>73</v>
      </c>
      <c r="D139">
        <v>0.8</v>
      </c>
      <c r="E139">
        <f>Tableau4[[#This Row],[Potential (PJ)]]*1000/3.6</f>
        <v>222.22222222222223</v>
      </c>
      <c r="F139">
        <v>5.37</v>
      </c>
      <c r="G139">
        <f>Tableau4[[#This Row],[Cost (€/GJ)]]*3.6/1000</f>
        <v>1.9332000000000002E-2</v>
      </c>
      <c r="H139">
        <v>20.723404255319149</v>
      </c>
      <c r="I139">
        <f>Tableau4[[#This Row],[GHG (kgCO2eq/GJ)]]*3.6/1000</f>
        <v>7.4604255319148938E-2</v>
      </c>
      <c r="J139" t="s">
        <v>105</v>
      </c>
      <c r="K139" t="s">
        <v>108</v>
      </c>
    </row>
    <row r="140" spans="1:11" hidden="1" x14ac:dyDescent="0.3">
      <c r="A140" t="s">
        <v>13</v>
      </c>
      <c r="B140" t="s">
        <v>50</v>
      </c>
      <c r="C140" t="s">
        <v>74</v>
      </c>
      <c r="D140">
        <v>4.8</v>
      </c>
      <c r="E140">
        <f>Tableau4[[#This Row],[Potential (PJ)]]*1000/3.6</f>
        <v>1333.3333333333333</v>
      </c>
      <c r="F140">
        <v>4.2619999999999996</v>
      </c>
      <c r="G140">
        <f>Tableau4[[#This Row],[Cost (€/GJ)]]*3.6/1000</f>
        <v>1.53432E-2</v>
      </c>
      <c r="H140">
        <v>2.0635593220338988</v>
      </c>
      <c r="I140">
        <f>Tableau4[[#This Row],[GHG (kgCO2eq/GJ)]]*3.6/1000</f>
        <v>7.428813559322036E-3</v>
      </c>
      <c r="J140" t="s">
        <v>105</v>
      </c>
      <c r="K140" t="s">
        <v>108</v>
      </c>
    </row>
    <row r="141" spans="1:11" hidden="1" x14ac:dyDescent="0.3">
      <c r="A141" t="s">
        <v>13</v>
      </c>
      <c r="B141" t="s">
        <v>51</v>
      </c>
      <c r="C141" t="s">
        <v>75</v>
      </c>
      <c r="D141">
        <v>2.9514580000000001</v>
      </c>
      <c r="E141">
        <f>Tableau4[[#This Row],[Potential (PJ)]]*1000/3.6</f>
        <v>819.84944444444443</v>
      </c>
      <c r="F141">
        <v>4.5037413979272297E-3</v>
      </c>
      <c r="G141">
        <f>Tableau4[[#This Row],[Cost (€/GJ)]]*3.6/1000</f>
        <v>1.621346903253803E-5</v>
      </c>
      <c r="H141">
        <v>11.74</v>
      </c>
      <c r="I141">
        <f>Tableau4[[#This Row],[GHG (kgCO2eq/GJ)]]*3.6/1000</f>
        <v>4.2264000000000003E-2</v>
      </c>
      <c r="J141" t="s">
        <v>104</v>
      </c>
      <c r="K141" t="s">
        <v>108</v>
      </c>
    </row>
    <row r="142" spans="1:11" hidden="1" x14ac:dyDescent="0.3">
      <c r="A142" t="s">
        <v>13</v>
      </c>
      <c r="B142" t="s">
        <v>52</v>
      </c>
      <c r="C142" t="s">
        <v>76</v>
      </c>
      <c r="D142">
        <v>4.0000000000000001E-3</v>
      </c>
      <c r="E142">
        <f>Tableau4[[#This Row],[Potential (PJ)]]*1000/3.6</f>
        <v>1.1111111111111112</v>
      </c>
      <c r="F142">
        <v>4.7567250000000003</v>
      </c>
      <c r="G142">
        <f>Tableau4[[#This Row],[Cost (€/GJ)]]*3.6/1000</f>
        <v>1.7124210000000001E-2</v>
      </c>
      <c r="H142">
        <v>12.68872359754714</v>
      </c>
      <c r="I142">
        <f>Tableau4[[#This Row],[GHG (kgCO2eq/GJ)]]*3.6/1000</f>
        <v>4.5679404951169705E-2</v>
      </c>
      <c r="J142" t="s">
        <v>105</v>
      </c>
      <c r="K142" t="s">
        <v>108</v>
      </c>
    </row>
    <row r="143" spans="1:11" hidden="1" x14ac:dyDescent="0.3">
      <c r="A143" t="s">
        <v>14</v>
      </c>
      <c r="B143" t="s">
        <v>46</v>
      </c>
      <c r="C143" t="s">
        <v>64</v>
      </c>
      <c r="D143">
        <v>0.22222</v>
      </c>
      <c r="E143">
        <f>Tableau4[[#This Row],[Potential (PJ)]]*1000/3.6</f>
        <v>61.727777777777774</v>
      </c>
      <c r="F143">
        <v>7.421949374493745</v>
      </c>
      <c r="G143">
        <f>Tableau4[[#This Row],[Cost (€/GJ)]]*3.6/1000</f>
        <v>2.6719017748177483E-2</v>
      </c>
      <c r="H143">
        <v>2.9521711768407801</v>
      </c>
      <c r="I143">
        <f>Tableau4[[#This Row],[GHG (kgCO2eq/GJ)]]*3.6/1000</f>
        <v>1.0627816236626808E-2</v>
      </c>
      <c r="J143" t="s">
        <v>104</v>
      </c>
      <c r="K143" t="s">
        <v>108</v>
      </c>
    </row>
    <row r="144" spans="1:11" hidden="1" x14ac:dyDescent="0.3">
      <c r="A144" t="s">
        <v>14</v>
      </c>
      <c r="B144" t="s">
        <v>46</v>
      </c>
      <c r="C144" t="s">
        <v>79</v>
      </c>
      <c r="D144">
        <v>38.4</v>
      </c>
      <c r="E144">
        <f>Tableau4[[#This Row],[Potential (PJ)]]*1000/3.6</f>
        <v>10666.666666666666</v>
      </c>
      <c r="F144">
        <v>3.0714192708333332</v>
      </c>
      <c r="G144">
        <f>Tableau4[[#This Row],[Cost (€/GJ)]]*3.6/1000</f>
        <v>1.1057109374999999E-2</v>
      </c>
      <c r="H144">
        <v>6.8428961748633883</v>
      </c>
      <c r="I144">
        <f>Tableau4[[#This Row],[GHG (kgCO2eq/GJ)]]*3.6/1000</f>
        <v>2.4634426229508198E-2</v>
      </c>
      <c r="J144" t="s">
        <v>104</v>
      </c>
      <c r="K144" t="s">
        <v>108</v>
      </c>
    </row>
    <row r="145" spans="1:11" hidden="1" x14ac:dyDescent="0.3">
      <c r="A145" t="s">
        <v>14</v>
      </c>
      <c r="B145" t="s">
        <v>46</v>
      </c>
      <c r="C145" t="s">
        <v>80</v>
      </c>
      <c r="D145">
        <v>0.55549999999999999</v>
      </c>
      <c r="E145">
        <f>Tableau4[[#This Row],[Potential (PJ)]]*1000/3.6</f>
        <v>154.30555555555554</v>
      </c>
      <c r="F145">
        <v>0.48482805124747141</v>
      </c>
      <c r="G145">
        <f>Tableau4[[#This Row],[Cost (€/GJ)]]*3.6/1000</f>
        <v>1.7453809844908972E-3</v>
      </c>
      <c r="H145">
        <v>28.139870918023309</v>
      </c>
      <c r="I145">
        <f>Tableau4[[#This Row],[GHG (kgCO2eq/GJ)]]*3.6/1000</f>
        <v>0.10130353530488391</v>
      </c>
      <c r="J145" t="s">
        <v>105</v>
      </c>
      <c r="K145" t="s">
        <v>108</v>
      </c>
    </row>
    <row r="146" spans="1:11" hidden="1" x14ac:dyDescent="0.3">
      <c r="A146" t="s">
        <v>14</v>
      </c>
      <c r="B146" t="s">
        <v>46</v>
      </c>
      <c r="C146" t="s">
        <v>81</v>
      </c>
      <c r="D146">
        <v>0.35460000000000003</v>
      </c>
      <c r="E146">
        <f>Tableau4[[#This Row],[Potential (PJ)]]*1000/3.6</f>
        <v>98.5</v>
      </c>
      <c r="F146">
        <v>1.2338425381903639</v>
      </c>
      <c r="G146">
        <f>Tableau4[[#This Row],[Cost (€/GJ)]]*3.6/1000</f>
        <v>4.4418331374853105E-3</v>
      </c>
      <c r="H146">
        <v>8.9647473560517046</v>
      </c>
      <c r="I146">
        <f>Tableau4[[#This Row],[GHG (kgCO2eq/GJ)]]*3.6/1000</f>
        <v>3.2273090481786136E-2</v>
      </c>
      <c r="J146" t="s">
        <v>105</v>
      </c>
      <c r="K146" t="s">
        <v>108</v>
      </c>
    </row>
    <row r="147" spans="1:11" hidden="1" x14ac:dyDescent="0.3">
      <c r="A147" t="s">
        <v>14</v>
      </c>
      <c r="B147" t="s">
        <v>46</v>
      </c>
      <c r="C147" t="s">
        <v>66</v>
      </c>
      <c r="D147">
        <v>1.7</v>
      </c>
      <c r="E147">
        <f>Tableau4[[#This Row],[Potential (PJ)]]*1000/3.6</f>
        <v>472.22222222222223</v>
      </c>
      <c r="F147">
        <v>3.3077058823529408</v>
      </c>
      <c r="G147">
        <f>Tableau4[[#This Row],[Cost (€/GJ)]]*3.6/1000</f>
        <v>1.1907741176470588E-2</v>
      </c>
      <c r="H147">
        <v>6.8428961748633883</v>
      </c>
      <c r="I147">
        <f>Tableau4[[#This Row],[GHG (kgCO2eq/GJ)]]*3.6/1000</f>
        <v>2.4634426229508198E-2</v>
      </c>
      <c r="J147" t="s">
        <v>104</v>
      </c>
      <c r="K147" t="s">
        <v>108</v>
      </c>
    </row>
    <row r="148" spans="1:11" hidden="1" x14ac:dyDescent="0.3">
      <c r="A148" t="s">
        <v>14</v>
      </c>
      <c r="B148" t="s">
        <v>46</v>
      </c>
      <c r="C148" t="s">
        <v>82</v>
      </c>
      <c r="D148">
        <v>7.9</v>
      </c>
      <c r="E148">
        <f>Tableau4[[#This Row],[Potential (PJ)]]*1000/3.6</f>
        <v>2194.4444444444443</v>
      </c>
      <c r="F148">
        <v>1.938493670886076</v>
      </c>
      <c r="G148">
        <f>Tableau4[[#This Row],[Cost (€/GJ)]]*3.6/1000</f>
        <v>6.9785772151898734E-3</v>
      </c>
      <c r="H148">
        <v>6.8428961748633883</v>
      </c>
      <c r="I148">
        <f>Tableau4[[#This Row],[GHG (kgCO2eq/GJ)]]*3.6/1000</f>
        <v>2.4634426229508198E-2</v>
      </c>
      <c r="J148" t="s">
        <v>104</v>
      </c>
      <c r="K148" t="s">
        <v>108</v>
      </c>
    </row>
    <row r="149" spans="1:11" hidden="1" x14ac:dyDescent="0.3">
      <c r="A149" t="s">
        <v>14</v>
      </c>
      <c r="B149" t="s">
        <v>46</v>
      </c>
      <c r="C149" t="s">
        <v>84</v>
      </c>
      <c r="D149">
        <v>0.5</v>
      </c>
      <c r="E149">
        <f>Tableau4[[#This Row],[Potential (PJ)]]*1000/3.6</f>
        <v>138.88888888888889</v>
      </c>
      <c r="F149">
        <v>1.917</v>
      </c>
      <c r="G149">
        <f>Tableau4[[#This Row],[Cost (€/GJ)]]*3.6/1000</f>
        <v>6.9012000000000006E-3</v>
      </c>
      <c r="H149">
        <v>28.139870918023309</v>
      </c>
      <c r="I149">
        <f>Tableau4[[#This Row],[GHG (kgCO2eq/GJ)]]*3.6/1000</f>
        <v>0.10130353530488391</v>
      </c>
      <c r="J149" t="s">
        <v>105</v>
      </c>
      <c r="K149" t="s">
        <v>108</v>
      </c>
    </row>
    <row r="150" spans="1:11" hidden="1" x14ac:dyDescent="0.3">
      <c r="A150" t="s">
        <v>14</v>
      </c>
      <c r="B150" t="s">
        <v>46</v>
      </c>
      <c r="C150" t="s">
        <v>85</v>
      </c>
      <c r="D150">
        <v>0.3</v>
      </c>
      <c r="E150">
        <f>Tableau4[[#This Row],[Potential (PJ)]]*1000/3.6</f>
        <v>83.333333333333329</v>
      </c>
      <c r="F150">
        <v>5.62</v>
      </c>
      <c r="G150">
        <f>Tableau4[[#This Row],[Cost (€/GJ)]]*3.6/1000</f>
        <v>2.0232E-2</v>
      </c>
      <c r="H150">
        <v>2.9521711768407801</v>
      </c>
      <c r="I150">
        <f>Tableau4[[#This Row],[GHG (kgCO2eq/GJ)]]*3.6/1000</f>
        <v>1.0627816236626808E-2</v>
      </c>
      <c r="J150" t="s">
        <v>104</v>
      </c>
      <c r="K150" t="s">
        <v>108</v>
      </c>
    </row>
    <row r="151" spans="1:11" hidden="1" x14ac:dyDescent="0.3">
      <c r="A151" t="s">
        <v>14</v>
      </c>
      <c r="B151" t="s">
        <v>55</v>
      </c>
      <c r="C151" t="s">
        <v>86</v>
      </c>
      <c r="D151">
        <v>0.93579999999999997</v>
      </c>
      <c r="E151">
        <f>Tableau4[[#This Row],[Potential (PJ)]]*1000/3.6</f>
        <v>259.9444444444444</v>
      </c>
      <c r="F151">
        <v>16.027000000000001</v>
      </c>
      <c r="G151">
        <f>Tableau4[[#This Row],[Cost (€/GJ)]]*3.6/1000</f>
        <v>5.7697200000000004E-2</v>
      </c>
      <c r="H151">
        <v>11.7</v>
      </c>
      <c r="I151">
        <f>Tableau4[[#This Row],[GHG (kgCO2eq/GJ)]]*3.6/1000</f>
        <v>4.2119999999999998E-2</v>
      </c>
      <c r="J151" t="s">
        <v>106</v>
      </c>
      <c r="K151" t="s">
        <v>109</v>
      </c>
    </row>
    <row r="152" spans="1:11" hidden="1" x14ac:dyDescent="0.3">
      <c r="A152" t="s">
        <v>14</v>
      </c>
      <c r="B152" t="s">
        <v>55</v>
      </c>
      <c r="C152" t="s">
        <v>88</v>
      </c>
      <c r="D152">
        <v>0.87729999999999997</v>
      </c>
      <c r="E152">
        <f>Tableau4[[#This Row],[Potential (PJ)]]*1000/3.6</f>
        <v>243.69444444444443</v>
      </c>
      <c r="F152">
        <v>16.309999999999999</v>
      </c>
      <c r="G152">
        <f>Tableau4[[#This Row],[Cost (€/GJ)]]*3.6/1000</f>
        <v>5.8715999999999997E-2</v>
      </c>
      <c r="H152">
        <v>11.7</v>
      </c>
      <c r="I152">
        <f>Tableau4[[#This Row],[GHG (kgCO2eq/GJ)]]*3.6/1000</f>
        <v>4.2119999999999998E-2</v>
      </c>
      <c r="J152" t="s">
        <v>106</v>
      </c>
      <c r="K152" t="s">
        <v>109</v>
      </c>
    </row>
    <row r="153" spans="1:11" hidden="1" x14ac:dyDescent="0.3">
      <c r="A153" t="s">
        <v>14</v>
      </c>
      <c r="B153" t="s">
        <v>55</v>
      </c>
      <c r="C153" t="s">
        <v>89</v>
      </c>
      <c r="D153">
        <v>0.11650000000000001</v>
      </c>
      <c r="E153">
        <f>Tableau4[[#This Row],[Potential (PJ)]]*1000/3.6</f>
        <v>32.361111111111107</v>
      </c>
      <c r="F153">
        <v>0</v>
      </c>
      <c r="G153">
        <f>Tableau4[[#This Row],[Cost (€/GJ)]]*3.6/1000</f>
        <v>0</v>
      </c>
      <c r="H153">
        <v>11.7</v>
      </c>
      <c r="I153">
        <f>Tableau4[[#This Row],[GHG (kgCO2eq/GJ)]]*3.6/1000</f>
        <v>4.2119999999999998E-2</v>
      </c>
      <c r="J153" t="s">
        <v>106</v>
      </c>
      <c r="K153" t="s">
        <v>109</v>
      </c>
    </row>
    <row r="154" spans="1:11" hidden="1" x14ac:dyDescent="0.3">
      <c r="A154" t="s">
        <v>14</v>
      </c>
      <c r="B154" t="s">
        <v>55</v>
      </c>
      <c r="C154" t="s">
        <v>90</v>
      </c>
      <c r="D154">
        <v>7.8000000000000014E-3</v>
      </c>
      <c r="E154">
        <f>Tableau4[[#This Row],[Potential (PJ)]]*1000/3.6</f>
        <v>2.166666666666667</v>
      </c>
      <c r="F154">
        <v>13.617000000000001</v>
      </c>
      <c r="G154">
        <f>Tableau4[[#This Row],[Cost (€/GJ)]]*3.6/1000</f>
        <v>4.9021200000000008E-2</v>
      </c>
      <c r="H154">
        <v>11.7</v>
      </c>
      <c r="I154">
        <f>Tableau4[[#This Row],[GHG (kgCO2eq/GJ)]]*3.6/1000</f>
        <v>4.2119999999999998E-2</v>
      </c>
      <c r="J154" t="s">
        <v>106</v>
      </c>
      <c r="K154" t="s">
        <v>109</v>
      </c>
    </row>
    <row r="155" spans="1:11" hidden="1" x14ac:dyDescent="0.3">
      <c r="A155" t="s">
        <v>14</v>
      </c>
      <c r="B155" t="s">
        <v>55</v>
      </c>
      <c r="C155" t="s">
        <v>91</v>
      </c>
      <c r="D155">
        <v>0.36370000000000002</v>
      </c>
      <c r="E155">
        <f>Tableau4[[#This Row],[Potential (PJ)]]*1000/3.6</f>
        <v>101.02777777777779</v>
      </c>
      <c r="F155">
        <v>14.637</v>
      </c>
      <c r="G155">
        <f>Tableau4[[#This Row],[Cost (€/GJ)]]*3.6/1000</f>
        <v>5.2693200000000003E-2</v>
      </c>
      <c r="H155">
        <v>11.7</v>
      </c>
      <c r="I155">
        <f>Tableau4[[#This Row],[GHG (kgCO2eq/GJ)]]*3.6/1000</f>
        <v>4.2119999999999998E-2</v>
      </c>
      <c r="J155" t="s">
        <v>106</v>
      </c>
      <c r="K155" t="s">
        <v>109</v>
      </c>
    </row>
    <row r="156" spans="1:11" hidden="1" x14ac:dyDescent="0.3">
      <c r="A156" t="s">
        <v>14</v>
      </c>
      <c r="B156" t="s">
        <v>55</v>
      </c>
      <c r="C156" t="s">
        <v>92</v>
      </c>
      <c r="D156">
        <v>0.96472999999999998</v>
      </c>
      <c r="E156">
        <f>Tableau4[[#This Row],[Potential (PJ)]]*1000/3.6</f>
        <v>267.98055555555555</v>
      </c>
      <c r="F156">
        <v>14.288</v>
      </c>
      <c r="G156">
        <f>Tableau4[[#This Row],[Cost (€/GJ)]]*3.6/1000</f>
        <v>5.1436800000000005E-2</v>
      </c>
      <c r="H156">
        <v>11.7</v>
      </c>
      <c r="I156">
        <f>Tableau4[[#This Row],[GHG (kgCO2eq/GJ)]]*3.6/1000</f>
        <v>4.2119999999999998E-2</v>
      </c>
      <c r="J156" t="s">
        <v>106</v>
      </c>
      <c r="K156" t="s">
        <v>109</v>
      </c>
    </row>
    <row r="157" spans="1:11" hidden="1" x14ac:dyDescent="0.3">
      <c r="A157" t="s">
        <v>14</v>
      </c>
      <c r="B157" t="s">
        <v>56</v>
      </c>
      <c r="C157" t="s">
        <v>93</v>
      </c>
      <c r="D157">
        <v>37.827100000000002</v>
      </c>
      <c r="E157">
        <f>Tableau4[[#This Row],[Potential (PJ)]]*1000/3.6</f>
        <v>10507.527777777777</v>
      </c>
      <c r="F157">
        <v>2.9493975903614462</v>
      </c>
      <c r="G157">
        <f>Tableau4[[#This Row],[Cost (€/GJ)]]*3.6/1000</f>
        <v>1.0617831325301207E-2</v>
      </c>
      <c r="H157">
        <v>20.3</v>
      </c>
      <c r="I157">
        <f>Tableau4[[#This Row],[GHG (kgCO2eq/GJ)]]*3.6/1000</f>
        <v>7.3079999999999992E-2</v>
      </c>
      <c r="J157" t="s">
        <v>106</v>
      </c>
      <c r="K157" t="s">
        <v>109</v>
      </c>
    </row>
    <row r="158" spans="1:11" hidden="1" x14ac:dyDescent="0.3">
      <c r="A158" t="s">
        <v>14</v>
      </c>
      <c r="B158" t="s">
        <v>47</v>
      </c>
      <c r="C158" t="s">
        <v>68</v>
      </c>
      <c r="D158">
        <v>25.1</v>
      </c>
      <c r="E158">
        <f>Tableau4[[#This Row],[Potential (PJ)]]*1000/3.6</f>
        <v>6972.2222222222217</v>
      </c>
      <c r="F158">
        <v>2.8774382470119519</v>
      </c>
      <c r="G158">
        <f>Tableau4[[#This Row],[Cost (€/GJ)]]*3.6/1000</f>
        <v>1.0358777689243027E-2</v>
      </c>
      <c r="H158">
        <v>18.100000000000001</v>
      </c>
      <c r="I158">
        <f>Tableau4[[#This Row],[GHG (kgCO2eq/GJ)]]*3.6/1000</f>
        <v>6.516000000000001E-2</v>
      </c>
      <c r="J158" t="s">
        <v>104</v>
      </c>
      <c r="K158" t="s">
        <v>109</v>
      </c>
    </row>
    <row r="159" spans="1:11" hidden="1" x14ac:dyDescent="0.3">
      <c r="A159" t="s">
        <v>14</v>
      </c>
      <c r="B159" t="s">
        <v>47</v>
      </c>
      <c r="C159" t="s">
        <v>69</v>
      </c>
      <c r="D159">
        <v>24.2</v>
      </c>
      <c r="E159">
        <f>Tableau4[[#This Row],[Potential (PJ)]]*1000/3.6</f>
        <v>6722.2222222222217</v>
      </c>
      <c r="F159">
        <v>2.5539917355371902</v>
      </c>
      <c r="G159">
        <f>Tableau4[[#This Row],[Cost (€/GJ)]]*3.6/1000</f>
        <v>9.1943702479338838E-3</v>
      </c>
      <c r="H159">
        <v>18.100000000000001</v>
      </c>
      <c r="I159">
        <f>Tableau4[[#This Row],[GHG (kgCO2eq/GJ)]]*3.6/1000</f>
        <v>6.516000000000001E-2</v>
      </c>
      <c r="J159" t="s">
        <v>104</v>
      </c>
      <c r="K159" t="s">
        <v>109</v>
      </c>
    </row>
    <row r="160" spans="1:11" hidden="1" x14ac:dyDescent="0.3">
      <c r="A160" t="s">
        <v>14</v>
      </c>
      <c r="B160" t="s">
        <v>57</v>
      </c>
      <c r="C160" t="s">
        <v>94</v>
      </c>
      <c r="D160">
        <v>18</v>
      </c>
      <c r="E160">
        <f>Tableau4[[#This Row],[Potential (PJ)]]*1000/3.6</f>
        <v>5000</v>
      </c>
      <c r="F160">
        <v>6.228416666666666</v>
      </c>
      <c r="G160">
        <f>Tableau4[[#This Row],[Cost (€/GJ)]]*3.6/1000</f>
        <v>2.2422299999999999E-2</v>
      </c>
      <c r="H160">
        <v>14.2</v>
      </c>
      <c r="I160">
        <f>Tableau4[[#This Row],[GHG (kgCO2eq/GJ)]]*3.6/1000</f>
        <v>5.1119999999999999E-2</v>
      </c>
      <c r="J160" t="s">
        <v>104</v>
      </c>
      <c r="K160" t="s">
        <v>109</v>
      </c>
    </row>
    <row r="161" spans="1:11" hidden="1" x14ac:dyDescent="0.3">
      <c r="A161" t="s">
        <v>14</v>
      </c>
      <c r="B161" t="s">
        <v>49</v>
      </c>
      <c r="C161" t="s">
        <v>71</v>
      </c>
      <c r="D161">
        <v>139.73688000000001</v>
      </c>
      <c r="E161">
        <f>Tableau4[[#This Row],[Potential (PJ)]]*1000/3.6</f>
        <v>38815.800000000003</v>
      </c>
      <c r="F161">
        <v>3.533753595113903</v>
      </c>
      <c r="G161">
        <f>Tableau4[[#This Row],[Cost (€/GJ)]]*3.6/1000</f>
        <v>1.2721512942410052E-2</v>
      </c>
      <c r="H161">
        <v>3.86607608129234</v>
      </c>
      <c r="I161">
        <f>Tableau4[[#This Row],[GHG (kgCO2eq/GJ)]]*3.6/1000</f>
        <v>1.3917873892652425E-2</v>
      </c>
      <c r="J161" t="s">
        <v>104</v>
      </c>
      <c r="K161" t="s">
        <v>108</v>
      </c>
    </row>
    <row r="162" spans="1:11" hidden="1" x14ac:dyDescent="0.3">
      <c r="A162" t="s">
        <v>14</v>
      </c>
      <c r="B162" t="s">
        <v>49</v>
      </c>
      <c r="C162" t="s">
        <v>72</v>
      </c>
      <c r="D162">
        <v>9.6</v>
      </c>
      <c r="E162">
        <f>Tableau4[[#This Row],[Potential (PJ)]]*1000/3.6</f>
        <v>2666.6666666666665</v>
      </c>
      <c r="F162">
        <v>2.8375729166666668</v>
      </c>
      <c r="G162">
        <f>Tableau4[[#This Row],[Cost (€/GJ)]]*3.6/1000</f>
        <v>1.0215262500000001E-2</v>
      </c>
      <c r="H162">
        <v>3.86607608129234</v>
      </c>
      <c r="I162">
        <f>Tableau4[[#This Row],[GHG (kgCO2eq/GJ)]]*3.6/1000</f>
        <v>1.3917873892652425E-2</v>
      </c>
      <c r="J162" t="s">
        <v>104</v>
      </c>
      <c r="K162" t="s">
        <v>108</v>
      </c>
    </row>
    <row r="163" spans="1:11" hidden="1" x14ac:dyDescent="0.3">
      <c r="A163" t="s">
        <v>14</v>
      </c>
      <c r="B163" t="s">
        <v>58</v>
      </c>
      <c r="C163" t="s">
        <v>95</v>
      </c>
      <c r="D163">
        <v>17.74212</v>
      </c>
      <c r="E163">
        <f>Tableau4[[#This Row],[Potential (PJ)]]*1000/3.6</f>
        <v>4928.3666666666659</v>
      </c>
      <c r="F163">
        <v>2.2599999999999998</v>
      </c>
      <c r="G163">
        <f>Tableau4[[#This Row],[Cost (€/GJ)]]*3.6/1000</f>
        <v>8.1359999999999991E-3</v>
      </c>
      <c r="H163">
        <v>2.9521711768407801</v>
      </c>
      <c r="I163">
        <f>Tableau4[[#This Row],[GHG (kgCO2eq/GJ)]]*3.6/1000</f>
        <v>1.0627816236626808E-2</v>
      </c>
      <c r="J163" t="s">
        <v>104</v>
      </c>
      <c r="K163" t="s">
        <v>108</v>
      </c>
    </row>
    <row r="164" spans="1:11" hidden="1" x14ac:dyDescent="0.3">
      <c r="A164" t="s">
        <v>14</v>
      </c>
      <c r="B164" t="s">
        <v>50</v>
      </c>
      <c r="C164" t="s">
        <v>73</v>
      </c>
      <c r="D164">
        <v>4.0999999999999996</v>
      </c>
      <c r="E164">
        <f>Tableau4[[#This Row],[Potential (PJ)]]*1000/3.6</f>
        <v>1138.8888888888889</v>
      </c>
      <c r="F164">
        <v>5.0959512195121954</v>
      </c>
      <c r="G164">
        <f>Tableau4[[#This Row],[Cost (€/GJ)]]*3.6/1000</f>
        <v>1.8345424390243902E-2</v>
      </c>
      <c r="H164">
        <v>20.723404255319149</v>
      </c>
      <c r="I164">
        <f>Tableau4[[#This Row],[GHG (kgCO2eq/GJ)]]*3.6/1000</f>
        <v>7.4604255319148938E-2</v>
      </c>
      <c r="J164" t="s">
        <v>105</v>
      </c>
      <c r="K164" t="s">
        <v>108</v>
      </c>
    </row>
    <row r="165" spans="1:11" hidden="1" x14ac:dyDescent="0.3">
      <c r="A165" t="s">
        <v>14</v>
      </c>
      <c r="B165" t="s">
        <v>50</v>
      </c>
      <c r="C165" t="s">
        <v>74</v>
      </c>
      <c r="D165">
        <v>45.3</v>
      </c>
      <c r="E165">
        <f>Tableau4[[#This Row],[Potential (PJ)]]*1000/3.6</f>
        <v>12583.333333333332</v>
      </c>
      <c r="F165">
        <v>3.544920529801324</v>
      </c>
      <c r="G165">
        <f>Tableau4[[#This Row],[Cost (€/GJ)]]*3.6/1000</f>
        <v>1.2761713907284767E-2</v>
      </c>
      <c r="H165">
        <v>2.0635593220338988</v>
      </c>
      <c r="I165">
        <f>Tableau4[[#This Row],[GHG (kgCO2eq/GJ)]]*3.6/1000</f>
        <v>7.428813559322036E-3</v>
      </c>
      <c r="J165" t="s">
        <v>105</v>
      </c>
      <c r="K165" t="s">
        <v>108</v>
      </c>
    </row>
    <row r="166" spans="1:11" hidden="1" x14ac:dyDescent="0.3">
      <c r="A166" t="s">
        <v>14</v>
      </c>
      <c r="B166" t="s">
        <v>59</v>
      </c>
      <c r="C166" t="s">
        <v>96</v>
      </c>
      <c r="D166">
        <v>0.21879999999999999</v>
      </c>
      <c r="E166">
        <f>Tableau4[[#This Row],[Potential (PJ)]]*1000/3.6</f>
        <v>60.777777777777771</v>
      </c>
      <c r="F166">
        <v>30.024000000000001</v>
      </c>
      <c r="G166">
        <f>Tableau4[[#This Row],[Cost (€/GJ)]]*3.6/1000</f>
        <v>0.10808640000000001</v>
      </c>
      <c r="H166">
        <v>8.4</v>
      </c>
      <c r="I166">
        <f>Tableau4[[#This Row],[GHG (kgCO2eq/GJ)]]*3.6/1000</f>
        <v>3.0240000000000003E-2</v>
      </c>
      <c r="J166" t="s">
        <v>107</v>
      </c>
      <c r="K166" t="s">
        <v>109</v>
      </c>
    </row>
    <row r="167" spans="1:11" hidden="1" x14ac:dyDescent="0.3">
      <c r="A167" t="s">
        <v>14</v>
      </c>
      <c r="B167" t="s">
        <v>59</v>
      </c>
      <c r="C167" t="s">
        <v>97</v>
      </c>
      <c r="D167">
        <v>0.1095</v>
      </c>
      <c r="E167">
        <f>Tableau4[[#This Row],[Potential (PJ)]]*1000/3.6</f>
        <v>30.416666666666664</v>
      </c>
      <c r="F167">
        <v>14.81280520889853</v>
      </c>
      <c r="G167">
        <f>Tableau4[[#This Row],[Cost (€/GJ)]]*3.6/1000</f>
        <v>5.3326098752034708E-2</v>
      </c>
      <c r="H167">
        <v>8.4</v>
      </c>
      <c r="I167">
        <f>Tableau4[[#This Row],[GHG (kgCO2eq/GJ)]]*3.6/1000</f>
        <v>3.0240000000000003E-2</v>
      </c>
      <c r="J167" t="s">
        <v>107</v>
      </c>
      <c r="K167" t="s">
        <v>109</v>
      </c>
    </row>
    <row r="168" spans="1:11" hidden="1" x14ac:dyDescent="0.3">
      <c r="A168" t="s">
        <v>14</v>
      </c>
      <c r="B168" t="s">
        <v>51</v>
      </c>
      <c r="C168" t="s">
        <v>75</v>
      </c>
      <c r="D168">
        <v>4.5522989999999997</v>
      </c>
      <c r="E168">
        <f>Tableau4[[#This Row],[Potential (PJ)]]*1000/3.6</f>
        <v>1264.5274999999999</v>
      </c>
      <c r="F168">
        <v>2.08677795794245E-4</v>
      </c>
      <c r="G168">
        <f>Tableau4[[#This Row],[Cost (€/GJ)]]*3.6/1000</f>
        <v>7.5124006485928207E-7</v>
      </c>
      <c r="H168">
        <v>11.74</v>
      </c>
      <c r="I168">
        <f>Tableau4[[#This Row],[GHG (kgCO2eq/GJ)]]*3.6/1000</f>
        <v>4.2264000000000003E-2</v>
      </c>
      <c r="J168" t="s">
        <v>104</v>
      </c>
      <c r="K168" t="s">
        <v>108</v>
      </c>
    </row>
    <row r="169" spans="1:11" hidden="1" x14ac:dyDescent="0.3">
      <c r="A169" t="s">
        <v>14</v>
      </c>
      <c r="B169" t="s">
        <v>60</v>
      </c>
      <c r="C169" t="s">
        <v>98</v>
      </c>
      <c r="D169">
        <v>3.2034899999999999</v>
      </c>
      <c r="E169">
        <f>Tableau4[[#This Row],[Potential (PJ)]]*1000/3.6</f>
        <v>889.85833333333323</v>
      </c>
      <c r="F169">
        <v>16.380236305048339</v>
      </c>
      <c r="G169">
        <f>Tableau4[[#This Row],[Cost (€/GJ)]]*3.6/1000</f>
        <v>5.8968850698174022E-2</v>
      </c>
      <c r="H169">
        <v>27.8</v>
      </c>
      <c r="I169">
        <f>Tableau4[[#This Row],[GHG (kgCO2eq/GJ)]]*3.6/1000</f>
        <v>0.10008</v>
      </c>
      <c r="J169" t="s">
        <v>107</v>
      </c>
      <c r="K169" t="s">
        <v>109</v>
      </c>
    </row>
    <row r="170" spans="1:11" hidden="1" x14ac:dyDescent="0.3">
      <c r="A170" t="s">
        <v>14</v>
      </c>
      <c r="B170" t="s">
        <v>52</v>
      </c>
      <c r="C170" t="s">
        <v>76</v>
      </c>
      <c r="D170">
        <v>0.89300000000000002</v>
      </c>
      <c r="E170">
        <f>Tableau4[[#This Row],[Potential (PJ)]]*1000/3.6</f>
        <v>248.05555555555554</v>
      </c>
      <c r="F170">
        <v>4.7567250000000003</v>
      </c>
      <c r="G170">
        <f>Tableau4[[#This Row],[Cost (€/GJ)]]*3.6/1000</f>
        <v>1.7124210000000001E-2</v>
      </c>
      <c r="H170">
        <v>12.68872359754714</v>
      </c>
      <c r="I170">
        <f>Tableau4[[#This Row],[GHG (kgCO2eq/GJ)]]*3.6/1000</f>
        <v>4.5679404951169705E-2</v>
      </c>
      <c r="J170" t="s">
        <v>105</v>
      </c>
      <c r="K170" t="s">
        <v>108</v>
      </c>
    </row>
    <row r="171" spans="1:11" hidden="1" x14ac:dyDescent="0.3">
      <c r="A171" t="s">
        <v>14</v>
      </c>
      <c r="B171" t="s">
        <v>53</v>
      </c>
      <c r="C171" t="s">
        <v>77</v>
      </c>
      <c r="D171">
        <v>5.8</v>
      </c>
      <c r="E171">
        <f>Tableau4[[#This Row],[Potential (PJ)]]*1000/3.6</f>
        <v>1611.1111111111111</v>
      </c>
      <c r="F171">
        <v>2.8375689655172418</v>
      </c>
      <c r="G171">
        <f>Tableau4[[#This Row],[Cost (€/GJ)]]*3.6/1000</f>
        <v>1.0215248275862071E-2</v>
      </c>
      <c r="H171">
        <v>3.86607608129234</v>
      </c>
      <c r="I171">
        <f>Tableau4[[#This Row],[GHG (kgCO2eq/GJ)]]*3.6/1000</f>
        <v>1.3917873892652425E-2</v>
      </c>
      <c r="J171" t="s">
        <v>104</v>
      </c>
      <c r="K171" t="s">
        <v>108</v>
      </c>
    </row>
    <row r="172" spans="1:11" hidden="1" x14ac:dyDescent="0.3">
      <c r="A172" t="s">
        <v>14</v>
      </c>
      <c r="B172" t="s">
        <v>61</v>
      </c>
      <c r="C172" t="s">
        <v>99</v>
      </c>
      <c r="D172">
        <v>36.5</v>
      </c>
      <c r="E172">
        <f>Tableau4[[#This Row],[Potential (PJ)]]*1000/3.6</f>
        <v>10138.888888888889</v>
      </c>
      <c r="F172">
        <v>1.2747671232876709</v>
      </c>
      <c r="G172">
        <f>Tableau4[[#This Row],[Cost (€/GJ)]]*3.6/1000</f>
        <v>4.5891616438356155E-3</v>
      </c>
      <c r="H172">
        <v>2.9245635910224439</v>
      </c>
      <c r="I172">
        <f>Tableau4[[#This Row],[GHG (kgCO2eq/GJ)]]*3.6/1000</f>
        <v>1.0528428927680798E-2</v>
      </c>
      <c r="J172" t="s">
        <v>104</v>
      </c>
      <c r="K172" t="s">
        <v>108</v>
      </c>
    </row>
    <row r="173" spans="1:11" hidden="1" x14ac:dyDescent="0.3">
      <c r="A173" t="s">
        <v>14</v>
      </c>
      <c r="B173" t="s">
        <v>62</v>
      </c>
      <c r="C173" t="s">
        <v>100</v>
      </c>
      <c r="D173">
        <v>12.9</v>
      </c>
      <c r="E173">
        <f>Tableau4[[#This Row],[Potential (PJ)]]*1000/3.6</f>
        <v>3583.333333333333</v>
      </c>
      <c r="F173">
        <v>7.441860465116279E-2</v>
      </c>
      <c r="G173">
        <f>Tableau4[[#This Row],[Cost (€/GJ)]]*3.6/1000</f>
        <v>2.6790697674418607E-4</v>
      </c>
      <c r="H173">
        <v>2.6764106050305911</v>
      </c>
      <c r="I173">
        <f>Tableau4[[#This Row],[GHG (kgCO2eq/GJ)]]*3.6/1000</f>
        <v>9.6350781781101274E-3</v>
      </c>
      <c r="J173" t="s">
        <v>104</v>
      </c>
      <c r="K173" t="s">
        <v>108</v>
      </c>
    </row>
    <row r="174" spans="1:11" hidden="1" x14ac:dyDescent="0.3">
      <c r="A174" t="s">
        <v>14</v>
      </c>
      <c r="B174" t="s">
        <v>54</v>
      </c>
      <c r="C174" t="s">
        <v>78</v>
      </c>
      <c r="D174">
        <v>84.9</v>
      </c>
      <c r="E174">
        <f>Tableau4[[#This Row],[Potential (PJ)]]*1000/3.6</f>
        <v>23583.333333333332</v>
      </c>
      <c r="F174">
        <v>5.8743180212014128</v>
      </c>
      <c r="G174">
        <f>Tableau4[[#This Row],[Cost (€/GJ)]]*3.6/1000</f>
        <v>2.1147544876325086E-2</v>
      </c>
      <c r="H174">
        <v>3.86607608129234</v>
      </c>
      <c r="I174">
        <f>Tableau4[[#This Row],[GHG (kgCO2eq/GJ)]]*3.6/1000</f>
        <v>1.3917873892652425E-2</v>
      </c>
      <c r="J174" t="s">
        <v>104</v>
      </c>
      <c r="K174" t="s">
        <v>108</v>
      </c>
    </row>
    <row r="175" spans="1:11" hidden="1" x14ac:dyDescent="0.3">
      <c r="A175" t="s">
        <v>15</v>
      </c>
      <c r="B175" t="s">
        <v>46</v>
      </c>
      <c r="C175" t="s">
        <v>64</v>
      </c>
      <c r="D175">
        <v>0.43258999999999997</v>
      </c>
      <c r="E175">
        <f>Tableau4[[#This Row],[Potential (PJ)]]*1000/3.6</f>
        <v>120.16388888888888</v>
      </c>
      <c r="F175">
        <v>6.9208251693289258</v>
      </c>
      <c r="G175">
        <f>Tableau4[[#This Row],[Cost (€/GJ)]]*3.6/1000</f>
        <v>2.4914970609584135E-2</v>
      </c>
      <c r="H175">
        <v>2.9521711768407801</v>
      </c>
      <c r="I175">
        <f>Tableau4[[#This Row],[GHG (kgCO2eq/GJ)]]*3.6/1000</f>
        <v>1.0627816236626808E-2</v>
      </c>
      <c r="J175" t="s">
        <v>104</v>
      </c>
      <c r="K175" t="s">
        <v>108</v>
      </c>
    </row>
    <row r="176" spans="1:11" hidden="1" x14ac:dyDescent="0.3">
      <c r="A176" t="s">
        <v>15</v>
      </c>
      <c r="B176" t="s">
        <v>46</v>
      </c>
      <c r="C176" t="s">
        <v>79</v>
      </c>
      <c r="D176">
        <v>125.2</v>
      </c>
      <c r="E176">
        <f>Tableau4[[#This Row],[Potential (PJ)]]*1000/3.6</f>
        <v>34777.777777777774</v>
      </c>
      <c r="F176">
        <v>4.0333354632587852</v>
      </c>
      <c r="G176">
        <f>Tableau4[[#This Row],[Cost (€/GJ)]]*3.6/1000</f>
        <v>1.4520007667731628E-2</v>
      </c>
      <c r="H176">
        <v>6.8428961748633883</v>
      </c>
      <c r="I176">
        <f>Tableau4[[#This Row],[GHG (kgCO2eq/GJ)]]*3.6/1000</f>
        <v>2.4634426229508198E-2</v>
      </c>
      <c r="J176" t="s">
        <v>104</v>
      </c>
      <c r="K176" t="s">
        <v>108</v>
      </c>
    </row>
    <row r="177" spans="1:11" hidden="1" x14ac:dyDescent="0.3">
      <c r="A177" t="s">
        <v>15</v>
      </c>
      <c r="B177" t="s">
        <v>46</v>
      </c>
      <c r="C177" t="s">
        <v>65</v>
      </c>
      <c r="D177">
        <v>0.4</v>
      </c>
      <c r="E177">
        <f>Tableau4[[#This Row],[Potential (PJ)]]*1000/3.6</f>
        <v>111.11111111111111</v>
      </c>
      <c r="F177">
        <v>5.1292500000000008</v>
      </c>
      <c r="G177">
        <f>Tableau4[[#This Row],[Cost (€/GJ)]]*3.6/1000</f>
        <v>1.8465300000000004E-2</v>
      </c>
      <c r="H177">
        <v>2.9521711768407801</v>
      </c>
      <c r="I177">
        <f>Tableau4[[#This Row],[GHG (kgCO2eq/GJ)]]*3.6/1000</f>
        <v>1.0627816236626808E-2</v>
      </c>
      <c r="J177" t="s">
        <v>104</v>
      </c>
      <c r="K177" t="s">
        <v>108</v>
      </c>
    </row>
    <row r="178" spans="1:11" hidden="1" x14ac:dyDescent="0.3">
      <c r="A178" t="s">
        <v>15</v>
      </c>
      <c r="B178" t="s">
        <v>46</v>
      </c>
      <c r="C178" t="s">
        <v>80</v>
      </c>
      <c r="D178">
        <v>31.672699999999999</v>
      </c>
      <c r="E178">
        <f>Tableau4[[#This Row],[Potential (PJ)]]*1000/3.6</f>
        <v>8797.9722222222226</v>
      </c>
      <c r="F178">
        <v>1.21105866486851</v>
      </c>
      <c r="G178">
        <f>Tableau4[[#This Row],[Cost (€/GJ)]]*3.6/1000</f>
        <v>4.3598111935266365E-3</v>
      </c>
      <c r="H178">
        <v>28.139870918023309</v>
      </c>
      <c r="I178">
        <f>Tableau4[[#This Row],[GHG (kgCO2eq/GJ)]]*3.6/1000</f>
        <v>0.10130353530488391</v>
      </c>
      <c r="J178" t="s">
        <v>105</v>
      </c>
      <c r="K178" t="s">
        <v>108</v>
      </c>
    </row>
    <row r="179" spans="1:11" hidden="1" x14ac:dyDescent="0.3">
      <c r="A179" t="s">
        <v>15</v>
      </c>
      <c r="B179" t="s">
        <v>46</v>
      </c>
      <c r="C179" t="s">
        <v>81</v>
      </c>
      <c r="D179">
        <v>67.678200000000004</v>
      </c>
      <c r="E179">
        <f>Tableau4[[#This Row],[Potential (PJ)]]*1000/3.6</f>
        <v>18799.5</v>
      </c>
      <c r="F179">
        <v>1.7549941245593419</v>
      </c>
      <c r="G179">
        <f>Tableau4[[#This Row],[Cost (€/GJ)]]*3.6/1000</f>
        <v>6.3179788484136312E-3</v>
      </c>
      <c r="H179">
        <v>8.9647473560517046</v>
      </c>
      <c r="I179">
        <f>Tableau4[[#This Row],[GHG (kgCO2eq/GJ)]]*3.6/1000</f>
        <v>3.2273090481786136E-2</v>
      </c>
      <c r="J179" t="s">
        <v>105</v>
      </c>
      <c r="K179" t="s">
        <v>108</v>
      </c>
    </row>
    <row r="180" spans="1:11" hidden="1" x14ac:dyDescent="0.3">
      <c r="A180" t="s">
        <v>15</v>
      </c>
      <c r="B180" t="s">
        <v>46</v>
      </c>
      <c r="C180" t="s">
        <v>66</v>
      </c>
      <c r="D180">
        <v>14.9</v>
      </c>
      <c r="E180">
        <f>Tableau4[[#This Row],[Potential (PJ)]]*1000/3.6</f>
        <v>4138.8888888888887</v>
      </c>
      <c r="F180">
        <v>4.1812751677852349</v>
      </c>
      <c r="G180">
        <f>Tableau4[[#This Row],[Cost (€/GJ)]]*3.6/1000</f>
        <v>1.5052590604026847E-2</v>
      </c>
      <c r="H180">
        <v>6.8428961748633883</v>
      </c>
      <c r="I180">
        <f>Tableau4[[#This Row],[GHG (kgCO2eq/GJ)]]*3.6/1000</f>
        <v>2.4634426229508198E-2</v>
      </c>
      <c r="J180" t="s">
        <v>104</v>
      </c>
      <c r="K180" t="s">
        <v>108</v>
      </c>
    </row>
    <row r="181" spans="1:11" hidden="1" x14ac:dyDescent="0.3">
      <c r="A181" t="s">
        <v>15</v>
      </c>
      <c r="B181" t="s">
        <v>46</v>
      </c>
      <c r="C181" t="s">
        <v>82</v>
      </c>
      <c r="D181">
        <v>17.7</v>
      </c>
      <c r="E181">
        <f>Tableau4[[#This Row],[Potential (PJ)]]*1000/3.6</f>
        <v>4916.666666666667</v>
      </c>
      <c r="F181">
        <v>2.5689717514124299</v>
      </c>
      <c r="G181">
        <f>Tableau4[[#This Row],[Cost (€/GJ)]]*3.6/1000</f>
        <v>9.2482983050847494E-3</v>
      </c>
      <c r="H181">
        <v>6.8428961748633883</v>
      </c>
      <c r="I181">
        <f>Tableau4[[#This Row],[GHG (kgCO2eq/GJ)]]*3.6/1000</f>
        <v>2.4634426229508198E-2</v>
      </c>
      <c r="J181" t="s">
        <v>104</v>
      </c>
      <c r="K181" t="s">
        <v>108</v>
      </c>
    </row>
    <row r="182" spans="1:11" hidden="1" x14ac:dyDescent="0.3">
      <c r="A182" t="s">
        <v>15</v>
      </c>
      <c r="B182" t="s">
        <v>46</v>
      </c>
      <c r="C182" t="s">
        <v>84</v>
      </c>
      <c r="D182">
        <v>1.9</v>
      </c>
      <c r="E182">
        <f>Tableau4[[#This Row],[Potential (PJ)]]*1000/3.6</f>
        <v>527.77777777777771</v>
      </c>
      <c r="F182">
        <v>2.4390000000000001</v>
      </c>
      <c r="G182">
        <f>Tableau4[[#This Row],[Cost (€/GJ)]]*3.6/1000</f>
        <v>8.7804000000000007E-3</v>
      </c>
      <c r="H182">
        <v>28.139870918023309</v>
      </c>
      <c r="I182">
        <f>Tableau4[[#This Row],[GHG (kgCO2eq/GJ)]]*3.6/1000</f>
        <v>0.10130353530488391</v>
      </c>
      <c r="J182" t="s">
        <v>105</v>
      </c>
      <c r="K182" t="s">
        <v>108</v>
      </c>
    </row>
    <row r="183" spans="1:11" hidden="1" x14ac:dyDescent="0.3">
      <c r="A183" t="s">
        <v>15</v>
      </c>
      <c r="B183" t="s">
        <v>46</v>
      </c>
      <c r="C183" t="s">
        <v>85</v>
      </c>
      <c r="D183">
        <v>1.7</v>
      </c>
      <c r="E183">
        <f>Tableau4[[#This Row],[Potential (PJ)]]*1000/3.6</f>
        <v>472.22222222222223</v>
      </c>
      <c r="F183">
        <v>4.5541176470588232</v>
      </c>
      <c r="G183">
        <f>Tableau4[[#This Row],[Cost (€/GJ)]]*3.6/1000</f>
        <v>1.6394823529411764E-2</v>
      </c>
      <c r="H183">
        <v>2.9521711768407801</v>
      </c>
      <c r="I183">
        <f>Tableau4[[#This Row],[GHG (kgCO2eq/GJ)]]*3.6/1000</f>
        <v>1.0627816236626808E-2</v>
      </c>
      <c r="J183" t="s">
        <v>104</v>
      </c>
      <c r="K183" t="s">
        <v>108</v>
      </c>
    </row>
    <row r="184" spans="1:11" hidden="1" x14ac:dyDescent="0.3">
      <c r="A184" t="s">
        <v>15</v>
      </c>
      <c r="B184" t="s">
        <v>55</v>
      </c>
      <c r="C184" t="s">
        <v>86</v>
      </c>
      <c r="D184">
        <v>0.20910000000000001</v>
      </c>
      <c r="E184">
        <f>Tableau4[[#This Row],[Potential (PJ)]]*1000/3.6</f>
        <v>58.083333333333329</v>
      </c>
      <c r="F184">
        <v>17.73800000000001</v>
      </c>
      <c r="G184">
        <f>Tableau4[[#This Row],[Cost (€/GJ)]]*3.6/1000</f>
        <v>6.3856800000000033E-2</v>
      </c>
      <c r="H184">
        <v>6.7</v>
      </c>
      <c r="I184">
        <f>Tableau4[[#This Row],[GHG (kgCO2eq/GJ)]]*3.6/1000</f>
        <v>2.4120000000000003E-2</v>
      </c>
      <c r="J184" t="s">
        <v>106</v>
      </c>
      <c r="K184" t="s">
        <v>109</v>
      </c>
    </row>
    <row r="185" spans="1:11" hidden="1" x14ac:dyDescent="0.3">
      <c r="A185" t="s">
        <v>15</v>
      </c>
      <c r="B185" t="s">
        <v>55</v>
      </c>
      <c r="C185" t="s">
        <v>87</v>
      </c>
      <c r="D185">
        <v>0.14810000000000001</v>
      </c>
      <c r="E185">
        <f>Tableau4[[#This Row],[Potential (PJ)]]*1000/3.6</f>
        <v>41.138888888888893</v>
      </c>
      <c r="F185">
        <v>18.88999999999999</v>
      </c>
      <c r="G185">
        <f>Tableau4[[#This Row],[Cost (€/GJ)]]*3.6/1000</f>
        <v>6.8003999999999967E-2</v>
      </c>
      <c r="H185">
        <v>6.7</v>
      </c>
      <c r="I185">
        <f>Tableau4[[#This Row],[GHG (kgCO2eq/GJ)]]*3.6/1000</f>
        <v>2.4120000000000003E-2</v>
      </c>
      <c r="J185" t="s">
        <v>106</v>
      </c>
      <c r="K185" t="s">
        <v>109</v>
      </c>
    </row>
    <row r="186" spans="1:11" hidden="1" x14ac:dyDescent="0.3">
      <c r="A186" t="s">
        <v>15</v>
      </c>
      <c r="B186" t="s">
        <v>55</v>
      </c>
      <c r="C186" t="s">
        <v>88</v>
      </c>
      <c r="D186">
        <v>0.85809999999999997</v>
      </c>
      <c r="E186">
        <f>Tableau4[[#This Row],[Potential (PJ)]]*1000/3.6</f>
        <v>238.36111111111111</v>
      </c>
      <c r="F186">
        <v>18.000999999999991</v>
      </c>
      <c r="G186">
        <f>Tableau4[[#This Row],[Cost (€/GJ)]]*3.6/1000</f>
        <v>6.4803599999999975E-2</v>
      </c>
      <c r="H186">
        <v>6.7</v>
      </c>
      <c r="I186">
        <f>Tableau4[[#This Row],[GHG (kgCO2eq/GJ)]]*3.6/1000</f>
        <v>2.4120000000000003E-2</v>
      </c>
      <c r="J186" t="s">
        <v>106</v>
      </c>
      <c r="K186" t="s">
        <v>109</v>
      </c>
    </row>
    <row r="187" spans="1:11" hidden="1" x14ac:dyDescent="0.3">
      <c r="A187" t="s">
        <v>15</v>
      </c>
      <c r="B187" t="s">
        <v>55</v>
      </c>
      <c r="C187" t="s">
        <v>89</v>
      </c>
      <c r="D187">
        <v>0.27089999999999997</v>
      </c>
      <c r="E187">
        <f>Tableau4[[#This Row],[Potential (PJ)]]*1000/3.6</f>
        <v>75.249999999999986</v>
      </c>
      <c r="F187">
        <v>0</v>
      </c>
      <c r="G187">
        <f>Tableau4[[#This Row],[Cost (€/GJ)]]*3.6/1000</f>
        <v>0</v>
      </c>
      <c r="H187">
        <v>6.7</v>
      </c>
      <c r="I187">
        <f>Tableau4[[#This Row],[GHG (kgCO2eq/GJ)]]*3.6/1000</f>
        <v>2.4120000000000003E-2</v>
      </c>
      <c r="J187" t="s">
        <v>106</v>
      </c>
      <c r="K187" t="s">
        <v>109</v>
      </c>
    </row>
    <row r="188" spans="1:11" hidden="1" x14ac:dyDescent="0.3">
      <c r="A188" t="s">
        <v>15</v>
      </c>
      <c r="B188" t="s">
        <v>55</v>
      </c>
      <c r="C188" t="s">
        <v>90</v>
      </c>
      <c r="D188">
        <v>0.1124</v>
      </c>
      <c r="E188">
        <f>Tableau4[[#This Row],[Potential (PJ)]]*1000/3.6</f>
        <v>31.222222222222221</v>
      </c>
      <c r="F188">
        <v>19.126999999999988</v>
      </c>
      <c r="G188">
        <f>Tableau4[[#This Row],[Cost (€/GJ)]]*3.6/1000</f>
        <v>6.8857199999999966E-2</v>
      </c>
      <c r="H188">
        <v>6.7</v>
      </c>
      <c r="I188">
        <f>Tableau4[[#This Row],[GHG (kgCO2eq/GJ)]]*3.6/1000</f>
        <v>2.4120000000000003E-2</v>
      </c>
      <c r="J188" t="s">
        <v>106</v>
      </c>
      <c r="K188" t="s">
        <v>109</v>
      </c>
    </row>
    <row r="189" spans="1:11" hidden="1" x14ac:dyDescent="0.3">
      <c r="A189" t="s">
        <v>15</v>
      </c>
      <c r="B189" t="s">
        <v>55</v>
      </c>
      <c r="C189" t="s">
        <v>91</v>
      </c>
      <c r="D189">
        <v>5.0373999999999999</v>
      </c>
      <c r="E189">
        <f>Tableau4[[#This Row],[Potential (PJ)]]*1000/3.6</f>
        <v>1399.2777777777776</v>
      </c>
      <c r="F189">
        <v>16.501999999999999</v>
      </c>
      <c r="G189">
        <f>Tableau4[[#This Row],[Cost (€/GJ)]]*3.6/1000</f>
        <v>5.9407199999999993E-2</v>
      </c>
      <c r="H189">
        <v>6.7</v>
      </c>
      <c r="I189">
        <f>Tableau4[[#This Row],[GHG (kgCO2eq/GJ)]]*3.6/1000</f>
        <v>2.4120000000000003E-2</v>
      </c>
      <c r="J189" t="s">
        <v>106</v>
      </c>
      <c r="K189" t="s">
        <v>109</v>
      </c>
    </row>
    <row r="190" spans="1:11" hidden="1" x14ac:dyDescent="0.3">
      <c r="A190" t="s">
        <v>15</v>
      </c>
      <c r="B190" t="s">
        <v>55</v>
      </c>
      <c r="C190" t="s">
        <v>92</v>
      </c>
      <c r="D190">
        <v>2.4919699999999998</v>
      </c>
      <c r="E190">
        <f>Tableau4[[#This Row],[Potential (PJ)]]*1000/3.6</f>
        <v>692.21388888888885</v>
      </c>
      <c r="F190">
        <v>18.88999999999999</v>
      </c>
      <c r="G190">
        <f>Tableau4[[#This Row],[Cost (€/GJ)]]*3.6/1000</f>
        <v>6.8003999999999967E-2</v>
      </c>
      <c r="H190">
        <v>6.7</v>
      </c>
      <c r="I190">
        <f>Tableau4[[#This Row],[GHG (kgCO2eq/GJ)]]*3.6/1000</f>
        <v>2.4120000000000003E-2</v>
      </c>
      <c r="J190" t="s">
        <v>106</v>
      </c>
      <c r="K190" t="s">
        <v>109</v>
      </c>
    </row>
    <row r="191" spans="1:11" hidden="1" x14ac:dyDescent="0.3">
      <c r="A191" t="s">
        <v>15</v>
      </c>
      <c r="B191" t="s">
        <v>56</v>
      </c>
      <c r="C191" t="s">
        <v>93</v>
      </c>
      <c r="D191">
        <v>47.865000000000002</v>
      </c>
      <c r="E191">
        <f>Tableau4[[#This Row],[Potential (PJ)]]*1000/3.6</f>
        <v>13295.833333333332</v>
      </c>
      <c r="F191">
        <v>2.939759036144578</v>
      </c>
      <c r="G191">
        <f>Tableau4[[#This Row],[Cost (€/GJ)]]*3.6/1000</f>
        <v>1.0583132530120483E-2</v>
      </c>
      <c r="H191">
        <v>22.3</v>
      </c>
      <c r="I191">
        <f>Tableau4[[#This Row],[GHG (kgCO2eq/GJ)]]*3.6/1000</f>
        <v>8.0280000000000004E-2</v>
      </c>
      <c r="J191" t="s">
        <v>106</v>
      </c>
      <c r="K191" t="s">
        <v>109</v>
      </c>
    </row>
    <row r="192" spans="1:11" hidden="1" x14ac:dyDescent="0.3">
      <c r="A192" t="s">
        <v>15</v>
      </c>
      <c r="B192" t="s">
        <v>47</v>
      </c>
      <c r="C192" t="s">
        <v>68</v>
      </c>
      <c r="D192">
        <v>77</v>
      </c>
      <c r="E192">
        <f>Tableau4[[#This Row],[Potential (PJ)]]*1000/3.6</f>
        <v>21388.888888888887</v>
      </c>
      <c r="F192">
        <v>5.1229220779220777</v>
      </c>
      <c r="G192">
        <f>Tableau4[[#This Row],[Cost (€/GJ)]]*3.6/1000</f>
        <v>1.8442519480519479E-2</v>
      </c>
      <c r="H192">
        <v>25.4</v>
      </c>
      <c r="I192">
        <f>Tableau4[[#This Row],[GHG (kgCO2eq/GJ)]]*3.6/1000</f>
        <v>9.1439999999999994E-2</v>
      </c>
      <c r="J192" t="s">
        <v>104</v>
      </c>
      <c r="K192" t="s">
        <v>109</v>
      </c>
    </row>
    <row r="193" spans="1:11" hidden="1" x14ac:dyDescent="0.3">
      <c r="A193" t="s">
        <v>15</v>
      </c>
      <c r="B193" t="s">
        <v>47</v>
      </c>
      <c r="C193" t="s">
        <v>69</v>
      </c>
      <c r="D193">
        <v>138</v>
      </c>
      <c r="E193">
        <f>Tableau4[[#This Row],[Potential (PJ)]]*1000/3.6</f>
        <v>38333.333333333336</v>
      </c>
      <c r="F193">
        <v>4.4290695652173913</v>
      </c>
      <c r="G193">
        <f>Tableau4[[#This Row],[Cost (€/GJ)]]*3.6/1000</f>
        <v>1.594465043478261E-2</v>
      </c>
      <c r="H193">
        <v>25.4</v>
      </c>
      <c r="I193">
        <f>Tableau4[[#This Row],[GHG (kgCO2eq/GJ)]]*3.6/1000</f>
        <v>9.1439999999999994E-2</v>
      </c>
      <c r="J193" t="s">
        <v>104</v>
      </c>
      <c r="K193" t="s">
        <v>109</v>
      </c>
    </row>
    <row r="194" spans="1:11" hidden="1" x14ac:dyDescent="0.3">
      <c r="A194" t="s">
        <v>15</v>
      </c>
      <c r="B194" t="s">
        <v>57</v>
      </c>
      <c r="C194" t="s">
        <v>94</v>
      </c>
      <c r="D194">
        <v>28.1</v>
      </c>
      <c r="E194">
        <f>Tableau4[[#This Row],[Potential (PJ)]]*1000/3.6</f>
        <v>7805.5555555555557</v>
      </c>
      <c r="F194">
        <v>9.2809430604982186</v>
      </c>
      <c r="G194">
        <f>Tableau4[[#This Row],[Cost (€/GJ)]]*3.6/1000</f>
        <v>3.341139501779359E-2</v>
      </c>
      <c r="H194">
        <v>23.7</v>
      </c>
      <c r="I194">
        <f>Tableau4[[#This Row],[GHG (kgCO2eq/GJ)]]*3.6/1000</f>
        <v>8.5319999999999993E-2</v>
      </c>
      <c r="J194" t="s">
        <v>104</v>
      </c>
      <c r="K194" t="s">
        <v>109</v>
      </c>
    </row>
    <row r="195" spans="1:11" hidden="1" x14ac:dyDescent="0.3">
      <c r="A195" t="s">
        <v>15</v>
      </c>
      <c r="B195" t="s">
        <v>49</v>
      </c>
      <c r="C195" t="s">
        <v>71</v>
      </c>
      <c r="D195">
        <v>824.89931999999999</v>
      </c>
      <c r="E195">
        <f>Tableau4[[#This Row],[Potential (PJ)]]*1000/3.6</f>
        <v>229138.69999999998</v>
      </c>
      <c r="F195">
        <v>3.7906528286142849</v>
      </c>
      <c r="G195">
        <f>Tableau4[[#This Row],[Cost (€/GJ)]]*3.6/1000</f>
        <v>1.3646350183011427E-2</v>
      </c>
      <c r="H195">
        <v>3.86607608129234</v>
      </c>
      <c r="I195">
        <f>Tableau4[[#This Row],[GHG (kgCO2eq/GJ)]]*3.6/1000</f>
        <v>1.3917873892652425E-2</v>
      </c>
      <c r="J195" t="s">
        <v>104</v>
      </c>
      <c r="K195" t="s">
        <v>108</v>
      </c>
    </row>
    <row r="196" spans="1:11" hidden="1" x14ac:dyDescent="0.3">
      <c r="A196" t="s">
        <v>15</v>
      </c>
      <c r="B196" t="s">
        <v>49</v>
      </c>
      <c r="C196" t="s">
        <v>72</v>
      </c>
      <c r="D196">
        <v>52.5</v>
      </c>
      <c r="E196">
        <f>Tableau4[[#This Row],[Potential (PJ)]]*1000/3.6</f>
        <v>14583.333333333332</v>
      </c>
      <c r="F196">
        <v>3.0403542857142849</v>
      </c>
      <c r="G196">
        <f>Tableau4[[#This Row],[Cost (€/GJ)]]*3.6/1000</f>
        <v>1.0945275428571426E-2</v>
      </c>
      <c r="H196">
        <v>3.86607608129234</v>
      </c>
      <c r="I196">
        <f>Tableau4[[#This Row],[GHG (kgCO2eq/GJ)]]*3.6/1000</f>
        <v>1.3917873892652425E-2</v>
      </c>
      <c r="J196" t="s">
        <v>104</v>
      </c>
      <c r="K196" t="s">
        <v>108</v>
      </c>
    </row>
    <row r="197" spans="1:11" hidden="1" x14ac:dyDescent="0.3">
      <c r="A197" t="s">
        <v>15</v>
      </c>
      <c r="B197" t="s">
        <v>58</v>
      </c>
      <c r="C197" t="s">
        <v>95</v>
      </c>
      <c r="D197">
        <v>33.48021</v>
      </c>
      <c r="E197">
        <f>Tableau4[[#This Row],[Potential (PJ)]]*1000/3.6</f>
        <v>9300.0583333333325</v>
      </c>
      <c r="F197">
        <v>2.079645252225121</v>
      </c>
      <c r="G197">
        <f>Tableau4[[#This Row],[Cost (€/GJ)]]*3.6/1000</f>
        <v>7.4867229080104363E-3</v>
      </c>
      <c r="H197">
        <v>2.9521711768407801</v>
      </c>
      <c r="I197">
        <f>Tableau4[[#This Row],[GHG (kgCO2eq/GJ)]]*3.6/1000</f>
        <v>1.0627816236626808E-2</v>
      </c>
      <c r="J197" t="s">
        <v>104</v>
      </c>
      <c r="K197" t="s">
        <v>108</v>
      </c>
    </row>
    <row r="198" spans="1:11" hidden="1" x14ac:dyDescent="0.3">
      <c r="A198" t="s">
        <v>15</v>
      </c>
      <c r="B198" t="s">
        <v>50</v>
      </c>
      <c r="C198" t="s">
        <v>73</v>
      </c>
      <c r="D198">
        <v>83.8</v>
      </c>
      <c r="E198">
        <f>Tableau4[[#This Row],[Potential (PJ)]]*1000/3.6</f>
        <v>23277.777777777777</v>
      </c>
      <c r="F198">
        <v>5.6669677804295944</v>
      </c>
      <c r="G198">
        <f>Tableau4[[#This Row],[Cost (€/GJ)]]*3.6/1000</f>
        <v>2.0401084009546541E-2</v>
      </c>
      <c r="H198">
        <v>20.723404255319149</v>
      </c>
      <c r="I198">
        <f>Tableau4[[#This Row],[GHG (kgCO2eq/GJ)]]*3.6/1000</f>
        <v>7.4604255319148938E-2</v>
      </c>
      <c r="J198" t="s">
        <v>105</v>
      </c>
      <c r="K198" t="s">
        <v>108</v>
      </c>
    </row>
    <row r="199" spans="1:11" hidden="1" x14ac:dyDescent="0.3">
      <c r="A199" t="s">
        <v>15</v>
      </c>
      <c r="B199" t="s">
        <v>50</v>
      </c>
      <c r="C199" t="s">
        <v>74</v>
      </c>
      <c r="D199">
        <v>82</v>
      </c>
      <c r="E199">
        <f>Tableau4[[#This Row],[Potential (PJ)]]*1000/3.6</f>
        <v>22777.777777777777</v>
      </c>
      <c r="F199">
        <v>6.2889243902439027</v>
      </c>
      <c r="G199">
        <f>Tableau4[[#This Row],[Cost (€/GJ)]]*3.6/1000</f>
        <v>2.2640127804878053E-2</v>
      </c>
      <c r="H199">
        <v>2.0635593220338988</v>
      </c>
      <c r="I199">
        <f>Tableau4[[#This Row],[GHG (kgCO2eq/GJ)]]*3.6/1000</f>
        <v>7.428813559322036E-3</v>
      </c>
      <c r="J199" t="s">
        <v>105</v>
      </c>
      <c r="K199" t="s">
        <v>108</v>
      </c>
    </row>
    <row r="200" spans="1:11" hidden="1" x14ac:dyDescent="0.3">
      <c r="A200" t="s">
        <v>15</v>
      </c>
      <c r="B200" t="s">
        <v>51</v>
      </c>
      <c r="C200" t="s">
        <v>75</v>
      </c>
      <c r="D200">
        <v>168.85900000000001</v>
      </c>
      <c r="E200">
        <f>Tableau4[[#This Row],[Potential (PJ)]]*1000/3.6</f>
        <v>46905.277777777774</v>
      </c>
      <c r="F200">
        <v>4.3142055548883403E-2</v>
      </c>
      <c r="G200">
        <f>Tableau4[[#This Row],[Cost (€/GJ)]]*3.6/1000</f>
        <v>1.5531139997598025E-4</v>
      </c>
      <c r="H200">
        <v>11.74</v>
      </c>
      <c r="I200">
        <f>Tableau4[[#This Row],[GHG (kgCO2eq/GJ)]]*3.6/1000</f>
        <v>4.2264000000000003E-2</v>
      </c>
      <c r="J200" t="s">
        <v>104</v>
      </c>
      <c r="K200" t="s">
        <v>108</v>
      </c>
    </row>
    <row r="201" spans="1:11" hidden="1" x14ac:dyDescent="0.3">
      <c r="A201" t="s">
        <v>15</v>
      </c>
      <c r="B201" t="s">
        <v>60</v>
      </c>
      <c r="C201" t="s">
        <v>98</v>
      </c>
      <c r="D201">
        <v>103.05166</v>
      </c>
      <c r="E201">
        <f>Tableau4[[#This Row],[Potential (PJ)]]*1000/3.6</f>
        <v>28625.461111111112</v>
      </c>
      <c r="F201">
        <v>18.259935553168631</v>
      </c>
      <c r="G201">
        <f>Tableau4[[#This Row],[Cost (€/GJ)]]*3.6/1000</f>
        <v>6.5735767991407068E-2</v>
      </c>
      <c r="H201">
        <v>19.399999999999999</v>
      </c>
      <c r="I201">
        <f>Tableau4[[#This Row],[GHG (kgCO2eq/GJ)]]*3.6/1000</f>
        <v>6.9839999999999999E-2</v>
      </c>
      <c r="J201" t="s">
        <v>107</v>
      </c>
      <c r="K201" t="s">
        <v>109</v>
      </c>
    </row>
    <row r="202" spans="1:11" hidden="1" x14ac:dyDescent="0.3">
      <c r="A202" t="s">
        <v>15</v>
      </c>
      <c r="B202" t="s">
        <v>52</v>
      </c>
      <c r="C202" t="s">
        <v>76</v>
      </c>
      <c r="D202">
        <v>14.829000000000001</v>
      </c>
      <c r="E202">
        <f>Tableau4[[#This Row],[Potential (PJ)]]*1000/3.6</f>
        <v>4119.166666666667</v>
      </c>
      <c r="F202">
        <v>4.7567250000000003</v>
      </c>
      <c r="G202">
        <f>Tableau4[[#This Row],[Cost (€/GJ)]]*3.6/1000</f>
        <v>1.7124210000000001E-2</v>
      </c>
      <c r="H202">
        <v>12.68872359754714</v>
      </c>
      <c r="I202">
        <f>Tableau4[[#This Row],[GHG (kgCO2eq/GJ)]]*3.6/1000</f>
        <v>4.5679404951169705E-2</v>
      </c>
      <c r="J202" t="s">
        <v>105</v>
      </c>
      <c r="K202" t="s">
        <v>108</v>
      </c>
    </row>
    <row r="203" spans="1:11" hidden="1" x14ac:dyDescent="0.3">
      <c r="A203" t="s">
        <v>15</v>
      </c>
      <c r="B203" t="s">
        <v>53</v>
      </c>
      <c r="C203" t="s">
        <v>77</v>
      </c>
      <c r="D203">
        <v>25.5</v>
      </c>
      <c r="E203">
        <f>Tableau4[[#This Row],[Potential (PJ)]]*1000/3.6</f>
        <v>7083.333333333333</v>
      </c>
      <c r="F203">
        <v>3.0404392156862738</v>
      </c>
      <c r="G203">
        <f>Tableau4[[#This Row],[Cost (€/GJ)]]*3.6/1000</f>
        <v>1.0945581176470586E-2</v>
      </c>
      <c r="H203">
        <v>3.86607608129234</v>
      </c>
      <c r="I203">
        <f>Tableau4[[#This Row],[GHG (kgCO2eq/GJ)]]*3.6/1000</f>
        <v>1.3917873892652425E-2</v>
      </c>
      <c r="J203" t="s">
        <v>104</v>
      </c>
      <c r="K203" t="s">
        <v>108</v>
      </c>
    </row>
    <row r="204" spans="1:11" hidden="1" x14ac:dyDescent="0.3">
      <c r="A204" t="s">
        <v>15</v>
      </c>
      <c r="B204" t="s">
        <v>61</v>
      </c>
      <c r="C204" t="s">
        <v>99</v>
      </c>
      <c r="D204">
        <v>102.5</v>
      </c>
      <c r="E204">
        <f>Tableau4[[#This Row],[Potential (PJ)]]*1000/3.6</f>
        <v>28472.222222222223</v>
      </c>
      <c r="F204">
        <v>1.633119024390244</v>
      </c>
      <c r="G204">
        <f>Tableau4[[#This Row],[Cost (€/GJ)]]*3.6/1000</f>
        <v>5.8792284878048783E-3</v>
      </c>
      <c r="H204">
        <v>2.9245635910224439</v>
      </c>
      <c r="I204">
        <f>Tableau4[[#This Row],[GHG (kgCO2eq/GJ)]]*3.6/1000</f>
        <v>1.0528428927680798E-2</v>
      </c>
      <c r="J204" t="s">
        <v>104</v>
      </c>
      <c r="K204" t="s">
        <v>108</v>
      </c>
    </row>
    <row r="205" spans="1:11" hidden="1" x14ac:dyDescent="0.3">
      <c r="A205" t="s">
        <v>15</v>
      </c>
      <c r="B205" t="s">
        <v>62</v>
      </c>
      <c r="C205" t="s">
        <v>100</v>
      </c>
      <c r="D205">
        <v>27.8</v>
      </c>
      <c r="E205">
        <f>Tableau4[[#This Row],[Potential (PJ)]]*1000/3.6</f>
        <v>7722.2222222222217</v>
      </c>
      <c r="F205">
        <v>3.2374100719424467E-2</v>
      </c>
      <c r="G205">
        <f>Tableau4[[#This Row],[Cost (€/GJ)]]*3.6/1000</f>
        <v>1.1654676258992809E-4</v>
      </c>
      <c r="H205">
        <v>2.6764106050305911</v>
      </c>
      <c r="I205">
        <f>Tableau4[[#This Row],[GHG (kgCO2eq/GJ)]]*3.6/1000</f>
        <v>9.6350781781101274E-3</v>
      </c>
      <c r="J205" t="s">
        <v>104</v>
      </c>
      <c r="K205" t="s">
        <v>108</v>
      </c>
    </row>
    <row r="206" spans="1:11" hidden="1" x14ac:dyDescent="0.3">
      <c r="A206" t="s">
        <v>15</v>
      </c>
      <c r="B206" t="s">
        <v>54</v>
      </c>
      <c r="C206" t="s">
        <v>78</v>
      </c>
      <c r="D206">
        <v>400.2</v>
      </c>
      <c r="E206">
        <f>Tableau4[[#This Row],[Potential (PJ)]]*1000/3.6</f>
        <v>111166.66666666666</v>
      </c>
      <c r="F206">
        <v>5.8796746626686653</v>
      </c>
      <c r="G206">
        <f>Tableau4[[#This Row],[Cost (€/GJ)]]*3.6/1000</f>
        <v>2.1166828785607193E-2</v>
      </c>
      <c r="H206">
        <v>3.86607608129234</v>
      </c>
      <c r="I206">
        <f>Tableau4[[#This Row],[GHG (kgCO2eq/GJ)]]*3.6/1000</f>
        <v>1.3917873892652425E-2</v>
      </c>
      <c r="J206" t="s">
        <v>104</v>
      </c>
      <c r="K206" t="s">
        <v>108</v>
      </c>
    </row>
    <row r="207" spans="1:11" hidden="1" x14ac:dyDescent="0.3">
      <c r="A207" t="s">
        <v>16</v>
      </c>
      <c r="B207" t="s">
        <v>46</v>
      </c>
      <c r="C207" t="s">
        <v>64</v>
      </c>
      <c r="D207">
        <v>1.9689999999999999E-2</v>
      </c>
      <c r="E207">
        <f>Tableau4[[#This Row],[Potential (PJ)]]*1000/3.6</f>
        <v>5.4694444444444441</v>
      </c>
      <c r="F207">
        <v>2.8250492635855768</v>
      </c>
      <c r="G207">
        <f>Tableau4[[#This Row],[Cost (€/GJ)]]*3.6/1000</f>
        <v>1.0170177348908077E-2</v>
      </c>
      <c r="H207">
        <v>2.9521711768407801</v>
      </c>
      <c r="I207">
        <f>Tableau4[[#This Row],[GHG (kgCO2eq/GJ)]]*3.6/1000</f>
        <v>1.0627816236626808E-2</v>
      </c>
      <c r="J207" t="s">
        <v>104</v>
      </c>
      <c r="K207" t="s">
        <v>108</v>
      </c>
    </row>
    <row r="208" spans="1:11" hidden="1" x14ac:dyDescent="0.3">
      <c r="A208" t="s">
        <v>16</v>
      </c>
      <c r="B208" t="s">
        <v>46</v>
      </c>
      <c r="C208" t="s">
        <v>79</v>
      </c>
      <c r="D208">
        <v>30.8</v>
      </c>
      <c r="E208">
        <f>Tableau4[[#This Row],[Potential (PJ)]]*1000/3.6</f>
        <v>8555.5555555555547</v>
      </c>
      <c r="F208">
        <v>3.449938311688312</v>
      </c>
      <c r="G208">
        <f>Tableau4[[#This Row],[Cost (€/GJ)]]*3.6/1000</f>
        <v>1.2419777922077923E-2</v>
      </c>
      <c r="H208">
        <v>6.8428961748633883</v>
      </c>
      <c r="I208">
        <f>Tableau4[[#This Row],[GHG (kgCO2eq/GJ)]]*3.6/1000</f>
        <v>2.4634426229508198E-2</v>
      </c>
      <c r="J208" t="s">
        <v>104</v>
      </c>
      <c r="K208" t="s">
        <v>108</v>
      </c>
    </row>
    <row r="209" spans="1:11" hidden="1" x14ac:dyDescent="0.3">
      <c r="A209" t="s">
        <v>16</v>
      </c>
      <c r="B209" t="s">
        <v>46</v>
      </c>
      <c r="C209" t="s">
        <v>80</v>
      </c>
      <c r="D209">
        <v>0.23219999999999999</v>
      </c>
      <c r="E209">
        <f>Tableau4[[#This Row],[Potential (PJ)]]*1000/3.6</f>
        <v>64.5</v>
      </c>
      <c r="F209">
        <v>0.58125421443020897</v>
      </c>
      <c r="G209">
        <f>Tableau4[[#This Row],[Cost (€/GJ)]]*3.6/1000</f>
        <v>2.0925151719487522E-3</v>
      </c>
      <c r="H209">
        <v>28.139870918023309</v>
      </c>
      <c r="I209">
        <f>Tableau4[[#This Row],[GHG (kgCO2eq/GJ)]]*3.6/1000</f>
        <v>0.10130353530488391</v>
      </c>
      <c r="J209" t="s">
        <v>105</v>
      </c>
      <c r="K209" t="s">
        <v>108</v>
      </c>
    </row>
    <row r="210" spans="1:11" hidden="1" x14ac:dyDescent="0.3">
      <c r="A210" t="s">
        <v>16</v>
      </c>
      <c r="B210" t="s">
        <v>46</v>
      </c>
      <c r="C210" t="s">
        <v>81</v>
      </c>
      <c r="D210">
        <v>2.4744999999999999</v>
      </c>
      <c r="E210">
        <f>Tableau4[[#This Row],[Potential (PJ)]]*1000/3.6</f>
        <v>687.36111111111109</v>
      </c>
      <c r="F210">
        <v>1.7121034077555819</v>
      </c>
      <c r="G210">
        <f>Tableau4[[#This Row],[Cost (€/GJ)]]*3.6/1000</f>
        <v>6.1635722679200949E-3</v>
      </c>
      <c r="H210">
        <v>8.9647473560517046</v>
      </c>
      <c r="I210">
        <f>Tableau4[[#This Row],[GHG (kgCO2eq/GJ)]]*3.6/1000</f>
        <v>3.2273090481786136E-2</v>
      </c>
      <c r="J210" t="s">
        <v>105</v>
      </c>
      <c r="K210" t="s">
        <v>108</v>
      </c>
    </row>
    <row r="211" spans="1:11" hidden="1" x14ac:dyDescent="0.3">
      <c r="A211" t="s">
        <v>16</v>
      </c>
      <c r="B211" t="s">
        <v>46</v>
      </c>
      <c r="C211" t="s">
        <v>84</v>
      </c>
      <c r="D211">
        <v>0.2</v>
      </c>
      <c r="E211">
        <f>Tableau4[[#This Row],[Potential (PJ)]]*1000/3.6</f>
        <v>55.555555555555557</v>
      </c>
      <c r="F211">
        <v>3.0910000000000002</v>
      </c>
      <c r="G211">
        <f>Tableau4[[#This Row],[Cost (€/GJ)]]*3.6/1000</f>
        <v>1.1127600000000001E-2</v>
      </c>
      <c r="H211">
        <v>28.139870918023309</v>
      </c>
      <c r="I211">
        <f>Tableau4[[#This Row],[GHG (kgCO2eq/GJ)]]*3.6/1000</f>
        <v>0.10130353530488391</v>
      </c>
      <c r="J211" t="s">
        <v>105</v>
      </c>
      <c r="K211" t="s">
        <v>108</v>
      </c>
    </row>
    <row r="212" spans="1:11" hidden="1" x14ac:dyDescent="0.3">
      <c r="A212" t="s">
        <v>16</v>
      </c>
      <c r="B212" t="s">
        <v>55</v>
      </c>
      <c r="C212" t="s">
        <v>86</v>
      </c>
      <c r="D212">
        <v>1.1796</v>
      </c>
      <c r="E212">
        <f>Tableau4[[#This Row],[Potential (PJ)]]*1000/3.6</f>
        <v>327.66666666666663</v>
      </c>
      <c r="F212">
        <v>18.36</v>
      </c>
      <c r="G212">
        <f>Tableau4[[#This Row],[Cost (€/GJ)]]*3.6/1000</f>
        <v>6.6096000000000002E-2</v>
      </c>
      <c r="H212">
        <v>22.2</v>
      </c>
      <c r="I212">
        <f>Tableau4[[#This Row],[GHG (kgCO2eq/GJ)]]*3.6/1000</f>
        <v>7.9920000000000005E-2</v>
      </c>
      <c r="J212" t="s">
        <v>106</v>
      </c>
      <c r="K212" t="s">
        <v>109</v>
      </c>
    </row>
    <row r="213" spans="1:11" hidden="1" x14ac:dyDescent="0.3">
      <c r="A213" t="s">
        <v>16</v>
      </c>
      <c r="B213" t="s">
        <v>55</v>
      </c>
      <c r="C213" t="s">
        <v>91</v>
      </c>
      <c r="D213">
        <v>3.7000000000000002E-3</v>
      </c>
      <c r="E213">
        <f>Tableau4[[#This Row],[Potential (PJ)]]*1000/3.6</f>
        <v>1.0277777777777779</v>
      </c>
      <c r="F213">
        <v>15.871</v>
      </c>
      <c r="G213">
        <f>Tableau4[[#This Row],[Cost (€/GJ)]]*3.6/1000</f>
        <v>5.7135600000000002E-2</v>
      </c>
      <c r="H213">
        <v>22.2</v>
      </c>
      <c r="I213">
        <f>Tableau4[[#This Row],[GHG (kgCO2eq/GJ)]]*3.6/1000</f>
        <v>7.9920000000000005E-2</v>
      </c>
      <c r="J213" t="s">
        <v>106</v>
      </c>
      <c r="K213" t="s">
        <v>109</v>
      </c>
    </row>
    <row r="214" spans="1:11" hidden="1" x14ac:dyDescent="0.3">
      <c r="A214" t="s">
        <v>16</v>
      </c>
      <c r="B214" t="s">
        <v>55</v>
      </c>
      <c r="C214" t="s">
        <v>92</v>
      </c>
      <c r="D214">
        <v>0.71046999999999993</v>
      </c>
      <c r="E214">
        <f>Tableau4[[#This Row],[Potential (PJ)]]*1000/3.6</f>
        <v>197.35277777777776</v>
      </c>
      <c r="F214">
        <v>17.760000000000002</v>
      </c>
      <c r="G214">
        <f>Tableau4[[#This Row],[Cost (€/GJ)]]*3.6/1000</f>
        <v>6.3936000000000007E-2</v>
      </c>
      <c r="H214">
        <v>22.2</v>
      </c>
      <c r="I214">
        <f>Tableau4[[#This Row],[GHG (kgCO2eq/GJ)]]*3.6/1000</f>
        <v>7.9920000000000005E-2</v>
      </c>
      <c r="J214" t="s">
        <v>106</v>
      </c>
      <c r="K214" t="s">
        <v>109</v>
      </c>
    </row>
    <row r="215" spans="1:11" hidden="1" x14ac:dyDescent="0.3">
      <c r="A215" t="s">
        <v>16</v>
      </c>
      <c r="B215" t="s">
        <v>56</v>
      </c>
      <c r="C215" t="s">
        <v>93</v>
      </c>
      <c r="D215">
        <v>2.9689999999999999</v>
      </c>
      <c r="E215">
        <f>Tableau4[[#This Row],[Potential (PJ)]]*1000/3.6</f>
        <v>824.72222222222217</v>
      </c>
      <c r="F215">
        <v>4.3084337349397588</v>
      </c>
      <c r="G215">
        <f>Tableau4[[#This Row],[Cost (€/GJ)]]*3.6/1000</f>
        <v>1.5510361445783133E-2</v>
      </c>
      <c r="H215">
        <v>29.8</v>
      </c>
      <c r="I215">
        <f>Tableau4[[#This Row],[GHG (kgCO2eq/GJ)]]*3.6/1000</f>
        <v>0.10728</v>
      </c>
      <c r="J215" t="s">
        <v>106</v>
      </c>
      <c r="K215" t="s">
        <v>109</v>
      </c>
    </row>
    <row r="216" spans="1:11" hidden="1" x14ac:dyDescent="0.3">
      <c r="A216" t="s">
        <v>16</v>
      </c>
      <c r="B216" t="s">
        <v>47</v>
      </c>
      <c r="C216" t="s">
        <v>101</v>
      </c>
      <c r="D216">
        <v>7.6999999999999993</v>
      </c>
      <c r="E216">
        <f>Tableau4[[#This Row],[Potential (PJ)]]*1000/3.6</f>
        <v>2138.8888888888887</v>
      </c>
      <c r="F216">
        <v>7.2739610389610387</v>
      </c>
      <c r="G216">
        <f>Tableau4[[#This Row],[Cost (€/GJ)]]*3.6/1000</f>
        <v>2.6186259740259739E-2</v>
      </c>
      <c r="H216">
        <v>37.5</v>
      </c>
      <c r="I216">
        <f>Tableau4[[#This Row],[GHG (kgCO2eq/GJ)]]*3.6/1000</f>
        <v>0.13500000000000001</v>
      </c>
      <c r="J216" t="s">
        <v>104</v>
      </c>
      <c r="K216" t="s">
        <v>109</v>
      </c>
    </row>
    <row r="217" spans="1:11" hidden="1" x14ac:dyDescent="0.3">
      <c r="A217" t="s">
        <v>16</v>
      </c>
      <c r="B217" t="s">
        <v>57</v>
      </c>
      <c r="C217" t="s">
        <v>94</v>
      </c>
      <c r="D217">
        <v>3.3</v>
      </c>
      <c r="E217">
        <f>Tableau4[[#This Row],[Potential (PJ)]]*1000/3.6</f>
        <v>916.66666666666663</v>
      </c>
      <c r="F217">
        <v>14.366424242424239</v>
      </c>
      <c r="G217">
        <f>Tableau4[[#This Row],[Cost (€/GJ)]]*3.6/1000</f>
        <v>5.1719127272727261E-2</v>
      </c>
      <c r="H217">
        <v>15.9</v>
      </c>
      <c r="I217">
        <f>Tableau4[[#This Row],[GHG (kgCO2eq/GJ)]]*3.6/1000</f>
        <v>5.7239999999999999E-2</v>
      </c>
      <c r="J217" t="s">
        <v>104</v>
      </c>
      <c r="K217" t="s">
        <v>109</v>
      </c>
    </row>
    <row r="218" spans="1:11" hidden="1" x14ac:dyDescent="0.3">
      <c r="A218" t="s">
        <v>16</v>
      </c>
      <c r="B218" t="s">
        <v>49</v>
      </c>
      <c r="C218" t="s">
        <v>71</v>
      </c>
      <c r="D218">
        <v>42.285080000000001</v>
      </c>
      <c r="E218">
        <f>Tableau4[[#This Row],[Potential (PJ)]]*1000/3.6</f>
        <v>11745.855555555556</v>
      </c>
      <c r="F218">
        <v>3.3323964369938519</v>
      </c>
      <c r="G218">
        <f>Tableau4[[#This Row],[Cost (€/GJ)]]*3.6/1000</f>
        <v>1.1996627173177867E-2</v>
      </c>
      <c r="H218">
        <v>3.86607608129234</v>
      </c>
      <c r="I218">
        <f>Tableau4[[#This Row],[GHG (kgCO2eq/GJ)]]*3.6/1000</f>
        <v>1.3917873892652425E-2</v>
      </c>
      <c r="J218" t="s">
        <v>104</v>
      </c>
      <c r="K218" t="s">
        <v>108</v>
      </c>
    </row>
    <row r="219" spans="1:11" hidden="1" x14ac:dyDescent="0.3">
      <c r="A219" t="s">
        <v>16</v>
      </c>
      <c r="B219" t="s">
        <v>49</v>
      </c>
      <c r="C219" t="s">
        <v>72</v>
      </c>
      <c r="D219">
        <v>10.8</v>
      </c>
      <c r="E219">
        <f>Tableau4[[#This Row],[Potential (PJ)]]*1000/3.6</f>
        <v>3000</v>
      </c>
      <c r="F219">
        <v>2.6842870370370369</v>
      </c>
      <c r="G219">
        <f>Tableau4[[#This Row],[Cost (€/GJ)]]*3.6/1000</f>
        <v>9.6634333333333339E-3</v>
      </c>
      <c r="H219">
        <v>3.86607608129234</v>
      </c>
      <c r="I219">
        <f>Tableau4[[#This Row],[GHG (kgCO2eq/GJ)]]*3.6/1000</f>
        <v>1.3917873892652425E-2</v>
      </c>
      <c r="J219" t="s">
        <v>104</v>
      </c>
      <c r="K219" t="s">
        <v>108</v>
      </c>
    </row>
    <row r="220" spans="1:11" hidden="1" x14ac:dyDescent="0.3">
      <c r="A220" t="s">
        <v>16</v>
      </c>
      <c r="B220" t="s">
        <v>58</v>
      </c>
      <c r="C220" t="s">
        <v>95</v>
      </c>
      <c r="D220">
        <v>7.4134799999999998</v>
      </c>
      <c r="E220">
        <f>Tableau4[[#This Row],[Potential (PJ)]]*1000/3.6</f>
        <v>2059.2999999999997</v>
      </c>
      <c r="F220">
        <v>2.2709999999999999</v>
      </c>
      <c r="G220">
        <f>Tableau4[[#This Row],[Cost (€/GJ)]]*3.6/1000</f>
        <v>8.1755999999999999E-3</v>
      </c>
      <c r="H220">
        <v>2.9521711768407801</v>
      </c>
      <c r="I220">
        <f>Tableau4[[#This Row],[GHG (kgCO2eq/GJ)]]*3.6/1000</f>
        <v>1.0627816236626808E-2</v>
      </c>
      <c r="J220" t="s">
        <v>104</v>
      </c>
      <c r="K220" t="s">
        <v>108</v>
      </c>
    </row>
    <row r="221" spans="1:11" hidden="1" x14ac:dyDescent="0.3">
      <c r="A221" t="s">
        <v>16</v>
      </c>
      <c r="B221" t="s">
        <v>50</v>
      </c>
      <c r="C221" t="s">
        <v>73</v>
      </c>
      <c r="D221">
        <v>22.4</v>
      </c>
      <c r="E221">
        <f>Tableau4[[#This Row],[Potential (PJ)]]*1000/3.6</f>
        <v>6222.2222222222217</v>
      </c>
      <c r="F221">
        <v>6.6314419642857141</v>
      </c>
      <c r="G221">
        <f>Tableau4[[#This Row],[Cost (€/GJ)]]*3.6/1000</f>
        <v>2.3873191071428573E-2</v>
      </c>
      <c r="H221">
        <v>20.723404255319149</v>
      </c>
      <c r="I221">
        <f>Tableau4[[#This Row],[GHG (kgCO2eq/GJ)]]*3.6/1000</f>
        <v>7.4604255319148938E-2</v>
      </c>
      <c r="J221" t="s">
        <v>105</v>
      </c>
      <c r="K221" t="s">
        <v>108</v>
      </c>
    </row>
    <row r="222" spans="1:11" hidden="1" x14ac:dyDescent="0.3">
      <c r="A222" t="s">
        <v>16</v>
      </c>
      <c r="B222" t="s">
        <v>50</v>
      </c>
      <c r="C222" t="s">
        <v>74</v>
      </c>
      <c r="D222">
        <v>32.799999999999997</v>
      </c>
      <c r="E222">
        <f>Tableau4[[#This Row],[Potential (PJ)]]*1000/3.6</f>
        <v>9111.1111111111113</v>
      </c>
      <c r="F222">
        <v>7.2445731707317069</v>
      </c>
      <c r="G222">
        <f>Tableau4[[#This Row],[Cost (€/GJ)]]*3.6/1000</f>
        <v>2.6080463414634145E-2</v>
      </c>
      <c r="H222">
        <v>2.0635593220338988</v>
      </c>
      <c r="I222">
        <f>Tableau4[[#This Row],[GHG (kgCO2eq/GJ)]]*3.6/1000</f>
        <v>7.428813559322036E-3</v>
      </c>
      <c r="J222" t="s">
        <v>105</v>
      </c>
      <c r="K222" t="s">
        <v>108</v>
      </c>
    </row>
    <row r="223" spans="1:11" hidden="1" x14ac:dyDescent="0.3">
      <c r="A223" t="s">
        <v>16</v>
      </c>
      <c r="B223" t="s">
        <v>51</v>
      </c>
      <c r="C223" t="s">
        <v>75</v>
      </c>
      <c r="D223">
        <v>33.210090000000001</v>
      </c>
      <c r="E223">
        <f>Tableau4[[#This Row],[Potential (PJ)]]*1000/3.6</f>
        <v>9225.0250000000015</v>
      </c>
      <c r="F223">
        <v>3.2264125419211699E-3</v>
      </c>
      <c r="G223">
        <f>Tableau4[[#This Row],[Cost (€/GJ)]]*3.6/1000</f>
        <v>1.1615085150916213E-5</v>
      </c>
      <c r="H223">
        <v>11.74</v>
      </c>
      <c r="I223">
        <f>Tableau4[[#This Row],[GHG (kgCO2eq/GJ)]]*3.6/1000</f>
        <v>4.2264000000000003E-2</v>
      </c>
      <c r="J223" t="s">
        <v>104</v>
      </c>
      <c r="K223" t="s">
        <v>108</v>
      </c>
    </row>
    <row r="224" spans="1:11" hidden="1" x14ac:dyDescent="0.3">
      <c r="A224" t="s">
        <v>16</v>
      </c>
      <c r="B224" t="s">
        <v>60</v>
      </c>
      <c r="C224" t="s">
        <v>98</v>
      </c>
      <c r="D224">
        <v>7.8700000000000003E-3</v>
      </c>
      <c r="E224">
        <f>Tableau4[[#This Row],[Potential (PJ)]]*1000/3.6</f>
        <v>2.1861111111111109</v>
      </c>
      <c r="F224">
        <v>18.421052631578949</v>
      </c>
      <c r="G224">
        <f>Tableau4[[#This Row],[Cost (€/GJ)]]*3.6/1000</f>
        <v>6.6315789473684217E-2</v>
      </c>
      <c r="H224">
        <v>32.6</v>
      </c>
      <c r="I224">
        <f>Tableau4[[#This Row],[GHG (kgCO2eq/GJ)]]*3.6/1000</f>
        <v>0.11736000000000002</v>
      </c>
      <c r="J224" t="s">
        <v>107</v>
      </c>
      <c r="K224" t="s">
        <v>109</v>
      </c>
    </row>
    <row r="225" spans="1:11" hidden="1" x14ac:dyDescent="0.3">
      <c r="A225" t="s">
        <v>16</v>
      </c>
      <c r="B225" t="s">
        <v>52</v>
      </c>
      <c r="C225" t="s">
        <v>76</v>
      </c>
      <c r="D225">
        <v>0.48599999999999999</v>
      </c>
      <c r="E225">
        <f>Tableau4[[#This Row],[Potential (PJ)]]*1000/3.6</f>
        <v>135</v>
      </c>
      <c r="F225">
        <v>4.7567250000000003</v>
      </c>
      <c r="G225">
        <f>Tableau4[[#This Row],[Cost (€/GJ)]]*3.6/1000</f>
        <v>1.7124210000000001E-2</v>
      </c>
      <c r="H225">
        <v>12.68872359754714</v>
      </c>
      <c r="I225">
        <f>Tableau4[[#This Row],[GHG (kgCO2eq/GJ)]]*3.6/1000</f>
        <v>4.5679404951169705E-2</v>
      </c>
      <c r="J225" t="s">
        <v>105</v>
      </c>
      <c r="K225" t="s">
        <v>108</v>
      </c>
    </row>
    <row r="226" spans="1:11" hidden="1" x14ac:dyDescent="0.3">
      <c r="A226" t="s">
        <v>16</v>
      </c>
      <c r="B226" t="s">
        <v>53</v>
      </c>
      <c r="C226" t="s">
        <v>77</v>
      </c>
      <c r="D226">
        <v>4.5999999999999996</v>
      </c>
      <c r="E226">
        <f>Tableau4[[#This Row],[Potential (PJ)]]*1000/3.6</f>
        <v>1277.7777777777778</v>
      </c>
      <c r="F226">
        <v>2.684347826086956</v>
      </c>
      <c r="G226">
        <f>Tableau4[[#This Row],[Cost (€/GJ)]]*3.6/1000</f>
        <v>9.663652173913042E-3</v>
      </c>
      <c r="H226">
        <v>3.86607608129234</v>
      </c>
      <c r="I226">
        <f>Tableau4[[#This Row],[GHG (kgCO2eq/GJ)]]*3.6/1000</f>
        <v>1.3917873892652425E-2</v>
      </c>
      <c r="J226" t="s">
        <v>104</v>
      </c>
      <c r="K226" t="s">
        <v>108</v>
      </c>
    </row>
    <row r="227" spans="1:11" hidden="1" x14ac:dyDescent="0.3">
      <c r="A227" t="s">
        <v>16</v>
      </c>
      <c r="B227" t="s">
        <v>61</v>
      </c>
      <c r="C227" t="s">
        <v>99</v>
      </c>
      <c r="D227">
        <v>1.8</v>
      </c>
      <c r="E227">
        <f>Tableau4[[#This Row],[Potential (PJ)]]*1000/3.6</f>
        <v>500</v>
      </c>
      <c r="F227">
        <v>1.6928888888888891</v>
      </c>
      <c r="G227">
        <f>Tableau4[[#This Row],[Cost (€/GJ)]]*3.6/1000</f>
        <v>6.0944000000000016E-3</v>
      </c>
      <c r="H227">
        <v>2.9245635910224439</v>
      </c>
      <c r="I227">
        <f>Tableau4[[#This Row],[GHG (kgCO2eq/GJ)]]*3.6/1000</f>
        <v>1.0528428927680798E-2</v>
      </c>
      <c r="J227" t="s">
        <v>104</v>
      </c>
      <c r="K227" t="s">
        <v>108</v>
      </c>
    </row>
    <row r="228" spans="1:11" hidden="1" x14ac:dyDescent="0.3">
      <c r="A228" t="s">
        <v>16</v>
      </c>
      <c r="B228" t="s">
        <v>62</v>
      </c>
      <c r="C228" t="s">
        <v>100</v>
      </c>
      <c r="D228">
        <v>0.60000000000000009</v>
      </c>
      <c r="E228">
        <f>Tableau4[[#This Row],[Potential (PJ)]]*1000/3.6</f>
        <v>166.66666666666669</v>
      </c>
      <c r="F228">
        <v>0.58333333333333326</v>
      </c>
      <c r="G228">
        <f>Tableau4[[#This Row],[Cost (€/GJ)]]*3.6/1000</f>
        <v>2.0999999999999994E-3</v>
      </c>
      <c r="H228">
        <v>2.6764106050305911</v>
      </c>
      <c r="I228">
        <f>Tableau4[[#This Row],[GHG (kgCO2eq/GJ)]]*3.6/1000</f>
        <v>9.6350781781101274E-3</v>
      </c>
      <c r="J228" t="s">
        <v>104</v>
      </c>
      <c r="K228" t="s">
        <v>108</v>
      </c>
    </row>
    <row r="229" spans="1:11" hidden="1" x14ac:dyDescent="0.3">
      <c r="A229" t="s">
        <v>16</v>
      </c>
      <c r="B229" t="s">
        <v>54</v>
      </c>
      <c r="C229" t="s">
        <v>78</v>
      </c>
      <c r="D229">
        <v>17.899999999999999</v>
      </c>
      <c r="E229">
        <f>Tableau4[[#This Row],[Potential (PJ)]]*1000/3.6</f>
        <v>4972.2222222222217</v>
      </c>
      <c r="F229">
        <v>5.0235139664804471</v>
      </c>
      <c r="G229">
        <f>Tableau4[[#This Row],[Cost (€/GJ)]]*3.6/1000</f>
        <v>1.8084650279329612E-2</v>
      </c>
      <c r="H229">
        <v>3.86607608129234</v>
      </c>
      <c r="I229">
        <f>Tableau4[[#This Row],[GHG (kgCO2eq/GJ)]]*3.6/1000</f>
        <v>1.3917873892652425E-2</v>
      </c>
      <c r="J229" t="s">
        <v>104</v>
      </c>
      <c r="K229" t="s">
        <v>108</v>
      </c>
    </row>
    <row r="230" spans="1:11" hidden="1" x14ac:dyDescent="0.3">
      <c r="A230" t="s">
        <v>17</v>
      </c>
      <c r="B230" t="s">
        <v>46</v>
      </c>
      <c r="C230" t="s">
        <v>64</v>
      </c>
      <c r="D230">
        <v>3.46E-3</v>
      </c>
      <c r="E230">
        <f>Tableau4[[#This Row],[Potential (PJ)]]*1000/3.6</f>
        <v>0.96111111111111103</v>
      </c>
      <c r="F230">
        <v>2.577</v>
      </c>
      <c r="G230">
        <f>Tableau4[[#This Row],[Cost (€/GJ)]]*3.6/1000</f>
        <v>9.2772000000000011E-3</v>
      </c>
      <c r="H230">
        <v>2.9521711768407801</v>
      </c>
      <c r="I230">
        <f>Tableau4[[#This Row],[GHG (kgCO2eq/GJ)]]*3.6/1000</f>
        <v>1.0627816236626808E-2</v>
      </c>
      <c r="J230" t="s">
        <v>104</v>
      </c>
      <c r="K230" t="s">
        <v>108</v>
      </c>
    </row>
    <row r="231" spans="1:11" hidden="1" x14ac:dyDescent="0.3">
      <c r="A231" t="s">
        <v>17</v>
      </c>
      <c r="B231" t="s">
        <v>46</v>
      </c>
      <c r="C231" t="s">
        <v>79</v>
      </c>
      <c r="D231">
        <v>7.4</v>
      </c>
      <c r="E231">
        <f>Tableau4[[#This Row],[Potential (PJ)]]*1000/3.6</f>
        <v>2055.5555555555557</v>
      </c>
      <c r="F231">
        <v>1.925</v>
      </c>
      <c r="G231">
        <f>Tableau4[[#This Row],[Cost (€/GJ)]]*3.6/1000</f>
        <v>6.9300000000000004E-3</v>
      </c>
      <c r="H231">
        <v>6.8428961748633883</v>
      </c>
      <c r="I231">
        <f>Tableau4[[#This Row],[GHG (kgCO2eq/GJ)]]*3.6/1000</f>
        <v>2.4634426229508198E-2</v>
      </c>
      <c r="J231" t="s">
        <v>104</v>
      </c>
      <c r="K231" t="s">
        <v>108</v>
      </c>
    </row>
    <row r="232" spans="1:11" hidden="1" x14ac:dyDescent="0.3">
      <c r="A232" t="s">
        <v>17</v>
      </c>
      <c r="B232" t="s">
        <v>46</v>
      </c>
      <c r="C232" t="s">
        <v>80</v>
      </c>
      <c r="D232">
        <v>3.6299999999999999E-2</v>
      </c>
      <c r="E232">
        <f>Tableau4[[#This Row],[Potential (PJ)]]*1000/3.6</f>
        <v>10.083333333333332</v>
      </c>
      <c r="F232">
        <v>0.28186109238031021</v>
      </c>
      <c r="G232">
        <f>Tableau4[[#This Row],[Cost (€/GJ)]]*3.6/1000</f>
        <v>1.0146999325691167E-3</v>
      </c>
      <c r="H232">
        <v>28.139870918023309</v>
      </c>
      <c r="I232">
        <f>Tableau4[[#This Row],[GHG (kgCO2eq/GJ)]]*3.6/1000</f>
        <v>0.10130353530488391</v>
      </c>
      <c r="J232" t="s">
        <v>105</v>
      </c>
      <c r="K232" t="s">
        <v>108</v>
      </c>
    </row>
    <row r="233" spans="1:11" hidden="1" x14ac:dyDescent="0.3">
      <c r="A233" t="s">
        <v>17</v>
      </c>
      <c r="B233" t="s">
        <v>46</v>
      </c>
      <c r="C233" t="s">
        <v>81</v>
      </c>
      <c r="D233">
        <v>0.56189999999999996</v>
      </c>
      <c r="E233">
        <f>Tableau4[[#This Row],[Potential (PJ)]]*1000/3.6</f>
        <v>156.08333333333331</v>
      </c>
      <c r="F233">
        <v>2.0681551116333732</v>
      </c>
      <c r="G233">
        <f>Tableau4[[#This Row],[Cost (€/GJ)]]*3.6/1000</f>
        <v>7.4453584018801438E-3</v>
      </c>
      <c r="H233">
        <v>8.9647473560517046</v>
      </c>
      <c r="I233">
        <f>Tableau4[[#This Row],[GHG (kgCO2eq/GJ)]]*3.6/1000</f>
        <v>3.2273090481786136E-2</v>
      </c>
      <c r="J233" t="s">
        <v>105</v>
      </c>
      <c r="K233" t="s">
        <v>108</v>
      </c>
    </row>
    <row r="234" spans="1:11" hidden="1" x14ac:dyDescent="0.3">
      <c r="A234" t="s">
        <v>17</v>
      </c>
      <c r="B234" t="s">
        <v>55</v>
      </c>
      <c r="C234" t="s">
        <v>86</v>
      </c>
      <c r="D234">
        <v>5.0461999999999998</v>
      </c>
      <c r="E234">
        <f>Tableau4[[#This Row],[Potential (PJ)]]*1000/3.6</f>
        <v>1401.7222222222222</v>
      </c>
      <c r="F234">
        <v>13.441000000000001</v>
      </c>
      <c r="G234">
        <f>Tableau4[[#This Row],[Cost (€/GJ)]]*3.6/1000</f>
        <v>4.8387600000000003E-2</v>
      </c>
      <c r="H234">
        <v>27</v>
      </c>
      <c r="I234">
        <f>Tableau4[[#This Row],[GHG (kgCO2eq/GJ)]]*3.6/1000</f>
        <v>9.7200000000000009E-2</v>
      </c>
      <c r="J234" t="s">
        <v>106</v>
      </c>
      <c r="K234" t="s">
        <v>109</v>
      </c>
    </row>
    <row r="235" spans="1:11" hidden="1" x14ac:dyDescent="0.3">
      <c r="A235" t="s">
        <v>17</v>
      </c>
      <c r="B235" t="s">
        <v>55</v>
      </c>
      <c r="C235" t="s">
        <v>89</v>
      </c>
      <c r="D235">
        <v>1.3100000000000001E-2</v>
      </c>
      <c r="E235">
        <f>Tableau4[[#This Row],[Potential (PJ)]]*1000/3.6</f>
        <v>3.6388888888888893</v>
      </c>
      <c r="F235">
        <v>0</v>
      </c>
      <c r="G235">
        <f>Tableau4[[#This Row],[Cost (€/GJ)]]*3.6/1000</f>
        <v>0</v>
      </c>
      <c r="H235">
        <v>27</v>
      </c>
      <c r="I235">
        <f>Tableau4[[#This Row],[GHG (kgCO2eq/GJ)]]*3.6/1000</f>
        <v>9.7200000000000009E-2</v>
      </c>
      <c r="J235" t="s">
        <v>106</v>
      </c>
      <c r="K235" t="s">
        <v>109</v>
      </c>
    </row>
    <row r="236" spans="1:11" hidden="1" x14ac:dyDescent="0.3">
      <c r="A236" t="s">
        <v>17</v>
      </c>
      <c r="B236" t="s">
        <v>55</v>
      </c>
      <c r="C236" t="s">
        <v>91</v>
      </c>
      <c r="D236">
        <v>4.6908000000000003</v>
      </c>
      <c r="E236">
        <f>Tableau4[[#This Row],[Potential (PJ)]]*1000/3.6</f>
        <v>1303</v>
      </c>
      <c r="F236">
        <v>14.701000000000001</v>
      </c>
      <c r="G236">
        <f>Tableau4[[#This Row],[Cost (€/GJ)]]*3.6/1000</f>
        <v>5.2923600000000001E-2</v>
      </c>
      <c r="H236">
        <v>27</v>
      </c>
      <c r="I236">
        <f>Tableau4[[#This Row],[GHG (kgCO2eq/GJ)]]*3.6/1000</f>
        <v>9.7200000000000009E-2</v>
      </c>
      <c r="J236" t="s">
        <v>106</v>
      </c>
      <c r="K236" t="s">
        <v>109</v>
      </c>
    </row>
    <row r="237" spans="1:11" hidden="1" x14ac:dyDescent="0.3">
      <c r="A237" t="s">
        <v>17</v>
      </c>
      <c r="B237" t="s">
        <v>55</v>
      </c>
      <c r="C237" t="s">
        <v>92</v>
      </c>
      <c r="D237">
        <v>5.7811500000000002</v>
      </c>
      <c r="E237">
        <f>Tableau4[[#This Row],[Potential (PJ)]]*1000/3.6</f>
        <v>1605.875</v>
      </c>
      <c r="F237">
        <v>15.894</v>
      </c>
      <c r="G237">
        <f>Tableau4[[#This Row],[Cost (€/GJ)]]*3.6/1000</f>
        <v>5.7218400000000003E-2</v>
      </c>
      <c r="H237">
        <v>27</v>
      </c>
      <c r="I237">
        <f>Tableau4[[#This Row],[GHG (kgCO2eq/GJ)]]*3.6/1000</f>
        <v>9.7200000000000009E-2</v>
      </c>
      <c r="J237" t="s">
        <v>106</v>
      </c>
      <c r="K237" t="s">
        <v>109</v>
      </c>
    </row>
    <row r="238" spans="1:11" hidden="1" x14ac:dyDescent="0.3">
      <c r="A238" t="s">
        <v>17</v>
      </c>
      <c r="B238" t="s">
        <v>47</v>
      </c>
      <c r="C238" t="s">
        <v>101</v>
      </c>
      <c r="D238">
        <v>2.7</v>
      </c>
      <c r="E238">
        <f>Tableau4[[#This Row],[Potential (PJ)]]*1000/3.6</f>
        <v>750</v>
      </c>
      <c r="F238">
        <v>3.1379999999999999</v>
      </c>
      <c r="G238">
        <f>Tableau4[[#This Row],[Cost (€/GJ)]]*3.6/1000</f>
        <v>1.1296799999999999E-2</v>
      </c>
      <c r="H238">
        <v>44</v>
      </c>
      <c r="I238">
        <f>Tableau4[[#This Row],[GHG (kgCO2eq/GJ)]]*3.6/1000</f>
        <v>0.15840000000000001</v>
      </c>
      <c r="J238" t="s">
        <v>104</v>
      </c>
      <c r="K238" t="s">
        <v>109</v>
      </c>
    </row>
    <row r="239" spans="1:11" hidden="1" x14ac:dyDescent="0.3">
      <c r="A239" t="s">
        <v>17</v>
      </c>
      <c r="B239" t="s">
        <v>57</v>
      </c>
      <c r="C239" t="s">
        <v>94</v>
      </c>
      <c r="D239">
        <v>1.6</v>
      </c>
      <c r="E239">
        <f>Tableau4[[#This Row],[Potential (PJ)]]*1000/3.6</f>
        <v>444.44444444444446</v>
      </c>
      <c r="F239">
        <v>8.7379999999999995</v>
      </c>
      <c r="G239">
        <f>Tableau4[[#This Row],[Cost (€/GJ)]]*3.6/1000</f>
        <v>3.14568E-2</v>
      </c>
      <c r="H239">
        <v>19.899999999999999</v>
      </c>
      <c r="I239">
        <f>Tableau4[[#This Row],[GHG (kgCO2eq/GJ)]]*3.6/1000</f>
        <v>7.1639999999999995E-2</v>
      </c>
      <c r="J239" t="s">
        <v>104</v>
      </c>
      <c r="K239" t="s">
        <v>109</v>
      </c>
    </row>
    <row r="240" spans="1:11" hidden="1" x14ac:dyDescent="0.3">
      <c r="A240" t="s">
        <v>17</v>
      </c>
      <c r="B240" t="s">
        <v>49</v>
      </c>
      <c r="C240" t="s">
        <v>71</v>
      </c>
      <c r="D240">
        <v>83.321439999999996</v>
      </c>
      <c r="E240">
        <f>Tableau4[[#This Row],[Potential (PJ)]]*1000/3.6</f>
        <v>23144.844444444443</v>
      </c>
      <c r="F240">
        <v>1.9670000000000001</v>
      </c>
      <c r="G240">
        <f>Tableau4[[#This Row],[Cost (€/GJ)]]*3.6/1000</f>
        <v>7.081200000000001E-3</v>
      </c>
      <c r="H240">
        <v>3.86607608129234</v>
      </c>
      <c r="I240">
        <f>Tableau4[[#This Row],[GHG (kgCO2eq/GJ)]]*3.6/1000</f>
        <v>1.3917873892652425E-2</v>
      </c>
      <c r="J240" t="s">
        <v>104</v>
      </c>
      <c r="K240" t="s">
        <v>108</v>
      </c>
    </row>
    <row r="241" spans="1:11" hidden="1" x14ac:dyDescent="0.3">
      <c r="A241" t="s">
        <v>17</v>
      </c>
      <c r="B241" t="s">
        <v>49</v>
      </c>
      <c r="C241" t="s">
        <v>72</v>
      </c>
      <c r="D241">
        <v>10</v>
      </c>
      <c r="E241">
        <f>Tableau4[[#This Row],[Potential (PJ)]]*1000/3.6</f>
        <v>2777.7777777777778</v>
      </c>
      <c r="F241">
        <v>2.593</v>
      </c>
      <c r="G241">
        <f>Tableau4[[#This Row],[Cost (€/GJ)]]*3.6/1000</f>
        <v>9.334799999999999E-3</v>
      </c>
      <c r="H241">
        <v>3.86607608129234</v>
      </c>
      <c r="I241">
        <f>Tableau4[[#This Row],[GHG (kgCO2eq/GJ)]]*3.6/1000</f>
        <v>1.3917873892652425E-2</v>
      </c>
      <c r="J241" t="s">
        <v>104</v>
      </c>
      <c r="K241" t="s">
        <v>108</v>
      </c>
    </row>
    <row r="242" spans="1:11" hidden="1" x14ac:dyDescent="0.3">
      <c r="A242" t="s">
        <v>17</v>
      </c>
      <c r="B242" t="s">
        <v>50</v>
      </c>
      <c r="C242" t="s">
        <v>73</v>
      </c>
      <c r="D242">
        <v>1.1000000000000001</v>
      </c>
      <c r="E242">
        <f>Tableau4[[#This Row],[Potential (PJ)]]*1000/3.6</f>
        <v>305.55555555555554</v>
      </c>
      <c r="F242">
        <v>5.0869999999999997</v>
      </c>
      <c r="G242">
        <f>Tableau4[[#This Row],[Cost (€/GJ)]]*3.6/1000</f>
        <v>1.8313199999999998E-2</v>
      </c>
      <c r="H242">
        <v>20.723404255319149</v>
      </c>
      <c r="I242">
        <f>Tableau4[[#This Row],[GHG (kgCO2eq/GJ)]]*3.6/1000</f>
        <v>7.4604255319148938E-2</v>
      </c>
      <c r="J242" t="s">
        <v>105</v>
      </c>
      <c r="K242" t="s">
        <v>108</v>
      </c>
    </row>
    <row r="243" spans="1:11" hidden="1" x14ac:dyDescent="0.3">
      <c r="A243" t="s">
        <v>17</v>
      </c>
      <c r="B243" t="s">
        <v>50</v>
      </c>
      <c r="C243" t="s">
        <v>74</v>
      </c>
      <c r="D243">
        <v>9.1</v>
      </c>
      <c r="E243">
        <f>Tableau4[[#This Row],[Potential (PJ)]]*1000/3.6</f>
        <v>2527.7777777777778</v>
      </c>
      <c r="F243">
        <v>3.665</v>
      </c>
      <c r="G243">
        <f>Tableau4[[#This Row],[Cost (€/GJ)]]*3.6/1000</f>
        <v>1.3194000000000001E-2</v>
      </c>
      <c r="H243">
        <v>2.0635593220338988</v>
      </c>
      <c r="I243">
        <f>Tableau4[[#This Row],[GHG (kgCO2eq/GJ)]]*3.6/1000</f>
        <v>7.428813559322036E-3</v>
      </c>
      <c r="J243" t="s">
        <v>105</v>
      </c>
      <c r="K243" t="s">
        <v>108</v>
      </c>
    </row>
    <row r="244" spans="1:11" hidden="1" x14ac:dyDescent="0.3">
      <c r="A244" t="s">
        <v>17</v>
      </c>
      <c r="B244" t="s">
        <v>51</v>
      </c>
      <c r="C244" t="s">
        <v>75</v>
      </c>
      <c r="D244">
        <v>4.5820239999999997</v>
      </c>
      <c r="E244">
        <f>Tableau4[[#This Row],[Potential (PJ)]]*1000/3.6</f>
        <v>1272.7844444444443</v>
      </c>
      <c r="F244">
        <v>2.8852476978831901E-3</v>
      </c>
      <c r="G244">
        <f>Tableau4[[#This Row],[Cost (€/GJ)]]*3.6/1000</f>
        <v>1.0386891712379483E-5</v>
      </c>
      <c r="H244">
        <v>11.74</v>
      </c>
      <c r="I244">
        <f>Tableau4[[#This Row],[GHG (kgCO2eq/GJ)]]*3.6/1000</f>
        <v>4.2264000000000003E-2</v>
      </c>
      <c r="J244" t="s">
        <v>104</v>
      </c>
      <c r="K244" t="s">
        <v>108</v>
      </c>
    </row>
    <row r="245" spans="1:11" hidden="1" x14ac:dyDescent="0.3">
      <c r="A245" t="s">
        <v>17</v>
      </c>
      <c r="B245" t="s">
        <v>60</v>
      </c>
      <c r="C245" t="s">
        <v>98</v>
      </c>
      <c r="D245">
        <v>7.1199999999999996E-3</v>
      </c>
      <c r="E245">
        <f>Tableau4[[#This Row],[Potential (PJ)]]*1000/3.6</f>
        <v>1.9777777777777774</v>
      </c>
      <c r="F245">
        <v>18.045112781954892</v>
      </c>
      <c r="G245">
        <f>Tableau4[[#This Row],[Cost (€/GJ)]]*3.6/1000</f>
        <v>6.496240601503761E-2</v>
      </c>
      <c r="H245">
        <v>41.8</v>
      </c>
      <c r="I245">
        <f>Tableau4[[#This Row],[GHG (kgCO2eq/GJ)]]*3.6/1000</f>
        <v>0.15048</v>
      </c>
      <c r="J245" t="s">
        <v>107</v>
      </c>
      <c r="K245" t="s">
        <v>109</v>
      </c>
    </row>
    <row r="246" spans="1:11" hidden="1" x14ac:dyDescent="0.3">
      <c r="A246" t="s">
        <v>17</v>
      </c>
      <c r="B246" t="s">
        <v>53</v>
      </c>
      <c r="C246" t="s">
        <v>77</v>
      </c>
      <c r="D246">
        <v>5.3</v>
      </c>
      <c r="E246">
        <f>Tableau4[[#This Row],[Potential (PJ)]]*1000/3.6</f>
        <v>1472.2222222222222</v>
      </c>
      <c r="F246">
        <v>2.593</v>
      </c>
      <c r="G246">
        <f>Tableau4[[#This Row],[Cost (€/GJ)]]*3.6/1000</f>
        <v>9.334799999999999E-3</v>
      </c>
      <c r="H246">
        <v>3.86607608129234</v>
      </c>
      <c r="I246">
        <f>Tableau4[[#This Row],[GHG (kgCO2eq/GJ)]]*3.6/1000</f>
        <v>1.3917873892652425E-2</v>
      </c>
      <c r="J246" t="s">
        <v>104</v>
      </c>
      <c r="K246" t="s">
        <v>108</v>
      </c>
    </row>
    <row r="247" spans="1:11" hidden="1" x14ac:dyDescent="0.3">
      <c r="A247" t="s">
        <v>17</v>
      </c>
      <c r="B247" t="s">
        <v>54</v>
      </c>
      <c r="C247" t="s">
        <v>78</v>
      </c>
      <c r="D247">
        <v>44.5</v>
      </c>
      <c r="E247">
        <f>Tableau4[[#This Row],[Potential (PJ)]]*1000/3.6</f>
        <v>12361.111111111111</v>
      </c>
      <c r="F247">
        <v>2.5880000000000001</v>
      </c>
      <c r="G247">
        <f>Tableau4[[#This Row],[Cost (€/GJ)]]*3.6/1000</f>
        <v>9.3168000000000001E-3</v>
      </c>
      <c r="H247">
        <v>3.86607608129234</v>
      </c>
      <c r="I247">
        <f>Tableau4[[#This Row],[GHG (kgCO2eq/GJ)]]*3.6/1000</f>
        <v>1.3917873892652425E-2</v>
      </c>
      <c r="J247" t="s">
        <v>104</v>
      </c>
      <c r="K247" t="s">
        <v>108</v>
      </c>
    </row>
    <row r="248" spans="1:11" hidden="1" x14ac:dyDescent="0.3">
      <c r="A248" t="s">
        <v>18</v>
      </c>
      <c r="B248" t="s">
        <v>46</v>
      </c>
      <c r="C248" t="s">
        <v>63</v>
      </c>
      <c r="D248">
        <v>5.3613999999999997</v>
      </c>
      <c r="E248">
        <f>Tableau4[[#This Row],[Potential (PJ)]]*1000/3.6</f>
        <v>1489.2777777777776</v>
      </c>
      <c r="F248">
        <v>2.9286474973375931</v>
      </c>
      <c r="G248">
        <f>Tableau4[[#This Row],[Cost (€/GJ)]]*3.6/1000</f>
        <v>1.0543130990415334E-2</v>
      </c>
      <c r="H248">
        <v>3.950479233226837</v>
      </c>
      <c r="I248">
        <f>Tableau4[[#This Row],[GHG (kgCO2eq/GJ)]]*3.6/1000</f>
        <v>1.4221725239616614E-2</v>
      </c>
      <c r="J248" t="s">
        <v>104</v>
      </c>
      <c r="K248" t="s">
        <v>108</v>
      </c>
    </row>
    <row r="249" spans="1:11" hidden="1" x14ac:dyDescent="0.3">
      <c r="A249" t="s">
        <v>18</v>
      </c>
      <c r="B249" t="s">
        <v>46</v>
      </c>
      <c r="C249" t="s">
        <v>64</v>
      </c>
      <c r="D249">
        <v>0.90344999999999998</v>
      </c>
      <c r="E249">
        <f>Tableau4[[#This Row],[Potential (PJ)]]*1000/3.6</f>
        <v>250.95833333333331</v>
      </c>
      <c r="F249">
        <v>2.5554258010958</v>
      </c>
      <c r="G249">
        <f>Tableau4[[#This Row],[Cost (€/GJ)]]*3.6/1000</f>
        <v>9.1995328839448789E-3</v>
      </c>
      <c r="H249">
        <v>2.9521711768407801</v>
      </c>
      <c r="I249">
        <f>Tableau4[[#This Row],[GHG (kgCO2eq/GJ)]]*3.6/1000</f>
        <v>1.0627816236626808E-2</v>
      </c>
      <c r="J249" t="s">
        <v>104</v>
      </c>
      <c r="K249" t="s">
        <v>108</v>
      </c>
    </row>
    <row r="250" spans="1:11" hidden="1" x14ac:dyDescent="0.3">
      <c r="A250" t="s">
        <v>18</v>
      </c>
      <c r="B250" t="s">
        <v>46</v>
      </c>
      <c r="C250" t="s">
        <v>79</v>
      </c>
      <c r="D250">
        <v>8.1</v>
      </c>
      <c r="E250">
        <f>Tableau4[[#This Row],[Potential (PJ)]]*1000/3.6</f>
        <v>2250</v>
      </c>
      <c r="F250">
        <v>2.6331604938271611</v>
      </c>
      <c r="G250">
        <f>Tableau4[[#This Row],[Cost (€/GJ)]]*3.6/1000</f>
        <v>9.4793777777777803E-3</v>
      </c>
      <c r="H250">
        <v>6.8428961748633883</v>
      </c>
      <c r="I250">
        <f>Tableau4[[#This Row],[GHG (kgCO2eq/GJ)]]*3.6/1000</f>
        <v>2.4634426229508198E-2</v>
      </c>
      <c r="J250" t="s">
        <v>104</v>
      </c>
      <c r="K250" t="s">
        <v>108</v>
      </c>
    </row>
    <row r="251" spans="1:11" hidden="1" x14ac:dyDescent="0.3">
      <c r="A251" t="s">
        <v>18</v>
      </c>
      <c r="B251" t="s">
        <v>46</v>
      </c>
      <c r="C251" t="s">
        <v>65</v>
      </c>
      <c r="D251">
        <v>1.3</v>
      </c>
      <c r="E251">
        <f>Tableau4[[#This Row],[Potential (PJ)]]*1000/3.6</f>
        <v>361.11111111111109</v>
      </c>
      <c r="F251">
        <v>4.2944615384615394</v>
      </c>
      <c r="G251">
        <f>Tableau4[[#This Row],[Cost (€/GJ)]]*3.6/1000</f>
        <v>1.5460061538461542E-2</v>
      </c>
      <c r="H251">
        <v>2.9521711768407801</v>
      </c>
      <c r="I251">
        <f>Tableau4[[#This Row],[GHG (kgCO2eq/GJ)]]*3.6/1000</f>
        <v>1.0627816236626808E-2</v>
      </c>
      <c r="J251" t="s">
        <v>104</v>
      </c>
      <c r="K251" t="s">
        <v>108</v>
      </c>
    </row>
    <row r="252" spans="1:11" hidden="1" x14ac:dyDescent="0.3">
      <c r="A252" t="s">
        <v>18</v>
      </c>
      <c r="B252" t="s">
        <v>46</v>
      </c>
      <c r="C252" t="s">
        <v>102</v>
      </c>
      <c r="D252">
        <v>0.60000000000000009</v>
      </c>
      <c r="E252">
        <f>Tableau4[[#This Row],[Potential (PJ)]]*1000/3.6</f>
        <v>166.66666666666669</v>
      </c>
      <c r="F252">
        <v>3.832666666666666</v>
      </c>
      <c r="G252">
        <f>Tableau4[[#This Row],[Cost (€/GJ)]]*3.6/1000</f>
        <v>1.3797599999999997E-2</v>
      </c>
      <c r="H252">
        <v>2.9521711768407801</v>
      </c>
      <c r="I252">
        <f>Tableau4[[#This Row],[GHG (kgCO2eq/GJ)]]*3.6/1000</f>
        <v>1.0627816236626808E-2</v>
      </c>
      <c r="J252" t="s">
        <v>104</v>
      </c>
      <c r="K252" t="s">
        <v>108</v>
      </c>
    </row>
    <row r="253" spans="1:11" hidden="1" x14ac:dyDescent="0.3">
      <c r="A253" t="s">
        <v>18</v>
      </c>
      <c r="B253" t="s">
        <v>46</v>
      </c>
      <c r="C253" t="s">
        <v>80</v>
      </c>
      <c r="D253">
        <v>0.39700000000000002</v>
      </c>
      <c r="E253">
        <f>Tableau4[[#This Row],[Potential (PJ)]]*1000/3.6</f>
        <v>110.27777777777777</v>
      </c>
      <c r="F253">
        <v>1.2016183412002699</v>
      </c>
      <c r="G253">
        <f>Tableau4[[#This Row],[Cost (€/GJ)]]*3.6/1000</f>
        <v>4.3258260283209719E-3</v>
      </c>
      <c r="H253">
        <v>28.139870918023309</v>
      </c>
      <c r="I253">
        <f>Tableau4[[#This Row],[GHG (kgCO2eq/GJ)]]*3.6/1000</f>
        <v>0.10130353530488391</v>
      </c>
      <c r="J253" t="s">
        <v>105</v>
      </c>
      <c r="K253" t="s">
        <v>108</v>
      </c>
    </row>
    <row r="254" spans="1:11" hidden="1" x14ac:dyDescent="0.3">
      <c r="A254" t="s">
        <v>18</v>
      </c>
      <c r="B254" t="s">
        <v>46</v>
      </c>
      <c r="C254" t="s">
        <v>81</v>
      </c>
      <c r="D254">
        <v>0.16889999999999999</v>
      </c>
      <c r="E254">
        <f>Tableau4[[#This Row],[Potential (PJ)]]*1000/3.6</f>
        <v>46.916666666666664</v>
      </c>
      <c r="F254">
        <v>2.6686251468860172</v>
      </c>
      <c r="G254">
        <f>Tableau4[[#This Row],[Cost (€/GJ)]]*3.6/1000</f>
        <v>9.607050528789662E-3</v>
      </c>
      <c r="H254">
        <v>8.9647473560517046</v>
      </c>
      <c r="I254">
        <f>Tableau4[[#This Row],[GHG (kgCO2eq/GJ)]]*3.6/1000</f>
        <v>3.2273090481786136E-2</v>
      </c>
      <c r="J254" t="s">
        <v>105</v>
      </c>
      <c r="K254" t="s">
        <v>108</v>
      </c>
    </row>
    <row r="255" spans="1:11" hidden="1" x14ac:dyDescent="0.3">
      <c r="A255" t="s">
        <v>18</v>
      </c>
      <c r="B255" t="s">
        <v>46</v>
      </c>
      <c r="C255" t="s">
        <v>66</v>
      </c>
      <c r="D255">
        <v>7.7</v>
      </c>
      <c r="E255">
        <f>Tableau4[[#This Row],[Potential (PJ)]]*1000/3.6</f>
        <v>2138.8888888888887</v>
      </c>
      <c r="F255">
        <v>2.7368181818181818</v>
      </c>
      <c r="G255">
        <f>Tableau4[[#This Row],[Cost (€/GJ)]]*3.6/1000</f>
        <v>9.8525454545454541E-3</v>
      </c>
      <c r="H255">
        <v>6.8428961748633883</v>
      </c>
      <c r="I255">
        <f>Tableau4[[#This Row],[GHG (kgCO2eq/GJ)]]*3.6/1000</f>
        <v>2.4634426229508198E-2</v>
      </c>
      <c r="J255" t="s">
        <v>104</v>
      </c>
      <c r="K255" t="s">
        <v>108</v>
      </c>
    </row>
    <row r="256" spans="1:11" hidden="1" x14ac:dyDescent="0.3">
      <c r="A256" t="s">
        <v>18</v>
      </c>
      <c r="B256" t="s">
        <v>46</v>
      </c>
      <c r="C256" t="s">
        <v>67</v>
      </c>
      <c r="D256">
        <v>11.5</v>
      </c>
      <c r="E256">
        <f>Tableau4[[#This Row],[Potential (PJ)]]*1000/3.6</f>
        <v>3194.4444444444443</v>
      </c>
      <c r="F256">
        <v>5.7813826086956519</v>
      </c>
      <c r="G256">
        <f>Tableau4[[#This Row],[Cost (€/GJ)]]*3.6/1000</f>
        <v>2.0812977391304346E-2</v>
      </c>
      <c r="H256">
        <v>2.9521711768407801</v>
      </c>
      <c r="I256">
        <f>Tableau4[[#This Row],[GHG (kgCO2eq/GJ)]]*3.6/1000</f>
        <v>1.0627816236626808E-2</v>
      </c>
      <c r="J256" t="s">
        <v>104</v>
      </c>
      <c r="K256" t="s">
        <v>108</v>
      </c>
    </row>
    <row r="257" spans="1:11" hidden="1" x14ac:dyDescent="0.3">
      <c r="A257" t="s">
        <v>18</v>
      </c>
      <c r="B257" t="s">
        <v>46</v>
      </c>
      <c r="C257" t="s">
        <v>82</v>
      </c>
      <c r="D257">
        <v>1.2</v>
      </c>
      <c r="E257">
        <f>Tableau4[[#This Row],[Potential (PJ)]]*1000/3.6</f>
        <v>333.33333333333331</v>
      </c>
      <c r="F257">
        <v>1.6878333333333331</v>
      </c>
      <c r="G257">
        <f>Tableau4[[#This Row],[Cost (€/GJ)]]*3.6/1000</f>
        <v>6.0761999999999995E-3</v>
      </c>
      <c r="H257">
        <v>6.8428961748633883</v>
      </c>
      <c r="I257">
        <f>Tableau4[[#This Row],[GHG (kgCO2eq/GJ)]]*3.6/1000</f>
        <v>2.4634426229508198E-2</v>
      </c>
      <c r="J257" t="s">
        <v>104</v>
      </c>
      <c r="K257" t="s">
        <v>108</v>
      </c>
    </row>
    <row r="258" spans="1:11" hidden="1" x14ac:dyDescent="0.3">
      <c r="A258" t="s">
        <v>18</v>
      </c>
      <c r="B258" t="s">
        <v>46</v>
      </c>
      <c r="C258" t="s">
        <v>83</v>
      </c>
      <c r="D258">
        <v>1.3521399999999999</v>
      </c>
      <c r="E258">
        <f>Tableau4[[#This Row],[Potential (PJ)]]*1000/3.6</f>
        <v>375.59444444444438</v>
      </c>
      <c r="F258">
        <v>2.5560995459050102</v>
      </c>
      <c r="G258">
        <f>Tableau4[[#This Row],[Cost (€/GJ)]]*3.6/1000</f>
        <v>9.201958365258037E-3</v>
      </c>
      <c r="H258">
        <v>6.8428961748633883</v>
      </c>
      <c r="I258">
        <f>Tableau4[[#This Row],[GHG (kgCO2eq/GJ)]]*3.6/1000</f>
        <v>2.4634426229508198E-2</v>
      </c>
      <c r="J258" t="s">
        <v>104</v>
      </c>
      <c r="K258" t="s">
        <v>108</v>
      </c>
    </row>
    <row r="259" spans="1:11" hidden="1" x14ac:dyDescent="0.3">
      <c r="A259" t="s">
        <v>18</v>
      </c>
      <c r="B259" t="s">
        <v>46</v>
      </c>
      <c r="C259" t="s">
        <v>84</v>
      </c>
      <c r="D259">
        <v>0.3</v>
      </c>
      <c r="E259">
        <f>Tableau4[[#This Row],[Potential (PJ)]]*1000/3.6</f>
        <v>83.333333333333329</v>
      </c>
      <c r="F259">
        <v>2.1473333333333331</v>
      </c>
      <c r="G259">
        <f>Tableau4[[#This Row],[Cost (€/GJ)]]*3.6/1000</f>
        <v>7.7303999999999993E-3</v>
      </c>
      <c r="H259">
        <v>28.139870918023309</v>
      </c>
      <c r="I259">
        <f>Tableau4[[#This Row],[GHG (kgCO2eq/GJ)]]*3.6/1000</f>
        <v>0.10130353530488391</v>
      </c>
      <c r="J259" t="s">
        <v>105</v>
      </c>
      <c r="K259" t="s">
        <v>108</v>
      </c>
    </row>
    <row r="260" spans="1:11" hidden="1" x14ac:dyDescent="0.3">
      <c r="A260" t="s">
        <v>18</v>
      </c>
      <c r="B260" t="s">
        <v>46</v>
      </c>
      <c r="C260" t="s">
        <v>85</v>
      </c>
      <c r="D260">
        <v>1</v>
      </c>
      <c r="E260">
        <f>Tableau4[[#This Row],[Potential (PJ)]]*1000/3.6</f>
        <v>277.77777777777777</v>
      </c>
      <c r="F260">
        <v>0</v>
      </c>
      <c r="G260">
        <f>Tableau4[[#This Row],[Cost (€/GJ)]]*3.6/1000</f>
        <v>0</v>
      </c>
      <c r="H260">
        <v>2.9521711768407801</v>
      </c>
      <c r="I260">
        <f>Tableau4[[#This Row],[GHG (kgCO2eq/GJ)]]*3.6/1000</f>
        <v>1.0627816236626808E-2</v>
      </c>
      <c r="J260" t="s">
        <v>104</v>
      </c>
      <c r="K260" t="s">
        <v>108</v>
      </c>
    </row>
    <row r="261" spans="1:11" hidden="1" x14ac:dyDescent="0.3">
      <c r="A261" t="s">
        <v>18</v>
      </c>
      <c r="B261" t="s">
        <v>55</v>
      </c>
      <c r="C261" t="s">
        <v>86</v>
      </c>
      <c r="D261">
        <v>0.2366</v>
      </c>
      <c r="E261">
        <f>Tableau4[[#This Row],[Potential (PJ)]]*1000/3.6</f>
        <v>65.722222222222214</v>
      </c>
      <c r="F261">
        <v>21.38900000000001</v>
      </c>
      <c r="G261">
        <f>Tableau4[[#This Row],[Cost (€/GJ)]]*3.6/1000</f>
        <v>7.7000400000000038E-2</v>
      </c>
      <c r="I261">
        <f>Tableau4[[#This Row],[GHG (kgCO2eq/GJ)]]*3.6/1000</f>
        <v>0</v>
      </c>
      <c r="J261" t="s">
        <v>106</v>
      </c>
      <c r="K261" t="s">
        <v>109</v>
      </c>
    </row>
    <row r="262" spans="1:11" hidden="1" x14ac:dyDescent="0.3">
      <c r="A262" t="s">
        <v>18</v>
      </c>
      <c r="B262" t="s">
        <v>55</v>
      </c>
      <c r="C262" t="s">
        <v>87</v>
      </c>
      <c r="D262">
        <v>7.1073000000000004</v>
      </c>
      <c r="E262">
        <f>Tableau4[[#This Row],[Potential (PJ)]]*1000/3.6</f>
        <v>1974.25</v>
      </c>
      <c r="F262">
        <v>29.125</v>
      </c>
      <c r="G262">
        <f>Tableau4[[#This Row],[Cost (€/GJ)]]*3.6/1000</f>
        <v>0.10485000000000001</v>
      </c>
      <c r="I262">
        <f>Tableau4[[#This Row],[GHG (kgCO2eq/GJ)]]*3.6/1000</f>
        <v>0</v>
      </c>
      <c r="J262" t="s">
        <v>106</v>
      </c>
      <c r="K262" t="s">
        <v>109</v>
      </c>
    </row>
    <row r="263" spans="1:11" hidden="1" x14ac:dyDescent="0.3">
      <c r="A263" t="s">
        <v>18</v>
      </c>
      <c r="B263" t="s">
        <v>55</v>
      </c>
      <c r="C263" t="s">
        <v>88</v>
      </c>
      <c r="D263">
        <v>0.23549999999999999</v>
      </c>
      <c r="E263">
        <f>Tableau4[[#This Row],[Potential (PJ)]]*1000/3.6</f>
        <v>65.416666666666671</v>
      </c>
      <c r="F263">
        <v>24.968</v>
      </c>
      <c r="G263">
        <f>Tableau4[[#This Row],[Cost (€/GJ)]]*3.6/1000</f>
        <v>8.9884800000000001E-2</v>
      </c>
      <c r="I263">
        <f>Tableau4[[#This Row],[GHG (kgCO2eq/GJ)]]*3.6/1000</f>
        <v>0</v>
      </c>
      <c r="J263" t="s">
        <v>106</v>
      </c>
      <c r="K263" t="s">
        <v>109</v>
      </c>
    </row>
    <row r="264" spans="1:11" hidden="1" x14ac:dyDescent="0.3">
      <c r="A264" t="s">
        <v>18</v>
      </c>
      <c r="B264" t="s">
        <v>55</v>
      </c>
      <c r="C264" t="s">
        <v>89</v>
      </c>
      <c r="D264">
        <v>1.9699999999999999E-2</v>
      </c>
      <c r="E264">
        <f>Tableau4[[#This Row],[Potential (PJ)]]*1000/3.6</f>
        <v>5.4722222222222223</v>
      </c>
      <c r="F264">
        <v>0</v>
      </c>
      <c r="G264">
        <f>Tableau4[[#This Row],[Cost (€/GJ)]]*3.6/1000</f>
        <v>0</v>
      </c>
      <c r="I264">
        <f>Tableau4[[#This Row],[GHG (kgCO2eq/GJ)]]*3.6/1000</f>
        <v>0</v>
      </c>
      <c r="J264" t="s">
        <v>106</v>
      </c>
      <c r="K264" t="s">
        <v>109</v>
      </c>
    </row>
    <row r="265" spans="1:11" hidden="1" x14ac:dyDescent="0.3">
      <c r="A265" t="s">
        <v>18</v>
      </c>
      <c r="B265" t="s">
        <v>56</v>
      </c>
      <c r="C265" t="s">
        <v>93</v>
      </c>
      <c r="D265">
        <v>23.951599999999999</v>
      </c>
      <c r="E265">
        <f>Tableau4[[#This Row],[Potential (PJ)]]*1000/3.6</f>
        <v>6653.2222222222217</v>
      </c>
      <c r="F265">
        <v>2.939759036144578</v>
      </c>
      <c r="G265">
        <f>Tableau4[[#This Row],[Cost (€/GJ)]]*3.6/1000</f>
        <v>1.0583132530120483E-2</v>
      </c>
      <c r="I265">
        <f>Tableau4[[#This Row],[GHG (kgCO2eq/GJ)]]*3.6/1000</f>
        <v>0</v>
      </c>
      <c r="J265" t="s">
        <v>106</v>
      </c>
      <c r="K265" t="s">
        <v>109</v>
      </c>
    </row>
    <row r="266" spans="1:11" hidden="1" x14ac:dyDescent="0.3">
      <c r="A266" t="s">
        <v>18</v>
      </c>
      <c r="B266" t="s">
        <v>47</v>
      </c>
      <c r="C266" t="s">
        <v>68</v>
      </c>
      <c r="D266">
        <v>21.5</v>
      </c>
      <c r="E266">
        <f>Tableau4[[#This Row],[Potential (PJ)]]*1000/3.6</f>
        <v>5972.2222222222217</v>
      </c>
      <c r="F266">
        <v>6.0393023255813949</v>
      </c>
      <c r="G266">
        <f>Tableau4[[#This Row],[Cost (€/GJ)]]*3.6/1000</f>
        <v>2.1741488372093023E-2</v>
      </c>
      <c r="I266">
        <f>Tableau4[[#This Row],[GHG (kgCO2eq/GJ)]]*3.6/1000</f>
        <v>0</v>
      </c>
      <c r="J266" t="s">
        <v>104</v>
      </c>
      <c r="K266" t="s">
        <v>109</v>
      </c>
    </row>
    <row r="267" spans="1:11" hidden="1" x14ac:dyDescent="0.3">
      <c r="A267" t="s">
        <v>18</v>
      </c>
      <c r="B267" t="s">
        <v>47</v>
      </c>
      <c r="C267" t="s">
        <v>69</v>
      </c>
      <c r="D267">
        <v>9.9</v>
      </c>
      <c r="E267">
        <f>Tableau4[[#This Row],[Potential (PJ)]]*1000/3.6</f>
        <v>2750</v>
      </c>
      <c r="F267">
        <v>9.495303030303031</v>
      </c>
      <c r="G267">
        <f>Tableau4[[#This Row],[Cost (€/GJ)]]*3.6/1000</f>
        <v>3.4183090909090913E-2</v>
      </c>
      <c r="I267">
        <f>Tableau4[[#This Row],[GHG (kgCO2eq/GJ)]]*3.6/1000</f>
        <v>0</v>
      </c>
      <c r="J267" t="s">
        <v>104</v>
      </c>
      <c r="K267" t="s">
        <v>109</v>
      </c>
    </row>
    <row r="268" spans="1:11" hidden="1" x14ac:dyDescent="0.3">
      <c r="A268" t="s">
        <v>18</v>
      </c>
      <c r="B268" t="s">
        <v>48</v>
      </c>
      <c r="C268" t="s">
        <v>70</v>
      </c>
      <c r="D268">
        <v>9</v>
      </c>
      <c r="E268">
        <f>Tableau4[[#This Row],[Potential (PJ)]]*1000/3.6</f>
        <v>2500</v>
      </c>
      <c r="F268">
        <v>14.56134444444444</v>
      </c>
      <c r="G268">
        <f>Tableau4[[#This Row],[Cost (€/GJ)]]*3.6/1000</f>
        <v>5.2420839999999982E-2</v>
      </c>
      <c r="I268">
        <f>Tableau4[[#This Row],[GHG (kgCO2eq/GJ)]]*3.6/1000</f>
        <v>0</v>
      </c>
      <c r="J268" t="s">
        <v>104</v>
      </c>
      <c r="K268" t="s">
        <v>109</v>
      </c>
    </row>
    <row r="269" spans="1:11" hidden="1" x14ac:dyDescent="0.3">
      <c r="A269" t="s">
        <v>18</v>
      </c>
      <c r="B269" t="s">
        <v>49</v>
      </c>
      <c r="C269" t="s">
        <v>71</v>
      </c>
      <c r="D269">
        <v>31.903549999999999</v>
      </c>
      <c r="E269">
        <f>Tableau4[[#This Row],[Potential (PJ)]]*1000/3.6</f>
        <v>8862.0972222222226</v>
      </c>
      <c r="F269">
        <v>3.4639746109758951</v>
      </c>
      <c r="G269">
        <f>Tableau4[[#This Row],[Cost (€/GJ)]]*3.6/1000</f>
        <v>1.2470308599513223E-2</v>
      </c>
      <c r="H269">
        <v>3.86607608129234</v>
      </c>
      <c r="I269">
        <f>Tableau4[[#This Row],[GHG (kgCO2eq/GJ)]]*3.6/1000</f>
        <v>1.3917873892652425E-2</v>
      </c>
      <c r="J269" t="s">
        <v>104</v>
      </c>
      <c r="K269" t="s">
        <v>108</v>
      </c>
    </row>
    <row r="270" spans="1:11" hidden="1" x14ac:dyDescent="0.3">
      <c r="A270" t="s">
        <v>18</v>
      </c>
      <c r="B270" t="s">
        <v>49</v>
      </c>
      <c r="C270" t="s">
        <v>72</v>
      </c>
      <c r="D270">
        <v>7.6000000000000014</v>
      </c>
      <c r="E270">
        <f>Tableau4[[#This Row],[Potential (PJ)]]*1000/3.6</f>
        <v>2111.1111111111118</v>
      </c>
      <c r="F270">
        <v>2.7782236842105261</v>
      </c>
      <c r="G270">
        <f>Tableau4[[#This Row],[Cost (€/GJ)]]*3.6/1000</f>
        <v>1.0001605263157895E-2</v>
      </c>
      <c r="H270">
        <v>3.86607608129234</v>
      </c>
      <c r="I270">
        <f>Tableau4[[#This Row],[GHG (kgCO2eq/GJ)]]*3.6/1000</f>
        <v>1.3917873892652425E-2</v>
      </c>
      <c r="J270" t="s">
        <v>104</v>
      </c>
      <c r="K270" t="s">
        <v>108</v>
      </c>
    </row>
    <row r="271" spans="1:11" hidden="1" x14ac:dyDescent="0.3">
      <c r="A271" t="s">
        <v>18</v>
      </c>
      <c r="B271" t="s">
        <v>58</v>
      </c>
      <c r="C271" t="s">
        <v>95</v>
      </c>
      <c r="D271">
        <v>15.612719999999999</v>
      </c>
      <c r="E271">
        <f>Tableau4[[#This Row],[Potential (PJ)]]*1000/3.6</f>
        <v>4336.8666666666668</v>
      </c>
      <c r="F271">
        <v>2.428618322752218</v>
      </c>
      <c r="G271">
        <f>Tableau4[[#This Row],[Cost (€/GJ)]]*3.6/1000</f>
        <v>8.7430259619079853E-3</v>
      </c>
      <c r="H271">
        <v>2.9521711768407801</v>
      </c>
      <c r="I271">
        <f>Tableau4[[#This Row],[GHG (kgCO2eq/GJ)]]*3.6/1000</f>
        <v>1.0627816236626808E-2</v>
      </c>
      <c r="J271" t="s">
        <v>104</v>
      </c>
      <c r="K271" t="s">
        <v>108</v>
      </c>
    </row>
    <row r="272" spans="1:11" hidden="1" x14ac:dyDescent="0.3">
      <c r="A272" t="s">
        <v>18</v>
      </c>
      <c r="B272" t="s">
        <v>50</v>
      </c>
      <c r="C272" t="s">
        <v>73</v>
      </c>
      <c r="D272">
        <v>1.4</v>
      </c>
      <c r="E272">
        <f>Tableau4[[#This Row],[Potential (PJ)]]*1000/3.6</f>
        <v>388.88888888888886</v>
      </c>
      <c r="F272">
        <v>5.3477142857142859</v>
      </c>
      <c r="G272">
        <f>Tableau4[[#This Row],[Cost (€/GJ)]]*3.6/1000</f>
        <v>1.9251771428571429E-2</v>
      </c>
      <c r="H272">
        <v>20.723404255319149</v>
      </c>
      <c r="I272">
        <f>Tableau4[[#This Row],[GHG (kgCO2eq/GJ)]]*3.6/1000</f>
        <v>7.4604255319148938E-2</v>
      </c>
      <c r="J272" t="s">
        <v>105</v>
      </c>
      <c r="K272" t="s">
        <v>108</v>
      </c>
    </row>
    <row r="273" spans="1:11" hidden="1" x14ac:dyDescent="0.3">
      <c r="A273" t="s">
        <v>18</v>
      </c>
      <c r="B273" t="s">
        <v>50</v>
      </c>
      <c r="C273" t="s">
        <v>74</v>
      </c>
      <c r="D273">
        <v>10.6</v>
      </c>
      <c r="E273">
        <f>Tableau4[[#This Row],[Potential (PJ)]]*1000/3.6</f>
        <v>2944.4444444444443</v>
      </c>
      <c r="F273">
        <v>4.3124622641509438</v>
      </c>
      <c r="G273">
        <f>Tableau4[[#This Row],[Cost (€/GJ)]]*3.6/1000</f>
        <v>1.5524864150943398E-2</v>
      </c>
      <c r="H273">
        <v>2.0635593220338988</v>
      </c>
      <c r="I273">
        <f>Tableau4[[#This Row],[GHG (kgCO2eq/GJ)]]*3.6/1000</f>
        <v>7.428813559322036E-3</v>
      </c>
      <c r="J273" t="s">
        <v>105</v>
      </c>
      <c r="K273" t="s">
        <v>108</v>
      </c>
    </row>
    <row r="274" spans="1:11" hidden="1" x14ac:dyDescent="0.3">
      <c r="A274" t="s">
        <v>18</v>
      </c>
      <c r="B274" t="s">
        <v>59</v>
      </c>
      <c r="C274" t="s">
        <v>96</v>
      </c>
      <c r="D274">
        <v>1.9630000000000001</v>
      </c>
      <c r="E274">
        <f>Tableau4[[#This Row],[Potential (PJ)]]*1000/3.6</f>
        <v>545.27777777777771</v>
      </c>
      <c r="F274">
        <v>28.3</v>
      </c>
      <c r="G274">
        <f>Tableau4[[#This Row],[Cost (€/GJ)]]*3.6/1000</f>
        <v>0.10188000000000001</v>
      </c>
      <c r="I274">
        <f>Tableau4[[#This Row],[GHG (kgCO2eq/GJ)]]*3.6/1000</f>
        <v>0</v>
      </c>
      <c r="J274" t="s">
        <v>107</v>
      </c>
      <c r="K274" t="s">
        <v>109</v>
      </c>
    </row>
    <row r="275" spans="1:11" hidden="1" x14ac:dyDescent="0.3">
      <c r="A275" t="s">
        <v>18</v>
      </c>
      <c r="B275" t="s">
        <v>59</v>
      </c>
      <c r="C275" t="s">
        <v>97</v>
      </c>
      <c r="D275">
        <v>1.5201</v>
      </c>
      <c r="E275">
        <f>Tableau4[[#This Row],[Potential (PJ)]]*1000/3.6</f>
        <v>422.24999999999994</v>
      </c>
      <c r="F275">
        <v>19.96744438415627</v>
      </c>
      <c r="G275">
        <f>Tableau4[[#This Row],[Cost (€/GJ)]]*3.6/1000</f>
        <v>7.1882799782962581E-2</v>
      </c>
      <c r="I275">
        <f>Tableau4[[#This Row],[GHG (kgCO2eq/GJ)]]*3.6/1000</f>
        <v>0</v>
      </c>
      <c r="J275" t="s">
        <v>107</v>
      </c>
      <c r="K275" t="s">
        <v>109</v>
      </c>
    </row>
    <row r="276" spans="1:11" hidden="1" x14ac:dyDescent="0.3">
      <c r="A276" t="s">
        <v>18</v>
      </c>
      <c r="B276" t="s">
        <v>51</v>
      </c>
      <c r="C276" t="s">
        <v>75</v>
      </c>
      <c r="D276">
        <v>3.9219539999999999</v>
      </c>
      <c r="E276">
        <f>Tableau4[[#This Row],[Potential (PJ)]]*1000/3.6</f>
        <v>1089.4316666666666</v>
      </c>
      <c r="F276">
        <v>5.7050588900881098E-2</v>
      </c>
      <c r="G276">
        <f>Tableau4[[#This Row],[Cost (€/GJ)]]*3.6/1000</f>
        <v>2.0538212004317196E-4</v>
      </c>
      <c r="H276">
        <v>11.74</v>
      </c>
      <c r="I276">
        <f>Tableau4[[#This Row],[GHG (kgCO2eq/GJ)]]*3.6/1000</f>
        <v>4.2264000000000003E-2</v>
      </c>
      <c r="J276" t="s">
        <v>104</v>
      </c>
      <c r="K276" t="s">
        <v>108</v>
      </c>
    </row>
    <row r="277" spans="1:11" hidden="1" x14ac:dyDescent="0.3">
      <c r="A277" t="s">
        <v>18</v>
      </c>
      <c r="B277" t="s">
        <v>52</v>
      </c>
      <c r="C277" t="s">
        <v>76</v>
      </c>
      <c r="D277">
        <v>0.94599999999999995</v>
      </c>
      <c r="E277">
        <f>Tableau4[[#This Row],[Potential (PJ)]]*1000/3.6</f>
        <v>262.77777777777777</v>
      </c>
      <c r="F277">
        <v>0</v>
      </c>
      <c r="G277">
        <f>Tableau4[[#This Row],[Cost (€/GJ)]]*3.6/1000</f>
        <v>0</v>
      </c>
      <c r="H277">
        <v>12.68872359754714</v>
      </c>
      <c r="I277">
        <f>Tableau4[[#This Row],[GHG (kgCO2eq/GJ)]]*3.6/1000</f>
        <v>4.5679404951169705E-2</v>
      </c>
      <c r="J277" t="s">
        <v>105</v>
      </c>
      <c r="K277" t="s">
        <v>108</v>
      </c>
    </row>
    <row r="278" spans="1:11" hidden="1" x14ac:dyDescent="0.3">
      <c r="A278" t="s">
        <v>18</v>
      </c>
      <c r="B278" t="s">
        <v>53</v>
      </c>
      <c r="C278" t="s">
        <v>77</v>
      </c>
      <c r="D278">
        <v>3.3</v>
      </c>
      <c r="E278">
        <f>Tableau4[[#This Row],[Potential (PJ)]]*1000/3.6</f>
        <v>916.66666666666663</v>
      </c>
      <c r="F278">
        <v>2.777636363636363</v>
      </c>
      <c r="G278">
        <f>Tableau4[[#This Row],[Cost (€/GJ)]]*3.6/1000</f>
        <v>9.9994909090909065E-3</v>
      </c>
      <c r="H278">
        <v>3.86607608129234</v>
      </c>
      <c r="I278">
        <f>Tableau4[[#This Row],[GHG (kgCO2eq/GJ)]]*3.6/1000</f>
        <v>1.3917873892652425E-2</v>
      </c>
      <c r="J278" t="s">
        <v>104</v>
      </c>
      <c r="K278" t="s">
        <v>108</v>
      </c>
    </row>
    <row r="279" spans="1:11" hidden="1" x14ac:dyDescent="0.3">
      <c r="A279" t="s">
        <v>18</v>
      </c>
      <c r="B279" t="s">
        <v>61</v>
      </c>
      <c r="C279" t="s">
        <v>99</v>
      </c>
      <c r="D279">
        <v>3.7</v>
      </c>
      <c r="E279">
        <f>Tableau4[[#This Row],[Potential (PJ)]]*1000/3.6</f>
        <v>1027.7777777777778</v>
      </c>
      <c r="F279">
        <v>1.4102972972972969</v>
      </c>
      <c r="G279">
        <f>Tableau4[[#This Row],[Cost (€/GJ)]]*3.6/1000</f>
        <v>5.0770702702702692E-3</v>
      </c>
      <c r="H279">
        <v>2.9245635910224439</v>
      </c>
      <c r="I279">
        <f>Tableau4[[#This Row],[GHG (kgCO2eq/GJ)]]*3.6/1000</f>
        <v>1.0528428927680798E-2</v>
      </c>
      <c r="J279" t="s">
        <v>104</v>
      </c>
      <c r="K279" t="s">
        <v>108</v>
      </c>
    </row>
    <row r="280" spans="1:11" hidden="1" x14ac:dyDescent="0.3">
      <c r="A280" t="s">
        <v>18</v>
      </c>
      <c r="B280" t="s">
        <v>62</v>
      </c>
      <c r="C280" t="s">
        <v>100</v>
      </c>
      <c r="D280">
        <v>0.4</v>
      </c>
      <c r="E280">
        <f>Tableau4[[#This Row],[Potential (PJ)]]*1000/3.6</f>
        <v>111.11111111111111</v>
      </c>
      <c r="F280">
        <v>7.5000000000000011E-2</v>
      </c>
      <c r="G280">
        <f>Tableau4[[#This Row],[Cost (€/GJ)]]*3.6/1000</f>
        <v>2.7000000000000006E-4</v>
      </c>
      <c r="H280">
        <v>2.6764106050305911</v>
      </c>
      <c r="I280">
        <f>Tableau4[[#This Row],[GHG (kgCO2eq/GJ)]]*3.6/1000</f>
        <v>9.6350781781101274E-3</v>
      </c>
      <c r="J280" t="s">
        <v>104</v>
      </c>
      <c r="K280" t="s">
        <v>108</v>
      </c>
    </row>
    <row r="281" spans="1:11" hidden="1" x14ac:dyDescent="0.3">
      <c r="A281" t="s">
        <v>18</v>
      </c>
      <c r="B281" t="s">
        <v>54</v>
      </c>
      <c r="C281" t="s">
        <v>78</v>
      </c>
      <c r="D281">
        <v>14.5</v>
      </c>
      <c r="E281">
        <f>Tableau4[[#This Row],[Potential (PJ)]]*1000/3.6</f>
        <v>4027.7777777777778</v>
      </c>
      <c r="F281">
        <v>5.698655172413793</v>
      </c>
      <c r="G281">
        <f>Tableau4[[#This Row],[Cost (€/GJ)]]*3.6/1000</f>
        <v>2.0515158620689655E-2</v>
      </c>
      <c r="H281">
        <v>3.86607608129234</v>
      </c>
      <c r="I281">
        <f>Tableau4[[#This Row],[GHG (kgCO2eq/GJ)]]*3.6/1000</f>
        <v>1.3917873892652425E-2</v>
      </c>
      <c r="J281" t="s">
        <v>104</v>
      </c>
      <c r="K281" t="s">
        <v>108</v>
      </c>
    </row>
    <row r="282" spans="1:11" hidden="1" x14ac:dyDescent="0.3">
      <c r="A282" t="s">
        <v>19</v>
      </c>
      <c r="B282" t="s">
        <v>46</v>
      </c>
      <c r="C282" t="s">
        <v>63</v>
      </c>
      <c r="D282">
        <v>13.142899999999999</v>
      </c>
      <c r="E282">
        <f>Tableau4[[#This Row],[Potential (PJ)]]*1000/3.6</f>
        <v>3650.8055555555552</v>
      </c>
      <c r="F282">
        <v>2.9286474973375931</v>
      </c>
      <c r="G282">
        <f>Tableau4[[#This Row],[Cost (€/GJ)]]*3.6/1000</f>
        <v>1.0543130990415334E-2</v>
      </c>
      <c r="H282">
        <v>3.950479233226837</v>
      </c>
      <c r="I282">
        <f>Tableau4[[#This Row],[GHG (kgCO2eq/GJ)]]*3.6/1000</f>
        <v>1.4221725239616614E-2</v>
      </c>
      <c r="J282" t="s">
        <v>104</v>
      </c>
      <c r="K282" t="s">
        <v>108</v>
      </c>
    </row>
    <row r="283" spans="1:11" hidden="1" x14ac:dyDescent="0.3">
      <c r="A283" t="s">
        <v>19</v>
      </c>
      <c r="B283" t="s">
        <v>46</v>
      </c>
      <c r="C283" t="s">
        <v>64</v>
      </c>
      <c r="D283">
        <v>1.1117900000000001</v>
      </c>
      <c r="E283">
        <f>Tableau4[[#This Row],[Potential (PJ)]]*1000/3.6</f>
        <v>308.83055555555552</v>
      </c>
      <c r="F283">
        <v>5.9096121569720896</v>
      </c>
      <c r="G283">
        <f>Tableau4[[#This Row],[Cost (€/GJ)]]*3.6/1000</f>
        <v>2.1274603765099525E-2</v>
      </c>
      <c r="H283">
        <v>2.9521711768407801</v>
      </c>
      <c r="I283">
        <f>Tableau4[[#This Row],[GHG (kgCO2eq/GJ)]]*3.6/1000</f>
        <v>1.0627816236626808E-2</v>
      </c>
      <c r="J283" t="s">
        <v>104</v>
      </c>
      <c r="K283" t="s">
        <v>108</v>
      </c>
    </row>
    <row r="284" spans="1:11" hidden="1" x14ac:dyDescent="0.3">
      <c r="A284" t="s">
        <v>19</v>
      </c>
      <c r="B284" t="s">
        <v>46</v>
      </c>
      <c r="C284" t="s">
        <v>79</v>
      </c>
      <c r="D284">
        <v>63.9</v>
      </c>
      <c r="E284">
        <f>Tableau4[[#This Row],[Potential (PJ)]]*1000/3.6</f>
        <v>17750</v>
      </c>
      <c r="F284">
        <v>1.814025039123631</v>
      </c>
      <c r="G284">
        <f>Tableau4[[#This Row],[Cost (€/GJ)]]*3.6/1000</f>
        <v>6.5304901408450716E-3</v>
      </c>
      <c r="H284">
        <v>6.8428961748633883</v>
      </c>
      <c r="I284">
        <f>Tableau4[[#This Row],[GHG (kgCO2eq/GJ)]]*3.6/1000</f>
        <v>2.4634426229508198E-2</v>
      </c>
      <c r="J284" t="s">
        <v>104</v>
      </c>
      <c r="K284" t="s">
        <v>108</v>
      </c>
    </row>
    <row r="285" spans="1:11" hidden="1" x14ac:dyDescent="0.3">
      <c r="A285" t="s">
        <v>19</v>
      </c>
      <c r="B285" t="s">
        <v>46</v>
      </c>
      <c r="C285" t="s">
        <v>65</v>
      </c>
      <c r="D285">
        <v>13.3</v>
      </c>
      <c r="E285">
        <f>Tableau4[[#This Row],[Potential (PJ)]]*1000/3.6</f>
        <v>3694.4444444444443</v>
      </c>
      <c r="F285">
        <v>4.7123909774436088</v>
      </c>
      <c r="G285">
        <f>Tableau4[[#This Row],[Cost (€/GJ)]]*3.6/1000</f>
        <v>1.6964607518796991E-2</v>
      </c>
      <c r="H285">
        <v>2.9521711768407801</v>
      </c>
      <c r="I285">
        <f>Tableau4[[#This Row],[GHG (kgCO2eq/GJ)]]*3.6/1000</f>
        <v>1.0627816236626808E-2</v>
      </c>
      <c r="J285" t="s">
        <v>104</v>
      </c>
      <c r="K285" t="s">
        <v>108</v>
      </c>
    </row>
    <row r="286" spans="1:11" hidden="1" x14ac:dyDescent="0.3">
      <c r="A286" t="s">
        <v>19</v>
      </c>
      <c r="B286" t="s">
        <v>46</v>
      </c>
      <c r="C286" t="s">
        <v>102</v>
      </c>
      <c r="D286">
        <v>7.4</v>
      </c>
      <c r="E286">
        <f>Tableau4[[#This Row],[Potential (PJ)]]*1000/3.6</f>
        <v>2055.5555555555557</v>
      </c>
      <c r="F286">
        <v>4.1234729729729729</v>
      </c>
      <c r="G286">
        <f>Tableau4[[#This Row],[Cost (€/GJ)]]*3.6/1000</f>
        <v>1.4844502702702704E-2</v>
      </c>
      <c r="H286">
        <v>2.9521711768407801</v>
      </c>
      <c r="I286">
        <f>Tableau4[[#This Row],[GHG (kgCO2eq/GJ)]]*3.6/1000</f>
        <v>1.0627816236626808E-2</v>
      </c>
      <c r="J286" t="s">
        <v>104</v>
      </c>
      <c r="K286" t="s">
        <v>108</v>
      </c>
    </row>
    <row r="287" spans="1:11" hidden="1" x14ac:dyDescent="0.3">
      <c r="A287" t="s">
        <v>19</v>
      </c>
      <c r="B287" t="s">
        <v>46</v>
      </c>
      <c r="C287" t="s">
        <v>80</v>
      </c>
      <c r="D287">
        <v>3.3877999999999999</v>
      </c>
      <c r="E287">
        <f>Tableau4[[#This Row],[Potential (PJ)]]*1000/3.6</f>
        <v>941.05555555555543</v>
      </c>
      <c r="F287">
        <v>0.53674983142279165</v>
      </c>
      <c r="G287">
        <f>Tableau4[[#This Row],[Cost (€/GJ)]]*3.6/1000</f>
        <v>1.9322993931220501E-3</v>
      </c>
      <c r="H287">
        <v>28.139870918023309</v>
      </c>
      <c r="I287">
        <f>Tableau4[[#This Row],[GHG (kgCO2eq/GJ)]]*3.6/1000</f>
        <v>0.10130353530488391</v>
      </c>
      <c r="J287" t="s">
        <v>105</v>
      </c>
      <c r="K287" t="s">
        <v>108</v>
      </c>
    </row>
    <row r="288" spans="1:11" hidden="1" x14ac:dyDescent="0.3">
      <c r="A288" t="s">
        <v>19</v>
      </c>
      <c r="B288" t="s">
        <v>46</v>
      </c>
      <c r="C288" t="s">
        <v>81</v>
      </c>
      <c r="D288">
        <v>0.73980000000000001</v>
      </c>
      <c r="E288">
        <f>Tableau4[[#This Row],[Potential (PJ)]]*1000/3.6</f>
        <v>205.5</v>
      </c>
      <c r="F288">
        <v>1.0987074030552291</v>
      </c>
      <c r="G288">
        <f>Tableau4[[#This Row],[Cost (€/GJ)]]*3.6/1000</f>
        <v>3.9553466509988245E-3</v>
      </c>
      <c r="H288">
        <v>8.9647473560517046</v>
      </c>
      <c r="I288">
        <f>Tableau4[[#This Row],[GHG (kgCO2eq/GJ)]]*3.6/1000</f>
        <v>3.2273090481786136E-2</v>
      </c>
      <c r="J288" t="s">
        <v>105</v>
      </c>
      <c r="K288" t="s">
        <v>108</v>
      </c>
    </row>
    <row r="289" spans="1:11" hidden="1" x14ac:dyDescent="0.3">
      <c r="A289" t="s">
        <v>19</v>
      </c>
      <c r="B289" t="s">
        <v>46</v>
      </c>
      <c r="C289" t="s">
        <v>66</v>
      </c>
      <c r="D289">
        <v>8.9</v>
      </c>
      <c r="E289">
        <f>Tableau4[[#This Row],[Potential (PJ)]]*1000/3.6</f>
        <v>2472.2222222222222</v>
      </c>
      <c r="F289">
        <v>1.8662022471910109</v>
      </c>
      <c r="G289">
        <f>Tableau4[[#This Row],[Cost (€/GJ)]]*3.6/1000</f>
        <v>6.718328089887639E-3</v>
      </c>
      <c r="H289">
        <v>6.8428961748633883</v>
      </c>
      <c r="I289">
        <f>Tableau4[[#This Row],[GHG (kgCO2eq/GJ)]]*3.6/1000</f>
        <v>2.4634426229508198E-2</v>
      </c>
      <c r="J289" t="s">
        <v>104</v>
      </c>
      <c r="K289" t="s">
        <v>108</v>
      </c>
    </row>
    <row r="290" spans="1:11" hidden="1" x14ac:dyDescent="0.3">
      <c r="A290" t="s">
        <v>19</v>
      </c>
      <c r="B290" t="s">
        <v>46</v>
      </c>
      <c r="C290" t="s">
        <v>67</v>
      </c>
      <c r="D290">
        <v>28.8</v>
      </c>
      <c r="E290">
        <f>Tableau4[[#This Row],[Potential (PJ)]]*1000/3.6</f>
        <v>8000</v>
      </c>
      <c r="F290">
        <v>6.6847048611111122</v>
      </c>
      <c r="G290">
        <f>Tableau4[[#This Row],[Cost (€/GJ)]]*3.6/1000</f>
        <v>2.4064937500000001E-2</v>
      </c>
      <c r="H290">
        <v>2.9521711768407801</v>
      </c>
      <c r="I290">
        <f>Tableau4[[#This Row],[GHG (kgCO2eq/GJ)]]*3.6/1000</f>
        <v>1.0627816236626808E-2</v>
      </c>
      <c r="J290" t="s">
        <v>104</v>
      </c>
      <c r="K290" t="s">
        <v>108</v>
      </c>
    </row>
    <row r="291" spans="1:11" hidden="1" x14ac:dyDescent="0.3">
      <c r="A291" t="s">
        <v>19</v>
      </c>
      <c r="B291" t="s">
        <v>46</v>
      </c>
      <c r="C291" t="s">
        <v>82</v>
      </c>
      <c r="D291">
        <v>6.3000000000000007</v>
      </c>
      <c r="E291">
        <f>Tableau4[[#This Row],[Potential (PJ)]]*1000/3.6</f>
        <v>1750.0000000000002</v>
      </c>
      <c r="F291">
        <v>1.2986984126984129</v>
      </c>
      <c r="G291">
        <f>Tableau4[[#This Row],[Cost (€/GJ)]]*3.6/1000</f>
        <v>4.6753142857142863E-3</v>
      </c>
      <c r="H291">
        <v>6.8428961748633883</v>
      </c>
      <c r="I291">
        <f>Tableau4[[#This Row],[GHG (kgCO2eq/GJ)]]*3.6/1000</f>
        <v>2.4634426229508198E-2</v>
      </c>
      <c r="J291" t="s">
        <v>104</v>
      </c>
      <c r="K291" t="s">
        <v>108</v>
      </c>
    </row>
    <row r="292" spans="1:11" hidden="1" x14ac:dyDescent="0.3">
      <c r="A292" t="s">
        <v>19</v>
      </c>
      <c r="B292" t="s">
        <v>46</v>
      </c>
      <c r="C292" t="s">
        <v>83</v>
      </c>
      <c r="D292">
        <v>3.8029999999999999</v>
      </c>
      <c r="E292">
        <f>Tableau4[[#This Row],[Potential (PJ)]]*1000/3.6</f>
        <v>1056.3888888888889</v>
      </c>
      <c r="F292">
        <v>1.782946431764397</v>
      </c>
      <c r="G292">
        <f>Tableau4[[#This Row],[Cost (€/GJ)]]*3.6/1000</f>
        <v>6.4186071543518297E-3</v>
      </c>
      <c r="H292">
        <v>6.8428961748633883</v>
      </c>
      <c r="I292">
        <f>Tableau4[[#This Row],[GHG (kgCO2eq/GJ)]]*3.6/1000</f>
        <v>2.4634426229508198E-2</v>
      </c>
      <c r="J292" t="s">
        <v>104</v>
      </c>
      <c r="K292" t="s">
        <v>108</v>
      </c>
    </row>
    <row r="293" spans="1:11" hidden="1" x14ac:dyDescent="0.3">
      <c r="A293" t="s">
        <v>19</v>
      </c>
      <c r="B293" t="s">
        <v>46</v>
      </c>
      <c r="C293" t="s">
        <v>84</v>
      </c>
      <c r="D293">
        <v>1.6</v>
      </c>
      <c r="E293">
        <f>Tableau4[[#This Row],[Potential (PJ)]]*1000/3.6</f>
        <v>444.44444444444446</v>
      </c>
      <c r="F293">
        <v>1.6170625000000001</v>
      </c>
      <c r="G293">
        <f>Tableau4[[#This Row],[Cost (€/GJ)]]*3.6/1000</f>
        <v>5.8214250000000007E-3</v>
      </c>
      <c r="H293">
        <v>28.139870918023309</v>
      </c>
      <c r="I293">
        <f>Tableau4[[#This Row],[GHG (kgCO2eq/GJ)]]*3.6/1000</f>
        <v>0.10130353530488391</v>
      </c>
      <c r="J293" t="s">
        <v>105</v>
      </c>
      <c r="K293" t="s">
        <v>108</v>
      </c>
    </row>
    <row r="294" spans="1:11" hidden="1" x14ac:dyDescent="0.3">
      <c r="A294" t="s">
        <v>19</v>
      </c>
      <c r="B294" t="s">
        <v>46</v>
      </c>
      <c r="C294" t="s">
        <v>85</v>
      </c>
      <c r="D294">
        <v>11.6</v>
      </c>
      <c r="E294">
        <f>Tableau4[[#This Row],[Potential (PJ)]]*1000/3.6</f>
        <v>3222.2222222222222</v>
      </c>
      <c r="F294">
        <v>3.77178448275862</v>
      </c>
      <c r="G294">
        <f>Tableau4[[#This Row],[Cost (€/GJ)]]*3.6/1000</f>
        <v>1.3578424137931032E-2</v>
      </c>
      <c r="H294">
        <v>2.9521711768407801</v>
      </c>
      <c r="I294">
        <f>Tableau4[[#This Row],[GHG (kgCO2eq/GJ)]]*3.6/1000</f>
        <v>1.0627816236626808E-2</v>
      </c>
      <c r="J294" t="s">
        <v>104</v>
      </c>
      <c r="K294" t="s">
        <v>108</v>
      </c>
    </row>
    <row r="295" spans="1:11" hidden="1" x14ac:dyDescent="0.3">
      <c r="A295" t="s">
        <v>19</v>
      </c>
      <c r="B295" t="s">
        <v>55</v>
      </c>
      <c r="C295" t="s">
        <v>86</v>
      </c>
      <c r="D295">
        <v>14.814500000000001</v>
      </c>
      <c r="E295">
        <f>Tableau4[[#This Row],[Potential (PJ)]]*1000/3.6</f>
        <v>4115.1388888888887</v>
      </c>
      <c r="F295">
        <v>18.76499999999999</v>
      </c>
      <c r="G295">
        <f>Tableau4[[#This Row],[Cost (€/GJ)]]*3.6/1000</f>
        <v>6.7553999999999961E-2</v>
      </c>
      <c r="H295">
        <v>13.1</v>
      </c>
      <c r="I295">
        <f>Tableau4[[#This Row],[GHG (kgCO2eq/GJ)]]*3.6/1000</f>
        <v>4.7159999999999994E-2</v>
      </c>
      <c r="J295" t="s">
        <v>106</v>
      </c>
      <c r="K295" t="s">
        <v>109</v>
      </c>
    </row>
    <row r="296" spans="1:11" hidden="1" x14ac:dyDescent="0.3">
      <c r="A296" t="s">
        <v>19</v>
      </c>
      <c r="B296" t="s">
        <v>55</v>
      </c>
      <c r="C296" t="s">
        <v>87</v>
      </c>
      <c r="D296">
        <v>10.098800000000001</v>
      </c>
      <c r="E296">
        <f>Tableau4[[#This Row],[Potential (PJ)]]*1000/3.6</f>
        <v>2805.2222222222226</v>
      </c>
      <c r="F296">
        <v>22.024000000000001</v>
      </c>
      <c r="G296">
        <f>Tableau4[[#This Row],[Cost (€/GJ)]]*3.6/1000</f>
        <v>7.9286400000000007E-2</v>
      </c>
      <c r="H296">
        <v>13.1</v>
      </c>
      <c r="I296">
        <f>Tableau4[[#This Row],[GHG (kgCO2eq/GJ)]]*3.6/1000</f>
        <v>4.7159999999999994E-2</v>
      </c>
      <c r="J296" t="s">
        <v>106</v>
      </c>
      <c r="K296" t="s">
        <v>109</v>
      </c>
    </row>
    <row r="297" spans="1:11" hidden="1" x14ac:dyDescent="0.3">
      <c r="A297" t="s">
        <v>19</v>
      </c>
      <c r="B297" t="s">
        <v>55</v>
      </c>
      <c r="C297" t="s">
        <v>88</v>
      </c>
      <c r="D297">
        <v>4.5166000000000004</v>
      </c>
      <c r="E297">
        <f>Tableau4[[#This Row],[Potential (PJ)]]*1000/3.6</f>
        <v>1254.6111111111111</v>
      </c>
      <c r="F297">
        <v>21.882999999999999</v>
      </c>
      <c r="G297">
        <f>Tableau4[[#This Row],[Cost (€/GJ)]]*3.6/1000</f>
        <v>7.877880000000001E-2</v>
      </c>
      <c r="H297">
        <v>13.1</v>
      </c>
      <c r="I297">
        <f>Tableau4[[#This Row],[GHG (kgCO2eq/GJ)]]*3.6/1000</f>
        <v>4.7159999999999994E-2</v>
      </c>
      <c r="J297" t="s">
        <v>106</v>
      </c>
      <c r="K297" t="s">
        <v>109</v>
      </c>
    </row>
    <row r="298" spans="1:11" hidden="1" x14ac:dyDescent="0.3">
      <c r="A298" t="s">
        <v>19</v>
      </c>
      <c r="B298" t="s">
        <v>55</v>
      </c>
      <c r="C298" t="s">
        <v>89</v>
      </c>
      <c r="D298">
        <v>3.3651</v>
      </c>
      <c r="E298">
        <f>Tableau4[[#This Row],[Potential (PJ)]]*1000/3.6</f>
        <v>934.75</v>
      </c>
      <c r="F298">
        <v>0</v>
      </c>
      <c r="G298">
        <f>Tableau4[[#This Row],[Cost (€/GJ)]]*3.6/1000</f>
        <v>0</v>
      </c>
      <c r="H298">
        <v>13.1</v>
      </c>
      <c r="I298">
        <f>Tableau4[[#This Row],[GHG (kgCO2eq/GJ)]]*3.6/1000</f>
        <v>4.7159999999999994E-2</v>
      </c>
      <c r="J298" t="s">
        <v>106</v>
      </c>
      <c r="K298" t="s">
        <v>109</v>
      </c>
    </row>
    <row r="299" spans="1:11" hidden="1" x14ac:dyDescent="0.3">
      <c r="A299" t="s">
        <v>19</v>
      </c>
      <c r="B299" t="s">
        <v>55</v>
      </c>
      <c r="C299" t="s">
        <v>90</v>
      </c>
      <c r="D299">
        <v>0.1492</v>
      </c>
      <c r="E299">
        <f>Tableau4[[#This Row],[Potential (PJ)]]*1000/3.6</f>
        <v>41.444444444444443</v>
      </c>
      <c r="F299">
        <v>22.61099999999999</v>
      </c>
      <c r="G299">
        <f>Tableau4[[#This Row],[Cost (€/GJ)]]*3.6/1000</f>
        <v>8.1399599999999961E-2</v>
      </c>
      <c r="H299">
        <v>13.1</v>
      </c>
      <c r="I299">
        <f>Tableau4[[#This Row],[GHG (kgCO2eq/GJ)]]*3.6/1000</f>
        <v>4.7159999999999994E-2</v>
      </c>
      <c r="J299" t="s">
        <v>106</v>
      </c>
      <c r="K299" t="s">
        <v>109</v>
      </c>
    </row>
    <row r="300" spans="1:11" hidden="1" x14ac:dyDescent="0.3">
      <c r="A300" t="s">
        <v>19</v>
      </c>
      <c r="B300" t="s">
        <v>55</v>
      </c>
      <c r="C300" t="s">
        <v>91</v>
      </c>
      <c r="D300">
        <v>2.2094999999999998</v>
      </c>
      <c r="E300">
        <f>Tableau4[[#This Row],[Potential (PJ)]]*1000/3.6</f>
        <v>613.75</v>
      </c>
      <c r="F300">
        <v>18.987000000000009</v>
      </c>
      <c r="G300">
        <f>Tableau4[[#This Row],[Cost (€/GJ)]]*3.6/1000</f>
        <v>6.8353200000000031E-2</v>
      </c>
      <c r="H300">
        <v>13.1</v>
      </c>
      <c r="I300">
        <f>Tableau4[[#This Row],[GHG (kgCO2eq/GJ)]]*3.6/1000</f>
        <v>4.7159999999999994E-2</v>
      </c>
      <c r="J300" t="s">
        <v>106</v>
      </c>
      <c r="K300" t="s">
        <v>109</v>
      </c>
    </row>
    <row r="301" spans="1:11" hidden="1" x14ac:dyDescent="0.3">
      <c r="A301" t="s">
        <v>19</v>
      </c>
      <c r="B301" t="s">
        <v>55</v>
      </c>
      <c r="C301" t="s">
        <v>92</v>
      </c>
      <c r="D301">
        <v>1.3548</v>
      </c>
      <c r="E301">
        <f>Tableau4[[#This Row],[Potential (PJ)]]*1000/3.6</f>
        <v>376.33333333333331</v>
      </c>
      <c r="F301">
        <v>22.024000000000001</v>
      </c>
      <c r="G301">
        <f>Tableau4[[#This Row],[Cost (€/GJ)]]*3.6/1000</f>
        <v>7.9286400000000007E-2</v>
      </c>
      <c r="H301">
        <v>13.1</v>
      </c>
      <c r="I301">
        <f>Tableau4[[#This Row],[GHG (kgCO2eq/GJ)]]*3.6/1000</f>
        <v>4.7159999999999994E-2</v>
      </c>
      <c r="J301" t="s">
        <v>106</v>
      </c>
      <c r="K301" t="s">
        <v>109</v>
      </c>
    </row>
    <row r="302" spans="1:11" hidden="1" x14ac:dyDescent="0.3">
      <c r="A302" t="s">
        <v>19</v>
      </c>
      <c r="B302" t="s">
        <v>56</v>
      </c>
      <c r="C302" t="s">
        <v>93</v>
      </c>
      <c r="D302">
        <v>187.0052</v>
      </c>
      <c r="E302">
        <f>Tableau4[[#This Row],[Potential (PJ)]]*1000/3.6</f>
        <v>51945.888888888891</v>
      </c>
      <c r="F302">
        <v>2.939759036144578</v>
      </c>
      <c r="G302">
        <f>Tableau4[[#This Row],[Cost (€/GJ)]]*3.6/1000</f>
        <v>1.0583132530120483E-2</v>
      </c>
      <c r="H302">
        <v>23.6</v>
      </c>
      <c r="I302">
        <f>Tableau4[[#This Row],[GHG (kgCO2eq/GJ)]]*3.6/1000</f>
        <v>8.4960000000000008E-2</v>
      </c>
      <c r="J302" t="s">
        <v>106</v>
      </c>
      <c r="K302" t="s">
        <v>109</v>
      </c>
    </row>
    <row r="303" spans="1:11" hidden="1" x14ac:dyDescent="0.3">
      <c r="A303" t="s">
        <v>19</v>
      </c>
      <c r="B303" t="s">
        <v>47</v>
      </c>
      <c r="C303" t="s">
        <v>68</v>
      </c>
      <c r="D303">
        <v>409.4</v>
      </c>
      <c r="E303">
        <f>Tableau4[[#This Row],[Potential (PJ)]]*1000/3.6</f>
        <v>113722.22222222222</v>
      </c>
      <c r="F303">
        <v>4.9376511968734729</v>
      </c>
      <c r="G303">
        <f>Tableau4[[#This Row],[Cost (€/GJ)]]*3.6/1000</f>
        <v>1.7775544308744503E-2</v>
      </c>
      <c r="H303">
        <v>15</v>
      </c>
      <c r="I303">
        <f>Tableau4[[#This Row],[GHG (kgCO2eq/GJ)]]*3.6/1000</f>
        <v>5.3999999999999999E-2</v>
      </c>
      <c r="J303" t="s">
        <v>104</v>
      </c>
      <c r="K303" t="s">
        <v>109</v>
      </c>
    </row>
    <row r="304" spans="1:11" hidden="1" x14ac:dyDescent="0.3">
      <c r="A304" t="s">
        <v>19</v>
      </c>
      <c r="B304" t="s">
        <v>47</v>
      </c>
      <c r="C304" t="s">
        <v>69</v>
      </c>
      <c r="D304">
        <v>144.5</v>
      </c>
      <c r="E304">
        <f>Tableau4[[#This Row],[Potential (PJ)]]*1000/3.6</f>
        <v>40138.888888888891</v>
      </c>
      <c r="F304">
        <v>8.2683833910034608</v>
      </c>
      <c r="G304">
        <f>Tableau4[[#This Row],[Cost (€/GJ)]]*3.6/1000</f>
        <v>2.9766180207612462E-2</v>
      </c>
      <c r="H304">
        <v>15</v>
      </c>
      <c r="I304">
        <f>Tableau4[[#This Row],[GHG (kgCO2eq/GJ)]]*3.6/1000</f>
        <v>5.3999999999999999E-2</v>
      </c>
      <c r="J304" t="s">
        <v>104</v>
      </c>
      <c r="K304" t="s">
        <v>109</v>
      </c>
    </row>
    <row r="305" spans="1:11" hidden="1" x14ac:dyDescent="0.3">
      <c r="A305" t="s">
        <v>19</v>
      </c>
      <c r="B305" t="s">
        <v>48</v>
      </c>
      <c r="C305" t="s">
        <v>70</v>
      </c>
      <c r="D305">
        <v>107.8</v>
      </c>
      <c r="E305">
        <f>Tableau4[[#This Row],[Potential (PJ)]]*1000/3.6</f>
        <v>29944.444444444445</v>
      </c>
      <c r="F305">
        <v>13.36413729128015</v>
      </c>
      <c r="G305">
        <f>Tableau4[[#This Row],[Cost (€/GJ)]]*3.6/1000</f>
        <v>4.8110894248608538E-2</v>
      </c>
      <c r="H305">
        <v>16.8</v>
      </c>
      <c r="I305">
        <f>Tableau4[[#This Row],[GHG (kgCO2eq/GJ)]]*3.6/1000</f>
        <v>6.0480000000000006E-2</v>
      </c>
      <c r="J305" t="s">
        <v>104</v>
      </c>
      <c r="K305" t="s">
        <v>109</v>
      </c>
    </row>
    <row r="306" spans="1:11" hidden="1" x14ac:dyDescent="0.3">
      <c r="A306" t="s">
        <v>19</v>
      </c>
      <c r="B306" t="s">
        <v>49</v>
      </c>
      <c r="C306" t="s">
        <v>71</v>
      </c>
      <c r="D306">
        <v>273.84926999999999</v>
      </c>
      <c r="E306">
        <f>Tableau4[[#This Row],[Potential (PJ)]]*1000/3.6</f>
        <v>76069.241666666669</v>
      </c>
      <c r="F306">
        <v>3.9539224775366391</v>
      </c>
      <c r="G306">
        <f>Tableau4[[#This Row],[Cost (€/GJ)]]*3.6/1000</f>
        <v>1.42341209191319E-2</v>
      </c>
      <c r="H306">
        <v>3.86607608129234</v>
      </c>
      <c r="I306">
        <f>Tableau4[[#This Row],[GHG (kgCO2eq/GJ)]]*3.6/1000</f>
        <v>1.3917873892652425E-2</v>
      </c>
      <c r="J306" t="s">
        <v>104</v>
      </c>
      <c r="K306" t="s">
        <v>108</v>
      </c>
    </row>
    <row r="307" spans="1:11" hidden="1" x14ac:dyDescent="0.3">
      <c r="A307" t="s">
        <v>19</v>
      </c>
      <c r="B307" t="s">
        <v>49</v>
      </c>
      <c r="C307" t="s">
        <v>72</v>
      </c>
      <c r="D307">
        <v>32.799999999999997</v>
      </c>
      <c r="E307">
        <f>Tableau4[[#This Row],[Potential (PJ)]]*1000/3.6</f>
        <v>9111.1111111111113</v>
      </c>
      <c r="F307">
        <v>3.175798780487805</v>
      </c>
      <c r="G307">
        <f>Tableau4[[#This Row],[Cost (€/GJ)]]*3.6/1000</f>
        <v>1.1432875609756097E-2</v>
      </c>
      <c r="H307">
        <v>3.86607608129234</v>
      </c>
      <c r="I307">
        <f>Tableau4[[#This Row],[GHG (kgCO2eq/GJ)]]*3.6/1000</f>
        <v>1.3917873892652425E-2</v>
      </c>
      <c r="J307" t="s">
        <v>104</v>
      </c>
      <c r="K307" t="s">
        <v>108</v>
      </c>
    </row>
    <row r="308" spans="1:11" hidden="1" x14ac:dyDescent="0.3">
      <c r="A308" t="s">
        <v>19</v>
      </c>
      <c r="B308" t="s">
        <v>58</v>
      </c>
      <c r="C308" t="s">
        <v>95</v>
      </c>
      <c r="D308">
        <v>63.496280000000013</v>
      </c>
      <c r="E308">
        <f>Tableau4[[#This Row],[Potential (PJ)]]*1000/3.6</f>
        <v>17637.855555555558</v>
      </c>
      <c r="F308">
        <v>2.2541341080138859</v>
      </c>
      <c r="G308">
        <f>Tableau4[[#This Row],[Cost (€/GJ)]]*3.6/1000</f>
        <v>8.1148827888499891E-3</v>
      </c>
      <c r="H308">
        <v>2.9521711768407801</v>
      </c>
      <c r="I308">
        <f>Tableau4[[#This Row],[GHG (kgCO2eq/GJ)]]*3.6/1000</f>
        <v>1.0627816236626808E-2</v>
      </c>
      <c r="J308" t="s">
        <v>104</v>
      </c>
      <c r="K308" t="s">
        <v>108</v>
      </c>
    </row>
    <row r="309" spans="1:11" hidden="1" x14ac:dyDescent="0.3">
      <c r="A309" t="s">
        <v>19</v>
      </c>
      <c r="B309" t="s">
        <v>50</v>
      </c>
      <c r="C309" t="s">
        <v>73</v>
      </c>
      <c r="D309">
        <v>38.4</v>
      </c>
      <c r="E309">
        <f>Tableau4[[#This Row],[Potential (PJ)]]*1000/3.6</f>
        <v>10666.666666666666</v>
      </c>
      <c r="F309">
        <v>5.4896458333333333</v>
      </c>
      <c r="G309">
        <f>Tableau4[[#This Row],[Cost (€/GJ)]]*3.6/1000</f>
        <v>1.9762724999999998E-2</v>
      </c>
      <c r="H309">
        <v>20.723404255319149</v>
      </c>
      <c r="I309">
        <f>Tableau4[[#This Row],[GHG (kgCO2eq/GJ)]]*3.6/1000</f>
        <v>7.4604255319148938E-2</v>
      </c>
      <c r="J309" t="s">
        <v>105</v>
      </c>
      <c r="K309" t="s">
        <v>108</v>
      </c>
    </row>
    <row r="310" spans="1:11" hidden="1" x14ac:dyDescent="0.3">
      <c r="A310" t="s">
        <v>19</v>
      </c>
      <c r="B310" t="s">
        <v>50</v>
      </c>
      <c r="C310" t="s">
        <v>74</v>
      </c>
      <c r="D310">
        <v>106</v>
      </c>
      <c r="E310">
        <f>Tableau4[[#This Row],[Potential (PJ)]]*1000/3.6</f>
        <v>29444.444444444445</v>
      </c>
      <c r="F310">
        <v>4.3067820754716966</v>
      </c>
      <c r="G310">
        <f>Tableau4[[#This Row],[Cost (€/GJ)]]*3.6/1000</f>
        <v>1.5504415471698108E-2</v>
      </c>
      <c r="H310">
        <v>2.0635593220338988</v>
      </c>
      <c r="I310">
        <f>Tableau4[[#This Row],[GHG (kgCO2eq/GJ)]]*3.6/1000</f>
        <v>7.428813559322036E-3</v>
      </c>
      <c r="J310" t="s">
        <v>105</v>
      </c>
      <c r="K310" t="s">
        <v>108</v>
      </c>
    </row>
    <row r="311" spans="1:11" hidden="1" x14ac:dyDescent="0.3">
      <c r="A311" t="s">
        <v>19</v>
      </c>
      <c r="B311" t="s">
        <v>59</v>
      </c>
      <c r="C311" t="s">
        <v>97</v>
      </c>
      <c r="D311">
        <v>2.6153</v>
      </c>
      <c r="E311">
        <f>Tableau4[[#This Row],[Potential (PJ)]]*1000/3.6</f>
        <v>726.47222222222229</v>
      </c>
      <c r="F311">
        <v>20.835594139989151</v>
      </c>
      <c r="G311">
        <f>Tableau4[[#This Row],[Cost (€/GJ)]]*3.6/1000</f>
        <v>7.5008138903960936E-2</v>
      </c>
      <c r="H311">
        <v>33.700000000000003</v>
      </c>
      <c r="I311">
        <f>Tableau4[[#This Row],[GHG (kgCO2eq/GJ)]]*3.6/1000</f>
        <v>0.12132000000000001</v>
      </c>
      <c r="J311" t="s">
        <v>107</v>
      </c>
      <c r="K311" t="s">
        <v>109</v>
      </c>
    </row>
    <row r="312" spans="1:11" hidden="1" x14ac:dyDescent="0.3">
      <c r="A312" t="s">
        <v>19</v>
      </c>
      <c r="B312" t="s">
        <v>51</v>
      </c>
      <c r="C312" t="s">
        <v>75</v>
      </c>
      <c r="D312">
        <v>47.066980000000001</v>
      </c>
      <c r="E312">
        <f>Tableau4[[#This Row],[Potential (PJ)]]*1000/3.6</f>
        <v>13074.161111111112</v>
      </c>
      <c r="F312">
        <v>1.4773096309188001E-4</v>
      </c>
      <c r="G312">
        <f>Tableau4[[#This Row],[Cost (€/GJ)]]*3.6/1000</f>
        <v>5.3183146713076806E-7</v>
      </c>
      <c r="H312">
        <v>11.74</v>
      </c>
      <c r="I312">
        <f>Tableau4[[#This Row],[GHG (kgCO2eq/GJ)]]*3.6/1000</f>
        <v>4.2264000000000003E-2</v>
      </c>
      <c r="J312" t="s">
        <v>104</v>
      </c>
      <c r="K312" t="s">
        <v>108</v>
      </c>
    </row>
    <row r="313" spans="1:11" hidden="1" x14ac:dyDescent="0.3">
      <c r="A313" t="s">
        <v>19</v>
      </c>
      <c r="B313" t="s">
        <v>60</v>
      </c>
      <c r="C313" t="s">
        <v>98</v>
      </c>
      <c r="D313">
        <v>0.74412</v>
      </c>
      <c r="E313">
        <f>Tableau4[[#This Row],[Potential (PJ)]]*1000/3.6</f>
        <v>206.7</v>
      </c>
      <c r="F313">
        <v>25.563909774436091</v>
      </c>
      <c r="G313">
        <f>Tableau4[[#This Row],[Cost (€/GJ)]]*3.6/1000</f>
        <v>9.2030075187969934E-2</v>
      </c>
      <c r="H313">
        <v>19.899999999999999</v>
      </c>
      <c r="I313">
        <f>Tableau4[[#This Row],[GHG (kgCO2eq/GJ)]]*3.6/1000</f>
        <v>7.1639999999999995E-2</v>
      </c>
      <c r="J313" t="s">
        <v>107</v>
      </c>
      <c r="K313" t="s">
        <v>109</v>
      </c>
    </row>
    <row r="314" spans="1:11" hidden="1" x14ac:dyDescent="0.3">
      <c r="A314" t="s">
        <v>19</v>
      </c>
      <c r="B314" t="s">
        <v>52</v>
      </c>
      <c r="C314" t="s">
        <v>76</v>
      </c>
      <c r="D314">
        <v>2.7210000000000001</v>
      </c>
      <c r="E314">
        <f>Tableau4[[#This Row],[Potential (PJ)]]*1000/3.6</f>
        <v>755.83333333333337</v>
      </c>
      <c r="F314">
        <v>4.7567250000000003</v>
      </c>
      <c r="G314">
        <f>Tableau4[[#This Row],[Cost (€/GJ)]]*3.6/1000</f>
        <v>1.7124210000000001E-2</v>
      </c>
      <c r="H314">
        <v>12.68872359754714</v>
      </c>
      <c r="I314">
        <f>Tableau4[[#This Row],[GHG (kgCO2eq/GJ)]]*3.6/1000</f>
        <v>4.5679404951169705E-2</v>
      </c>
      <c r="J314" t="s">
        <v>105</v>
      </c>
      <c r="K314" t="s">
        <v>108</v>
      </c>
    </row>
    <row r="315" spans="1:11" hidden="1" x14ac:dyDescent="0.3">
      <c r="A315" t="s">
        <v>19</v>
      </c>
      <c r="B315" t="s">
        <v>53</v>
      </c>
      <c r="C315" t="s">
        <v>77</v>
      </c>
      <c r="D315">
        <v>12.3</v>
      </c>
      <c r="E315">
        <f>Tableau4[[#This Row],[Potential (PJ)]]*1000/3.6</f>
        <v>3416.6666666666665</v>
      </c>
      <c r="F315">
        <v>3.1757642276422762</v>
      </c>
      <c r="G315">
        <f>Tableau4[[#This Row],[Cost (€/GJ)]]*3.6/1000</f>
        <v>1.1432751219512195E-2</v>
      </c>
      <c r="H315">
        <v>3.86607608129234</v>
      </c>
      <c r="I315">
        <f>Tableau4[[#This Row],[GHG (kgCO2eq/GJ)]]*3.6/1000</f>
        <v>1.3917873892652425E-2</v>
      </c>
      <c r="J315" t="s">
        <v>104</v>
      </c>
      <c r="K315" t="s">
        <v>108</v>
      </c>
    </row>
    <row r="316" spans="1:11" hidden="1" x14ac:dyDescent="0.3">
      <c r="A316" t="s">
        <v>19</v>
      </c>
      <c r="B316" t="s">
        <v>61</v>
      </c>
      <c r="C316" t="s">
        <v>99</v>
      </c>
      <c r="D316">
        <v>31.5</v>
      </c>
      <c r="E316">
        <f>Tableau4[[#This Row],[Potential (PJ)]]*1000/3.6</f>
        <v>8750</v>
      </c>
      <c r="F316">
        <v>1.717019047619047</v>
      </c>
      <c r="G316">
        <f>Tableau4[[#This Row],[Cost (€/GJ)]]*3.6/1000</f>
        <v>6.1812685714285696E-3</v>
      </c>
      <c r="H316">
        <v>2.9245635910224439</v>
      </c>
      <c r="I316">
        <f>Tableau4[[#This Row],[GHG (kgCO2eq/GJ)]]*3.6/1000</f>
        <v>1.0528428927680798E-2</v>
      </c>
      <c r="J316" t="s">
        <v>104</v>
      </c>
      <c r="K316" t="s">
        <v>108</v>
      </c>
    </row>
    <row r="317" spans="1:11" hidden="1" x14ac:dyDescent="0.3">
      <c r="A317" t="s">
        <v>19</v>
      </c>
      <c r="B317" t="s">
        <v>62</v>
      </c>
      <c r="C317" t="s">
        <v>100</v>
      </c>
      <c r="D317">
        <v>6</v>
      </c>
      <c r="E317">
        <f>Tableau4[[#This Row],[Potential (PJ)]]*1000/3.6</f>
        <v>1666.6666666666665</v>
      </c>
      <c r="F317">
        <v>8.8333333333333333E-2</v>
      </c>
      <c r="G317">
        <f>Tableau4[[#This Row],[Cost (€/GJ)]]*3.6/1000</f>
        <v>3.1800000000000003E-4</v>
      </c>
      <c r="H317">
        <v>2.6764106050305911</v>
      </c>
      <c r="I317">
        <f>Tableau4[[#This Row],[GHG (kgCO2eq/GJ)]]*3.6/1000</f>
        <v>9.6350781781101274E-3</v>
      </c>
      <c r="J317" t="s">
        <v>104</v>
      </c>
      <c r="K317" t="s">
        <v>108</v>
      </c>
    </row>
    <row r="318" spans="1:11" hidden="1" x14ac:dyDescent="0.3">
      <c r="A318" t="s">
        <v>19</v>
      </c>
      <c r="B318" t="s">
        <v>54</v>
      </c>
      <c r="C318" t="s">
        <v>78</v>
      </c>
      <c r="D318">
        <v>102.8</v>
      </c>
      <c r="E318">
        <f>Tableau4[[#This Row],[Potential (PJ)]]*1000/3.6</f>
        <v>28555.555555555555</v>
      </c>
      <c r="F318">
        <v>6.5364503891050587</v>
      </c>
      <c r="G318">
        <f>Tableau4[[#This Row],[Cost (€/GJ)]]*3.6/1000</f>
        <v>2.3531221400778211E-2</v>
      </c>
      <c r="H318">
        <v>3.86607608129234</v>
      </c>
      <c r="I318">
        <f>Tableau4[[#This Row],[GHG (kgCO2eq/GJ)]]*3.6/1000</f>
        <v>1.3917873892652425E-2</v>
      </c>
      <c r="J318" t="s">
        <v>104</v>
      </c>
      <c r="K318" t="s">
        <v>108</v>
      </c>
    </row>
    <row r="319" spans="1:11" hidden="1" x14ac:dyDescent="0.3">
      <c r="A319" t="s">
        <v>20</v>
      </c>
      <c r="B319" t="s">
        <v>46</v>
      </c>
      <c r="C319" t="s">
        <v>64</v>
      </c>
      <c r="D319">
        <v>3.1210000000000002E-2</v>
      </c>
      <c r="E319">
        <f>Tableau4[[#This Row],[Potential (PJ)]]*1000/3.6</f>
        <v>8.6694444444444443</v>
      </c>
      <c r="F319">
        <v>5.1397792374239026</v>
      </c>
      <c r="G319">
        <f>Tableau4[[#This Row],[Cost (€/GJ)]]*3.6/1000</f>
        <v>1.8503205254726051E-2</v>
      </c>
      <c r="H319">
        <v>2.9521711768407801</v>
      </c>
      <c r="I319">
        <f>Tableau4[[#This Row],[GHG (kgCO2eq/GJ)]]*3.6/1000</f>
        <v>1.0627816236626808E-2</v>
      </c>
      <c r="J319" t="s">
        <v>104</v>
      </c>
      <c r="K319" t="s">
        <v>108</v>
      </c>
    </row>
    <row r="320" spans="1:11" hidden="1" x14ac:dyDescent="0.3">
      <c r="A320" t="s">
        <v>20</v>
      </c>
      <c r="B320" t="s">
        <v>46</v>
      </c>
      <c r="C320" t="s">
        <v>79</v>
      </c>
      <c r="D320">
        <v>23.5</v>
      </c>
      <c r="E320">
        <f>Tableau4[[#This Row],[Potential (PJ)]]*1000/3.6</f>
        <v>6527.7777777777774</v>
      </c>
      <c r="F320">
        <v>3.2337829787234038</v>
      </c>
      <c r="G320">
        <f>Tableau4[[#This Row],[Cost (€/GJ)]]*3.6/1000</f>
        <v>1.1641618723404253E-2</v>
      </c>
      <c r="H320">
        <v>6.8428961748633883</v>
      </c>
      <c r="I320">
        <f>Tableau4[[#This Row],[GHG (kgCO2eq/GJ)]]*3.6/1000</f>
        <v>2.4634426229508198E-2</v>
      </c>
      <c r="J320" t="s">
        <v>104</v>
      </c>
      <c r="K320" t="s">
        <v>108</v>
      </c>
    </row>
    <row r="321" spans="1:11" hidden="1" x14ac:dyDescent="0.3">
      <c r="A321" t="s">
        <v>20</v>
      </c>
      <c r="B321" t="s">
        <v>46</v>
      </c>
      <c r="C321" t="s">
        <v>65</v>
      </c>
      <c r="D321">
        <v>0.1</v>
      </c>
      <c r="E321">
        <f>Tableau4[[#This Row],[Potential (PJ)]]*1000/3.6</f>
        <v>27.777777777777779</v>
      </c>
      <c r="F321">
        <v>5.0709999999999997</v>
      </c>
      <c r="G321">
        <f>Tableau4[[#This Row],[Cost (€/GJ)]]*3.6/1000</f>
        <v>1.82556E-2</v>
      </c>
      <c r="H321">
        <v>2.9521711768407801</v>
      </c>
      <c r="I321">
        <f>Tableau4[[#This Row],[GHG (kgCO2eq/GJ)]]*3.6/1000</f>
        <v>1.0627816236626808E-2</v>
      </c>
      <c r="J321" t="s">
        <v>104</v>
      </c>
      <c r="K321" t="s">
        <v>108</v>
      </c>
    </row>
    <row r="322" spans="1:11" hidden="1" x14ac:dyDescent="0.3">
      <c r="A322" t="s">
        <v>20</v>
      </c>
      <c r="B322" t="s">
        <v>46</v>
      </c>
      <c r="C322" t="s">
        <v>82</v>
      </c>
      <c r="D322">
        <v>0.3</v>
      </c>
      <c r="E322">
        <f>Tableau4[[#This Row],[Potential (PJ)]]*1000/3.6</f>
        <v>83.333333333333329</v>
      </c>
      <c r="F322">
        <v>2.2543333333333329</v>
      </c>
      <c r="G322">
        <f>Tableau4[[#This Row],[Cost (€/GJ)]]*3.6/1000</f>
        <v>8.1155999999999989E-3</v>
      </c>
      <c r="H322">
        <v>6.8428961748633883</v>
      </c>
      <c r="I322">
        <f>Tableau4[[#This Row],[GHG (kgCO2eq/GJ)]]*3.6/1000</f>
        <v>2.4634426229508198E-2</v>
      </c>
      <c r="J322" t="s">
        <v>104</v>
      </c>
      <c r="K322" t="s">
        <v>108</v>
      </c>
    </row>
    <row r="323" spans="1:11" hidden="1" x14ac:dyDescent="0.3">
      <c r="A323" t="s">
        <v>20</v>
      </c>
      <c r="B323" t="s">
        <v>46</v>
      </c>
      <c r="C323" t="s">
        <v>84</v>
      </c>
      <c r="D323">
        <v>0.2</v>
      </c>
      <c r="E323">
        <f>Tableau4[[#This Row],[Potential (PJ)]]*1000/3.6</f>
        <v>55.555555555555557</v>
      </c>
      <c r="F323">
        <v>2.27</v>
      </c>
      <c r="G323">
        <f>Tableau4[[#This Row],[Cost (€/GJ)]]*3.6/1000</f>
        <v>8.1720000000000004E-3</v>
      </c>
      <c r="H323">
        <v>28.139870918023309</v>
      </c>
      <c r="I323">
        <f>Tableau4[[#This Row],[GHG (kgCO2eq/GJ)]]*3.6/1000</f>
        <v>0.10130353530488391</v>
      </c>
      <c r="J323" t="s">
        <v>105</v>
      </c>
      <c r="K323" t="s">
        <v>108</v>
      </c>
    </row>
    <row r="324" spans="1:11" hidden="1" x14ac:dyDescent="0.3">
      <c r="A324" t="s">
        <v>20</v>
      </c>
      <c r="B324" t="s">
        <v>55</v>
      </c>
      <c r="C324" t="s">
        <v>86</v>
      </c>
      <c r="D324">
        <v>0.93100000000000005</v>
      </c>
      <c r="E324">
        <f>Tableau4[[#This Row],[Potential (PJ)]]*1000/3.6</f>
        <v>258.61111111111109</v>
      </c>
      <c r="F324">
        <v>16.652000000000001</v>
      </c>
      <c r="G324">
        <f>Tableau4[[#This Row],[Cost (€/GJ)]]*3.6/1000</f>
        <v>5.9947199999999999E-2</v>
      </c>
      <c r="H324">
        <v>43.2</v>
      </c>
      <c r="I324">
        <f>Tableau4[[#This Row],[GHG (kgCO2eq/GJ)]]*3.6/1000</f>
        <v>0.15552000000000002</v>
      </c>
      <c r="J324" t="s">
        <v>106</v>
      </c>
      <c r="K324" t="s">
        <v>109</v>
      </c>
    </row>
    <row r="325" spans="1:11" hidden="1" x14ac:dyDescent="0.3">
      <c r="A325" t="s">
        <v>20</v>
      </c>
      <c r="B325" t="s">
        <v>55</v>
      </c>
      <c r="C325" t="s">
        <v>89</v>
      </c>
      <c r="D325">
        <v>8.5599999999999996E-2</v>
      </c>
      <c r="E325">
        <f>Tableau4[[#This Row],[Potential (PJ)]]*1000/3.6</f>
        <v>23.777777777777775</v>
      </c>
      <c r="F325">
        <v>0</v>
      </c>
      <c r="G325">
        <f>Tableau4[[#This Row],[Cost (€/GJ)]]*3.6/1000</f>
        <v>0</v>
      </c>
      <c r="H325">
        <v>43.2</v>
      </c>
      <c r="I325">
        <f>Tableau4[[#This Row],[GHG (kgCO2eq/GJ)]]*3.6/1000</f>
        <v>0.15552000000000002</v>
      </c>
      <c r="J325" t="s">
        <v>106</v>
      </c>
      <c r="K325" t="s">
        <v>109</v>
      </c>
    </row>
    <row r="326" spans="1:11" hidden="1" x14ac:dyDescent="0.3">
      <c r="A326" t="s">
        <v>20</v>
      </c>
      <c r="B326" t="s">
        <v>55</v>
      </c>
      <c r="C326" t="s">
        <v>91</v>
      </c>
      <c r="D326">
        <v>5.0000000000000001E-4</v>
      </c>
      <c r="E326">
        <f>Tableau4[[#This Row],[Potential (PJ)]]*1000/3.6</f>
        <v>0.1388888888888889</v>
      </c>
      <c r="F326">
        <v>20.088000000000001</v>
      </c>
      <c r="G326">
        <f>Tableau4[[#This Row],[Cost (€/GJ)]]*3.6/1000</f>
        <v>7.2316800000000001E-2</v>
      </c>
      <c r="H326">
        <v>43.2</v>
      </c>
      <c r="I326">
        <f>Tableau4[[#This Row],[GHG (kgCO2eq/GJ)]]*3.6/1000</f>
        <v>0.15552000000000002</v>
      </c>
      <c r="J326" t="s">
        <v>106</v>
      </c>
      <c r="K326" t="s">
        <v>109</v>
      </c>
    </row>
    <row r="327" spans="1:11" hidden="1" x14ac:dyDescent="0.3">
      <c r="A327" t="s">
        <v>20</v>
      </c>
      <c r="B327" t="s">
        <v>55</v>
      </c>
      <c r="C327" t="s">
        <v>92</v>
      </c>
      <c r="D327">
        <v>0.44127</v>
      </c>
      <c r="E327">
        <f>Tableau4[[#This Row],[Potential (PJ)]]*1000/3.6</f>
        <v>122.57499999999999</v>
      </c>
      <c r="F327">
        <v>16.559000000000001</v>
      </c>
      <c r="G327">
        <f>Tableau4[[#This Row],[Cost (€/GJ)]]*3.6/1000</f>
        <v>5.961240000000001E-2</v>
      </c>
      <c r="H327">
        <v>43.2</v>
      </c>
      <c r="I327">
        <f>Tableau4[[#This Row],[GHG (kgCO2eq/GJ)]]*3.6/1000</f>
        <v>0.15552000000000002</v>
      </c>
      <c r="J327" t="s">
        <v>106</v>
      </c>
      <c r="K327" t="s">
        <v>109</v>
      </c>
    </row>
    <row r="328" spans="1:11" hidden="1" x14ac:dyDescent="0.3">
      <c r="A328" t="s">
        <v>20</v>
      </c>
      <c r="B328" t="s">
        <v>47</v>
      </c>
      <c r="C328" t="s">
        <v>101</v>
      </c>
      <c r="D328">
        <v>34.1</v>
      </c>
      <c r="E328">
        <f>Tableau4[[#This Row],[Potential (PJ)]]*1000/3.6</f>
        <v>9472.2222222222226</v>
      </c>
      <c r="F328">
        <v>4.3204662756598244</v>
      </c>
      <c r="G328">
        <f>Tableau4[[#This Row],[Cost (€/GJ)]]*3.6/1000</f>
        <v>1.5553678592375369E-2</v>
      </c>
      <c r="H328">
        <v>43.1</v>
      </c>
      <c r="I328">
        <f>Tableau4[[#This Row],[GHG (kgCO2eq/GJ)]]*3.6/1000</f>
        <v>0.15515999999999999</v>
      </c>
      <c r="J328" t="s">
        <v>104</v>
      </c>
      <c r="K328" t="s">
        <v>109</v>
      </c>
    </row>
    <row r="329" spans="1:11" hidden="1" x14ac:dyDescent="0.3">
      <c r="A329" t="s">
        <v>20</v>
      </c>
      <c r="B329" t="s">
        <v>57</v>
      </c>
      <c r="C329" t="s">
        <v>94</v>
      </c>
      <c r="D329">
        <v>11.8</v>
      </c>
      <c r="E329">
        <f>Tableau4[[#This Row],[Potential (PJ)]]*1000/3.6</f>
        <v>3277.7777777777778</v>
      </c>
      <c r="F329">
        <v>10.987330508474569</v>
      </c>
      <c r="G329">
        <f>Tableau4[[#This Row],[Cost (€/GJ)]]*3.6/1000</f>
        <v>3.9554389830508449E-2</v>
      </c>
      <c r="H329">
        <v>24.4</v>
      </c>
      <c r="I329">
        <f>Tableau4[[#This Row],[GHG (kgCO2eq/GJ)]]*3.6/1000</f>
        <v>8.7840000000000001E-2</v>
      </c>
      <c r="J329" t="s">
        <v>104</v>
      </c>
      <c r="K329" t="s">
        <v>109</v>
      </c>
    </row>
    <row r="330" spans="1:11" hidden="1" x14ac:dyDescent="0.3">
      <c r="A330" t="s">
        <v>20</v>
      </c>
      <c r="B330" t="s">
        <v>49</v>
      </c>
      <c r="C330" t="s">
        <v>71</v>
      </c>
      <c r="D330">
        <v>405.87815999999998</v>
      </c>
      <c r="E330">
        <f>Tableau4[[#This Row],[Potential (PJ)]]*1000/3.6</f>
        <v>112743.93333333332</v>
      </c>
      <c r="F330">
        <v>4.3272265849436193</v>
      </c>
      <c r="G330">
        <f>Tableau4[[#This Row],[Cost (€/GJ)]]*3.6/1000</f>
        <v>1.5578015705797031E-2</v>
      </c>
      <c r="H330">
        <v>3.86607608129234</v>
      </c>
      <c r="I330">
        <f>Tableau4[[#This Row],[GHG (kgCO2eq/GJ)]]*3.6/1000</f>
        <v>1.3917873892652425E-2</v>
      </c>
      <c r="J330" t="s">
        <v>104</v>
      </c>
      <c r="K330" t="s">
        <v>108</v>
      </c>
    </row>
    <row r="331" spans="1:11" hidden="1" x14ac:dyDescent="0.3">
      <c r="A331" t="s">
        <v>20</v>
      </c>
      <c r="B331" t="s">
        <v>49</v>
      </c>
      <c r="C331" t="s">
        <v>72</v>
      </c>
      <c r="D331">
        <v>27</v>
      </c>
      <c r="E331">
        <f>Tableau4[[#This Row],[Potential (PJ)]]*1000/3.6</f>
        <v>7500</v>
      </c>
      <c r="F331">
        <v>3.4622037037037039</v>
      </c>
      <c r="G331">
        <f>Tableau4[[#This Row],[Cost (€/GJ)]]*3.6/1000</f>
        <v>1.2463933333333335E-2</v>
      </c>
      <c r="H331">
        <v>3.86607608129234</v>
      </c>
      <c r="I331">
        <f>Tableau4[[#This Row],[GHG (kgCO2eq/GJ)]]*3.6/1000</f>
        <v>1.3917873892652425E-2</v>
      </c>
      <c r="J331" t="s">
        <v>104</v>
      </c>
      <c r="K331" t="s">
        <v>108</v>
      </c>
    </row>
    <row r="332" spans="1:11" hidden="1" x14ac:dyDescent="0.3">
      <c r="A332" t="s">
        <v>20</v>
      </c>
      <c r="B332" t="s">
        <v>58</v>
      </c>
      <c r="C332" t="s">
        <v>95</v>
      </c>
      <c r="D332">
        <v>21.591329999999999</v>
      </c>
      <c r="E332">
        <f>Tableau4[[#This Row],[Potential (PJ)]]*1000/3.6</f>
        <v>5997.5916666666662</v>
      </c>
      <c r="F332">
        <v>2.3028040644091869</v>
      </c>
      <c r="G332">
        <f>Tableau4[[#This Row],[Cost (€/GJ)]]*3.6/1000</f>
        <v>8.2900946318730726E-3</v>
      </c>
      <c r="H332">
        <v>2.9521711768407801</v>
      </c>
      <c r="I332">
        <f>Tableau4[[#This Row],[GHG (kgCO2eq/GJ)]]*3.6/1000</f>
        <v>1.0627816236626808E-2</v>
      </c>
      <c r="J332" t="s">
        <v>104</v>
      </c>
      <c r="K332" t="s">
        <v>108</v>
      </c>
    </row>
    <row r="333" spans="1:11" hidden="1" x14ac:dyDescent="0.3">
      <c r="A333" t="s">
        <v>20</v>
      </c>
      <c r="B333" t="s">
        <v>50</v>
      </c>
      <c r="C333" t="s">
        <v>73</v>
      </c>
      <c r="D333">
        <v>2.4</v>
      </c>
      <c r="E333">
        <f>Tableau4[[#This Row],[Potential (PJ)]]*1000/3.6</f>
        <v>666.66666666666663</v>
      </c>
      <c r="F333">
        <v>5.6757916666666661</v>
      </c>
      <c r="G333">
        <f>Tableau4[[#This Row],[Cost (€/GJ)]]*3.6/1000</f>
        <v>2.0432849999999999E-2</v>
      </c>
      <c r="H333">
        <v>20.723404255319149</v>
      </c>
      <c r="I333">
        <f>Tableau4[[#This Row],[GHG (kgCO2eq/GJ)]]*3.6/1000</f>
        <v>7.4604255319148938E-2</v>
      </c>
      <c r="J333" t="s">
        <v>105</v>
      </c>
      <c r="K333" t="s">
        <v>108</v>
      </c>
    </row>
    <row r="334" spans="1:11" hidden="1" x14ac:dyDescent="0.3">
      <c r="A334" t="s">
        <v>20</v>
      </c>
      <c r="B334" t="s">
        <v>50</v>
      </c>
      <c r="C334" t="s">
        <v>74</v>
      </c>
      <c r="D334">
        <v>4.5</v>
      </c>
      <c r="E334">
        <f>Tableau4[[#This Row],[Potential (PJ)]]*1000/3.6</f>
        <v>1250</v>
      </c>
      <c r="F334">
        <v>6.6401555555555554</v>
      </c>
      <c r="G334">
        <f>Tableau4[[#This Row],[Cost (€/GJ)]]*3.6/1000</f>
        <v>2.3904559999999998E-2</v>
      </c>
      <c r="H334">
        <v>2.0635593220338988</v>
      </c>
      <c r="I334">
        <f>Tableau4[[#This Row],[GHG (kgCO2eq/GJ)]]*3.6/1000</f>
        <v>7.428813559322036E-3</v>
      </c>
      <c r="J334" t="s">
        <v>105</v>
      </c>
      <c r="K334" t="s">
        <v>108</v>
      </c>
    </row>
    <row r="335" spans="1:11" hidden="1" x14ac:dyDescent="0.3">
      <c r="A335" t="s">
        <v>20</v>
      </c>
      <c r="B335" t="s">
        <v>51</v>
      </c>
      <c r="C335" t="s">
        <v>75</v>
      </c>
      <c r="D335">
        <v>21.998840000000001</v>
      </c>
      <c r="E335">
        <f>Tableau4[[#This Row],[Potential (PJ)]]*1000/3.6</f>
        <v>6110.7888888888892</v>
      </c>
      <c r="F335">
        <v>2.5852009020234198E-2</v>
      </c>
      <c r="G335">
        <f>Tableau4[[#This Row],[Cost (€/GJ)]]*3.6/1000</f>
        <v>9.3067232472843108E-5</v>
      </c>
      <c r="H335">
        <v>11.74</v>
      </c>
      <c r="I335">
        <f>Tableau4[[#This Row],[GHG (kgCO2eq/GJ)]]*3.6/1000</f>
        <v>4.2264000000000003E-2</v>
      </c>
      <c r="J335" t="s">
        <v>104</v>
      </c>
      <c r="K335" t="s">
        <v>108</v>
      </c>
    </row>
    <row r="336" spans="1:11" hidden="1" x14ac:dyDescent="0.3">
      <c r="A336" t="s">
        <v>20</v>
      </c>
      <c r="B336" t="s">
        <v>60</v>
      </c>
      <c r="C336" t="s">
        <v>98</v>
      </c>
      <c r="D336">
        <v>0.17559</v>
      </c>
      <c r="E336">
        <f>Tableau4[[#This Row],[Potential (PJ)]]*1000/3.6</f>
        <v>48.774999999999999</v>
      </c>
      <c r="F336">
        <v>19.01181525241676</v>
      </c>
      <c r="G336">
        <f>Tableau4[[#This Row],[Cost (€/GJ)]]*3.6/1000</f>
        <v>6.8442534908700337E-2</v>
      </c>
      <c r="H336">
        <v>98.1</v>
      </c>
      <c r="I336">
        <f>Tableau4[[#This Row],[GHG (kgCO2eq/GJ)]]*3.6/1000</f>
        <v>0.35315999999999997</v>
      </c>
      <c r="J336" t="s">
        <v>107</v>
      </c>
      <c r="K336" t="s">
        <v>109</v>
      </c>
    </row>
    <row r="337" spans="1:11" hidden="1" x14ac:dyDescent="0.3">
      <c r="A337" t="s">
        <v>20</v>
      </c>
      <c r="B337" t="s">
        <v>52</v>
      </c>
      <c r="C337" t="s">
        <v>76</v>
      </c>
      <c r="D337">
        <v>5.3659999999999997</v>
      </c>
      <c r="E337">
        <f>Tableau4[[#This Row],[Potential (PJ)]]*1000/3.6</f>
        <v>1490.5555555555554</v>
      </c>
      <c r="F337">
        <v>4.7567250000000003</v>
      </c>
      <c r="G337">
        <f>Tableau4[[#This Row],[Cost (€/GJ)]]*3.6/1000</f>
        <v>1.7124210000000001E-2</v>
      </c>
      <c r="H337">
        <v>12.68872359754714</v>
      </c>
      <c r="I337">
        <f>Tableau4[[#This Row],[GHG (kgCO2eq/GJ)]]*3.6/1000</f>
        <v>4.5679404951169705E-2</v>
      </c>
      <c r="J337" t="s">
        <v>105</v>
      </c>
      <c r="K337" t="s">
        <v>108</v>
      </c>
    </row>
    <row r="338" spans="1:11" hidden="1" x14ac:dyDescent="0.3">
      <c r="A338" t="s">
        <v>20</v>
      </c>
      <c r="B338" t="s">
        <v>53</v>
      </c>
      <c r="C338" t="s">
        <v>77</v>
      </c>
      <c r="D338">
        <v>15.5</v>
      </c>
      <c r="E338">
        <f>Tableau4[[#This Row],[Potential (PJ)]]*1000/3.6</f>
        <v>4305.5555555555557</v>
      </c>
      <c r="F338">
        <v>3.4623741935483872</v>
      </c>
      <c r="G338">
        <f>Tableau4[[#This Row],[Cost (€/GJ)]]*3.6/1000</f>
        <v>1.2464547096774194E-2</v>
      </c>
      <c r="H338">
        <v>3.86607608129234</v>
      </c>
      <c r="I338">
        <f>Tableau4[[#This Row],[GHG (kgCO2eq/GJ)]]*3.6/1000</f>
        <v>1.3917873892652425E-2</v>
      </c>
      <c r="J338" t="s">
        <v>104</v>
      </c>
      <c r="K338" t="s">
        <v>108</v>
      </c>
    </row>
    <row r="339" spans="1:11" hidden="1" x14ac:dyDescent="0.3">
      <c r="A339" t="s">
        <v>20</v>
      </c>
      <c r="B339" t="s">
        <v>61</v>
      </c>
      <c r="C339" t="s">
        <v>99</v>
      </c>
      <c r="D339">
        <v>79.8</v>
      </c>
      <c r="E339">
        <f>Tableau4[[#This Row],[Potential (PJ)]]*1000/3.6</f>
        <v>22166.666666666668</v>
      </c>
      <c r="F339">
        <v>1.3610451127819549</v>
      </c>
      <c r="G339">
        <f>Tableau4[[#This Row],[Cost (€/GJ)]]*3.6/1000</f>
        <v>4.8997624060150378E-3</v>
      </c>
      <c r="H339">
        <v>2.9245635910224439</v>
      </c>
      <c r="I339">
        <f>Tableau4[[#This Row],[GHG (kgCO2eq/GJ)]]*3.6/1000</f>
        <v>1.0528428927680798E-2</v>
      </c>
      <c r="J339" t="s">
        <v>104</v>
      </c>
      <c r="K339" t="s">
        <v>108</v>
      </c>
    </row>
    <row r="340" spans="1:11" hidden="1" x14ac:dyDescent="0.3">
      <c r="A340" t="s">
        <v>20</v>
      </c>
      <c r="B340" t="s">
        <v>62</v>
      </c>
      <c r="C340" t="s">
        <v>100</v>
      </c>
      <c r="D340">
        <v>33.200000000000003</v>
      </c>
      <c r="E340">
        <f>Tableau4[[#This Row],[Potential (PJ)]]*1000/3.6</f>
        <v>9222.2222222222226</v>
      </c>
      <c r="F340">
        <v>0.17138554216867469</v>
      </c>
      <c r="G340">
        <f>Tableau4[[#This Row],[Cost (€/GJ)]]*3.6/1000</f>
        <v>6.1698795180722889E-4</v>
      </c>
      <c r="H340">
        <v>2.6764106050305911</v>
      </c>
      <c r="I340">
        <f>Tableau4[[#This Row],[GHG (kgCO2eq/GJ)]]*3.6/1000</f>
        <v>9.6350781781101274E-3</v>
      </c>
      <c r="J340" t="s">
        <v>104</v>
      </c>
      <c r="K340" t="s">
        <v>108</v>
      </c>
    </row>
    <row r="341" spans="1:11" hidden="1" x14ac:dyDescent="0.3">
      <c r="A341" t="s">
        <v>20</v>
      </c>
      <c r="B341" t="s">
        <v>54</v>
      </c>
      <c r="C341" t="s">
        <v>78</v>
      </c>
      <c r="D341">
        <v>232.9</v>
      </c>
      <c r="E341">
        <f>Tableau4[[#This Row],[Potential (PJ)]]*1000/3.6</f>
        <v>64694.444444444445</v>
      </c>
      <c r="F341">
        <v>7.1297969085444386</v>
      </c>
      <c r="G341">
        <f>Tableau4[[#This Row],[Cost (€/GJ)]]*3.6/1000</f>
        <v>2.5667268870759978E-2</v>
      </c>
      <c r="H341">
        <v>3.86607608129234</v>
      </c>
      <c r="I341">
        <f>Tableau4[[#This Row],[GHG (kgCO2eq/GJ)]]*3.6/1000</f>
        <v>1.3917873892652425E-2</v>
      </c>
      <c r="J341" t="s">
        <v>104</v>
      </c>
      <c r="K341" t="s">
        <v>108</v>
      </c>
    </row>
    <row r="342" spans="1:11" x14ac:dyDescent="0.3">
      <c r="A342" t="s">
        <v>21</v>
      </c>
      <c r="B342" t="s">
        <v>46</v>
      </c>
      <c r="C342" t="s">
        <v>63</v>
      </c>
      <c r="D342">
        <v>0.31979999999999997</v>
      </c>
      <c r="E342">
        <f>Tableau4[[#This Row],[Potential (PJ)]]*1000/3.6</f>
        <v>88.833333333333314</v>
      </c>
      <c r="F342">
        <v>2.9286474973375931</v>
      </c>
      <c r="G342">
        <f>Tableau4[[#This Row],[Cost (€/GJ)]]*3.6/1000</f>
        <v>1.0543130990415334E-2</v>
      </c>
      <c r="H342">
        <v>3.950479233226837</v>
      </c>
      <c r="I342">
        <f>Tableau4[[#This Row],[GHG (kgCO2eq/GJ)]]*3.6/1000</f>
        <v>1.4221725239616614E-2</v>
      </c>
      <c r="J342" t="s">
        <v>104</v>
      </c>
      <c r="K342" t="s">
        <v>108</v>
      </c>
    </row>
    <row r="343" spans="1:11" x14ac:dyDescent="0.3">
      <c r="A343" t="s">
        <v>21</v>
      </c>
      <c r="B343" t="s">
        <v>46</v>
      </c>
      <c r="C343" t="s">
        <v>64</v>
      </c>
      <c r="D343">
        <v>0.39588000000000001</v>
      </c>
      <c r="E343">
        <f>Tableau4[[#This Row],[Potential (PJ)]]*1000/3.6</f>
        <v>109.96666666666667</v>
      </c>
      <c r="F343">
        <v>6.4219722390623426</v>
      </c>
      <c r="G343">
        <f>Tableau4[[#This Row],[Cost (€/GJ)]]*3.6/1000</f>
        <v>2.3119100060624433E-2</v>
      </c>
      <c r="H343">
        <v>2.9521711768407801</v>
      </c>
      <c r="I343">
        <f>Tableau4[[#This Row],[GHG (kgCO2eq/GJ)]]*3.6/1000</f>
        <v>1.0627816236626808E-2</v>
      </c>
      <c r="J343" t="s">
        <v>104</v>
      </c>
      <c r="K343" t="s">
        <v>108</v>
      </c>
    </row>
    <row r="344" spans="1:11" x14ac:dyDescent="0.3">
      <c r="A344" t="s">
        <v>21</v>
      </c>
      <c r="B344" t="s">
        <v>46</v>
      </c>
      <c r="C344" t="s">
        <v>79</v>
      </c>
      <c r="D344">
        <v>190.8</v>
      </c>
      <c r="E344">
        <f>Tableau4[[#This Row],[Potential (PJ)]]*1000/3.6</f>
        <v>53000</v>
      </c>
      <c r="F344">
        <v>2.0124135220125789</v>
      </c>
      <c r="G344">
        <f>Tableau4[[#This Row],[Cost (€/GJ)]]*3.6/1000</f>
        <v>7.2446886792452841E-3</v>
      </c>
      <c r="H344">
        <v>6.8428961748633883</v>
      </c>
      <c r="I344">
        <f>Tableau4[[#This Row],[GHG (kgCO2eq/GJ)]]*3.6/1000</f>
        <v>2.4634426229508198E-2</v>
      </c>
      <c r="J344" t="s">
        <v>104</v>
      </c>
      <c r="K344" t="s">
        <v>108</v>
      </c>
    </row>
    <row r="345" spans="1:11" x14ac:dyDescent="0.3">
      <c r="A345" t="s">
        <v>21</v>
      </c>
      <c r="B345" t="s">
        <v>46</v>
      </c>
      <c r="C345" t="s">
        <v>65</v>
      </c>
      <c r="D345">
        <v>1.4</v>
      </c>
      <c r="E345">
        <f>Tableau4[[#This Row],[Potential (PJ)]]*1000/3.6</f>
        <v>388.88888888888886</v>
      </c>
      <c r="F345">
        <v>5.4710000000000001</v>
      </c>
      <c r="G345">
        <f>Tableau4[[#This Row],[Cost (€/GJ)]]*3.6/1000</f>
        <v>1.9695600000000004E-2</v>
      </c>
      <c r="H345">
        <v>2.9521711768407801</v>
      </c>
      <c r="I345">
        <f>Tableau4[[#This Row],[GHG (kgCO2eq/GJ)]]*3.6/1000</f>
        <v>1.0627816236626808E-2</v>
      </c>
      <c r="J345" t="s">
        <v>104</v>
      </c>
      <c r="K345" t="s">
        <v>108</v>
      </c>
    </row>
    <row r="346" spans="1:11" hidden="1" x14ac:dyDescent="0.3">
      <c r="A346" t="s">
        <v>21</v>
      </c>
      <c r="B346" t="s">
        <v>46</v>
      </c>
      <c r="C346" t="s">
        <v>80</v>
      </c>
      <c r="D346">
        <v>3.0964999999999998</v>
      </c>
      <c r="E346">
        <f>Tableau4[[#This Row],[Potential (PJ)]]*1000/3.6</f>
        <v>860.13888888888891</v>
      </c>
      <c r="F346">
        <v>0.72016183412002699</v>
      </c>
      <c r="G346">
        <f>Tableau4[[#This Row],[Cost (€/GJ)]]*3.6/1000</f>
        <v>2.5925826028320971E-3</v>
      </c>
      <c r="H346">
        <v>28.139870918023309</v>
      </c>
      <c r="I346">
        <f>Tableau4[[#This Row],[GHG (kgCO2eq/GJ)]]*3.6/1000</f>
        <v>0.10130353530488391</v>
      </c>
      <c r="J346" t="s">
        <v>105</v>
      </c>
      <c r="K346" t="s">
        <v>108</v>
      </c>
    </row>
    <row r="347" spans="1:11" hidden="1" x14ac:dyDescent="0.3">
      <c r="A347" t="s">
        <v>21</v>
      </c>
      <c r="B347" t="s">
        <v>46</v>
      </c>
      <c r="C347" t="s">
        <v>81</v>
      </c>
      <c r="D347">
        <v>8.9489999999999998</v>
      </c>
      <c r="E347">
        <f>Tableau4[[#This Row],[Potential (PJ)]]*1000/3.6</f>
        <v>2485.8333333333335</v>
      </c>
      <c r="F347">
        <v>0.98883666274970616</v>
      </c>
      <c r="G347">
        <f>Tableau4[[#This Row],[Cost (€/GJ)]]*3.6/1000</f>
        <v>3.5598119858989423E-3</v>
      </c>
      <c r="H347">
        <v>8.9647473560517046</v>
      </c>
      <c r="I347">
        <f>Tableau4[[#This Row],[GHG (kgCO2eq/GJ)]]*3.6/1000</f>
        <v>3.2273090481786136E-2</v>
      </c>
      <c r="J347" t="s">
        <v>105</v>
      </c>
      <c r="K347" t="s">
        <v>108</v>
      </c>
    </row>
    <row r="348" spans="1:11" x14ac:dyDescent="0.3">
      <c r="A348" t="s">
        <v>21</v>
      </c>
      <c r="B348" t="s">
        <v>46</v>
      </c>
      <c r="C348" t="s">
        <v>66</v>
      </c>
      <c r="D348">
        <v>44.9</v>
      </c>
      <c r="E348">
        <f>Tableau4[[#This Row],[Potential (PJ)]]*1000/3.6</f>
        <v>12472.222222222223</v>
      </c>
      <c r="F348">
        <v>2.0194298440979961</v>
      </c>
      <c r="G348">
        <f>Tableau4[[#This Row],[Cost (€/GJ)]]*3.6/1000</f>
        <v>7.2699474387527864E-3</v>
      </c>
      <c r="H348">
        <v>6.8428961748633883</v>
      </c>
      <c r="I348">
        <f>Tableau4[[#This Row],[GHG (kgCO2eq/GJ)]]*3.6/1000</f>
        <v>2.4634426229508198E-2</v>
      </c>
      <c r="J348" t="s">
        <v>104</v>
      </c>
      <c r="K348" t="s">
        <v>108</v>
      </c>
    </row>
    <row r="349" spans="1:11" x14ac:dyDescent="0.3">
      <c r="A349" t="s">
        <v>21</v>
      </c>
      <c r="B349" t="s">
        <v>46</v>
      </c>
      <c r="C349" t="s">
        <v>67</v>
      </c>
      <c r="D349">
        <v>0.60000000000000009</v>
      </c>
      <c r="E349">
        <f>Tableau4[[#This Row],[Potential (PJ)]]*1000/3.6</f>
        <v>166.66666666666669</v>
      </c>
      <c r="F349">
        <v>7.6069999999999993</v>
      </c>
      <c r="G349">
        <f>Tableau4[[#This Row],[Cost (€/GJ)]]*3.6/1000</f>
        <v>2.7385199999999998E-2</v>
      </c>
      <c r="H349">
        <v>2.9521711768407801</v>
      </c>
      <c r="I349">
        <f>Tableau4[[#This Row],[GHG (kgCO2eq/GJ)]]*3.6/1000</f>
        <v>1.0627816236626808E-2</v>
      </c>
      <c r="J349" t="s">
        <v>104</v>
      </c>
      <c r="K349" t="s">
        <v>108</v>
      </c>
    </row>
    <row r="350" spans="1:11" x14ac:dyDescent="0.3">
      <c r="A350" t="s">
        <v>21</v>
      </c>
      <c r="B350" t="s">
        <v>46</v>
      </c>
      <c r="C350" t="s">
        <v>82</v>
      </c>
      <c r="D350">
        <v>31.8</v>
      </c>
      <c r="E350">
        <f>Tableau4[[#This Row],[Potential (PJ)]]*1000/3.6</f>
        <v>8833.3333333333339</v>
      </c>
      <c r="F350">
        <v>1.3743522012578619</v>
      </c>
      <c r="G350">
        <f>Tableau4[[#This Row],[Cost (€/GJ)]]*3.6/1000</f>
        <v>4.9476679245283031E-3</v>
      </c>
      <c r="H350">
        <v>6.8428961748633883</v>
      </c>
      <c r="I350">
        <f>Tableau4[[#This Row],[GHG (kgCO2eq/GJ)]]*3.6/1000</f>
        <v>2.4634426229508198E-2</v>
      </c>
      <c r="J350" t="s">
        <v>104</v>
      </c>
      <c r="K350" t="s">
        <v>108</v>
      </c>
    </row>
    <row r="351" spans="1:11" x14ac:dyDescent="0.3">
      <c r="A351" t="s">
        <v>21</v>
      </c>
      <c r="B351" t="s">
        <v>46</v>
      </c>
      <c r="C351" t="s">
        <v>83</v>
      </c>
      <c r="D351">
        <v>1.8149299999999999</v>
      </c>
      <c r="E351">
        <f>Tableau4[[#This Row],[Potential (PJ)]]*1000/3.6</f>
        <v>504.14722222222218</v>
      </c>
      <c r="F351">
        <v>1.868384587835344</v>
      </c>
      <c r="G351">
        <f>Tableau4[[#This Row],[Cost (€/GJ)]]*3.6/1000</f>
        <v>6.7261845162072389E-3</v>
      </c>
      <c r="H351">
        <v>6.8428961748633883</v>
      </c>
      <c r="I351">
        <f>Tableau4[[#This Row],[GHG (kgCO2eq/GJ)]]*3.6/1000</f>
        <v>2.4634426229508198E-2</v>
      </c>
      <c r="J351" t="s">
        <v>104</v>
      </c>
      <c r="K351" t="s">
        <v>108</v>
      </c>
    </row>
    <row r="352" spans="1:11" hidden="1" x14ac:dyDescent="0.3">
      <c r="A352" t="s">
        <v>21</v>
      </c>
      <c r="B352" t="s">
        <v>46</v>
      </c>
      <c r="C352" t="s">
        <v>84</v>
      </c>
      <c r="D352">
        <v>3.1</v>
      </c>
      <c r="E352">
        <f>Tableau4[[#This Row],[Potential (PJ)]]*1000/3.6</f>
        <v>861.11111111111109</v>
      </c>
      <c r="F352">
        <v>1.927741935483871</v>
      </c>
      <c r="G352">
        <f>Tableau4[[#This Row],[Cost (€/GJ)]]*3.6/1000</f>
        <v>6.9398709677419351E-3</v>
      </c>
      <c r="H352">
        <v>28.139870918023309</v>
      </c>
      <c r="I352">
        <f>Tableau4[[#This Row],[GHG (kgCO2eq/GJ)]]*3.6/1000</f>
        <v>0.10130353530488391</v>
      </c>
      <c r="J352" t="s">
        <v>105</v>
      </c>
      <c r="K352" t="s">
        <v>108</v>
      </c>
    </row>
    <row r="353" spans="1:11" x14ac:dyDescent="0.3">
      <c r="A353" t="s">
        <v>21</v>
      </c>
      <c r="B353" t="s">
        <v>46</v>
      </c>
      <c r="C353" t="s">
        <v>85</v>
      </c>
      <c r="D353">
        <v>10.6</v>
      </c>
      <c r="E353">
        <f>Tableau4[[#This Row],[Potential (PJ)]]*1000/3.6</f>
        <v>2944.4444444444443</v>
      </c>
      <c r="F353">
        <v>4.4085000000000001</v>
      </c>
      <c r="G353">
        <f>Tableau4[[#This Row],[Cost (€/GJ)]]*3.6/1000</f>
        <v>1.5870600000000002E-2</v>
      </c>
      <c r="H353">
        <v>2.9521711768407801</v>
      </c>
      <c r="I353">
        <f>Tableau4[[#This Row],[GHG (kgCO2eq/GJ)]]*3.6/1000</f>
        <v>1.0627816236626808E-2</v>
      </c>
      <c r="J353" t="s">
        <v>104</v>
      </c>
      <c r="K353" t="s">
        <v>108</v>
      </c>
    </row>
    <row r="354" spans="1:11" hidden="1" x14ac:dyDescent="0.3">
      <c r="A354" t="s">
        <v>21</v>
      </c>
      <c r="B354" t="s">
        <v>55</v>
      </c>
      <c r="C354" t="s">
        <v>86</v>
      </c>
      <c r="D354">
        <v>2.2181000000000002</v>
      </c>
      <c r="E354">
        <f>Tableau4[[#This Row],[Potential (PJ)]]*1000/3.6</f>
        <v>616.13888888888903</v>
      </c>
      <c r="F354">
        <v>16.649999999999991</v>
      </c>
      <c r="G354">
        <f>Tableau4[[#This Row],[Cost (€/GJ)]]*3.6/1000</f>
        <v>5.9939999999999972E-2</v>
      </c>
      <c r="H354">
        <v>18.100000000000001</v>
      </c>
      <c r="I354">
        <f>Tableau4[[#This Row],[GHG (kgCO2eq/GJ)]]*3.6/1000</f>
        <v>6.516000000000001E-2</v>
      </c>
      <c r="J354" t="s">
        <v>106</v>
      </c>
      <c r="K354" t="s">
        <v>109</v>
      </c>
    </row>
    <row r="355" spans="1:11" hidden="1" x14ac:dyDescent="0.3">
      <c r="A355" t="s">
        <v>21</v>
      </c>
      <c r="B355" t="s">
        <v>55</v>
      </c>
      <c r="C355" t="s">
        <v>87</v>
      </c>
      <c r="D355">
        <v>11.79</v>
      </c>
      <c r="E355">
        <f>Tableau4[[#This Row],[Potential (PJ)]]*1000/3.6</f>
        <v>3275</v>
      </c>
      <c r="F355">
        <v>18.841000000000001</v>
      </c>
      <c r="G355">
        <f>Tableau4[[#This Row],[Cost (€/GJ)]]*3.6/1000</f>
        <v>6.7827600000000002E-2</v>
      </c>
      <c r="H355">
        <v>18.100000000000001</v>
      </c>
      <c r="I355">
        <f>Tableau4[[#This Row],[GHG (kgCO2eq/GJ)]]*3.6/1000</f>
        <v>6.516000000000001E-2</v>
      </c>
      <c r="J355" t="s">
        <v>106</v>
      </c>
      <c r="K355" t="s">
        <v>109</v>
      </c>
    </row>
    <row r="356" spans="1:11" hidden="1" x14ac:dyDescent="0.3">
      <c r="A356" t="s">
        <v>21</v>
      </c>
      <c r="B356" t="s">
        <v>55</v>
      </c>
      <c r="C356" t="s">
        <v>88</v>
      </c>
      <c r="D356">
        <v>12.815099999999999</v>
      </c>
      <c r="E356">
        <f>Tableau4[[#This Row],[Potential (PJ)]]*1000/3.6</f>
        <v>3559.7499999999995</v>
      </c>
      <c r="F356">
        <v>18.274000000000001</v>
      </c>
      <c r="G356">
        <f>Tableau4[[#This Row],[Cost (€/GJ)]]*3.6/1000</f>
        <v>6.5786399999999995E-2</v>
      </c>
      <c r="H356">
        <v>18.100000000000001</v>
      </c>
      <c r="I356">
        <f>Tableau4[[#This Row],[GHG (kgCO2eq/GJ)]]*3.6/1000</f>
        <v>6.516000000000001E-2</v>
      </c>
      <c r="J356" t="s">
        <v>106</v>
      </c>
      <c r="K356" t="s">
        <v>109</v>
      </c>
    </row>
    <row r="357" spans="1:11" hidden="1" x14ac:dyDescent="0.3">
      <c r="A357" t="s">
        <v>21</v>
      </c>
      <c r="B357" t="s">
        <v>55</v>
      </c>
      <c r="C357" t="s">
        <v>92</v>
      </c>
      <c r="D357">
        <v>2.4423599999999999</v>
      </c>
      <c r="E357">
        <f>Tableau4[[#This Row],[Potential (PJ)]]*1000/3.6</f>
        <v>678.43333333333328</v>
      </c>
      <c r="F357">
        <v>18.841000000000001</v>
      </c>
      <c r="G357">
        <f>Tableau4[[#This Row],[Cost (€/GJ)]]*3.6/1000</f>
        <v>6.7827600000000002E-2</v>
      </c>
      <c r="H357">
        <v>18.100000000000001</v>
      </c>
      <c r="I357">
        <f>Tableau4[[#This Row],[GHG (kgCO2eq/GJ)]]*3.6/1000</f>
        <v>6.516000000000001E-2</v>
      </c>
      <c r="J357" t="s">
        <v>106</v>
      </c>
      <c r="K357" t="s">
        <v>109</v>
      </c>
    </row>
    <row r="358" spans="1:11" hidden="1" x14ac:dyDescent="0.3">
      <c r="A358" t="s">
        <v>21</v>
      </c>
      <c r="B358" t="s">
        <v>56</v>
      </c>
      <c r="C358" t="s">
        <v>93</v>
      </c>
      <c r="D358">
        <v>255.0694</v>
      </c>
      <c r="E358">
        <f>Tableau4[[#This Row],[Potential (PJ)]]*1000/3.6</f>
        <v>70852.611111111109</v>
      </c>
      <c r="F358">
        <v>2.939759036144578</v>
      </c>
      <c r="G358">
        <f>Tableau4[[#This Row],[Cost (€/GJ)]]*3.6/1000</f>
        <v>1.0583132530120483E-2</v>
      </c>
      <c r="H358">
        <v>25.9</v>
      </c>
      <c r="I358">
        <f>Tableau4[[#This Row],[GHG (kgCO2eq/GJ)]]*3.6/1000</f>
        <v>9.323999999999999E-2</v>
      </c>
      <c r="J358" t="s">
        <v>106</v>
      </c>
      <c r="K358" t="s">
        <v>109</v>
      </c>
    </row>
    <row r="359" spans="1:11" x14ac:dyDescent="0.3">
      <c r="A359" t="s">
        <v>21</v>
      </c>
      <c r="B359" t="s">
        <v>47</v>
      </c>
      <c r="C359" t="s">
        <v>68</v>
      </c>
      <c r="D359">
        <v>157.30000000000001</v>
      </c>
      <c r="E359">
        <f>Tableau4[[#This Row],[Potential (PJ)]]*1000/3.6</f>
        <v>43694.444444444445</v>
      </c>
      <c r="F359">
        <v>4.5033191354100444</v>
      </c>
      <c r="G359">
        <f>Tableau4[[#This Row],[Cost (€/GJ)]]*3.6/1000</f>
        <v>1.6211948887476162E-2</v>
      </c>
      <c r="H359">
        <v>18.600000000000001</v>
      </c>
      <c r="I359">
        <f>Tableau4[[#This Row],[GHG (kgCO2eq/GJ)]]*3.6/1000</f>
        <v>6.6960000000000006E-2</v>
      </c>
      <c r="J359" t="s">
        <v>104</v>
      </c>
      <c r="K359" t="s">
        <v>109</v>
      </c>
    </row>
    <row r="360" spans="1:11" x14ac:dyDescent="0.3">
      <c r="A360" t="s">
        <v>21</v>
      </c>
      <c r="B360" t="s">
        <v>47</v>
      </c>
      <c r="C360" t="s">
        <v>69</v>
      </c>
      <c r="D360">
        <v>158.6</v>
      </c>
      <c r="E360">
        <f>Tableau4[[#This Row],[Potential (PJ)]]*1000/3.6</f>
        <v>44055.555555555555</v>
      </c>
      <c r="F360">
        <v>4.2870498108448931</v>
      </c>
      <c r="G360">
        <f>Tableau4[[#This Row],[Cost (€/GJ)]]*3.6/1000</f>
        <v>1.5433379319041615E-2</v>
      </c>
      <c r="H360">
        <v>18.600000000000001</v>
      </c>
      <c r="I360">
        <f>Tableau4[[#This Row],[GHG (kgCO2eq/GJ)]]*3.6/1000</f>
        <v>6.6960000000000006E-2</v>
      </c>
      <c r="J360" t="s">
        <v>104</v>
      </c>
      <c r="K360" t="s">
        <v>109</v>
      </c>
    </row>
    <row r="361" spans="1:11" x14ac:dyDescent="0.3">
      <c r="A361" t="s">
        <v>21</v>
      </c>
      <c r="B361" t="s">
        <v>57</v>
      </c>
      <c r="C361" t="s">
        <v>94</v>
      </c>
      <c r="D361">
        <v>38.200000000000003</v>
      </c>
      <c r="E361">
        <f>Tableau4[[#This Row],[Potential (PJ)]]*1000/3.6</f>
        <v>10611.111111111111</v>
      </c>
      <c r="F361">
        <v>8.3685497382198957</v>
      </c>
      <c r="G361">
        <f>Tableau4[[#This Row],[Cost (€/GJ)]]*3.6/1000</f>
        <v>3.0126779057591625E-2</v>
      </c>
      <c r="H361">
        <v>15.2</v>
      </c>
      <c r="I361">
        <f>Tableau4[[#This Row],[GHG (kgCO2eq/GJ)]]*3.6/1000</f>
        <v>5.4719999999999998E-2</v>
      </c>
      <c r="J361" t="s">
        <v>104</v>
      </c>
      <c r="K361" t="s">
        <v>109</v>
      </c>
    </row>
    <row r="362" spans="1:11" x14ac:dyDescent="0.3">
      <c r="A362" t="s">
        <v>21</v>
      </c>
      <c r="B362" t="s">
        <v>48</v>
      </c>
      <c r="C362" t="s">
        <v>70</v>
      </c>
      <c r="D362">
        <v>6.3</v>
      </c>
      <c r="E362">
        <f>Tableau4[[#This Row],[Potential (PJ)]]*1000/3.6</f>
        <v>1750</v>
      </c>
      <c r="F362">
        <v>10.52820634920635</v>
      </c>
      <c r="G362">
        <f>Tableau4[[#This Row],[Cost (€/GJ)]]*3.6/1000</f>
        <v>3.7901542857142867E-2</v>
      </c>
      <c r="H362">
        <v>15.2</v>
      </c>
      <c r="I362">
        <f>Tableau4[[#This Row],[GHG (kgCO2eq/GJ)]]*3.6/1000</f>
        <v>5.4719999999999998E-2</v>
      </c>
      <c r="J362" t="s">
        <v>104</v>
      </c>
      <c r="K362" t="s">
        <v>109</v>
      </c>
    </row>
    <row r="363" spans="1:11" x14ac:dyDescent="0.3">
      <c r="A363" t="s">
        <v>21</v>
      </c>
      <c r="B363" t="s">
        <v>49</v>
      </c>
      <c r="C363" t="s">
        <v>71</v>
      </c>
      <c r="D363">
        <v>435.02460000000002</v>
      </c>
      <c r="E363">
        <f>Tableau4[[#This Row],[Potential (PJ)]]*1000/3.6</f>
        <v>120840.16666666667</v>
      </c>
      <c r="F363">
        <v>3.5874193961904681</v>
      </c>
      <c r="G363">
        <f>Tableau4[[#This Row],[Cost (€/GJ)]]*3.6/1000</f>
        <v>1.2914709826285686E-2</v>
      </c>
      <c r="H363">
        <v>3.86607608129234</v>
      </c>
      <c r="I363">
        <f>Tableau4[[#This Row],[GHG (kgCO2eq/GJ)]]*3.6/1000</f>
        <v>1.3917873892652425E-2</v>
      </c>
      <c r="J363" t="s">
        <v>104</v>
      </c>
      <c r="K363" t="s">
        <v>108</v>
      </c>
    </row>
    <row r="364" spans="1:11" x14ac:dyDescent="0.3">
      <c r="A364" t="s">
        <v>21</v>
      </c>
      <c r="B364" t="s">
        <v>49</v>
      </c>
      <c r="C364" t="s">
        <v>72</v>
      </c>
      <c r="D364">
        <v>159.80000000000001</v>
      </c>
      <c r="E364">
        <f>Tableau4[[#This Row],[Potential (PJ)]]*1000/3.6</f>
        <v>44388.888888888891</v>
      </c>
      <c r="F364">
        <v>2.8730018773466832</v>
      </c>
      <c r="G364">
        <f>Tableau4[[#This Row],[Cost (€/GJ)]]*3.6/1000</f>
        <v>1.0342806758448059E-2</v>
      </c>
      <c r="H364">
        <v>3.86607608129234</v>
      </c>
      <c r="I364">
        <f>Tableau4[[#This Row],[GHG (kgCO2eq/GJ)]]*3.6/1000</f>
        <v>1.3917873892652425E-2</v>
      </c>
      <c r="J364" t="s">
        <v>104</v>
      </c>
      <c r="K364" t="s">
        <v>108</v>
      </c>
    </row>
    <row r="365" spans="1:11" x14ac:dyDescent="0.3">
      <c r="A365" t="s">
        <v>21</v>
      </c>
      <c r="B365" t="s">
        <v>58</v>
      </c>
      <c r="C365" t="s">
        <v>95</v>
      </c>
      <c r="D365">
        <v>127.55284</v>
      </c>
      <c r="E365">
        <f>Tableau4[[#This Row],[Potential (PJ)]]*1000/3.6</f>
        <v>35431.344444444439</v>
      </c>
      <c r="F365">
        <v>2.3233846161324201</v>
      </c>
      <c r="G365">
        <f>Tableau4[[#This Row],[Cost (€/GJ)]]*3.6/1000</f>
        <v>8.3641846180767133E-3</v>
      </c>
      <c r="H365">
        <v>2.9521711768407801</v>
      </c>
      <c r="I365">
        <f>Tableau4[[#This Row],[GHG (kgCO2eq/GJ)]]*3.6/1000</f>
        <v>1.0627816236626808E-2</v>
      </c>
      <c r="J365" t="s">
        <v>104</v>
      </c>
      <c r="K365" t="s">
        <v>108</v>
      </c>
    </row>
    <row r="366" spans="1:11" hidden="1" x14ac:dyDescent="0.3">
      <c r="A366" t="s">
        <v>21</v>
      </c>
      <c r="B366" t="s">
        <v>50</v>
      </c>
      <c r="C366" t="s">
        <v>73</v>
      </c>
      <c r="D366">
        <v>38.1</v>
      </c>
      <c r="E366">
        <f>Tableau4[[#This Row],[Potential (PJ)]]*1000/3.6</f>
        <v>10583.333333333334</v>
      </c>
      <c r="F366">
        <v>5.5668950131233599</v>
      </c>
      <c r="G366">
        <f>Tableau4[[#This Row],[Cost (€/GJ)]]*3.6/1000</f>
        <v>2.0040822047244094E-2</v>
      </c>
      <c r="H366">
        <v>20.723404255319149</v>
      </c>
      <c r="I366">
        <f>Tableau4[[#This Row],[GHG (kgCO2eq/GJ)]]*3.6/1000</f>
        <v>7.4604255319148938E-2</v>
      </c>
      <c r="J366" t="s">
        <v>105</v>
      </c>
      <c r="K366" t="s">
        <v>108</v>
      </c>
    </row>
    <row r="367" spans="1:11" hidden="1" x14ac:dyDescent="0.3">
      <c r="A367" t="s">
        <v>21</v>
      </c>
      <c r="B367" t="s">
        <v>50</v>
      </c>
      <c r="C367" t="s">
        <v>74</v>
      </c>
      <c r="D367">
        <v>422.8</v>
      </c>
      <c r="E367">
        <f>Tableau4[[#This Row],[Potential (PJ)]]*1000/3.6</f>
        <v>117444.44444444444</v>
      </c>
      <c r="F367">
        <v>6.3662379375591289</v>
      </c>
      <c r="G367">
        <f>Tableau4[[#This Row],[Cost (€/GJ)]]*3.6/1000</f>
        <v>2.2918456575212864E-2</v>
      </c>
      <c r="H367">
        <v>2.0635593220338988</v>
      </c>
      <c r="I367">
        <f>Tableau4[[#This Row],[GHG (kgCO2eq/GJ)]]*3.6/1000</f>
        <v>7.428813559322036E-3</v>
      </c>
      <c r="J367" t="s">
        <v>105</v>
      </c>
      <c r="K367" t="s">
        <v>108</v>
      </c>
    </row>
    <row r="368" spans="1:11" hidden="1" x14ac:dyDescent="0.3">
      <c r="A368" t="s">
        <v>21</v>
      </c>
      <c r="B368" t="s">
        <v>59</v>
      </c>
      <c r="C368" t="s">
        <v>96</v>
      </c>
      <c r="D368">
        <v>0.49709999999999999</v>
      </c>
      <c r="E368">
        <f>Tableau4[[#This Row],[Potential (PJ)]]*1000/3.6</f>
        <v>138.08333333333331</v>
      </c>
      <c r="F368">
        <v>28.434000000000001</v>
      </c>
      <c r="G368">
        <f>Tableau4[[#This Row],[Cost (€/GJ)]]*3.6/1000</f>
        <v>0.10236240000000001</v>
      </c>
      <c r="H368">
        <v>24.2</v>
      </c>
      <c r="I368">
        <f>Tableau4[[#This Row],[GHG (kgCO2eq/GJ)]]*3.6/1000</f>
        <v>8.7120000000000003E-2</v>
      </c>
      <c r="J368" t="s">
        <v>107</v>
      </c>
      <c r="K368" t="s">
        <v>109</v>
      </c>
    </row>
    <row r="369" spans="1:11" hidden="1" x14ac:dyDescent="0.3">
      <c r="A369" t="s">
        <v>21</v>
      </c>
      <c r="B369" t="s">
        <v>59</v>
      </c>
      <c r="C369" t="s">
        <v>97</v>
      </c>
      <c r="D369">
        <v>7.2530000000000001</v>
      </c>
      <c r="E369">
        <f>Tableau4[[#This Row],[Potential (PJ)]]*1000/3.6</f>
        <v>2014.7222222222222</v>
      </c>
      <c r="F369">
        <v>18.393922951709168</v>
      </c>
      <c r="G369">
        <f>Tableau4[[#This Row],[Cost (€/GJ)]]*3.6/1000</f>
        <v>6.6218122626153009E-2</v>
      </c>
      <c r="H369">
        <v>24.2</v>
      </c>
      <c r="I369">
        <f>Tableau4[[#This Row],[GHG (kgCO2eq/GJ)]]*3.6/1000</f>
        <v>8.7120000000000003E-2</v>
      </c>
      <c r="J369" t="s">
        <v>107</v>
      </c>
      <c r="K369" t="s">
        <v>109</v>
      </c>
    </row>
    <row r="370" spans="1:11" x14ac:dyDescent="0.3">
      <c r="A370" t="s">
        <v>21</v>
      </c>
      <c r="B370" t="s">
        <v>51</v>
      </c>
      <c r="C370" t="s">
        <v>75</v>
      </c>
      <c r="D370">
        <v>145.19880000000001</v>
      </c>
      <c r="E370">
        <f>Tableau4[[#This Row],[Potential (PJ)]]*1000/3.6</f>
        <v>40333.000000000007</v>
      </c>
      <c r="F370">
        <v>4.9717737066582099E-2</v>
      </c>
      <c r="G370">
        <f>Tableau4[[#This Row],[Cost (€/GJ)]]*3.6/1000</f>
        <v>1.7898385343969556E-4</v>
      </c>
      <c r="H370">
        <v>11.74</v>
      </c>
      <c r="I370">
        <f>Tableau4[[#This Row],[GHG (kgCO2eq/GJ)]]*3.6/1000</f>
        <v>4.2264000000000003E-2</v>
      </c>
      <c r="J370" t="s">
        <v>104</v>
      </c>
      <c r="K370" t="s">
        <v>108</v>
      </c>
    </row>
    <row r="371" spans="1:11" hidden="1" x14ac:dyDescent="0.3">
      <c r="A371" t="s">
        <v>21</v>
      </c>
      <c r="B371" t="s">
        <v>60</v>
      </c>
      <c r="C371" t="s">
        <v>98</v>
      </c>
      <c r="D371">
        <v>63.14658</v>
      </c>
      <c r="E371">
        <f>Tableau4[[#This Row],[Potential (PJ)]]*1000/3.6</f>
        <v>17540.716666666667</v>
      </c>
      <c r="F371">
        <v>17.3469387755102</v>
      </c>
      <c r="G371">
        <f>Tableau4[[#This Row],[Cost (€/GJ)]]*3.6/1000</f>
        <v>6.244897959183672E-2</v>
      </c>
      <c r="H371">
        <v>26.3</v>
      </c>
      <c r="I371">
        <f>Tableau4[[#This Row],[GHG (kgCO2eq/GJ)]]*3.6/1000</f>
        <v>9.468E-2</v>
      </c>
      <c r="J371" t="s">
        <v>107</v>
      </c>
      <c r="K371" t="s">
        <v>109</v>
      </c>
    </row>
    <row r="372" spans="1:11" hidden="1" x14ac:dyDescent="0.3">
      <c r="A372" t="s">
        <v>21</v>
      </c>
      <c r="B372" t="s">
        <v>52</v>
      </c>
      <c r="C372" t="s">
        <v>76</v>
      </c>
      <c r="D372">
        <v>1.4999999999999999E-2</v>
      </c>
      <c r="E372">
        <f>Tableau4[[#This Row],[Potential (PJ)]]*1000/3.6</f>
        <v>4.166666666666667</v>
      </c>
      <c r="F372">
        <v>4.7567250000000003</v>
      </c>
      <c r="G372">
        <f>Tableau4[[#This Row],[Cost (€/GJ)]]*3.6/1000</f>
        <v>1.7124210000000001E-2</v>
      </c>
      <c r="H372">
        <v>12.68872359754714</v>
      </c>
      <c r="I372">
        <f>Tableau4[[#This Row],[GHG (kgCO2eq/GJ)]]*3.6/1000</f>
        <v>4.5679404951169705E-2</v>
      </c>
      <c r="J372" t="s">
        <v>105</v>
      </c>
      <c r="K372" t="s">
        <v>108</v>
      </c>
    </row>
    <row r="373" spans="1:11" x14ac:dyDescent="0.3">
      <c r="A373" t="s">
        <v>21</v>
      </c>
      <c r="B373" t="s">
        <v>53</v>
      </c>
      <c r="C373" t="s">
        <v>77</v>
      </c>
      <c r="D373">
        <v>122.9</v>
      </c>
      <c r="E373">
        <f>Tableau4[[#This Row],[Potential (PJ)]]*1000/3.6</f>
        <v>34138.888888888891</v>
      </c>
      <c r="F373">
        <v>2.8730406834825062</v>
      </c>
      <c r="G373">
        <f>Tableau4[[#This Row],[Cost (€/GJ)]]*3.6/1000</f>
        <v>1.0342946460537024E-2</v>
      </c>
      <c r="H373">
        <v>3.86607608129234</v>
      </c>
      <c r="I373">
        <f>Tableau4[[#This Row],[GHG (kgCO2eq/GJ)]]*3.6/1000</f>
        <v>1.3917873892652425E-2</v>
      </c>
      <c r="J373" t="s">
        <v>104</v>
      </c>
      <c r="K373" t="s">
        <v>108</v>
      </c>
    </row>
    <row r="374" spans="1:11" x14ac:dyDescent="0.3">
      <c r="A374" t="s">
        <v>21</v>
      </c>
      <c r="B374" t="s">
        <v>61</v>
      </c>
      <c r="C374" t="s">
        <v>99</v>
      </c>
      <c r="D374">
        <v>54.6</v>
      </c>
      <c r="E374">
        <f>Tableau4[[#This Row],[Potential (PJ)]]*1000/3.6</f>
        <v>15166.666666666666</v>
      </c>
      <c r="F374">
        <v>1.551824175824176</v>
      </c>
      <c r="G374">
        <f>Tableau4[[#This Row],[Cost (€/GJ)]]*3.6/1000</f>
        <v>5.5865670329670342E-3</v>
      </c>
      <c r="H374">
        <v>2.9245635910224439</v>
      </c>
      <c r="I374">
        <f>Tableau4[[#This Row],[GHG (kgCO2eq/GJ)]]*3.6/1000</f>
        <v>1.0528428927680798E-2</v>
      </c>
      <c r="J374" t="s">
        <v>104</v>
      </c>
      <c r="K374" t="s">
        <v>108</v>
      </c>
    </row>
    <row r="375" spans="1:11" x14ac:dyDescent="0.3">
      <c r="A375" t="s">
        <v>21</v>
      </c>
      <c r="B375" t="s">
        <v>62</v>
      </c>
      <c r="C375" t="s">
        <v>100</v>
      </c>
      <c r="D375">
        <v>16</v>
      </c>
      <c r="E375">
        <f>Tableau4[[#This Row],[Potential (PJ)]]*1000/3.6</f>
        <v>4444.4444444444443</v>
      </c>
      <c r="F375">
        <v>6.8750000000000006E-2</v>
      </c>
      <c r="G375">
        <f>Tableau4[[#This Row],[Cost (€/GJ)]]*3.6/1000</f>
        <v>2.475E-4</v>
      </c>
      <c r="H375">
        <v>2.6764106050305911</v>
      </c>
      <c r="I375">
        <f>Tableau4[[#This Row],[GHG (kgCO2eq/GJ)]]*3.6/1000</f>
        <v>9.6350781781101274E-3</v>
      </c>
      <c r="J375" t="s">
        <v>104</v>
      </c>
      <c r="K375" t="s">
        <v>108</v>
      </c>
    </row>
    <row r="376" spans="1:11" x14ac:dyDescent="0.3">
      <c r="A376" t="s">
        <v>21</v>
      </c>
      <c r="B376" t="s">
        <v>54</v>
      </c>
      <c r="C376" t="s">
        <v>78</v>
      </c>
      <c r="D376">
        <v>334.8</v>
      </c>
      <c r="E376">
        <f>Tableau4[[#This Row],[Potential (PJ)]]*1000/3.6</f>
        <v>93000</v>
      </c>
      <c r="F376">
        <v>5.8630609318996418</v>
      </c>
      <c r="G376">
        <f>Tableau4[[#This Row],[Cost (€/GJ)]]*3.6/1000</f>
        <v>2.1107019354838712E-2</v>
      </c>
      <c r="H376">
        <v>3.86607608129234</v>
      </c>
      <c r="I376">
        <f>Tableau4[[#This Row],[GHG (kgCO2eq/GJ)]]*3.6/1000</f>
        <v>1.3917873892652425E-2</v>
      </c>
      <c r="J376" t="s">
        <v>104</v>
      </c>
      <c r="K376" t="s">
        <v>108</v>
      </c>
    </row>
    <row r="377" spans="1:11" hidden="1" x14ac:dyDescent="0.3">
      <c r="A377" t="s">
        <v>22</v>
      </c>
      <c r="B377" t="s">
        <v>46</v>
      </c>
      <c r="C377" t="s">
        <v>103</v>
      </c>
      <c r="D377">
        <v>14.394</v>
      </c>
      <c r="E377">
        <f>Tableau4[[#This Row],[Potential (PJ)]]*1000/3.6</f>
        <v>3998.333333333333</v>
      </c>
      <c r="F377">
        <v>0</v>
      </c>
      <c r="G377">
        <f>Tableau4[[#This Row],[Cost (€/GJ)]]*3.6/1000</f>
        <v>0</v>
      </c>
      <c r="I377">
        <f>Tableau4[[#This Row],[GHG (kgCO2eq/GJ)]]*3.6/1000</f>
        <v>0</v>
      </c>
    </row>
    <row r="378" spans="1:11" hidden="1" x14ac:dyDescent="0.3">
      <c r="A378" t="s">
        <v>22</v>
      </c>
      <c r="B378" t="s">
        <v>46</v>
      </c>
      <c r="C378" t="s">
        <v>63</v>
      </c>
      <c r="D378">
        <v>0.1057</v>
      </c>
      <c r="E378">
        <f>Tableau4[[#This Row],[Potential (PJ)]]*1000/3.6</f>
        <v>29.361111111111111</v>
      </c>
      <c r="F378">
        <v>2.9286474973375931</v>
      </c>
      <c r="G378">
        <f>Tableau4[[#This Row],[Cost (€/GJ)]]*3.6/1000</f>
        <v>1.0543130990415334E-2</v>
      </c>
      <c r="H378">
        <v>3.950479233226837</v>
      </c>
      <c r="I378">
        <f>Tableau4[[#This Row],[GHG (kgCO2eq/GJ)]]*3.6/1000</f>
        <v>1.4221725239616614E-2</v>
      </c>
      <c r="J378" t="s">
        <v>104</v>
      </c>
      <c r="K378" t="s">
        <v>108</v>
      </c>
    </row>
    <row r="379" spans="1:11" hidden="1" x14ac:dyDescent="0.3">
      <c r="A379" t="s">
        <v>22</v>
      </c>
      <c r="B379" t="s">
        <v>46</v>
      </c>
      <c r="C379" t="s">
        <v>80</v>
      </c>
      <c r="D379">
        <v>0.63619999999999999</v>
      </c>
      <c r="E379">
        <f>Tableau4[[#This Row],[Potential (PJ)]]*1000/3.6</f>
        <v>176.7222222222222</v>
      </c>
      <c r="F379">
        <v>0.91773432231962238</v>
      </c>
      <c r="G379">
        <f>Tableau4[[#This Row],[Cost (€/GJ)]]*3.6/1000</f>
        <v>3.3038435603506408E-3</v>
      </c>
      <c r="H379">
        <v>28.139870918023309</v>
      </c>
      <c r="I379">
        <f>Tableau4[[#This Row],[GHG (kgCO2eq/GJ)]]*3.6/1000</f>
        <v>0.10130353530488391</v>
      </c>
      <c r="J379" t="s">
        <v>105</v>
      </c>
      <c r="K379" t="s">
        <v>108</v>
      </c>
    </row>
    <row r="380" spans="1:11" hidden="1" x14ac:dyDescent="0.3">
      <c r="A380" t="s">
        <v>22</v>
      </c>
      <c r="B380" t="s">
        <v>46</v>
      </c>
      <c r="C380" t="s">
        <v>81</v>
      </c>
      <c r="D380">
        <v>0.48409999999999997</v>
      </c>
      <c r="E380">
        <f>Tableau4[[#This Row],[Potential (PJ)]]*1000/3.6</f>
        <v>134.4722222222222</v>
      </c>
      <c r="F380">
        <v>3.6856639247943601</v>
      </c>
      <c r="G380">
        <f>Tableau4[[#This Row],[Cost (€/GJ)]]*3.6/1000</f>
        <v>1.3268390129259696E-2</v>
      </c>
      <c r="H380">
        <v>8.9647473560517046</v>
      </c>
      <c r="I380">
        <f>Tableau4[[#This Row],[GHG (kgCO2eq/GJ)]]*3.6/1000</f>
        <v>3.2273090481786136E-2</v>
      </c>
      <c r="J380" t="s">
        <v>105</v>
      </c>
      <c r="K380" t="s">
        <v>108</v>
      </c>
    </row>
    <row r="381" spans="1:11" hidden="1" x14ac:dyDescent="0.3">
      <c r="A381" t="s">
        <v>22</v>
      </c>
      <c r="B381" t="s">
        <v>55</v>
      </c>
      <c r="C381" t="s">
        <v>87</v>
      </c>
      <c r="D381">
        <v>44.175800000000002</v>
      </c>
      <c r="E381">
        <f>Tableau4[[#This Row],[Potential (PJ)]]*1000/3.6</f>
        <v>12271.055555555557</v>
      </c>
      <c r="F381">
        <v>11.885999999999999</v>
      </c>
      <c r="G381">
        <f>Tableau4[[#This Row],[Cost (€/GJ)]]*3.6/1000</f>
        <v>4.2789599999999997E-2</v>
      </c>
      <c r="H381">
        <v>11.5</v>
      </c>
      <c r="I381">
        <f>Tableau4[[#This Row],[GHG (kgCO2eq/GJ)]]*3.6/1000</f>
        <v>4.1399999999999999E-2</v>
      </c>
      <c r="J381" t="s">
        <v>106</v>
      </c>
      <c r="K381" t="s">
        <v>109</v>
      </c>
    </row>
    <row r="382" spans="1:11" hidden="1" x14ac:dyDescent="0.3">
      <c r="A382" t="s">
        <v>22</v>
      </c>
      <c r="B382" t="s">
        <v>55</v>
      </c>
      <c r="C382" t="s">
        <v>88</v>
      </c>
      <c r="D382">
        <v>1.2485999999999999</v>
      </c>
      <c r="E382">
        <f>Tableau4[[#This Row],[Potential (PJ)]]*1000/3.6</f>
        <v>346.83333333333331</v>
      </c>
      <c r="F382">
        <v>12.923999999999999</v>
      </c>
      <c r="G382">
        <f>Tableau4[[#This Row],[Cost (€/GJ)]]*3.6/1000</f>
        <v>4.6526400000000002E-2</v>
      </c>
      <c r="H382">
        <v>11.5</v>
      </c>
      <c r="I382">
        <f>Tableau4[[#This Row],[GHG (kgCO2eq/GJ)]]*3.6/1000</f>
        <v>4.1399999999999999E-2</v>
      </c>
      <c r="J382" t="s">
        <v>106</v>
      </c>
      <c r="K382" t="s">
        <v>109</v>
      </c>
    </row>
    <row r="383" spans="1:11" hidden="1" x14ac:dyDescent="0.3">
      <c r="A383" t="s">
        <v>22</v>
      </c>
      <c r="B383" t="s">
        <v>55</v>
      </c>
      <c r="C383" t="s">
        <v>89</v>
      </c>
      <c r="D383">
        <v>5.0000000000000001E-4</v>
      </c>
      <c r="E383">
        <f>Tableau4[[#This Row],[Potential (PJ)]]*1000/3.6</f>
        <v>0.1388888888888889</v>
      </c>
      <c r="F383">
        <v>0</v>
      </c>
      <c r="G383">
        <f>Tableau4[[#This Row],[Cost (€/GJ)]]*3.6/1000</f>
        <v>0</v>
      </c>
      <c r="H383">
        <v>11.5</v>
      </c>
      <c r="I383">
        <f>Tableau4[[#This Row],[GHG (kgCO2eq/GJ)]]*3.6/1000</f>
        <v>4.1399999999999999E-2</v>
      </c>
      <c r="J383" t="s">
        <v>106</v>
      </c>
      <c r="K383" t="s">
        <v>109</v>
      </c>
    </row>
    <row r="384" spans="1:11" hidden="1" x14ac:dyDescent="0.3">
      <c r="A384" t="s">
        <v>22</v>
      </c>
      <c r="B384" t="s">
        <v>49</v>
      </c>
      <c r="C384" t="s">
        <v>71</v>
      </c>
      <c r="D384">
        <v>43.414000000000001</v>
      </c>
      <c r="E384">
        <f>Tableau4[[#This Row],[Potential (PJ)]]*1000/3.6</f>
        <v>12059.444444444443</v>
      </c>
      <c r="F384">
        <v>1.9554929624084401</v>
      </c>
      <c r="G384">
        <f>Tableau4[[#This Row],[Cost (€/GJ)]]*3.6/1000</f>
        <v>7.0397746646703842E-3</v>
      </c>
      <c r="H384">
        <v>3.86607608129234</v>
      </c>
      <c r="I384">
        <f>Tableau4[[#This Row],[GHG (kgCO2eq/GJ)]]*3.6/1000</f>
        <v>1.3917873892652425E-2</v>
      </c>
      <c r="J384" t="s">
        <v>104</v>
      </c>
      <c r="K384" t="s">
        <v>108</v>
      </c>
    </row>
    <row r="385" spans="1:11" hidden="1" x14ac:dyDescent="0.3">
      <c r="A385" t="s">
        <v>22</v>
      </c>
      <c r="B385" t="s">
        <v>49</v>
      </c>
      <c r="C385" t="s">
        <v>72</v>
      </c>
      <c r="D385">
        <v>7.9</v>
      </c>
      <c r="E385">
        <f>Tableau4[[#This Row],[Potential (PJ)]]*1000/3.6</f>
        <v>2194.4444444444443</v>
      </c>
      <c r="F385">
        <v>1.353</v>
      </c>
      <c r="G385">
        <f>Tableau4[[#This Row],[Cost (€/GJ)]]*3.6/1000</f>
        <v>4.8707999999999998E-3</v>
      </c>
      <c r="H385">
        <v>3.86607608129234</v>
      </c>
      <c r="I385">
        <f>Tableau4[[#This Row],[GHG (kgCO2eq/GJ)]]*3.6/1000</f>
        <v>1.3917873892652425E-2</v>
      </c>
      <c r="J385" t="s">
        <v>104</v>
      </c>
      <c r="K385" t="s">
        <v>108</v>
      </c>
    </row>
    <row r="386" spans="1:11" hidden="1" x14ac:dyDescent="0.3">
      <c r="A386" t="s">
        <v>22</v>
      </c>
      <c r="B386" t="s">
        <v>58</v>
      </c>
      <c r="C386" t="s">
        <v>103</v>
      </c>
      <c r="D386">
        <v>4.9329980000000004</v>
      </c>
      <c r="E386">
        <f>Tableau4[[#This Row],[Potential (PJ)]]*1000/3.6</f>
        <v>1370.2772222222222</v>
      </c>
      <c r="F386">
        <v>0</v>
      </c>
      <c r="G386">
        <f>Tableau4[[#This Row],[Cost (€/GJ)]]*3.6/1000</f>
        <v>0</v>
      </c>
      <c r="I386">
        <f>Tableau4[[#This Row],[GHG (kgCO2eq/GJ)]]*3.6/1000</f>
        <v>0</v>
      </c>
    </row>
    <row r="387" spans="1:11" hidden="1" x14ac:dyDescent="0.3">
      <c r="A387" t="s">
        <v>22</v>
      </c>
      <c r="B387" t="s">
        <v>50</v>
      </c>
      <c r="C387" t="s">
        <v>103</v>
      </c>
      <c r="D387">
        <v>4.1274610000000003</v>
      </c>
      <c r="E387">
        <f>Tableau4[[#This Row],[Potential (PJ)]]*1000/3.6</f>
        <v>1146.5169444444446</v>
      </c>
      <c r="F387">
        <v>0</v>
      </c>
      <c r="G387">
        <f>Tableau4[[#This Row],[Cost (€/GJ)]]*3.6/1000</f>
        <v>0</v>
      </c>
      <c r="I387">
        <f>Tableau4[[#This Row],[GHG (kgCO2eq/GJ)]]*3.6/1000</f>
        <v>0</v>
      </c>
    </row>
    <row r="388" spans="1:11" hidden="1" x14ac:dyDescent="0.3">
      <c r="A388" t="s">
        <v>22</v>
      </c>
      <c r="B388" t="s">
        <v>51</v>
      </c>
      <c r="C388" t="s">
        <v>75</v>
      </c>
      <c r="D388">
        <v>0.16598099999999999</v>
      </c>
      <c r="E388">
        <f>Tableau4[[#This Row],[Potential (PJ)]]*1000/3.6</f>
        <v>46.105833333333329</v>
      </c>
      <c r="F388">
        <v>2.13793499225494E-2</v>
      </c>
      <c r="G388">
        <f>Tableau4[[#This Row],[Cost (€/GJ)]]*3.6/1000</f>
        <v>7.6965659721177839E-5</v>
      </c>
      <c r="H388">
        <v>11.74</v>
      </c>
      <c r="I388">
        <f>Tableau4[[#This Row],[GHG (kgCO2eq/GJ)]]*3.6/1000</f>
        <v>4.2264000000000003E-2</v>
      </c>
      <c r="J388" t="s">
        <v>104</v>
      </c>
      <c r="K388" t="s">
        <v>108</v>
      </c>
    </row>
    <row r="389" spans="1:11" hidden="1" x14ac:dyDescent="0.3">
      <c r="A389" t="s">
        <v>22</v>
      </c>
      <c r="B389" t="s">
        <v>52</v>
      </c>
      <c r="C389" t="s">
        <v>76</v>
      </c>
      <c r="D389">
        <v>7.0000000000000007E-2</v>
      </c>
      <c r="E389">
        <f>Tableau4[[#This Row],[Potential (PJ)]]*1000/3.6</f>
        <v>19.444444444444443</v>
      </c>
      <c r="F389">
        <v>4.7567250000000003</v>
      </c>
      <c r="G389">
        <f>Tableau4[[#This Row],[Cost (€/GJ)]]*3.6/1000</f>
        <v>1.7124210000000001E-2</v>
      </c>
      <c r="H389">
        <v>12.68872359754714</v>
      </c>
      <c r="I389">
        <f>Tableau4[[#This Row],[GHG (kgCO2eq/GJ)]]*3.6/1000</f>
        <v>4.5679404951169705E-2</v>
      </c>
      <c r="J389" t="s">
        <v>105</v>
      </c>
      <c r="K389" t="s">
        <v>108</v>
      </c>
    </row>
    <row r="390" spans="1:11" hidden="1" x14ac:dyDescent="0.3">
      <c r="A390" t="s">
        <v>22</v>
      </c>
      <c r="B390" t="s">
        <v>53</v>
      </c>
      <c r="C390" t="s">
        <v>77</v>
      </c>
      <c r="D390">
        <v>4.5999999999999996</v>
      </c>
      <c r="E390">
        <f>Tableau4[[#This Row],[Potential (PJ)]]*1000/3.6</f>
        <v>1277.7777777777778</v>
      </c>
      <c r="F390">
        <v>1.353</v>
      </c>
      <c r="G390">
        <f>Tableau4[[#This Row],[Cost (€/GJ)]]*3.6/1000</f>
        <v>4.8707999999999998E-3</v>
      </c>
      <c r="H390">
        <v>3.86607608129234</v>
      </c>
      <c r="I390">
        <f>Tableau4[[#This Row],[GHG (kgCO2eq/GJ)]]*3.6/1000</f>
        <v>1.3917873892652425E-2</v>
      </c>
      <c r="J390" t="s">
        <v>104</v>
      </c>
      <c r="K390" t="s">
        <v>108</v>
      </c>
    </row>
    <row r="391" spans="1:11" hidden="1" x14ac:dyDescent="0.3">
      <c r="A391" t="s">
        <v>22</v>
      </c>
      <c r="B391" t="s">
        <v>61</v>
      </c>
      <c r="C391" t="s">
        <v>103</v>
      </c>
      <c r="D391">
        <v>1.276969</v>
      </c>
      <c r="E391">
        <f>Tableau4[[#This Row],[Potential (PJ)]]*1000/3.6</f>
        <v>354.71361111111111</v>
      </c>
      <c r="F391">
        <v>0</v>
      </c>
      <c r="G391">
        <f>Tableau4[[#This Row],[Cost (€/GJ)]]*3.6/1000</f>
        <v>0</v>
      </c>
      <c r="I391">
        <f>Tableau4[[#This Row],[GHG (kgCO2eq/GJ)]]*3.6/1000</f>
        <v>0</v>
      </c>
    </row>
    <row r="392" spans="1:11" hidden="1" x14ac:dyDescent="0.3">
      <c r="A392" t="s">
        <v>22</v>
      </c>
      <c r="B392" t="s">
        <v>62</v>
      </c>
      <c r="C392" t="s">
        <v>103</v>
      </c>
      <c r="D392">
        <v>0.39384999999999998</v>
      </c>
      <c r="E392">
        <f>Tableau4[[#This Row],[Potential (PJ)]]*1000/3.6</f>
        <v>109.40277777777777</v>
      </c>
      <c r="F392">
        <v>0</v>
      </c>
      <c r="G392">
        <f>Tableau4[[#This Row],[Cost (€/GJ)]]*3.6/1000</f>
        <v>0</v>
      </c>
      <c r="I392">
        <f>Tableau4[[#This Row],[GHG (kgCO2eq/GJ)]]*3.6/1000</f>
        <v>0</v>
      </c>
    </row>
    <row r="393" spans="1:11" hidden="1" x14ac:dyDescent="0.3">
      <c r="A393" t="s">
        <v>22</v>
      </c>
      <c r="B393" t="s">
        <v>54</v>
      </c>
      <c r="C393" t="s">
        <v>78</v>
      </c>
      <c r="D393">
        <v>25.4</v>
      </c>
      <c r="E393">
        <f>Tableau4[[#This Row],[Potential (PJ)]]*1000/3.6</f>
        <v>7055.5555555555557</v>
      </c>
      <c r="F393">
        <v>2.4089999999999998</v>
      </c>
      <c r="G393">
        <f>Tableau4[[#This Row],[Cost (€/GJ)]]*3.6/1000</f>
        <v>8.6724000000000002E-3</v>
      </c>
      <c r="H393">
        <v>3.86607608129234</v>
      </c>
      <c r="I393">
        <f>Tableau4[[#This Row],[GHG (kgCO2eq/GJ)]]*3.6/1000</f>
        <v>1.3917873892652425E-2</v>
      </c>
      <c r="J393" t="s">
        <v>104</v>
      </c>
      <c r="K393" t="s">
        <v>108</v>
      </c>
    </row>
    <row r="394" spans="1:11" hidden="1" x14ac:dyDescent="0.3">
      <c r="A394" t="s">
        <v>23</v>
      </c>
      <c r="B394" t="s">
        <v>46</v>
      </c>
      <c r="C394" t="s">
        <v>64</v>
      </c>
      <c r="D394">
        <v>0.96877999999999997</v>
      </c>
      <c r="E394">
        <f>Tableau4[[#This Row],[Potential (PJ)]]*1000/3.6</f>
        <v>269.10555555555555</v>
      </c>
      <c r="F394">
        <v>6.268251223187927</v>
      </c>
      <c r="G394">
        <f>Tableau4[[#This Row],[Cost (€/GJ)]]*3.6/1000</f>
        <v>2.2565704403476539E-2</v>
      </c>
      <c r="H394">
        <v>2.9521711768407801</v>
      </c>
      <c r="I394">
        <f>Tableau4[[#This Row],[GHG (kgCO2eq/GJ)]]*3.6/1000</f>
        <v>1.0627816236626808E-2</v>
      </c>
      <c r="J394" t="s">
        <v>104</v>
      </c>
      <c r="K394" t="s">
        <v>108</v>
      </c>
    </row>
    <row r="395" spans="1:11" hidden="1" x14ac:dyDescent="0.3">
      <c r="A395" t="s">
        <v>23</v>
      </c>
      <c r="B395" t="s">
        <v>46</v>
      </c>
      <c r="C395" t="s">
        <v>79</v>
      </c>
      <c r="D395">
        <v>28.2</v>
      </c>
      <c r="E395">
        <f>Tableau4[[#This Row],[Potential (PJ)]]*1000/3.6</f>
        <v>7833.333333333333</v>
      </c>
      <c r="F395">
        <v>2.5360957446808512</v>
      </c>
      <c r="G395">
        <f>Tableau4[[#This Row],[Cost (€/GJ)]]*3.6/1000</f>
        <v>9.129944680851064E-3</v>
      </c>
      <c r="H395">
        <v>6.8428961748633883</v>
      </c>
      <c r="I395">
        <f>Tableau4[[#This Row],[GHG (kgCO2eq/GJ)]]*3.6/1000</f>
        <v>2.4634426229508198E-2</v>
      </c>
      <c r="J395" t="s">
        <v>104</v>
      </c>
      <c r="K395" t="s">
        <v>108</v>
      </c>
    </row>
    <row r="396" spans="1:11" hidden="1" x14ac:dyDescent="0.3">
      <c r="A396" t="s">
        <v>23</v>
      </c>
      <c r="B396" t="s">
        <v>46</v>
      </c>
      <c r="C396" t="s">
        <v>65</v>
      </c>
      <c r="D396">
        <v>0.4</v>
      </c>
      <c r="E396">
        <f>Tableau4[[#This Row],[Potential (PJ)]]*1000/3.6</f>
        <v>111.11111111111111</v>
      </c>
      <c r="F396">
        <v>3.3944999999999999</v>
      </c>
      <c r="G396">
        <f>Tableau4[[#This Row],[Cost (€/GJ)]]*3.6/1000</f>
        <v>1.2220200000000001E-2</v>
      </c>
      <c r="H396">
        <v>2.9521711768407801</v>
      </c>
      <c r="I396">
        <f>Tableau4[[#This Row],[GHG (kgCO2eq/GJ)]]*3.6/1000</f>
        <v>1.0627816236626808E-2</v>
      </c>
      <c r="J396" t="s">
        <v>104</v>
      </c>
      <c r="K396" t="s">
        <v>108</v>
      </c>
    </row>
    <row r="397" spans="1:11" hidden="1" x14ac:dyDescent="0.3">
      <c r="A397" t="s">
        <v>23</v>
      </c>
      <c r="B397" t="s">
        <v>46</v>
      </c>
      <c r="C397" t="s">
        <v>80</v>
      </c>
      <c r="D397">
        <v>0.8901</v>
      </c>
      <c r="E397">
        <f>Tableau4[[#This Row],[Potential (PJ)]]*1000/3.6</f>
        <v>247.25</v>
      </c>
      <c r="F397">
        <v>0.26432906271072149</v>
      </c>
      <c r="G397">
        <f>Tableau4[[#This Row],[Cost (€/GJ)]]*3.6/1000</f>
        <v>9.5158462575859739E-4</v>
      </c>
      <c r="H397">
        <v>28.139870918023309</v>
      </c>
      <c r="I397">
        <f>Tableau4[[#This Row],[GHG (kgCO2eq/GJ)]]*3.6/1000</f>
        <v>0.10130353530488391</v>
      </c>
      <c r="J397" t="s">
        <v>105</v>
      </c>
      <c r="K397" t="s">
        <v>108</v>
      </c>
    </row>
    <row r="398" spans="1:11" hidden="1" x14ac:dyDescent="0.3">
      <c r="A398" t="s">
        <v>23</v>
      </c>
      <c r="B398" t="s">
        <v>46</v>
      </c>
      <c r="C398" t="s">
        <v>81</v>
      </c>
      <c r="D398">
        <v>0.62280000000000002</v>
      </c>
      <c r="E398">
        <f>Tableau4[[#This Row],[Potential (PJ)]]*1000/3.6</f>
        <v>173.00000000000003</v>
      </c>
      <c r="F398">
        <v>1.533490011750881</v>
      </c>
      <c r="G398">
        <f>Tableau4[[#This Row],[Cost (€/GJ)]]*3.6/1000</f>
        <v>5.5205640423031718E-3</v>
      </c>
      <c r="H398">
        <v>8.9647473560517046</v>
      </c>
      <c r="I398">
        <f>Tableau4[[#This Row],[GHG (kgCO2eq/GJ)]]*3.6/1000</f>
        <v>3.2273090481786136E-2</v>
      </c>
      <c r="J398" t="s">
        <v>105</v>
      </c>
      <c r="K398" t="s">
        <v>108</v>
      </c>
    </row>
    <row r="399" spans="1:11" hidden="1" x14ac:dyDescent="0.3">
      <c r="A399" t="s">
        <v>23</v>
      </c>
      <c r="B399" t="s">
        <v>46</v>
      </c>
      <c r="C399" t="s">
        <v>66</v>
      </c>
      <c r="D399">
        <v>31.3</v>
      </c>
      <c r="E399">
        <f>Tableau4[[#This Row],[Potential (PJ)]]*1000/3.6</f>
        <v>8694.4444444444434</v>
      </c>
      <c r="F399">
        <v>2.604281150159744</v>
      </c>
      <c r="G399">
        <f>Tableau4[[#This Row],[Cost (€/GJ)]]*3.6/1000</f>
        <v>9.375412140575079E-3</v>
      </c>
      <c r="H399">
        <v>6.8428961748633883</v>
      </c>
      <c r="I399">
        <f>Tableau4[[#This Row],[GHG (kgCO2eq/GJ)]]*3.6/1000</f>
        <v>2.4634426229508198E-2</v>
      </c>
      <c r="J399" t="s">
        <v>104</v>
      </c>
      <c r="K399" t="s">
        <v>108</v>
      </c>
    </row>
    <row r="400" spans="1:11" hidden="1" x14ac:dyDescent="0.3">
      <c r="A400" t="s">
        <v>23</v>
      </c>
      <c r="B400" t="s">
        <v>46</v>
      </c>
      <c r="C400" t="s">
        <v>82</v>
      </c>
      <c r="D400">
        <v>13.9</v>
      </c>
      <c r="E400">
        <f>Tableau4[[#This Row],[Potential (PJ)]]*1000/3.6</f>
        <v>3861.1111111111109</v>
      </c>
      <c r="F400">
        <v>1.6253525179856121</v>
      </c>
      <c r="G400">
        <f>Tableau4[[#This Row],[Cost (€/GJ)]]*3.6/1000</f>
        <v>5.8512690647482034E-3</v>
      </c>
      <c r="H400">
        <v>6.8428961748633883</v>
      </c>
      <c r="I400">
        <f>Tableau4[[#This Row],[GHG (kgCO2eq/GJ)]]*3.6/1000</f>
        <v>2.4634426229508198E-2</v>
      </c>
      <c r="J400" t="s">
        <v>104</v>
      </c>
      <c r="K400" t="s">
        <v>108</v>
      </c>
    </row>
    <row r="401" spans="1:11" hidden="1" x14ac:dyDescent="0.3">
      <c r="A401" t="s">
        <v>23</v>
      </c>
      <c r="B401" t="s">
        <v>46</v>
      </c>
      <c r="C401" t="s">
        <v>83</v>
      </c>
      <c r="D401">
        <v>7.1849999999999997E-2</v>
      </c>
      <c r="E401">
        <f>Tableau4[[#This Row],[Potential (PJ)]]*1000/3.6</f>
        <v>19.958333333333332</v>
      </c>
      <c r="F401">
        <v>0</v>
      </c>
      <c r="G401">
        <f>Tableau4[[#This Row],[Cost (€/GJ)]]*3.6/1000</f>
        <v>0</v>
      </c>
      <c r="H401">
        <v>6.8428961748633883</v>
      </c>
      <c r="I401">
        <f>Tableau4[[#This Row],[GHG (kgCO2eq/GJ)]]*3.6/1000</f>
        <v>2.4634426229508198E-2</v>
      </c>
      <c r="J401" t="s">
        <v>104</v>
      </c>
      <c r="K401" t="s">
        <v>108</v>
      </c>
    </row>
    <row r="402" spans="1:11" hidden="1" x14ac:dyDescent="0.3">
      <c r="A402" t="s">
        <v>23</v>
      </c>
      <c r="B402" t="s">
        <v>46</v>
      </c>
      <c r="C402" t="s">
        <v>84</v>
      </c>
      <c r="D402">
        <v>0.2</v>
      </c>
      <c r="E402">
        <f>Tableau4[[#This Row],[Potential (PJ)]]*1000/3.6</f>
        <v>55.555555555555557</v>
      </c>
      <c r="F402">
        <v>1.5115000000000001</v>
      </c>
      <c r="G402">
        <f>Tableau4[[#This Row],[Cost (€/GJ)]]*3.6/1000</f>
        <v>5.4414000000000008E-3</v>
      </c>
      <c r="H402">
        <v>28.139870918023309</v>
      </c>
      <c r="I402">
        <f>Tableau4[[#This Row],[GHG (kgCO2eq/GJ)]]*3.6/1000</f>
        <v>0.10130353530488391</v>
      </c>
      <c r="J402" t="s">
        <v>105</v>
      </c>
      <c r="K402" t="s">
        <v>108</v>
      </c>
    </row>
    <row r="403" spans="1:11" hidden="1" x14ac:dyDescent="0.3">
      <c r="A403" t="s">
        <v>23</v>
      </c>
      <c r="B403" t="s">
        <v>46</v>
      </c>
      <c r="C403" t="s">
        <v>85</v>
      </c>
      <c r="D403">
        <v>0.4</v>
      </c>
      <c r="E403">
        <f>Tableau4[[#This Row],[Potential (PJ)]]*1000/3.6</f>
        <v>111.11111111111111</v>
      </c>
      <c r="F403">
        <v>4.60975</v>
      </c>
      <c r="G403">
        <f>Tableau4[[#This Row],[Cost (€/GJ)]]*3.6/1000</f>
        <v>1.6595100000000002E-2</v>
      </c>
      <c r="H403">
        <v>2.9521711768407801</v>
      </c>
      <c r="I403">
        <f>Tableau4[[#This Row],[GHG (kgCO2eq/GJ)]]*3.6/1000</f>
        <v>1.0627816236626808E-2</v>
      </c>
      <c r="J403" t="s">
        <v>104</v>
      </c>
      <c r="K403" t="s">
        <v>108</v>
      </c>
    </row>
    <row r="404" spans="1:11" hidden="1" x14ac:dyDescent="0.3">
      <c r="A404" t="s">
        <v>23</v>
      </c>
      <c r="B404" t="s">
        <v>55</v>
      </c>
      <c r="C404" t="s">
        <v>86</v>
      </c>
      <c r="D404">
        <v>1.5610999999999999</v>
      </c>
      <c r="E404">
        <f>Tableau4[[#This Row],[Potential (PJ)]]*1000/3.6</f>
        <v>433.63888888888886</v>
      </c>
      <c r="F404">
        <v>16.266999999999999</v>
      </c>
      <c r="G404">
        <f>Tableau4[[#This Row],[Cost (€/GJ)]]*3.6/1000</f>
        <v>5.8561200000000001E-2</v>
      </c>
      <c r="H404">
        <v>22.1</v>
      </c>
      <c r="I404">
        <f>Tableau4[[#This Row],[GHG (kgCO2eq/GJ)]]*3.6/1000</f>
        <v>7.9560000000000006E-2</v>
      </c>
      <c r="J404" t="s">
        <v>106</v>
      </c>
      <c r="K404" t="s">
        <v>109</v>
      </c>
    </row>
    <row r="405" spans="1:11" hidden="1" x14ac:dyDescent="0.3">
      <c r="A405" t="s">
        <v>23</v>
      </c>
      <c r="B405" t="s">
        <v>55</v>
      </c>
      <c r="C405" t="s">
        <v>87</v>
      </c>
      <c r="D405">
        <v>0.70850000000000002</v>
      </c>
      <c r="E405">
        <f>Tableau4[[#This Row],[Potential (PJ)]]*1000/3.6</f>
        <v>196.80555555555554</v>
      </c>
      <c r="F405">
        <v>17.521999999999991</v>
      </c>
      <c r="G405">
        <f>Tableau4[[#This Row],[Cost (€/GJ)]]*3.6/1000</f>
        <v>6.3079199999999974E-2</v>
      </c>
      <c r="H405">
        <v>22.1</v>
      </c>
      <c r="I405">
        <f>Tableau4[[#This Row],[GHG (kgCO2eq/GJ)]]*3.6/1000</f>
        <v>7.9560000000000006E-2</v>
      </c>
      <c r="J405" t="s">
        <v>106</v>
      </c>
      <c r="K405" t="s">
        <v>109</v>
      </c>
    </row>
    <row r="406" spans="1:11" hidden="1" x14ac:dyDescent="0.3">
      <c r="A406" t="s">
        <v>23</v>
      </c>
      <c r="B406" t="s">
        <v>55</v>
      </c>
      <c r="C406" t="s">
        <v>88</v>
      </c>
      <c r="D406">
        <v>20.226900000000001</v>
      </c>
      <c r="E406">
        <f>Tableau4[[#This Row],[Potential (PJ)]]*1000/3.6</f>
        <v>5618.5833333333339</v>
      </c>
      <c r="F406">
        <v>15.975</v>
      </c>
      <c r="G406">
        <f>Tableau4[[#This Row],[Cost (€/GJ)]]*3.6/1000</f>
        <v>5.7509999999999999E-2</v>
      </c>
      <c r="H406">
        <v>22.1</v>
      </c>
      <c r="I406">
        <f>Tableau4[[#This Row],[GHG (kgCO2eq/GJ)]]*3.6/1000</f>
        <v>7.9560000000000006E-2</v>
      </c>
      <c r="J406" t="s">
        <v>106</v>
      </c>
      <c r="K406" t="s">
        <v>109</v>
      </c>
    </row>
    <row r="407" spans="1:11" hidden="1" x14ac:dyDescent="0.3">
      <c r="A407" t="s">
        <v>23</v>
      </c>
      <c r="B407" t="s">
        <v>55</v>
      </c>
      <c r="C407" t="s">
        <v>89</v>
      </c>
      <c r="D407">
        <v>7.4999999999999997E-3</v>
      </c>
      <c r="E407">
        <f>Tableau4[[#This Row],[Potential (PJ)]]*1000/3.6</f>
        <v>2.0833333333333335</v>
      </c>
      <c r="F407">
        <v>0</v>
      </c>
      <c r="G407">
        <f>Tableau4[[#This Row],[Cost (€/GJ)]]*3.6/1000</f>
        <v>0</v>
      </c>
      <c r="H407">
        <v>22.1</v>
      </c>
      <c r="I407">
        <f>Tableau4[[#This Row],[GHG (kgCO2eq/GJ)]]*3.6/1000</f>
        <v>7.9560000000000006E-2</v>
      </c>
      <c r="J407" t="s">
        <v>106</v>
      </c>
      <c r="K407" t="s">
        <v>109</v>
      </c>
    </row>
    <row r="408" spans="1:11" hidden="1" x14ac:dyDescent="0.3">
      <c r="A408" t="s">
        <v>23</v>
      </c>
      <c r="B408" t="s">
        <v>55</v>
      </c>
      <c r="C408" t="s">
        <v>90</v>
      </c>
      <c r="D408">
        <v>0.58069999999999999</v>
      </c>
      <c r="E408">
        <f>Tableau4[[#This Row],[Potential (PJ)]]*1000/3.6</f>
        <v>161.30555555555557</v>
      </c>
      <c r="F408">
        <v>17.138000000000002</v>
      </c>
      <c r="G408">
        <f>Tableau4[[#This Row],[Cost (€/GJ)]]*3.6/1000</f>
        <v>6.169680000000001E-2</v>
      </c>
      <c r="H408">
        <v>22.1</v>
      </c>
      <c r="I408">
        <f>Tableau4[[#This Row],[GHG (kgCO2eq/GJ)]]*3.6/1000</f>
        <v>7.9560000000000006E-2</v>
      </c>
      <c r="J408" t="s">
        <v>106</v>
      </c>
      <c r="K408" t="s">
        <v>109</v>
      </c>
    </row>
    <row r="409" spans="1:11" hidden="1" x14ac:dyDescent="0.3">
      <c r="A409" t="s">
        <v>23</v>
      </c>
      <c r="B409" t="s">
        <v>55</v>
      </c>
      <c r="C409" t="s">
        <v>92</v>
      </c>
      <c r="D409">
        <v>1.50352</v>
      </c>
      <c r="E409">
        <f>Tableau4[[#This Row],[Potential (PJ)]]*1000/3.6</f>
        <v>417.64444444444445</v>
      </c>
      <c r="F409">
        <v>17.521999999999991</v>
      </c>
      <c r="G409">
        <f>Tableau4[[#This Row],[Cost (€/GJ)]]*3.6/1000</f>
        <v>6.3079199999999974E-2</v>
      </c>
      <c r="H409">
        <v>22.1</v>
      </c>
      <c r="I409">
        <f>Tableau4[[#This Row],[GHG (kgCO2eq/GJ)]]*3.6/1000</f>
        <v>7.9560000000000006E-2</v>
      </c>
      <c r="J409" t="s">
        <v>106</v>
      </c>
      <c r="K409" t="s">
        <v>109</v>
      </c>
    </row>
    <row r="410" spans="1:11" hidden="1" x14ac:dyDescent="0.3">
      <c r="A410" t="s">
        <v>23</v>
      </c>
      <c r="B410" t="s">
        <v>56</v>
      </c>
      <c r="C410" t="s">
        <v>93</v>
      </c>
      <c r="D410">
        <v>18.697399999999998</v>
      </c>
      <c r="E410">
        <f>Tableau4[[#This Row],[Potential (PJ)]]*1000/3.6</f>
        <v>5193.7222222222217</v>
      </c>
      <c r="F410">
        <v>2.9493975903614462</v>
      </c>
      <c r="G410">
        <f>Tableau4[[#This Row],[Cost (€/GJ)]]*3.6/1000</f>
        <v>1.0617831325301207E-2</v>
      </c>
      <c r="H410">
        <v>26.1</v>
      </c>
      <c r="I410">
        <f>Tableau4[[#This Row],[GHG (kgCO2eq/GJ)]]*3.6/1000</f>
        <v>9.3960000000000002E-2</v>
      </c>
      <c r="J410" t="s">
        <v>106</v>
      </c>
      <c r="K410" t="s">
        <v>109</v>
      </c>
    </row>
    <row r="411" spans="1:11" hidden="1" x14ac:dyDescent="0.3">
      <c r="A411" t="s">
        <v>23</v>
      </c>
      <c r="B411" t="s">
        <v>47</v>
      </c>
      <c r="C411" t="s">
        <v>68</v>
      </c>
      <c r="D411">
        <v>77.5</v>
      </c>
      <c r="E411">
        <f>Tableau4[[#This Row],[Potential (PJ)]]*1000/3.6</f>
        <v>21527.777777777777</v>
      </c>
      <c r="F411">
        <v>2.627730322580645</v>
      </c>
      <c r="G411">
        <f>Tableau4[[#This Row],[Cost (€/GJ)]]*3.6/1000</f>
        <v>9.4598291612903226E-3</v>
      </c>
      <c r="H411">
        <v>43</v>
      </c>
      <c r="I411">
        <f>Tableau4[[#This Row],[GHG (kgCO2eq/GJ)]]*3.6/1000</f>
        <v>0.15480000000000002</v>
      </c>
      <c r="J411" t="s">
        <v>104</v>
      </c>
      <c r="K411" t="s">
        <v>109</v>
      </c>
    </row>
    <row r="412" spans="1:11" hidden="1" x14ac:dyDescent="0.3">
      <c r="A412" t="s">
        <v>23</v>
      </c>
      <c r="B412" t="s">
        <v>47</v>
      </c>
      <c r="C412" t="s">
        <v>69</v>
      </c>
      <c r="D412">
        <v>69.400000000000006</v>
      </c>
      <c r="E412">
        <f>Tableau4[[#This Row],[Potential (PJ)]]*1000/3.6</f>
        <v>19277.777777777777</v>
      </c>
      <c r="F412">
        <v>2.472056195965417</v>
      </c>
      <c r="G412">
        <f>Tableau4[[#This Row],[Cost (€/GJ)]]*3.6/1000</f>
        <v>8.8994023054755015E-3</v>
      </c>
      <c r="H412">
        <v>43</v>
      </c>
      <c r="I412">
        <f>Tableau4[[#This Row],[GHG (kgCO2eq/GJ)]]*3.6/1000</f>
        <v>0.15480000000000002</v>
      </c>
      <c r="J412" t="s">
        <v>104</v>
      </c>
      <c r="K412" t="s">
        <v>109</v>
      </c>
    </row>
    <row r="413" spans="1:11" hidden="1" x14ac:dyDescent="0.3">
      <c r="A413" t="s">
        <v>23</v>
      </c>
      <c r="B413" t="s">
        <v>57</v>
      </c>
      <c r="C413" t="s">
        <v>94</v>
      </c>
      <c r="D413">
        <v>29.3</v>
      </c>
      <c r="E413">
        <f>Tableau4[[#This Row],[Potential (PJ)]]*1000/3.6</f>
        <v>8138.8888888888887</v>
      </c>
      <c r="F413">
        <v>6.5294573378839598</v>
      </c>
      <c r="G413">
        <f>Tableau4[[#This Row],[Cost (€/GJ)]]*3.6/1000</f>
        <v>2.3506046416382254E-2</v>
      </c>
      <c r="H413">
        <v>52.3</v>
      </c>
      <c r="I413">
        <f>Tableau4[[#This Row],[GHG (kgCO2eq/GJ)]]*3.6/1000</f>
        <v>0.18828</v>
      </c>
      <c r="J413" t="s">
        <v>104</v>
      </c>
      <c r="K413" t="s">
        <v>109</v>
      </c>
    </row>
    <row r="414" spans="1:11" hidden="1" x14ac:dyDescent="0.3">
      <c r="A414" t="s">
        <v>23</v>
      </c>
      <c r="B414" t="s">
        <v>49</v>
      </c>
      <c r="C414" t="s">
        <v>71</v>
      </c>
      <c r="D414">
        <v>126.81482</v>
      </c>
      <c r="E414">
        <f>Tableau4[[#This Row],[Potential (PJ)]]*1000/3.6</f>
        <v>35226.338888888888</v>
      </c>
      <c r="F414">
        <v>1.6633376084908691</v>
      </c>
      <c r="G414">
        <f>Tableau4[[#This Row],[Cost (€/GJ)]]*3.6/1000</f>
        <v>5.9880153905671283E-3</v>
      </c>
      <c r="H414">
        <v>3.86607608129234</v>
      </c>
      <c r="I414">
        <f>Tableau4[[#This Row],[GHG (kgCO2eq/GJ)]]*3.6/1000</f>
        <v>1.3917873892652425E-2</v>
      </c>
      <c r="J414" t="s">
        <v>104</v>
      </c>
      <c r="K414" t="s">
        <v>108</v>
      </c>
    </row>
    <row r="415" spans="1:11" hidden="1" x14ac:dyDescent="0.3">
      <c r="A415" t="s">
        <v>23</v>
      </c>
      <c r="B415" t="s">
        <v>49</v>
      </c>
      <c r="C415" t="s">
        <v>72</v>
      </c>
      <c r="D415">
        <v>30.1</v>
      </c>
      <c r="E415">
        <f>Tableau4[[#This Row],[Potential (PJ)]]*1000/3.6</f>
        <v>8361.1111111111113</v>
      </c>
      <c r="F415">
        <v>2.1796079734219269</v>
      </c>
      <c r="G415">
        <f>Tableau4[[#This Row],[Cost (€/GJ)]]*3.6/1000</f>
        <v>7.8465887043189363E-3</v>
      </c>
      <c r="H415">
        <v>3.86607608129234</v>
      </c>
      <c r="I415">
        <f>Tableau4[[#This Row],[GHG (kgCO2eq/GJ)]]*3.6/1000</f>
        <v>1.3917873892652425E-2</v>
      </c>
      <c r="J415" t="s">
        <v>104</v>
      </c>
      <c r="K415" t="s">
        <v>108</v>
      </c>
    </row>
    <row r="416" spans="1:11" hidden="1" x14ac:dyDescent="0.3">
      <c r="A416" t="s">
        <v>23</v>
      </c>
      <c r="B416" t="s">
        <v>58</v>
      </c>
      <c r="C416" t="s">
        <v>95</v>
      </c>
      <c r="D416">
        <v>14.389659999999999</v>
      </c>
      <c r="E416">
        <f>Tableau4[[#This Row],[Potential (PJ)]]*1000/3.6</f>
        <v>3997.1277777777777</v>
      </c>
      <c r="F416">
        <v>2.0914124628378992</v>
      </c>
      <c r="G416">
        <f>Tableau4[[#This Row],[Cost (€/GJ)]]*3.6/1000</f>
        <v>7.5290848662164372E-3</v>
      </c>
      <c r="H416">
        <v>2.9521711768407801</v>
      </c>
      <c r="I416">
        <f>Tableau4[[#This Row],[GHG (kgCO2eq/GJ)]]*3.6/1000</f>
        <v>1.0627816236626808E-2</v>
      </c>
      <c r="J416" t="s">
        <v>104</v>
      </c>
      <c r="K416" t="s">
        <v>108</v>
      </c>
    </row>
    <row r="417" spans="1:11" hidden="1" x14ac:dyDescent="0.3">
      <c r="A417" t="s">
        <v>23</v>
      </c>
      <c r="B417" t="s">
        <v>50</v>
      </c>
      <c r="C417" t="s">
        <v>73</v>
      </c>
      <c r="D417">
        <v>2.2000000000000002</v>
      </c>
      <c r="E417">
        <f>Tableau4[[#This Row],[Potential (PJ)]]*1000/3.6</f>
        <v>611.11111111111109</v>
      </c>
      <c r="F417">
        <v>5.1360454545454548</v>
      </c>
      <c r="G417">
        <f>Tableau4[[#This Row],[Cost (€/GJ)]]*3.6/1000</f>
        <v>1.8489763636363638E-2</v>
      </c>
      <c r="H417">
        <v>20.723404255319149</v>
      </c>
      <c r="I417">
        <f>Tableau4[[#This Row],[GHG (kgCO2eq/GJ)]]*3.6/1000</f>
        <v>7.4604255319148938E-2</v>
      </c>
      <c r="J417" t="s">
        <v>105</v>
      </c>
      <c r="K417" t="s">
        <v>108</v>
      </c>
    </row>
    <row r="418" spans="1:11" hidden="1" x14ac:dyDescent="0.3">
      <c r="A418" t="s">
        <v>23</v>
      </c>
      <c r="B418" t="s">
        <v>50</v>
      </c>
      <c r="C418" t="s">
        <v>74</v>
      </c>
      <c r="D418">
        <v>70.400000000000006</v>
      </c>
      <c r="E418">
        <f>Tableau4[[#This Row],[Potential (PJ)]]*1000/3.6</f>
        <v>19555.555555555555</v>
      </c>
      <c r="F418">
        <v>3.5431903409090899</v>
      </c>
      <c r="G418">
        <f>Tableau4[[#This Row],[Cost (€/GJ)]]*3.6/1000</f>
        <v>1.2755485227272724E-2</v>
      </c>
      <c r="H418">
        <v>2.0635593220338988</v>
      </c>
      <c r="I418">
        <f>Tableau4[[#This Row],[GHG (kgCO2eq/GJ)]]*3.6/1000</f>
        <v>7.428813559322036E-3</v>
      </c>
      <c r="J418" t="s">
        <v>105</v>
      </c>
      <c r="K418" t="s">
        <v>108</v>
      </c>
    </row>
    <row r="419" spans="1:11" hidden="1" x14ac:dyDescent="0.3">
      <c r="A419" t="s">
        <v>23</v>
      </c>
      <c r="B419" t="s">
        <v>59</v>
      </c>
      <c r="C419" t="s">
        <v>96</v>
      </c>
      <c r="D419">
        <v>1.7699</v>
      </c>
      <c r="E419">
        <f>Tableau4[[#This Row],[Potential (PJ)]]*1000/3.6</f>
        <v>491.63888888888891</v>
      </c>
      <c r="F419">
        <v>29.956</v>
      </c>
      <c r="G419">
        <f>Tableau4[[#This Row],[Cost (€/GJ)]]*3.6/1000</f>
        <v>0.1078416</v>
      </c>
      <c r="H419">
        <v>29.4</v>
      </c>
      <c r="I419">
        <f>Tableau4[[#This Row],[GHG (kgCO2eq/GJ)]]*3.6/1000</f>
        <v>0.10584</v>
      </c>
      <c r="J419" t="s">
        <v>107</v>
      </c>
      <c r="K419" t="s">
        <v>109</v>
      </c>
    </row>
    <row r="420" spans="1:11" hidden="1" x14ac:dyDescent="0.3">
      <c r="A420" t="s">
        <v>23</v>
      </c>
      <c r="B420" t="s">
        <v>59</v>
      </c>
      <c r="C420" t="s">
        <v>97</v>
      </c>
      <c r="D420">
        <v>5.5587</v>
      </c>
      <c r="E420">
        <f>Tableau4[[#This Row],[Potential (PJ)]]*1000/3.6</f>
        <v>1544.0833333333333</v>
      </c>
      <c r="F420">
        <v>18.55670103092784</v>
      </c>
      <c r="G420">
        <f>Tableau4[[#This Row],[Cost (€/GJ)]]*3.6/1000</f>
        <v>6.680412371134023E-2</v>
      </c>
      <c r="H420">
        <v>29.4</v>
      </c>
      <c r="I420">
        <f>Tableau4[[#This Row],[GHG (kgCO2eq/GJ)]]*3.6/1000</f>
        <v>0.10584</v>
      </c>
      <c r="J420" t="s">
        <v>107</v>
      </c>
      <c r="K420" t="s">
        <v>109</v>
      </c>
    </row>
    <row r="421" spans="1:11" hidden="1" x14ac:dyDescent="0.3">
      <c r="A421" t="s">
        <v>23</v>
      </c>
      <c r="B421" t="s">
        <v>51</v>
      </c>
      <c r="C421" t="s">
        <v>75</v>
      </c>
      <c r="D421">
        <v>15.347709999999999</v>
      </c>
      <c r="E421">
        <f>Tableau4[[#This Row],[Potential (PJ)]]*1000/3.6</f>
        <v>4263.2527777777777</v>
      </c>
      <c r="F421">
        <v>2.6892544675485501E-3</v>
      </c>
      <c r="G421">
        <f>Tableau4[[#This Row],[Cost (€/GJ)]]*3.6/1000</f>
        <v>9.6813160831747801E-6</v>
      </c>
      <c r="H421">
        <v>11.74</v>
      </c>
      <c r="I421">
        <f>Tableau4[[#This Row],[GHG (kgCO2eq/GJ)]]*3.6/1000</f>
        <v>4.2264000000000003E-2</v>
      </c>
      <c r="J421" t="s">
        <v>104</v>
      </c>
      <c r="K421" t="s">
        <v>108</v>
      </c>
    </row>
    <row r="422" spans="1:11" hidden="1" x14ac:dyDescent="0.3">
      <c r="A422" t="s">
        <v>23</v>
      </c>
      <c r="B422" t="s">
        <v>60</v>
      </c>
      <c r="C422" t="s">
        <v>98</v>
      </c>
      <c r="D422">
        <v>3.17259</v>
      </c>
      <c r="E422">
        <f>Tableau4[[#This Row],[Potential (PJ)]]*1000/3.6</f>
        <v>881.27499999999998</v>
      </c>
      <c r="F422">
        <v>18.582169709989259</v>
      </c>
      <c r="G422">
        <f>Tableau4[[#This Row],[Cost (€/GJ)]]*3.6/1000</f>
        <v>6.6895810955961338E-2</v>
      </c>
      <c r="H422">
        <v>47.4</v>
      </c>
      <c r="I422">
        <f>Tableau4[[#This Row],[GHG (kgCO2eq/GJ)]]*3.6/1000</f>
        <v>0.17063999999999999</v>
      </c>
      <c r="J422" t="s">
        <v>107</v>
      </c>
      <c r="K422" t="s">
        <v>109</v>
      </c>
    </row>
    <row r="423" spans="1:11" hidden="1" x14ac:dyDescent="0.3">
      <c r="A423" t="s">
        <v>23</v>
      </c>
      <c r="B423" t="s">
        <v>52</v>
      </c>
      <c r="C423" t="s">
        <v>76</v>
      </c>
      <c r="D423">
        <v>0.54</v>
      </c>
      <c r="E423">
        <f>Tableau4[[#This Row],[Potential (PJ)]]*1000/3.6</f>
        <v>150</v>
      </c>
      <c r="F423">
        <v>4.7567250000000003</v>
      </c>
      <c r="G423">
        <f>Tableau4[[#This Row],[Cost (€/GJ)]]*3.6/1000</f>
        <v>1.7124210000000001E-2</v>
      </c>
      <c r="H423">
        <v>12.68872359754714</v>
      </c>
      <c r="I423">
        <f>Tableau4[[#This Row],[GHG (kgCO2eq/GJ)]]*3.6/1000</f>
        <v>4.5679404951169705E-2</v>
      </c>
      <c r="J423" t="s">
        <v>105</v>
      </c>
      <c r="K423" t="s">
        <v>108</v>
      </c>
    </row>
    <row r="424" spans="1:11" hidden="1" x14ac:dyDescent="0.3">
      <c r="A424" t="s">
        <v>23</v>
      </c>
      <c r="B424" t="s">
        <v>53</v>
      </c>
      <c r="C424" t="s">
        <v>77</v>
      </c>
      <c r="D424">
        <v>11.1</v>
      </c>
      <c r="E424">
        <f>Tableau4[[#This Row],[Potential (PJ)]]*1000/3.6</f>
        <v>3083.333333333333</v>
      </c>
      <c r="F424">
        <v>2.1794324324324328</v>
      </c>
      <c r="G424">
        <f>Tableau4[[#This Row],[Cost (€/GJ)]]*3.6/1000</f>
        <v>7.8459567567567574E-3</v>
      </c>
      <c r="H424">
        <v>3.86607608129234</v>
      </c>
      <c r="I424">
        <f>Tableau4[[#This Row],[GHG (kgCO2eq/GJ)]]*3.6/1000</f>
        <v>1.3917873892652425E-2</v>
      </c>
      <c r="J424" t="s">
        <v>104</v>
      </c>
      <c r="K424" t="s">
        <v>108</v>
      </c>
    </row>
    <row r="425" spans="1:11" hidden="1" x14ac:dyDescent="0.3">
      <c r="A425" t="s">
        <v>23</v>
      </c>
      <c r="B425" t="s">
        <v>61</v>
      </c>
      <c r="C425" t="s">
        <v>99</v>
      </c>
      <c r="D425">
        <v>4.2</v>
      </c>
      <c r="E425">
        <f>Tableau4[[#This Row],[Potential (PJ)]]*1000/3.6</f>
        <v>1166.6666666666667</v>
      </c>
      <c r="F425">
        <v>1.540357142857143</v>
      </c>
      <c r="G425">
        <f>Tableau4[[#This Row],[Cost (€/GJ)]]*3.6/1000</f>
        <v>5.5452857142857144E-3</v>
      </c>
      <c r="H425">
        <v>2.9245635910224439</v>
      </c>
      <c r="I425">
        <f>Tableau4[[#This Row],[GHG (kgCO2eq/GJ)]]*3.6/1000</f>
        <v>1.0528428927680798E-2</v>
      </c>
      <c r="J425" t="s">
        <v>104</v>
      </c>
      <c r="K425" t="s">
        <v>108</v>
      </c>
    </row>
    <row r="426" spans="1:11" hidden="1" x14ac:dyDescent="0.3">
      <c r="A426" t="s">
        <v>23</v>
      </c>
      <c r="B426" t="s">
        <v>62</v>
      </c>
      <c r="C426" t="s">
        <v>100</v>
      </c>
      <c r="D426">
        <v>1</v>
      </c>
      <c r="E426">
        <f>Tableau4[[#This Row],[Potential (PJ)]]*1000/3.6</f>
        <v>277.77777777777777</v>
      </c>
      <c r="F426">
        <v>0.34</v>
      </c>
      <c r="G426">
        <f>Tableau4[[#This Row],[Cost (€/GJ)]]*3.6/1000</f>
        <v>1.2240000000000003E-3</v>
      </c>
      <c r="H426">
        <v>2.6764106050305911</v>
      </c>
      <c r="I426">
        <f>Tableau4[[#This Row],[GHG (kgCO2eq/GJ)]]*3.6/1000</f>
        <v>9.6350781781101274E-3</v>
      </c>
      <c r="J426" t="s">
        <v>104</v>
      </c>
      <c r="K426" t="s">
        <v>108</v>
      </c>
    </row>
    <row r="427" spans="1:11" hidden="1" x14ac:dyDescent="0.3">
      <c r="A427" t="s">
        <v>23</v>
      </c>
      <c r="B427" t="s">
        <v>54</v>
      </c>
      <c r="C427" t="s">
        <v>78</v>
      </c>
      <c r="D427">
        <v>47</v>
      </c>
      <c r="E427">
        <f>Tableau4[[#This Row],[Potential (PJ)]]*1000/3.6</f>
        <v>13055.555555555555</v>
      </c>
      <c r="F427">
        <v>2.173425531914893</v>
      </c>
      <c r="G427">
        <f>Tableau4[[#This Row],[Cost (€/GJ)]]*3.6/1000</f>
        <v>7.8243319148936143E-3</v>
      </c>
      <c r="H427">
        <v>3.86607608129234</v>
      </c>
      <c r="I427">
        <f>Tableau4[[#This Row],[GHG (kgCO2eq/GJ)]]*3.6/1000</f>
        <v>1.3917873892652425E-2</v>
      </c>
      <c r="J427" t="s">
        <v>104</v>
      </c>
      <c r="K427" t="s">
        <v>108</v>
      </c>
    </row>
    <row r="428" spans="1:11" hidden="1" x14ac:dyDescent="0.3">
      <c r="A428" t="s">
        <v>24</v>
      </c>
      <c r="B428" t="s">
        <v>46</v>
      </c>
      <c r="C428" t="s">
        <v>80</v>
      </c>
      <c r="D428">
        <v>7.6999999999999999E-2</v>
      </c>
      <c r="E428">
        <f>Tableau4[[#This Row],[Potential (PJ)]]*1000/3.6</f>
        <v>21.388888888888889</v>
      </c>
      <c r="F428">
        <v>0.33378287255563049</v>
      </c>
      <c r="G428">
        <f>Tableau4[[#This Row],[Cost (€/GJ)]]*3.6/1000</f>
        <v>1.2016183412002699E-3</v>
      </c>
      <c r="H428">
        <v>28.139870918023309</v>
      </c>
      <c r="I428">
        <f>Tableau4[[#This Row],[GHG (kgCO2eq/GJ)]]*3.6/1000</f>
        <v>0.10130353530488391</v>
      </c>
      <c r="J428" t="s">
        <v>105</v>
      </c>
      <c r="K428" t="s">
        <v>108</v>
      </c>
    </row>
    <row r="429" spans="1:11" hidden="1" x14ac:dyDescent="0.3">
      <c r="A429" t="s">
        <v>24</v>
      </c>
      <c r="B429" t="s">
        <v>46</v>
      </c>
      <c r="C429" t="s">
        <v>81</v>
      </c>
      <c r="D429">
        <v>4.6899999999999997E-2</v>
      </c>
      <c r="E429">
        <f>Tableau4[[#This Row],[Potential (PJ)]]*1000/3.6</f>
        <v>13.027777777777777</v>
      </c>
      <c r="F429">
        <v>2.6022326674500591</v>
      </c>
      <c r="G429">
        <f>Tableau4[[#This Row],[Cost (€/GJ)]]*3.6/1000</f>
        <v>9.3680376028202131E-3</v>
      </c>
      <c r="H429">
        <v>8.9647473560517046</v>
      </c>
      <c r="I429">
        <f>Tableau4[[#This Row],[GHG (kgCO2eq/GJ)]]*3.6/1000</f>
        <v>3.2273090481786136E-2</v>
      </c>
      <c r="J429" t="s">
        <v>105</v>
      </c>
      <c r="K429" t="s">
        <v>108</v>
      </c>
    </row>
    <row r="430" spans="1:11" hidden="1" x14ac:dyDescent="0.3">
      <c r="A430" t="s">
        <v>24</v>
      </c>
      <c r="B430" t="s">
        <v>46</v>
      </c>
      <c r="C430" t="s">
        <v>82</v>
      </c>
      <c r="D430">
        <v>0.1</v>
      </c>
      <c r="E430">
        <f>Tableau4[[#This Row],[Potential (PJ)]]*1000/3.6</f>
        <v>27.777777777777779</v>
      </c>
      <c r="F430">
        <v>1.107</v>
      </c>
      <c r="G430">
        <f>Tableau4[[#This Row],[Cost (€/GJ)]]*3.6/1000</f>
        <v>3.9851999999999995E-3</v>
      </c>
      <c r="H430">
        <v>6.8428961748633883</v>
      </c>
      <c r="I430">
        <f>Tableau4[[#This Row],[GHG (kgCO2eq/GJ)]]*3.6/1000</f>
        <v>2.4634426229508198E-2</v>
      </c>
      <c r="J430" t="s">
        <v>104</v>
      </c>
      <c r="K430" t="s">
        <v>108</v>
      </c>
    </row>
    <row r="431" spans="1:11" hidden="1" x14ac:dyDescent="0.3">
      <c r="A431" t="s">
        <v>24</v>
      </c>
      <c r="B431" t="s">
        <v>55</v>
      </c>
      <c r="C431" t="s">
        <v>86</v>
      </c>
      <c r="D431">
        <v>7.22E-2</v>
      </c>
      <c r="E431">
        <f>Tableau4[[#This Row],[Potential (PJ)]]*1000/3.6</f>
        <v>20.055555555555557</v>
      </c>
      <c r="F431">
        <v>15.132999999999999</v>
      </c>
      <c r="G431">
        <f>Tableau4[[#This Row],[Cost (€/GJ)]]*3.6/1000</f>
        <v>5.4478800000000001E-2</v>
      </c>
      <c r="H431">
        <v>9.8000000000000007</v>
      </c>
      <c r="I431">
        <f>Tableau4[[#This Row],[GHG (kgCO2eq/GJ)]]*3.6/1000</f>
        <v>3.5279999999999999E-2</v>
      </c>
      <c r="J431" t="s">
        <v>106</v>
      </c>
      <c r="K431" t="s">
        <v>109</v>
      </c>
    </row>
    <row r="432" spans="1:11" hidden="1" x14ac:dyDescent="0.3">
      <c r="A432" t="s">
        <v>24</v>
      </c>
      <c r="B432" t="s">
        <v>55</v>
      </c>
      <c r="C432" t="s">
        <v>89</v>
      </c>
      <c r="D432">
        <v>8.2199999999999995E-2</v>
      </c>
      <c r="E432">
        <f>Tableau4[[#This Row],[Potential (PJ)]]*1000/3.6</f>
        <v>22.833333333333329</v>
      </c>
      <c r="F432">
        <v>0</v>
      </c>
      <c r="G432">
        <f>Tableau4[[#This Row],[Cost (€/GJ)]]*3.6/1000</f>
        <v>0</v>
      </c>
      <c r="H432">
        <v>9.8000000000000007</v>
      </c>
      <c r="I432">
        <f>Tableau4[[#This Row],[GHG (kgCO2eq/GJ)]]*3.6/1000</f>
        <v>3.5279999999999999E-2</v>
      </c>
      <c r="J432" t="s">
        <v>106</v>
      </c>
      <c r="K432" t="s">
        <v>109</v>
      </c>
    </row>
    <row r="433" spans="1:11" hidden="1" x14ac:dyDescent="0.3">
      <c r="A433" t="s">
        <v>24</v>
      </c>
      <c r="B433" t="s">
        <v>55</v>
      </c>
      <c r="C433" t="s">
        <v>92</v>
      </c>
      <c r="D433">
        <v>8.4519999999999998E-2</v>
      </c>
      <c r="E433">
        <f>Tableau4[[#This Row],[Potential (PJ)]]*1000/3.6</f>
        <v>23.477777777777778</v>
      </c>
      <c r="F433">
        <v>13.994</v>
      </c>
      <c r="G433">
        <f>Tableau4[[#This Row],[Cost (€/GJ)]]*3.6/1000</f>
        <v>5.0378399999999997E-2</v>
      </c>
      <c r="H433">
        <v>9.8000000000000007</v>
      </c>
      <c r="I433">
        <f>Tableau4[[#This Row],[GHG (kgCO2eq/GJ)]]*3.6/1000</f>
        <v>3.5279999999999999E-2</v>
      </c>
      <c r="J433" t="s">
        <v>106</v>
      </c>
      <c r="K433" t="s">
        <v>109</v>
      </c>
    </row>
    <row r="434" spans="1:11" hidden="1" x14ac:dyDescent="0.3">
      <c r="A434" t="s">
        <v>24</v>
      </c>
      <c r="B434" t="s">
        <v>47</v>
      </c>
      <c r="C434" t="s">
        <v>101</v>
      </c>
      <c r="D434">
        <v>6.9</v>
      </c>
      <c r="E434">
        <f>Tableau4[[#This Row],[Potential (PJ)]]*1000/3.6</f>
        <v>1916.6666666666665</v>
      </c>
      <c r="F434">
        <v>4.778144927536232</v>
      </c>
      <c r="G434">
        <f>Tableau4[[#This Row],[Cost (€/GJ)]]*3.6/1000</f>
        <v>1.7201321739130436E-2</v>
      </c>
      <c r="H434">
        <v>61.2</v>
      </c>
      <c r="I434">
        <f>Tableau4[[#This Row],[GHG (kgCO2eq/GJ)]]*3.6/1000</f>
        <v>0.22032000000000002</v>
      </c>
      <c r="J434" t="s">
        <v>104</v>
      </c>
      <c r="K434" t="s">
        <v>109</v>
      </c>
    </row>
    <row r="435" spans="1:11" hidden="1" x14ac:dyDescent="0.3">
      <c r="A435" t="s">
        <v>24</v>
      </c>
      <c r="B435" t="s">
        <v>57</v>
      </c>
      <c r="C435" t="s">
        <v>94</v>
      </c>
      <c r="D435">
        <v>3.7</v>
      </c>
      <c r="E435">
        <f>Tableau4[[#This Row],[Potential (PJ)]]*1000/3.6</f>
        <v>1027.7777777777778</v>
      </c>
      <c r="F435">
        <v>10.392216216216219</v>
      </c>
      <c r="G435">
        <f>Tableau4[[#This Row],[Cost (€/GJ)]]*3.6/1000</f>
        <v>3.741197837837839E-2</v>
      </c>
      <c r="H435">
        <v>24.4</v>
      </c>
      <c r="I435">
        <f>Tableau4[[#This Row],[GHG (kgCO2eq/GJ)]]*3.6/1000</f>
        <v>8.7840000000000001E-2</v>
      </c>
      <c r="J435" t="s">
        <v>104</v>
      </c>
      <c r="K435" t="s">
        <v>109</v>
      </c>
    </row>
    <row r="436" spans="1:11" hidden="1" x14ac:dyDescent="0.3">
      <c r="A436" t="s">
        <v>24</v>
      </c>
      <c r="B436" t="s">
        <v>49</v>
      </c>
      <c r="C436" t="s">
        <v>71</v>
      </c>
      <c r="D436">
        <v>41.862259999999999</v>
      </c>
      <c r="E436">
        <f>Tableau4[[#This Row],[Potential (PJ)]]*1000/3.6</f>
        <v>11628.405555555555</v>
      </c>
      <c r="F436">
        <v>3.4809999999999999</v>
      </c>
      <c r="G436">
        <f>Tableau4[[#This Row],[Cost (€/GJ)]]*3.6/1000</f>
        <v>1.2531599999999999E-2</v>
      </c>
      <c r="H436">
        <v>3.86607608129234</v>
      </c>
      <c r="I436">
        <f>Tableau4[[#This Row],[GHG (kgCO2eq/GJ)]]*3.6/1000</f>
        <v>1.3917873892652425E-2</v>
      </c>
      <c r="J436" t="s">
        <v>104</v>
      </c>
      <c r="K436" t="s">
        <v>108</v>
      </c>
    </row>
    <row r="437" spans="1:11" hidden="1" x14ac:dyDescent="0.3">
      <c r="A437" t="s">
        <v>24</v>
      </c>
      <c r="B437" t="s">
        <v>49</v>
      </c>
      <c r="C437" t="s">
        <v>72</v>
      </c>
      <c r="D437">
        <v>1.7</v>
      </c>
      <c r="E437">
        <f>Tableau4[[#This Row],[Potential (PJ)]]*1000/3.6</f>
        <v>472.22222222222223</v>
      </c>
      <c r="F437">
        <v>2.7885882352941169</v>
      </c>
      <c r="G437">
        <f>Tableau4[[#This Row],[Cost (€/GJ)]]*3.6/1000</f>
        <v>1.0038917647058821E-2</v>
      </c>
      <c r="H437">
        <v>3.86607608129234</v>
      </c>
      <c r="I437">
        <f>Tableau4[[#This Row],[GHG (kgCO2eq/GJ)]]*3.6/1000</f>
        <v>1.3917873892652425E-2</v>
      </c>
      <c r="J437" t="s">
        <v>104</v>
      </c>
      <c r="K437" t="s">
        <v>108</v>
      </c>
    </row>
    <row r="438" spans="1:11" hidden="1" x14ac:dyDescent="0.3">
      <c r="A438" t="s">
        <v>24</v>
      </c>
      <c r="B438" t="s">
        <v>58</v>
      </c>
      <c r="C438" t="s">
        <v>95</v>
      </c>
      <c r="D438">
        <v>10.95965</v>
      </c>
      <c r="E438">
        <f>Tableau4[[#This Row],[Potential (PJ)]]*1000/3.6</f>
        <v>3044.3472222222222</v>
      </c>
      <c r="F438">
        <v>2.1709999999999998</v>
      </c>
      <c r="G438">
        <f>Tableau4[[#This Row],[Cost (€/GJ)]]*3.6/1000</f>
        <v>7.8156000000000007E-3</v>
      </c>
      <c r="H438">
        <v>2.9521711768407801</v>
      </c>
      <c r="I438">
        <f>Tableau4[[#This Row],[GHG (kgCO2eq/GJ)]]*3.6/1000</f>
        <v>1.0627816236626808E-2</v>
      </c>
      <c r="J438" t="s">
        <v>104</v>
      </c>
      <c r="K438" t="s">
        <v>108</v>
      </c>
    </row>
    <row r="439" spans="1:11" hidden="1" x14ac:dyDescent="0.3">
      <c r="A439" t="s">
        <v>24</v>
      </c>
      <c r="B439" t="s">
        <v>50</v>
      </c>
      <c r="C439" t="s">
        <v>73</v>
      </c>
      <c r="D439">
        <v>11.4</v>
      </c>
      <c r="E439">
        <f>Tableau4[[#This Row],[Potential (PJ)]]*1000/3.6</f>
        <v>3166.6666666666665</v>
      </c>
      <c r="F439">
        <v>5.6319999999999997</v>
      </c>
      <c r="G439">
        <f>Tableau4[[#This Row],[Cost (€/GJ)]]*3.6/1000</f>
        <v>2.0275199999999997E-2</v>
      </c>
      <c r="H439">
        <v>20.723404255319149</v>
      </c>
      <c r="I439">
        <f>Tableau4[[#This Row],[GHG (kgCO2eq/GJ)]]*3.6/1000</f>
        <v>7.4604255319148938E-2</v>
      </c>
      <c r="J439" t="s">
        <v>105</v>
      </c>
      <c r="K439" t="s">
        <v>108</v>
      </c>
    </row>
    <row r="440" spans="1:11" hidden="1" x14ac:dyDescent="0.3">
      <c r="A440" t="s">
        <v>24</v>
      </c>
      <c r="B440" t="s">
        <v>50</v>
      </c>
      <c r="C440" t="s">
        <v>74</v>
      </c>
      <c r="D440">
        <v>21.2</v>
      </c>
      <c r="E440">
        <f>Tableau4[[#This Row],[Potential (PJ)]]*1000/3.6</f>
        <v>5888.8888888888887</v>
      </c>
      <c r="F440">
        <v>6.2113962264150944</v>
      </c>
      <c r="G440">
        <f>Tableau4[[#This Row],[Cost (€/GJ)]]*3.6/1000</f>
        <v>2.236102641509434E-2</v>
      </c>
      <c r="H440">
        <v>2.0635593220338988</v>
      </c>
      <c r="I440">
        <f>Tableau4[[#This Row],[GHG (kgCO2eq/GJ)]]*3.6/1000</f>
        <v>7.428813559322036E-3</v>
      </c>
      <c r="J440" t="s">
        <v>105</v>
      </c>
      <c r="K440" t="s">
        <v>108</v>
      </c>
    </row>
    <row r="441" spans="1:11" hidden="1" x14ac:dyDescent="0.3">
      <c r="A441" t="s">
        <v>24</v>
      </c>
      <c r="B441" t="s">
        <v>51</v>
      </c>
      <c r="C441" t="s">
        <v>75</v>
      </c>
      <c r="D441">
        <v>3.0983879999999999</v>
      </c>
      <c r="E441">
        <f>Tableau4[[#This Row],[Potential (PJ)]]*1000/3.6</f>
        <v>860.6633333333333</v>
      </c>
      <c r="F441">
        <v>2.62264631846305E-2</v>
      </c>
      <c r="G441">
        <f>Tableau4[[#This Row],[Cost (€/GJ)]]*3.6/1000</f>
        <v>9.4415267464669793E-5</v>
      </c>
      <c r="H441">
        <v>11.74</v>
      </c>
      <c r="I441">
        <f>Tableau4[[#This Row],[GHG (kgCO2eq/GJ)]]*3.6/1000</f>
        <v>4.2264000000000003E-2</v>
      </c>
      <c r="J441" t="s">
        <v>104</v>
      </c>
      <c r="K441" t="s">
        <v>108</v>
      </c>
    </row>
    <row r="442" spans="1:11" hidden="1" x14ac:dyDescent="0.3">
      <c r="A442" t="s">
        <v>24</v>
      </c>
      <c r="B442" t="s">
        <v>60</v>
      </c>
      <c r="C442" t="s">
        <v>98</v>
      </c>
      <c r="D442">
        <v>0.50990000000000002</v>
      </c>
      <c r="E442">
        <f>Tableau4[[#This Row],[Potential (PJ)]]*1000/3.6</f>
        <v>141.63888888888889</v>
      </c>
      <c r="F442">
        <v>26.262083780880769</v>
      </c>
      <c r="G442">
        <f>Tableau4[[#This Row],[Cost (€/GJ)]]*3.6/1000</f>
        <v>9.4543501611170769E-2</v>
      </c>
      <c r="H442">
        <v>33.200000000000003</v>
      </c>
      <c r="I442">
        <f>Tableau4[[#This Row],[GHG (kgCO2eq/GJ)]]*3.6/1000</f>
        <v>0.11952000000000002</v>
      </c>
      <c r="J442" t="s">
        <v>107</v>
      </c>
      <c r="K442" t="s">
        <v>109</v>
      </c>
    </row>
    <row r="443" spans="1:11" hidden="1" x14ac:dyDescent="0.3">
      <c r="A443" t="s">
        <v>24</v>
      </c>
      <c r="B443" t="s">
        <v>52</v>
      </c>
      <c r="C443" t="s">
        <v>76</v>
      </c>
      <c r="D443">
        <v>4.0000000000000001E-3</v>
      </c>
      <c r="E443">
        <f>Tableau4[[#This Row],[Potential (PJ)]]*1000/3.6</f>
        <v>1.1111111111111112</v>
      </c>
      <c r="F443">
        <v>4.7567250000000003</v>
      </c>
      <c r="G443">
        <f>Tableau4[[#This Row],[Cost (€/GJ)]]*3.6/1000</f>
        <v>1.7124210000000001E-2</v>
      </c>
      <c r="H443">
        <v>12.68872359754714</v>
      </c>
      <c r="I443">
        <f>Tableau4[[#This Row],[GHG (kgCO2eq/GJ)]]*3.6/1000</f>
        <v>4.5679404951169705E-2</v>
      </c>
      <c r="J443" t="s">
        <v>105</v>
      </c>
      <c r="K443" t="s">
        <v>108</v>
      </c>
    </row>
    <row r="444" spans="1:11" hidden="1" x14ac:dyDescent="0.3">
      <c r="A444" t="s">
        <v>24</v>
      </c>
      <c r="B444" t="s">
        <v>53</v>
      </c>
      <c r="C444" t="s">
        <v>77</v>
      </c>
      <c r="D444">
        <v>1.1000000000000001</v>
      </c>
      <c r="E444">
        <f>Tableau4[[#This Row],[Potential (PJ)]]*1000/3.6</f>
        <v>305.55555555555554</v>
      </c>
      <c r="F444">
        <v>2.7886363636363631</v>
      </c>
      <c r="G444">
        <f>Tableau4[[#This Row],[Cost (€/GJ)]]*3.6/1000</f>
        <v>1.0039090909090907E-2</v>
      </c>
      <c r="H444">
        <v>3.86607608129234</v>
      </c>
      <c r="I444">
        <f>Tableau4[[#This Row],[GHG (kgCO2eq/GJ)]]*3.6/1000</f>
        <v>1.3917873892652425E-2</v>
      </c>
      <c r="J444" t="s">
        <v>104</v>
      </c>
      <c r="K444" t="s">
        <v>108</v>
      </c>
    </row>
    <row r="445" spans="1:11" hidden="1" x14ac:dyDescent="0.3">
      <c r="A445" t="s">
        <v>24</v>
      </c>
      <c r="B445" t="s">
        <v>61</v>
      </c>
      <c r="C445" t="s">
        <v>99</v>
      </c>
      <c r="D445">
        <v>8.3999999999999986</v>
      </c>
      <c r="E445">
        <f>Tableau4[[#This Row],[Potential (PJ)]]*1000/3.6</f>
        <v>2333.3333333333326</v>
      </c>
      <c r="F445">
        <v>1.7190000000000001</v>
      </c>
      <c r="G445">
        <f>Tableau4[[#This Row],[Cost (€/GJ)]]*3.6/1000</f>
        <v>6.1884000000000002E-3</v>
      </c>
      <c r="H445">
        <v>2.9245635910224439</v>
      </c>
      <c r="I445">
        <f>Tableau4[[#This Row],[GHG (kgCO2eq/GJ)]]*3.6/1000</f>
        <v>1.0528428927680798E-2</v>
      </c>
      <c r="J445" t="s">
        <v>104</v>
      </c>
      <c r="K445" t="s">
        <v>108</v>
      </c>
    </row>
    <row r="446" spans="1:11" hidden="1" x14ac:dyDescent="0.3">
      <c r="A446" t="s">
        <v>24</v>
      </c>
      <c r="B446" t="s">
        <v>62</v>
      </c>
      <c r="C446" t="s">
        <v>100</v>
      </c>
      <c r="D446">
        <v>2.9</v>
      </c>
      <c r="E446">
        <f>Tableau4[[#This Row],[Potential (PJ)]]*1000/3.6</f>
        <v>805.55555555555554</v>
      </c>
      <c r="F446">
        <v>0.51034482758620681</v>
      </c>
      <c r="G446">
        <f>Tableau4[[#This Row],[Cost (€/GJ)]]*3.6/1000</f>
        <v>1.8372413793103445E-3</v>
      </c>
      <c r="H446">
        <v>2.6764106050305911</v>
      </c>
      <c r="I446">
        <f>Tableau4[[#This Row],[GHG (kgCO2eq/GJ)]]*3.6/1000</f>
        <v>9.6350781781101274E-3</v>
      </c>
      <c r="J446" t="s">
        <v>104</v>
      </c>
      <c r="K446" t="s">
        <v>108</v>
      </c>
    </row>
    <row r="447" spans="1:11" hidden="1" x14ac:dyDescent="0.3">
      <c r="A447" t="s">
        <v>24</v>
      </c>
      <c r="B447" t="s">
        <v>54</v>
      </c>
      <c r="C447" t="s">
        <v>78</v>
      </c>
      <c r="D447">
        <v>27.6</v>
      </c>
      <c r="E447">
        <f>Tableau4[[#This Row],[Potential (PJ)]]*1000/3.6</f>
        <v>7666.6666666666661</v>
      </c>
      <c r="F447">
        <v>5.851</v>
      </c>
      <c r="G447">
        <f>Tableau4[[#This Row],[Cost (€/GJ)]]*3.6/1000</f>
        <v>2.1063600000000002E-2</v>
      </c>
      <c r="H447">
        <v>3.86607608129234</v>
      </c>
      <c r="I447">
        <f>Tableau4[[#This Row],[GHG (kgCO2eq/GJ)]]*3.6/1000</f>
        <v>1.3917873892652425E-2</v>
      </c>
      <c r="J447" t="s">
        <v>104</v>
      </c>
      <c r="K447" t="s">
        <v>108</v>
      </c>
    </row>
    <row r="448" spans="1:11" hidden="1" x14ac:dyDescent="0.3">
      <c r="A448" t="s">
        <v>25</v>
      </c>
      <c r="B448" t="s">
        <v>51</v>
      </c>
      <c r="C448" t="s">
        <v>75</v>
      </c>
      <c r="D448">
        <v>1.4673700000000001</v>
      </c>
      <c r="E448">
        <f>Tableau4[[#This Row],[Potential (PJ)]]*1000/3.6</f>
        <v>407.60277777777782</v>
      </c>
      <c r="F448">
        <v>3.2096293703716499E-3</v>
      </c>
      <c r="G448">
        <f>Tableau4[[#This Row],[Cost (€/GJ)]]*3.6/1000</f>
        <v>1.155466573333794E-5</v>
      </c>
      <c r="H448">
        <v>11.74</v>
      </c>
      <c r="I448">
        <f>Tableau4[[#This Row],[GHG (kgCO2eq/GJ)]]*3.6/1000</f>
        <v>4.2264000000000003E-2</v>
      </c>
      <c r="J448" t="s">
        <v>104</v>
      </c>
      <c r="K448" t="s">
        <v>108</v>
      </c>
    </row>
    <row r="449" spans="1:11" hidden="1" x14ac:dyDescent="0.3">
      <c r="A449" t="s">
        <v>26</v>
      </c>
      <c r="B449" t="s">
        <v>46</v>
      </c>
      <c r="C449" t="s">
        <v>63</v>
      </c>
      <c r="D449">
        <v>6.9548000000000014</v>
      </c>
      <c r="E449">
        <f>Tableau4[[#This Row],[Potential (PJ)]]*1000/3.6</f>
        <v>1931.8888888888891</v>
      </c>
      <c r="F449">
        <v>2.9286474973375931</v>
      </c>
      <c r="G449">
        <f>Tableau4[[#This Row],[Cost (€/GJ)]]*3.6/1000</f>
        <v>1.0543130990415334E-2</v>
      </c>
      <c r="H449">
        <v>3.950479233226837</v>
      </c>
      <c r="I449">
        <f>Tableau4[[#This Row],[GHG (kgCO2eq/GJ)]]*3.6/1000</f>
        <v>1.4221725239616614E-2</v>
      </c>
      <c r="J449" t="s">
        <v>104</v>
      </c>
      <c r="K449" t="s">
        <v>108</v>
      </c>
    </row>
    <row r="450" spans="1:11" hidden="1" x14ac:dyDescent="0.3">
      <c r="A450" t="s">
        <v>26</v>
      </c>
      <c r="B450" t="s">
        <v>46</v>
      </c>
      <c r="C450" t="s">
        <v>64</v>
      </c>
      <c r="D450">
        <v>0.87172000000000005</v>
      </c>
      <c r="E450">
        <f>Tableau4[[#This Row],[Potential (PJ)]]*1000/3.6</f>
        <v>242.14444444444445</v>
      </c>
      <c r="F450">
        <v>7.0922251525719266</v>
      </c>
      <c r="G450">
        <f>Tableau4[[#This Row],[Cost (€/GJ)]]*3.6/1000</f>
        <v>2.5532010549258934E-2</v>
      </c>
      <c r="H450">
        <v>2.9521711768407801</v>
      </c>
      <c r="I450">
        <f>Tableau4[[#This Row],[GHG (kgCO2eq/GJ)]]*3.6/1000</f>
        <v>1.0627816236626808E-2</v>
      </c>
      <c r="J450" t="s">
        <v>104</v>
      </c>
      <c r="K450" t="s">
        <v>108</v>
      </c>
    </row>
    <row r="451" spans="1:11" hidden="1" x14ac:dyDescent="0.3">
      <c r="A451" t="s">
        <v>26</v>
      </c>
      <c r="B451" t="s">
        <v>46</v>
      </c>
      <c r="C451" t="s">
        <v>79</v>
      </c>
      <c r="D451">
        <v>26.5</v>
      </c>
      <c r="E451">
        <f>Tableau4[[#This Row],[Potential (PJ)]]*1000/3.6</f>
        <v>7361.1111111111113</v>
      </c>
      <c r="F451">
        <v>2.1763207547169809</v>
      </c>
      <c r="G451">
        <f>Tableau4[[#This Row],[Cost (€/GJ)]]*3.6/1000</f>
        <v>7.8347547169811318E-3</v>
      </c>
      <c r="H451">
        <v>6.8428961748633883</v>
      </c>
      <c r="I451">
        <f>Tableau4[[#This Row],[GHG (kgCO2eq/GJ)]]*3.6/1000</f>
        <v>2.4634426229508198E-2</v>
      </c>
      <c r="J451" t="s">
        <v>104</v>
      </c>
      <c r="K451" t="s">
        <v>108</v>
      </c>
    </row>
    <row r="452" spans="1:11" hidden="1" x14ac:dyDescent="0.3">
      <c r="A452" t="s">
        <v>26</v>
      </c>
      <c r="B452" t="s">
        <v>46</v>
      </c>
      <c r="C452" t="s">
        <v>65</v>
      </c>
      <c r="D452">
        <v>3</v>
      </c>
      <c r="E452">
        <f>Tableau4[[#This Row],[Potential (PJ)]]*1000/3.6</f>
        <v>833.33333333333326</v>
      </c>
      <c r="F452">
        <v>5.3273999999999999</v>
      </c>
      <c r="G452">
        <f>Tableau4[[#This Row],[Cost (€/GJ)]]*3.6/1000</f>
        <v>1.917864E-2</v>
      </c>
      <c r="H452">
        <v>2.9521711768407801</v>
      </c>
      <c r="I452">
        <f>Tableau4[[#This Row],[GHG (kgCO2eq/GJ)]]*3.6/1000</f>
        <v>1.0627816236626808E-2</v>
      </c>
      <c r="J452" t="s">
        <v>104</v>
      </c>
      <c r="K452" t="s">
        <v>108</v>
      </c>
    </row>
    <row r="453" spans="1:11" hidden="1" x14ac:dyDescent="0.3">
      <c r="A453" t="s">
        <v>26</v>
      </c>
      <c r="B453" t="s">
        <v>46</v>
      </c>
      <c r="C453" t="s">
        <v>102</v>
      </c>
      <c r="D453">
        <v>2.9</v>
      </c>
      <c r="E453">
        <f>Tableau4[[#This Row],[Potential (PJ)]]*1000/3.6</f>
        <v>805.55555555555554</v>
      </c>
      <c r="F453">
        <v>4.6026206896551729</v>
      </c>
      <c r="G453">
        <f>Tableau4[[#This Row],[Cost (€/GJ)]]*3.6/1000</f>
        <v>1.6569434482758622E-2</v>
      </c>
      <c r="H453">
        <v>2.9521711768407801</v>
      </c>
      <c r="I453">
        <f>Tableau4[[#This Row],[GHG (kgCO2eq/GJ)]]*3.6/1000</f>
        <v>1.0627816236626808E-2</v>
      </c>
      <c r="J453" t="s">
        <v>104</v>
      </c>
      <c r="K453" t="s">
        <v>108</v>
      </c>
    </row>
    <row r="454" spans="1:11" hidden="1" x14ac:dyDescent="0.3">
      <c r="A454" t="s">
        <v>26</v>
      </c>
      <c r="B454" t="s">
        <v>46</v>
      </c>
      <c r="C454" t="s">
        <v>80</v>
      </c>
      <c r="D454">
        <v>4.9382999999999999</v>
      </c>
      <c r="E454">
        <f>Tableau4[[#This Row],[Potential (PJ)]]*1000/3.6</f>
        <v>1371.75</v>
      </c>
      <c r="F454">
        <v>0.7329737019554956</v>
      </c>
      <c r="G454">
        <f>Tableau4[[#This Row],[Cost (€/GJ)]]*3.6/1000</f>
        <v>2.6387053270397844E-3</v>
      </c>
      <c r="H454">
        <v>28.139870918023309</v>
      </c>
      <c r="I454">
        <f>Tableau4[[#This Row],[GHG (kgCO2eq/GJ)]]*3.6/1000</f>
        <v>0.10130353530488391</v>
      </c>
      <c r="J454" t="s">
        <v>105</v>
      </c>
      <c r="K454" t="s">
        <v>108</v>
      </c>
    </row>
    <row r="455" spans="1:11" hidden="1" x14ac:dyDescent="0.3">
      <c r="A455" t="s">
        <v>26</v>
      </c>
      <c r="B455" t="s">
        <v>46</v>
      </c>
      <c r="C455" t="s">
        <v>81</v>
      </c>
      <c r="D455">
        <v>1.0949</v>
      </c>
      <c r="E455">
        <f>Tableau4[[#This Row],[Potential (PJ)]]*1000/3.6</f>
        <v>304.13888888888891</v>
      </c>
      <c r="F455">
        <v>1.2708578143360749</v>
      </c>
      <c r="G455">
        <f>Tableau4[[#This Row],[Cost (€/GJ)]]*3.6/1000</f>
        <v>4.5750881316098694E-3</v>
      </c>
      <c r="H455">
        <v>8.9647473560517046</v>
      </c>
      <c r="I455">
        <f>Tableau4[[#This Row],[GHG (kgCO2eq/GJ)]]*3.6/1000</f>
        <v>3.2273090481786136E-2</v>
      </c>
      <c r="J455" t="s">
        <v>105</v>
      </c>
      <c r="K455" t="s">
        <v>108</v>
      </c>
    </row>
    <row r="456" spans="1:11" hidden="1" x14ac:dyDescent="0.3">
      <c r="A456" t="s">
        <v>26</v>
      </c>
      <c r="B456" t="s">
        <v>46</v>
      </c>
      <c r="C456" t="s">
        <v>66</v>
      </c>
      <c r="D456">
        <v>28.6</v>
      </c>
      <c r="E456">
        <f>Tableau4[[#This Row],[Potential (PJ)]]*1000/3.6</f>
        <v>7944.4444444444443</v>
      </c>
      <c r="F456">
        <v>2.226814685314686</v>
      </c>
      <c r="G456">
        <f>Tableau4[[#This Row],[Cost (€/GJ)]]*3.6/1000</f>
        <v>8.0165328671328705E-3</v>
      </c>
      <c r="H456">
        <v>6.8428961748633883</v>
      </c>
      <c r="I456">
        <f>Tableau4[[#This Row],[GHG (kgCO2eq/GJ)]]*3.6/1000</f>
        <v>2.4634426229508198E-2</v>
      </c>
      <c r="J456" t="s">
        <v>104</v>
      </c>
      <c r="K456" t="s">
        <v>108</v>
      </c>
    </row>
    <row r="457" spans="1:11" hidden="1" x14ac:dyDescent="0.3">
      <c r="A457" t="s">
        <v>26</v>
      </c>
      <c r="B457" t="s">
        <v>46</v>
      </c>
      <c r="C457" t="s">
        <v>67</v>
      </c>
      <c r="D457">
        <v>14.3</v>
      </c>
      <c r="E457">
        <f>Tableau4[[#This Row],[Potential (PJ)]]*1000/3.6</f>
        <v>3972.2222222222222</v>
      </c>
      <c r="F457">
        <v>7.4555384615384606</v>
      </c>
      <c r="G457">
        <f>Tableau4[[#This Row],[Cost (€/GJ)]]*3.6/1000</f>
        <v>2.6839938461538457E-2</v>
      </c>
      <c r="H457">
        <v>2.9521711768407801</v>
      </c>
      <c r="I457">
        <f>Tableau4[[#This Row],[GHG (kgCO2eq/GJ)]]*3.6/1000</f>
        <v>1.0627816236626808E-2</v>
      </c>
      <c r="J457" t="s">
        <v>104</v>
      </c>
      <c r="K457" t="s">
        <v>108</v>
      </c>
    </row>
    <row r="458" spans="1:11" hidden="1" x14ac:dyDescent="0.3">
      <c r="A458" t="s">
        <v>26</v>
      </c>
      <c r="B458" t="s">
        <v>46</v>
      </c>
      <c r="C458" t="s">
        <v>82</v>
      </c>
      <c r="D458">
        <v>1.8</v>
      </c>
      <c r="E458">
        <f>Tableau4[[#This Row],[Potential (PJ)]]*1000/3.6</f>
        <v>500</v>
      </c>
      <c r="F458">
        <v>1.4675555555555559</v>
      </c>
      <c r="G458">
        <f>Tableau4[[#This Row],[Cost (€/GJ)]]*3.6/1000</f>
        <v>5.2832000000000018E-3</v>
      </c>
      <c r="H458">
        <v>6.8428961748633883</v>
      </c>
      <c r="I458">
        <f>Tableau4[[#This Row],[GHG (kgCO2eq/GJ)]]*3.6/1000</f>
        <v>2.4634426229508198E-2</v>
      </c>
      <c r="J458" t="s">
        <v>104</v>
      </c>
      <c r="K458" t="s">
        <v>108</v>
      </c>
    </row>
    <row r="459" spans="1:11" hidden="1" x14ac:dyDescent="0.3">
      <c r="A459" t="s">
        <v>26</v>
      </c>
      <c r="B459" t="s">
        <v>46</v>
      </c>
      <c r="C459" t="s">
        <v>83</v>
      </c>
      <c r="D459">
        <v>6.9242900000000001</v>
      </c>
      <c r="E459">
        <f>Tableau4[[#This Row],[Potential (PJ)]]*1000/3.6</f>
        <v>1923.4138888888888</v>
      </c>
      <c r="F459">
        <v>2.1540117846017428</v>
      </c>
      <c r="G459">
        <f>Tableau4[[#This Row],[Cost (€/GJ)]]*3.6/1000</f>
        <v>7.7544424245662748E-3</v>
      </c>
      <c r="H459">
        <v>6.8428961748633883</v>
      </c>
      <c r="I459">
        <f>Tableau4[[#This Row],[GHG (kgCO2eq/GJ)]]*3.6/1000</f>
        <v>2.4634426229508198E-2</v>
      </c>
      <c r="J459" t="s">
        <v>104</v>
      </c>
      <c r="K459" t="s">
        <v>108</v>
      </c>
    </row>
    <row r="460" spans="1:11" hidden="1" x14ac:dyDescent="0.3">
      <c r="A460" t="s">
        <v>26</v>
      </c>
      <c r="B460" t="s">
        <v>46</v>
      </c>
      <c r="C460" t="s">
        <v>84</v>
      </c>
      <c r="D460">
        <v>1.4</v>
      </c>
      <c r="E460">
        <f>Tableau4[[#This Row],[Potential (PJ)]]*1000/3.6</f>
        <v>388.88888888888886</v>
      </c>
      <c r="F460">
        <v>1.8907857142857141</v>
      </c>
      <c r="G460">
        <f>Tableau4[[#This Row],[Cost (€/GJ)]]*3.6/1000</f>
        <v>6.8068285714285703E-3</v>
      </c>
      <c r="H460">
        <v>28.139870918023309</v>
      </c>
      <c r="I460">
        <f>Tableau4[[#This Row],[GHG (kgCO2eq/GJ)]]*3.6/1000</f>
        <v>0.10130353530488391</v>
      </c>
      <c r="J460" t="s">
        <v>105</v>
      </c>
      <c r="K460" t="s">
        <v>108</v>
      </c>
    </row>
    <row r="461" spans="1:11" hidden="1" x14ac:dyDescent="0.3">
      <c r="A461" t="s">
        <v>26</v>
      </c>
      <c r="B461" t="s">
        <v>46</v>
      </c>
      <c r="C461" t="s">
        <v>85</v>
      </c>
      <c r="D461">
        <v>8</v>
      </c>
      <c r="E461">
        <f>Tableau4[[#This Row],[Potential (PJ)]]*1000/3.6</f>
        <v>2222.2222222222222</v>
      </c>
      <c r="F461">
        <v>4.8689749999999998</v>
      </c>
      <c r="G461">
        <f>Tableau4[[#This Row],[Cost (€/GJ)]]*3.6/1000</f>
        <v>1.7528310000000002E-2</v>
      </c>
      <c r="H461">
        <v>2.9521711768407801</v>
      </c>
      <c r="I461">
        <f>Tableau4[[#This Row],[GHG (kgCO2eq/GJ)]]*3.6/1000</f>
        <v>1.0627816236626808E-2</v>
      </c>
      <c r="J461" t="s">
        <v>104</v>
      </c>
      <c r="K461" t="s">
        <v>108</v>
      </c>
    </row>
    <row r="462" spans="1:11" hidden="1" x14ac:dyDescent="0.3">
      <c r="A462" t="s">
        <v>26</v>
      </c>
      <c r="B462" t="s">
        <v>55</v>
      </c>
      <c r="C462" t="s">
        <v>86</v>
      </c>
      <c r="D462">
        <v>0.51770000000000005</v>
      </c>
      <c r="E462">
        <f>Tableau4[[#This Row],[Potential (PJ)]]*1000/3.6</f>
        <v>143.80555555555557</v>
      </c>
      <c r="F462">
        <v>20.170999999999999</v>
      </c>
      <c r="G462">
        <f>Tableau4[[#This Row],[Cost (€/GJ)]]*3.6/1000</f>
        <v>7.2615600000000002E-2</v>
      </c>
      <c r="H462">
        <v>16.3</v>
      </c>
      <c r="I462">
        <f>Tableau4[[#This Row],[GHG (kgCO2eq/GJ)]]*3.6/1000</f>
        <v>5.868000000000001E-2</v>
      </c>
      <c r="J462" t="s">
        <v>106</v>
      </c>
      <c r="K462" t="s">
        <v>109</v>
      </c>
    </row>
    <row r="463" spans="1:11" hidden="1" x14ac:dyDescent="0.3">
      <c r="A463" t="s">
        <v>26</v>
      </c>
      <c r="B463" t="s">
        <v>55</v>
      </c>
      <c r="C463" t="s">
        <v>87</v>
      </c>
      <c r="D463">
        <v>9.9244000000000003</v>
      </c>
      <c r="E463">
        <f>Tableau4[[#This Row],[Potential (PJ)]]*1000/3.6</f>
        <v>2756.7777777777778</v>
      </c>
      <c r="F463">
        <v>27.187999999999999</v>
      </c>
      <c r="G463">
        <f>Tableau4[[#This Row],[Cost (€/GJ)]]*3.6/1000</f>
        <v>9.78768E-2</v>
      </c>
      <c r="H463">
        <v>16.3</v>
      </c>
      <c r="I463">
        <f>Tableau4[[#This Row],[GHG (kgCO2eq/GJ)]]*3.6/1000</f>
        <v>5.868000000000001E-2</v>
      </c>
      <c r="J463" t="s">
        <v>106</v>
      </c>
      <c r="K463" t="s">
        <v>109</v>
      </c>
    </row>
    <row r="464" spans="1:11" hidden="1" x14ac:dyDescent="0.3">
      <c r="A464" t="s">
        <v>26</v>
      </c>
      <c r="B464" t="s">
        <v>55</v>
      </c>
      <c r="C464" t="s">
        <v>88</v>
      </c>
      <c r="D464">
        <v>5.9703999999999997</v>
      </c>
      <c r="E464">
        <f>Tableau4[[#This Row],[Potential (PJ)]]*1000/3.6</f>
        <v>1658.4444444444443</v>
      </c>
      <c r="F464">
        <v>21.413999999999991</v>
      </c>
      <c r="G464">
        <f>Tableau4[[#This Row],[Cost (€/GJ)]]*3.6/1000</f>
        <v>7.7090399999999976E-2</v>
      </c>
      <c r="H464">
        <v>16.3</v>
      </c>
      <c r="I464">
        <f>Tableau4[[#This Row],[GHG (kgCO2eq/GJ)]]*3.6/1000</f>
        <v>5.868000000000001E-2</v>
      </c>
      <c r="J464" t="s">
        <v>106</v>
      </c>
      <c r="K464" t="s">
        <v>109</v>
      </c>
    </row>
    <row r="465" spans="1:11" hidden="1" x14ac:dyDescent="0.3">
      <c r="A465" t="s">
        <v>26</v>
      </c>
      <c r="B465" t="s">
        <v>55</v>
      </c>
      <c r="C465" t="s">
        <v>92</v>
      </c>
      <c r="D465">
        <v>1.4430499999999999</v>
      </c>
      <c r="E465">
        <f>Tableau4[[#This Row],[Potential (PJ)]]*1000/3.6</f>
        <v>400.84722222222217</v>
      </c>
      <c r="F465">
        <v>27.187999999999999</v>
      </c>
      <c r="G465">
        <f>Tableau4[[#This Row],[Cost (€/GJ)]]*3.6/1000</f>
        <v>9.78768E-2</v>
      </c>
      <c r="H465">
        <v>16.3</v>
      </c>
      <c r="I465">
        <f>Tableau4[[#This Row],[GHG (kgCO2eq/GJ)]]*3.6/1000</f>
        <v>5.868000000000001E-2</v>
      </c>
      <c r="J465" t="s">
        <v>106</v>
      </c>
      <c r="K465" t="s">
        <v>109</v>
      </c>
    </row>
    <row r="466" spans="1:11" hidden="1" x14ac:dyDescent="0.3">
      <c r="A466" t="s">
        <v>26</v>
      </c>
      <c r="B466" t="s">
        <v>56</v>
      </c>
      <c r="C466" t="s">
        <v>93</v>
      </c>
      <c r="D466">
        <v>143.328</v>
      </c>
      <c r="E466">
        <f>Tableau4[[#This Row],[Potential (PJ)]]*1000/3.6</f>
        <v>39813.333333333336</v>
      </c>
      <c r="F466">
        <v>2.939759036144578</v>
      </c>
      <c r="G466">
        <f>Tableau4[[#This Row],[Cost (€/GJ)]]*3.6/1000</f>
        <v>1.0583132530120483E-2</v>
      </c>
      <c r="H466">
        <v>23.4</v>
      </c>
      <c r="I466">
        <f>Tableau4[[#This Row],[GHG (kgCO2eq/GJ)]]*3.6/1000</f>
        <v>8.4239999999999995E-2</v>
      </c>
      <c r="J466" t="s">
        <v>106</v>
      </c>
      <c r="K466" t="s">
        <v>109</v>
      </c>
    </row>
    <row r="467" spans="1:11" hidden="1" x14ac:dyDescent="0.3">
      <c r="A467" t="s">
        <v>26</v>
      </c>
      <c r="B467" t="s">
        <v>47</v>
      </c>
      <c r="C467" t="s">
        <v>68</v>
      </c>
      <c r="D467">
        <v>141.30000000000001</v>
      </c>
      <c r="E467">
        <f>Tableau4[[#This Row],[Potential (PJ)]]*1000/3.6</f>
        <v>39250</v>
      </c>
      <c r="F467">
        <v>6.1024522292993622</v>
      </c>
      <c r="G467">
        <f>Tableau4[[#This Row],[Cost (€/GJ)]]*3.6/1000</f>
        <v>2.1968828025477706E-2</v>
      </c>
      <c r="H467">
        <v>20.7</v>
      </c>
      <c r="I467">
        <f>Tableau4[[#This Row],[GHG (kgCO2eq/GJ)]]*3.6/1000</f>
        <v>7.4520000000000003E-2</v>
      </c>
      <c r="J467" t="s">
        <v>104</v>
      </c>
      <c r="K467" t="s">
        <v>109</v>
      </c>
    </row>
    <row r="468" spans="1:11" hidden="1" x14ac:dyDescent="0.3">
      <c r="A468" t="s">
        <v>26</v>
      </c>
      <c r="B468" t="s">
        <v>47</v>
      </c>
      <c r="C468" t="s">
        <v>69</v>
      </c>
      <c r="D468">
        <v>77.3</v>
      </c>
      <c r="E468">
        <f>Tableau4[[#This Row],[Potential (PJ)]]*1000/3.6</f>
        <v>21472.222222222223</v>
      </c>
      <c r="F468">
        <v>8.2799598965071155</v>
      </c>
      <c r="G468">
        <f>Tableau4[[#This Row],[Cost (€/GJ)]]*3.6/1000</f>
        <v>2.9807855627425616E-2</v>
      </c>
      <c r="H468">
        <v>20.7</v>
      </c>
      <c r="I468">
        <f>Tableau4[[#This Row],[GHG (kgCO2eq/GJ)]]*3.6/1000</f>
        <v>7.4520000000000003E-2</v>
      </c>
      <c r="J468" t="s">
        <v>104</v>
      </c>
      <c r="K468" t="s">
        <v>109</v>
      </c>
    </row>
    <row r="469" spans="1:11" hidden="1" x14ac:dyDescent="0.3">
      <c r="A469" t="s">
        <v>26</v>
      </c>
      <c r="B469" t="s">
        <v>48</v>
      </c>
      <c r="C469" t="s">
        <v>70</v>
      </c>
      <c r="D469">
        <v>21.5</v>
      </c>
      <c r="E469">
        <f>Tableau4[[#This Row],[Potential (PJ)]]*1000/3.6</f>
        <v>5972.2222222222217</v>
      </c>
      <c r="F469">
        <v>16.436800000000002</v>
      </c>
      <c r="G469">
        <f>Tableau4[[#This Row],[Cost (€/GJ)]]*3.6/1000</f>
        <v>5.9172480000000006E-2</v>
      </c>
      <c r="H469">
        <v>0</v>
      </c>
      <c r="I469">
        <f>Tableau4[[#This Row],[GHG (kgCO2eq/GJ)]]*3.6/1000</f>
        <v>0</v>
      </c>
      <c r="J469" t="s">
        <v>104</v>
      </c>
      <c r="K469" t="s">
        <v>109</v>
      </c>
    </row>
    <row r="470" spans="1:11" hidden="1" x14ac:dyDescent="0.3">
      <c r="A470" t="s">
        <v>26</v>
      </c>
      <c r="B470" t="s">
        <v>49</v>
      </c>
      <c r="C470" t="s">
        <v>71</v>
      </c>
      <c r="D470">
        <v>314.12153000000001</v>
      </c>
      <c r="E470">
        <f>Tableau4[[#This Row],[Potential (PJ)]]*1000/3.6</f>
        <v>87255.980555555565</v>
      </c>
      <c r="F470">
        <v>3.588284018163288</v>
      </c>
      <c r="G470">
        <f>Tableau4[[#This Row],[Cost (€/GJ)]]*3.6/1000</f>
        <v>1.2917822465387838E-2</v>
      </c>
      <c r="H470">
        <v>3.86607608129234</v>
      </c>
      <c r="I470">
        <f>Tableau4[[#This Row],[GHG (kgCO2eq/GJ)]]*3.6/1000</f>
        <v>1.3917873892652425E-2</v>
      </c>
      <c r="J470" t="s">
        <v>104</v>
      </c>
      <c r="K470" t="s">
        <v>108</v>
      </c>
    </row>
    <row r="471" spans="1:11" hidden="1" x14ac:dyDescent="0.3">
      <c r="A471" t="s">
        <v>26</v>
      </c>
      <c r="B471" t="s">
        <v>49</v>
      </c>
      <c r="C471" t="s">
        <v>72</v>
      </c>
      <c r="D471">
        <v>53.3</v>
      </c>
      <c r="E471">
        <f>Tableau4[[#This Row],[Potential (PJ)]]*1000/3.6</f>
        <v>14805.555555555555</v>
      </c>
      <c r="F471">
        <v>2.8891125703564731</v>
      </c>
      <c r="G471">
        <f>Tableau4[[#This Row],[Cost (€/GJ)]]*3.6/1000</f>
        <v>1.0400805253283303E-2</v>
      </c>
      <c r="H471">
        <v>3.86607608129234</v>
      </c>
      <c r="I471">
        <f>Tableau4[[#This Row],[GHG (kgCO2eq/GJ)]]*3.6/1000</f>
        <v>1.3917873892652425E-2</v>
      </c>
      <c r="J471" t="s">
        <v>104</v>
      </c>
      <c r="K471" t="s">
        <v>108</v>
      </c>
    </row>
    <row r="472" spans="1:11" hidden="1" x14ac:dyDescent="0.3">
      <c r="A472" t="s">
        <v>26</v>
      </c>
      <c r="B472" t="s">
        <v>58</v>
      </c>
      <c r="C472" t="s">
        <v>95</v>
      </c>
      <c r="D472">
        <v>34.129339999999999</v>
      </c>
      <c r="E472">
        <f>Tableau4[[#This Row],[Potential (PJ)]]*1000/3.6</f>
        <v>9480.3722222222204</v>
      </c>
      <c r="F472">
        <v>2.1709999999999998</v>
      </c>
      <c r="G472">
        <f>Tableau4[[#This Row],[Cost (€/GJ)]]*3.6/1000</f>
        <v>7.8156000000000007E-3</v>
      </c>
      <c r="H472">
        <v>2.9521711768407801</v>
      </c>
      <c r="I472">
        <f>Tableau4[[#This Row],[GHG (kgCO2eq/GJ)]]*3.6/1000</f>
        <v>1.0627816236626808E-2</v>
      </c>
      <c r="J472" t="s">
        <v>104</v>
      </c>
      <c r="K472" t="s">
        <v>108</v>
      </c>
    </row>
    <row r="473" spans="1:11" hidden="1" x14ac:dyDescent="0.3">
      <c r="A473" t="s">
        <v>26</v>
      </c>
      <c r="B473" t="s">
        <v>50</v>
      </c>
      <c r="C473" t="s">
        <v>73</v>
      </c>
      <c r="D473">
        <v>30.6</v>
      </c>
      <c r="E473">
        <f>Tableau4[[#This Row],[Potential (PJ)]]*1000/3.6</f>
        <v>8500</v>
      </c>
      <c r="F473">
        <v>5.8950882352941179</v>
      </c>
      <c r="G473">
        <f>Tableau4[[#This Row],[Cost (€/GJ)]]*3.6/1000</f>
        <v>2.1222317647058828E-2</v>
      </c>
      <c r="H473">
        <v>20.723404255319149</v>
      </c>
      <c r="I473">
        <f>Tableau4[[#This Row],[GHG (kgCO2eq/GJ)]]*3.6/1000</f>
        <v>7.4604255319148938E-2</v>
      </c>
      <c r="J473" t="s">
        <v>105</v>
      </c>
      <c r="K473" t="s">
        <v>108</v>
      </c>
    </row>
    <row r="474" spans="1:11" hidden="1" x14ac:dyDescent="0.3">
      <c r="A474" t="s">
        <v>26</v>
      </c>
      <c r="B474" t="s">
        <v>50</v>
      </c>
      <c r="C474" t="s">
        <v>74</v>
      </c>
      <c r="D474">
        <v>145.6</v>
      </c>
      <c r="E474">
        <f>Tableau4[[#This Row],[Potential (PJ)]]*1000/3.6</f>
        <v>40444.444444444445</v>
      </c>
      <c r="F474">
        <v>4.6729821428571423</v>
      </c>
      <c r="G474">
        <f>Tableau4[[#This Row],[Cost (€/GJ)]]*3.6/1000</f>
        <v>1.6822735714285712E-2</v>
      </c>
      <c r="H474">
        <v>2.0635593220338988</v>
      </c>
      <c r="I474">
        <f>Tableau4[[#This Row],[GHG (kgCO2eq/GJ)]]*3.6/1000</f>
        <v>7.428813559322036E-3</v>
      </c>
      <c r="J474" t="s">
        <v>105</v>
      </c>
      <c r="K474" t="s">
        <v>108</v>
      </c>
    </row>
    <row r="475" spans="1:11" hidden="1" x14ac:dyDescent="0.3">
      <c r="A475" t="s">
        <v>26</v>
      </c>
      <c r="B475" t="s">
        <v>59</v>
      </c>
      <c r="C475" t="s">
        <v>96</v>
      </c>
      <c r="D475">
        <v>1.1194</v>
      </c>
      <c r="E475">
        <f>Tableau4[[#This Row],[Potential (PJ)]]*1000/3.6</f>
        <v>310.9444444444444</v>
      </c>
      <c r="F475">
        <v>28.385000000000002</v>
      </c>
      <c r="G475">
        <f>Tableau4[[#This Row],[Cost (€/GJ)]]*3.6/1000</f>
        <v>0.10218600000000001</v>
      </c>
      <c r="H475">
        <v>17.7</v>
      </c>
      <c r="I475">
        <f>Tableau4[[#This Row],[GHG (kgCO2eq/GJ)]]*3.6/1000</f>
        <v>6.3719999999999999E-2</v>
      </c>
      <c r="J475" t="s">
        <v>107</v>
      </c>
      <c r="K475" t="s">
        <v>109</v>
      </c>
    </row>
    <row r="476" spans="1:11" hidden="1" x14ac:dyDescent="0.3">
      <c r="A476" t="s">
        <v>26</v>
      </c>
      <c r="B476" t="s">
        <v>59</v>
      </c>
      <c r="C476" t="s">
        <v>97</v>
      </c>
      <c r="D476">
        <v>1.5349999999999999</v>
      </c>
      <c r="E476">
        <f>Tableau4[[#This Row],[Potential (PJ)]]*1000/3.6</f>
        <v>426.38888888888886</v>
      </c>
      <c r="F476">
        <v>13.94465545306565</v>
      </c>
      <c r="G476">
        <f>Tableau4[[#This Row],[Cost (€/GJ)]]*3.6/1000</f>
        <v>5.0200759631036339E-2</v>
      </c>
      <c r="H476">
        <v>17.7</v>
      </c>
      <c r="I476">
        <f>Tableau4[[#This Row],[GHG (kgCO2eq/GJ)]]*3.6/1000</f>
        <v>6.3719999999999999E-2</v>
      </c>
      <c r="J476" t="s">
        <v>107</v>
      </c>
      <c r="K476" t="s">
        <v>109</v>
      </c>
    </row>
    <row r="477" spans="1:11" hidden="1" x14ac:dyDescent="0.3">
      <c r="A477" t="s">
        <v>26</v>
      </c>
      <c r="B477" t="s">
        <v>51</v>
      </c>
      <c r="C477" t="s">
        <v>75</v>
      </c>
      <c r="D477">
        <v>52.697830000000003</v>
      </c>
      <c r="E477">
        <f>Tableau4[[#This Row],[Potential (PJ)]]*1000/3.6</f>
        <v>14638.286111111111</v>
      </c>
      <c r="F477">
        <v>5.7050588900881098E-2</v>
      </c>
      <c r="G477">
        <f>Tableau4[[#This Row],[Cost (€/GJ)]]*3.6/1000</f>
        <v>2.0538212004317196E-4</v>
      </c>
      <c r="H477">
        <v>11.74</v>
      </c>
      <c r="I477">
        <f>Tableau4[[#This Row],[GHG (kgCO2eq/GJ)]]*3.6/1000</f>
        <v>4.2264000000000003E-2</v>
      </c>
      <c r="J477" t="s">
        <v>104</v>
      </c>
      <c r="K477" t="s">
        <v>108</v>
      </c>
    </row>
    <row r="478" spans="1:11" hidden="1" x14ac:dyDescent="0.3">
      <c r="A478" t="s">
        <v>26</v>
      </c>
      <c r="B478" t="s">
        <v>60</v>
      </c>
      <c r="C478" t="s">
        <v>98</v>
      </c>
      <c r="D478">
        <v>0.12745999999999999</v>
      </c>
      <c r="E478">
        <f>Tableau4[[#This Row],[Potential (PJ)]]*1000/3.6</f>
        <v>35.405555555555551</v>
      </c>
      <c r="F478">
        <v>10.79484425349087</v>
      </c>
      <c r="G478">
        <f>Tableau4[[#This Row],[Cost (€/GJ)]]*3.6/1000</f>
        <v>3.8861439312567136E-2</v>
      </c>
      <c r="H478">
        <v>39</v>
      </c>
      <c r="I478">
        <f>Tableau4[[#This Row],[GHG (kgCO2eq/GJ)]]*3.6/1000</f>
        <v>0.1404</v>
      </c>
      <c r="J478" t="s">
        <v>107</v>
      </c>
      <c r="K478" t="s">
        <v>109</v>
      </c>
    </row>
    <row r="479" spans="1:11" hidden="1" x14ac:dyDescent="0.3">
      <c r="A479" t="s">
        <v>26</v>
      </c>
      <c r="B479" t="s">
        <v>52</v>
      </c>
      <c r="C479" t="s">
        <v>76</v>
      </c>
      <c r="D479">
        <v>0.49</v>
      </c>
      <c r="E479">
        <f>Tableau4[[#This Row],[Potential (PJ)]]*1000/3.6</f>
        <v>136.11111111111111</v>
      </c>
      <c r="F479">
        <v>4.7567250000000003</v>
      </c>
      <c r="G479">
        <f>Tableau4[[#This Row],[Cost (€/GJ)]]*3.6/1000</f>
        <v>1.7124210000000001E-2</v>
      </c>
      <c r="H479">
        <v>12.68872359754714</v>
      </c>
      <c r="I479">
        <f>Tableau4[[#This Row],[GHG (kgCO2eq/GJ)]]*3.6/1000</f>
        <v>4.5679404951169705E-2</v>
      </c>
      <c r="J479" t="s">
        <v>105</v>
      </c>
      <c r="K479" t="s">
        <v>108</v>
      </c>
    </row>
    <row r="480" spans="1:11" hidden="1" x14ac:dyDescent="0.3">
      <c r="A480" t="s">
        <v>26</v>
      </c>
      <c r="B480" t="s">
        <v>53</v>
      </c>
      <c r="C480" t="s">
        <v>77</v>
      </c>
      <c r="D480">
        <v>20.2</v>
      </c>
      <c r="E480">
        <f>Tableau4[[#This Row],[Potential (PJ)]]*1000/3.6</f>
        <v>5611.1111111111113</v>
      </c>
      <c r="F480">
        <v>2.8904900990099009</v>
      </c>
      <c r="G480">
        <f>Tableau4[[#This Row],[Cost (€/GJ)]]*3.6/1000</f>
        <v>1.0405764356435643E-2</v>
      </c>
      <c r="H480">
        <v>3.86607608129234</v>
      </c>
      <c r="I480">
        <f>Tableau4[[#This Row],[GHG (kgCO2eq/GJ)]]*3.6/1000</f>
        <v>1.3917873892652425E-2</v>
      </c>
      <c r="J480" t="s">
        <v>104</v>
      </c>
      <c r="K480" t="s">
        <v>108</v>
      </c>
    </row>
    <row r="481" spans="1:11" hidden="1" x14ac:dyDescent="0.3">
      <c r="A481" t="s">
        <v>26</v>
      </c>
      <c r="B481" t="s">
        <v>61</v>
      </c>
      <c r="C481" t="s">
        <v>99</v>
      </c>
      <c r="D481">
        <v>24.5</v>
      </c>
      <c r="E481">
        <f>Tableau4[[#This Row],[Potential (PJ)]]*1000/3.6</f>
        <v>6805.5555555555557</v>
      </c>
      <c r="F481">
        <v>1.8407877551020411</v>
      </c>
      <c r="G481">
        <f>Tableau4[[#This Row],[Cost (€/GJ)]]*3.6/1000</f>
        <v>6.6268359183673485E-3</v>
      </c>
      <c r="H481">
        <v>2.9245635910224439</v>
      </c>
      <c r="I481">
        <f>Tableau4[[#This Row],[GHG (kgCO2eq/GJ)]]*3.6/1000</f>
        <v>1.0528428927680798E-2</v>
      </c>
      <c r="J481" t="s">
        <v>104</v>
      </c>
      <c r="K481" t="s">
        <v>108</v>
      </c>
    </row>
    <row r="482" spans="1:11" hidden="1" x14ac:dyDescent="0.3">
      <c r="A482" t="s">
        <v>26</v>
      </c>
      <c r="B482" t="s">
        <v>62</v>
      </c>
      <c r="C482" t="s">
        <v>100</v>
      </c>
      <c r="D482">
        <v>2.7</v>
      </c>
      <c r="E482">
        <f>Tableau4[[#This Row],[Potential (PJ)]]*1000/3.6</f>
        <v>750</v>
      </c>
      <c r="F482">
        <v>0.15185185185185179</v>
      </c>
      <c r="G482">
        <f>Tableau4[[#This Row],[Cost (€/GJ)]]*3.6/1000</f>
        <v>5.4666666666666655E-4</v>
      </c>
      <c r="H482">
        <v>2.6764106050305911</v>
      </c>
      <c r="I482">
        <f>Tableau4[[#This Row],[GHG (kgCO2eq/GJ)]]*3.6/1000</f>
        <v>9.6350781781101274E-3</v>
      </c>
      <c r="J482" t="s">
        <v>104</v>
      </c>
      <c r="K482" t="s">
        <v>108</v>
      </c>
    </row>
    <row r="483" spans="1:11" hidden="1" x14ac:dyDescent="0.3">
      <c r="A483" t="s">
        <v>26</v>
      </c>
      <c r="B483" t="s">
        <v>54</v>
      </c>
      <c r="C483" t="s">
        <v>78</v>
      </c>
      <c r="D483">
        <v>117.8</v>
      </c>
      <c r="E483">
        <f>Tableau4[[#This Row],[Potential (PJ)]]*1000/3.6</f>
        <v>32722.222222222223</v>
      </c>
      <c r="F483">
        <v>5.8396485568760603</v>
      </c>
      <c r="G483">
        <f>Tableau4[[#This Row],[Cost (€/GJ)]]*3.6/1000</f>
        <v>2.1022734804753817E-2</v>
      </c>
      <c r="H483">
        <v>3.86607608129234</v>
      </c>
      <c r="I483">
        <f>Tableau4[[#This Row],[GHG (kgCO2eq/GJ)]]*3.6/1000</f>
        <v>1.3917873892652425E-2</v>
      </c>
      <c r="J483" t="s">
        <v>104</v>
      </c>
      <c r="K483" t="s">
        <v>108</v>
      </c>
    </row>
    <row r="484" spans="1:11" hidden="1" x14ac:dyDescent="0.3">
      <c r="A484" t="s">
        <v>27</v>
      </c>
      <c r="B484" t="s">
        <v>46</v>
      </c>
      <c r="C484" t="s">
        <v>64</v>
      </c>
      <c r="D484">
        <v>3.3000000000000002E-2</v>
      </c>
      <c r="E484">
        <f>Tableau4[[#This Row],[Potential (PJ)]]*1000/3.6</f>
        <v>9.1666666666666661</v>
      </c>
      <c r="F484">
        <v>0</v>
      </c>
      <c r="G484">
        <f>Tableau4[[#This Row],[Cost (€/GJ)]]*3.6/1000</f>
        <v>0</v>
      </c>
      <c r="H484">
        <v>2.9521711768407801</v>
      </c>
      <c r="I484">
        <f>Tableau4[[#This Row],[GHG (kgCO2eq/GJ)]]*3.6/1000</f>
        <v>1.0627816236626808E-2</v>
      </c>
      <c r="J484" t="s">
        <v>104</v>
      </c>
      <c r="K484" t="s">
        <v>108</v>
      </c>
    </row>
    <row r="485" spans="1:11" hidden="1" x14ac:dyDescent="0.3">
      <c r="A485" t="s">
        <v>27</v>
      </c>
      <c r="B485" t="s">
        <v>46</v>
      </c>
      <c r="C485" t="s">
        <v>79</v>
      </c>
      <c r="D485">
        <v>21.9</v>
      </c>
      <c r="E485">
        <f>Tableau4[[#This Row],[Potential (PJ)]]*1000/3.6</f>
        <v>6083.333333333333</v>
      </c>
      <c r="F485">
        <v>0</v>
      </c>
      <c r="G485">
        <f>Tableau4[[#This Row],[Cost (€/GJ)]]*3.6/1000</f>
        <v>0</v>
      </c>
      <c r="H485">
        <v>6.8428961748633883</v>
      </c>
      <c r="I485">
        <f>Tableau4[[#This Row],[GHG (kgCO2eq/GJ)]]*3.6/1000</f>
        <v>2.4634426229508198E-2</v>
      </c>
      <c r="J485" t="s">
        <v>104</v>
      </c>
      <c r="K485" t="s">
        <v>108</v>
      </c>
    </row>
    <row r="486" spans="1:11" hidden="1" x14ac:dyDescent="0.3">
      <c r="A486" t="s">
        <v>27</v>
      </c>
      <c r="B486" t="s">
        <v>46</v>
      </c>
      <c r="C486" t="s">
        <v>65</v>
      </c>
      <c r="D486">
        <v>0.1</v>
      </c>
      <c r="E486">
        <f>Tableau4[[#This Row],[Potential (PJ)]]*1000/3.6</f>
        <v>27.777777777777779</v>
      </c>
      <c r="F486">
        <v>0</v>
      </c>
      <c r="G486">
        <f>Tableau4[[#This Row],[Cost (€/GJ)]]*3.6/1000</f>
        <v>0</v>
      </c>
      <c r="H486">
        <v>2.9521711768407801</v>
      </c>
      <c r="I486">
        <f>Tableau4[[#This Row],[GHG (kgCO2eq/GJ)]]*3.6/1000</f>
        <v>1.0627816236626808E-2</v>
      </c>
      <c r="J486" t="s">
        <v>104</v>
      </c>
      <c r="K486" t="s">
        <v>108</v>
      </c>
    </row>
    <row r="487" spans="1:11" hidden="1" x14ac:dyDescent="0.3">
      <c r="A487" t="s">
        <v>27</v>
      </c>
      <c r="B487" t="s">
        <v>46</v>
      </c>
      <c r="C487" t="s">
        <v>80</v>
      </c>
      <c r="D487">
        <v>1.6400000000000001E-2</v>
      </c>
      <c r="E487">
        <f>Tableau4[[#This Row],[Potential (PJ)]]*1000/3.6</f>
        <v>4.5555555555555562</v>
      </c>
      <c r="F487">
        <v>0.25084288604180721</v>
      </c>
      <c r="G487">
        <f>Tableau4[[#This Row],[Cost (€/GJ)]]*3.6/1000</f>
        <v>9.03034389750506E-4</v>
      </c>
      <c r="H487">
        <v>28.139870918023309</v>
      </c>
      <c r="I487">
        <f>Tableau4[[#This Row],[GHG (kgCO2eq/GJ)]]*3.6/1000</f>
        <v>0.10130353530488391</v>
      </c>
      <c r="J487" t="s">
        <v>105</v>
      </c>
      <c r="K487" t="s">
        <v>108</v>
      </c>
    </row>
    <row r="488" spans="1:11" hidden="1" x14ac:dyDescent="0.3">
      <c r="A488" t="s">
        <v>27</v>
      </c>
      <c r="B488" t="s">
        <v>46</v>
      </c>
      <c r="C488" t="s">
        <v>81</v>
      </c>
      <c r="D488">
        <v>1.4E-3</v>
      </c>
      <c r="E488">
        <f>Tableau4[[#This Row],[Potential (PJ)]]*1000/3.6</f>
        <v>0.38888888888888884</v>
      </c>
      <c r="F488">
        <v>1.663924794359577</v>
      </c>
      <c r="G488">
        <f>Tableau4[[#This Row],[Cost (€/GJ)]]*3.6/1000</f>
        <v>5.9901292596944771E-3</v>
      </c>
      <c r="H488">
        <v>8.9647473560517046</v>
      </c>
      <c r="I488">
        <f>Tableau4[[#This Row],[GHG (kgCO2eq/GJ)]]*3.6/1000</f>
        <v>3.2273090481786136E-2</v>
      </c>
      <c r="J488" t="s">
        <v>105</v>
      </c>
      <c r="K488" t="s">
        <v>108</v>
      </c>
    </row>
    <row r="489" spans="1:11" hidden="1" x14ac:dyDescent="0.3">
      <c r="A489" t="s">
        <v>27</v>
      </c>
      <c r="B489" t="s">
        <v>46</v>
      </c>
      <c r="C489" t="s">
        <v>66</v>
      </c>
      <c r="D489">
        <v>0.6</v>
      </c>
      <c r="E489">
        <f>Tableau4[[#This Row],[Potential (PJ)]]*1000/3.6</f>
        <v>166.66666666666666</v>
      </c>
      <c r="F489">
        <v>2.0070000000000001</v>
      </c>
      <c r="G489">
        <f>Tableau4[[#This Row],[Cost (€/GJ)]]*3.6/1000</f>
        <v>7.2252000000000011E-3</v>
      </c>
      <c r="H489">
        <v>6.8428961748633883</v>
      </c>
      <c r="I489">
        <f>Tableau4[[#This Row],[GHG (kgCO2eq/GJ)]]*3.6/1000</f>
        <v>2.4634426229508198E-2</v>
      </c>
      <c r="J489" t="s">
        <v>104</v>
      </c>
      <c r="K489" t="s">
        <v>108</v>
      </c>
    </row>
    <row r="490" spans="1:11" hidden="1" x14ac:dyDescent="0.3">
      <c r="A490" t="s">
        <v>27</v>
      </c>
      <c r="B490" t="s">
        <v>46</v>
      </c>
      <c r="C490" t="s">
        <v>82</v>
      </c>
      <c r="D490">
        <v>1</v>
      </c>
      <c r="E490">
        <f>Tableau4[[#This Row],[Potential (PJ)]]*1000/3.6</f>
        <v>277.77777777777777</v>
      </c>
      <c r="F490">
        <v>1.37</v>
      </c>
      <c r="G490">
        <f>Tableau4[[#This Row],[Cost (€/GJ)]]*3.6/1000</f>
        <v>4.9320000000000006E-3</v>
      </c>
      <c r="H490">
        <v>6.8428961748633883</v>
      </c>
      <c r="I490">
        <f>Tableau4[[#This Row],[GHG (kgCO2eq/GJ)]]*3.6/1000</f>
        <v>2.4634426229508198E-2</v>
      </c>
      <c r="J490" t="s">
        <v>104</v>
      </c>
      <c r="K490" t="s">
        <v>108</v>
      </c>
    </row>
    <row r="491" spans="1:11" hidden="1" x14ac:dyDescent="0.3">
      <c r="A491" t="s">
        <v>27</v>
      </c>
      <c r="B491" t="s">
        <v>46</v>
      </c>
      <c r="C491" t="s">
        <v>84</v>
      </c>
      <c r="D491">
        <v>0.6</v>
      </c>
      <c r="E491">
        <f>Tableau4[[#This Row],[Potential (PJ)]]*1000/3.6</f>
        <v>166.66666666666666</v>
      </c>
      <c r="F491">
        <v>1.2989999999999999</v>
      </c>
      <c r="G491">
        <f>Tableau4[[#This Row],[Cost (€/GJ)]]*3.6/1000</f>
        <v>4.6763999999999998E-3</v>
      </c>
      <c r="H491">
        <v>28.139870918023309</v>
      </c>
      <c r="I491">
        <f>Tableau4[[#This Row],[GHG (kgCO2eq/GJ)]]*3.6/1000</f>
        <v>0.10130353530488391</v>
      </c>
      <c r="J491" t="s">
        <v>105</v>
      </c>
      <c r="K491" t="s">
        <v>108</v>
      </c>
    </row>
    <row r="492" spans="1:11" hidden="1" x14ac:dyDescent="0.3">
      <c r="A492" t="s">
        <v>27</v>
      </c>
      <c r="B492" t="s">
        <v>55</v>
      </c>
      <c r="C492" t="s">
        <v>86</v>
      </c>
      <c r="D492">
        <v>3.677</v>
      </c>
      <c r="E492">
        <f>Tableau4[[#This Row],[Potential (PJ)]]*1000/3.6</f>
        <v>1021.3888888888889</v>
      </c>
      <c r="F492">
        <v>15.141</v>
      </c>
      <c r="G492">
        <f>Tableau4[[#This Row],[Cost (€/GJ)]]*3.6/1000</f>
        <v>5.4507600000000003E-2</v>
      </c>
      <c r="H492">
        <v>6.5</v>
      </c>
      <c r="I492">
        <f>Tableau4[[#This Row],[GHG (kgCO2eq/GJ)]]*3.6/1000</f>
        <v>2.3400000000000001E-2</v>
      </c>
      <c r="J492" t="s">
        <v>106</v>
      </c>
      <c r="K492" t="s">
        <v>109</v>
      </c>
    </row>
    <row r="493" spans="1:11" hidden="1" x14ac:dyDescent="0.3">
      <c r="A493" t="s">
        <v>27</v>
      </c>
      <c r="B493" t="s">
        <v>55</v>
      </c>
      <c r="C493" t="s">
        <v>88</v>
      </c>
      <c r="D493">
        <v>1.5855999999999999</v>
      </c>
      <c r="E493">
        <f>Tableau4[[#This Row],[Potential (PJ)]]*1000/3.6</f>
        <v>440.4444444444444</v>
      </c>
      <c r="F493">
        <v>19.756</v>
      </c>
      <c r="G493">
        <f>Tableau4[[#This Row],[Cost (€/GJ)]]*3.6/1000</f>
        <v>7.1121600000000007E-2</v>
      </c>
      <c r="H493">
        <v>6.5</v>
      </c>
      <c r="I493">
        <f>Tableau4[[#This Row],[GHG (kgCO2eq/GJ)]]*3.6/1000</f>
        <v>2.3400000000000001E-2</v>
      </c>
      <c r="J493" t="s">
        <v>106</v>
      </c>
      <c r="K493" t="s">
        <v>109</v>
      </c>
    </row>
    <row r="494" spans="1:11" hidden="1" x14ac:dyDescent="0.3">
      <c r="A494" t="s">
        <v>27</v>
      </c>
      <c r="B494" t="s">
        <v>55</v>
      </c>
      <c r="C494" t="s">
        <v>89</v>
      </c>
      <c r="D494">
        <v>2.6499999999999999E-2</v>
      </c>
      <c r="E494">
        <f>Tableau4[[#This Row],[Potential (PJ)]]*1000/3.6</f>
        <v>7.3611111111111107</v>
      </c>
      <c r="F494">
        <v>0</v>
      </c>
      <c r="G494">
        <f>Tableau4[[#This Row],[Cost (€/GJ)]]*3.6/1000</f>
        <v>0</v>
      </c>
      <c r="H494">
        <v>6.5</v>
      </c>
      <c r="I494">
        <f>Tableau4[[#This Row],[GHG (kgCO2eq/GJ)]]*3.6/1000</f>
        <v>2.3400000000000001E-2</v>
      </c>
      <c r="J494" t="s">
        <v>106</v>
      </c>
      <c r="K494" t="s">
        <v>109</v>
      </c>
    </row>
    <row r="495" spans="1:11" hidden="1" x14ac:dyDescent="0.3">
      <c r="A495" t="s">
        <v>27</v>
      </c>
      <c r="B495" t="s">
        <v>55</v>
      </c>
      <c r="C495" t="s">
        <v>90</v>
      </c>
      <c r="D495">
        <v>5.4421999999999997</v>
      </c>
      <c r="E495">
        <f>Tableau4[[#This Row],[Potential (PJ)]]*1000/3.6</f>
        <v>1511.7222222222222</v>
      </c>
      <c r="F495">
        <v>12.864000000000001</v>
      </c>
      <c r="G495">
        <f>Tableau4[[#This Row],[Cost (€/GJ)]]*3.6/1000</f>
        <v>4.6310400000000002E-2</v>
      </c>
      <c r="H495">
        <v>6.5</v>
      </c>
      <c r="I495">
        <f>Tableau4[[#This Row],[GHG (kgCO2eq/GJ)]]*3.6/1000</f>
        <v>2.3400000000000001E-2</v>
      </c>
      <c r="J495" t="s">
        <v>106</v>
      </c>
      <c r="K495" t="s">
        <v>109</v>
      </c>
    </row>
    <row r="496" spans="1:11" hidden="1" x14ac:dyDescent="0.3">
      <c r="A496" t="s">
        <v>27</v>
      </c>
      <c r="B496" t="s">
        <v>55</v>
      </c>
      <c r="C496" t="s">
        <v>91</v>
      </c>
      <c r="D496">
        <v>1.3509</v>
      </c>
      <c r="E496">
        <f>Tableau4[[#This Row],[Potential (PJ)]]*1000/3.6</f>
        <v>375.25</v>
      </c>
      <c r="F496">
        <v>12.228</v>
      </c>
      <c r="G496">
        <f>Tableau4[[#This Row],[Cost (€/GJ)]]*3.6/1000</f>
        <v>4.4020799999999999E-2</v>
      </c>
      <c r="H496">
        <v>6.5</v>
      </c>
      <c r="I496">
        <f>Tableau4[[#This Row],[GHG (kgCO2eq/GJ)]]*3.6/1000</f>
        <v>2.3400000000000001E-2</v>
      </c>
      <c r="J496" t="s">
        <v>106</v>
      </c>
      <c r="K496" t="s">
        <v>109</v>
      </c>
    </row>
    <row r="497" spans="1:11" hidden="1" x14ac:dyDescent="0.3">
      <c r="A497" t="s">
        <v>27</v>
      </c>
      <c r="B497" t="s">
        <v>55</v>
      </c>
      <c r="C497" t="s">
        <v>92</v>
      </c>
      <c r="D497">
        <v>1.58128</v>
      </c>
      <c r="E497">
        <f>Tableau4[[#This Row],[Potential (PJ)]]*1000/3.6</f>
        <v>439.24444444444441</v>
      </c>
      <c r="F497">
        <v>16.170000000000002</v>
      </c>
      <c r="G497">
        <f>Tableau4[[#This Row],[Cost (€/GJ)]]*3.6/1000</f>
        <v>5.8212000000000014E-2</v>
      </c>
      <c r="H497">
        <v>6.5</v>
      </c>
      <c r="I497">
        <f>Tableau4[[#This Row],[GHG (kgCO2eq/GJ)]]*3.6/1000</f>
        <v>2.3400000000000001E-2</v>
      </c>
      <c r="J497" t="s">
        <v>106</v>
      </c>
      <c r="K497" t="s">
        <v>109</v>
      </c>
    </row>
    <row r="498" spans="1:11" hidden="1" x14ac:dyDescent="0.3">
      <c r="A498" t="s">
        <v>27</v>
      </c>
      <c r="B498" t="s">
        <v>56</v>
      </c>
      <c r="C498" t="s">
        <v>93</v>
      </c>
      <c r="D498">
        <v>45.798200000000001</v>
      </c>
      <c r="E498">
        <f>Tableau4[[#This Row],[Potential (PJ)]]*1000/3.6</f>
        <v>12721.722222222223</v>
      </c>
      <c r="F498">
        <v>2.9493975903614462</v>
      </c>
      <c r="G498">
        <f>Tableau4[[#This Row],[Cost (€/GJ)]]*3.6/1000</f>
        <v>1.0617831325301207E-2</v>
      </c>
      <c r="H498">
        <v>18.3</v>
      </c>
      <c r="I498">
        <f>Tableau4[[#This Row],[GHG (kgCO2eq/GJ)]]*3.6/1000</f>
        <v>6.5880000000000008E-2</v>
      </c>
      <c r="J498" t="s">
        <v>106</v>
      </c>
      <c r="K498" t="s">
        <v>109</v>
      </c>
    </row>
    <row r="499" spans="1:11" hidden="1" x14ac:dyDescent="0.3">
      <c r="A499" t="s">
        <v>27</v>
      </c>
      <c r="B499" t="s">
        <v>47</v>
      </c>
      <c r="C499" t="s">
        <v>101</v>
      </c>
      <c r="D499">
        <v>17.100000000000001</v>
      </c>
      <c r="E499">
        <f>Tableau4[[#This Row],[Potential (PJ)]]*1000/3.6</f>
        <v>4750</v>
      </c>
      <c r="F499">
        <v>2.5990000000000002</v>
      </c>
      <c r="G499">
        <f>Tableau4[[#This Row],[Cost (€/GJ)]]*3.6/1000</f>
        <v>9.3564000000000008E-3</v>
      </c>
      <c r="H499">
        <v>44</v>
      </c>
      <c r="I499">
        <f>Tableau4[[#This Row],[GHG (kgCO2eq/GJ)]]*3.6/1000</f>
        <v>0.15840000000000001</v>
      </c>
      <c r="J499" t="s">
        <v>104</v>
      </c>
      <c r="K499" t="s">
        <v>109</v>
      </c>
    </row>
    <row r="500" spans="1:11" hidden="1" x14ac:dyDescent="0.3">
      <c r="A500" t="s">
        <v>27</v>
      </c>
      <c r="B500" t="s">
        <v>57</v>
      </c>
      <c r="C500" t="s">
        <v>94</v>
      </c>
      <c r="D500">
        <v>10.1</v>
      </c>
      <c r="E500">
        <f>Tableau4[[#This Row],[Potential (PJ)]]*1000/3.6</f>
        <v>2805.5555555555557</v>
      </c>
      <c r="F500">
        <v>7.8599999999999994</v>
      </c>
      <c r="G500">
        <f>Tableau4[[#This Row],[Cost (€/GJ)]]*3.6/1000</f>
        <v>2.8295999999999998E-2</v>
      </c>
      <c r="H500">
        <v>19.899999999999999</v>
      </c>
      <c r="I500">
        <f>Tableau4[[#This Row],[GHG (kgCO2eq/GJ)]]*3.6/1000</f>
        <v>7.1639999999999995E-2</v>
      </c>
      <c r="J500" t="s">
        <v>104</v>
      </c>
      <c r="K500" t="s">
        <v>109</v>
      </c>
    </row>
    <row r="501" spans="1:11" hidden="1" x14ac:dyDescent="0.3">
      <c r="A501" t="s">
        <v>27</v>
      </c>
      <c r="B501" t="s">
        <v>49</v>
      </c>
      <c r="C501" t="s">
        <v>71</v>
      </c>
      <c r="D501">
        <v>76.366370000000003</v>
      </c>
      <c r="E501">
        <f>Tableau4[[#This Row],[Potential (PJ)]]*1000/3.6</f>
        <v>21212.880555555559</v>
      </c>
      <c r="F501">
        <v>0</v>
      </c>
      <c r="G501">
        <f>Tableau4[[#This Row],[Cost (€/GJ)]]*3.6/1000</f>
        <v>0</v>
      </c>
      <c r="H501">
        <v>3.86607608129234</v>
      </c>
      <c r="I501">
        <f>Tableau4[[#This Row],[GHG (kgCO2eq/GJ)]]*3.6/1000</f>
        <v>1.3917873892652425E-2</v>
      </c>
      <c r="J501" t="s">
        <v>104</v>
      </c>
      <c r="K501" t="s">
        <v>108</v>
      </c>
    </row>
    <row r="502" spans="1:11" hidden="1" x14ac:dyDescent="0.3">
      <c r="A502" t="s">
        <v>27</v>
      </c>
      <c r="B502" t="s">
        <v>49</v>
      </c>
      <c r="C502" t="s">
        <v>72</v>
      </c>
      <c r="D502">
        <v>11.7</v>
      </c>
      <c r="E502">
        <f>Tableau4[[#This Row],[Potential (PJ)]]*1000/3.6</f>
        <v>3250</v>
      </c>
      <c r="F502">
        <v>0</v>
      </c>
      <c r="G502">
        <f>Tableau4[[#This Row],[Cost (€/GJ)]]*3.6/1000</f>
        <v>0</v>
      </c>
      <c r="H502">
        <v>3.86607608129234</v>
      </c>
      <c r="I502">
        <f>Tableau4[[#This Row],[GHG (kgCO2eq/GJ)]]*3.6/1000</f>
        <v>1.3917873892652425E-2</v>
      </c>
      <c r="J502" t="s">
        <v>104</v>
      </c>
      <c r="K502" t="s">
        <v>108</v>
      </c>
    </row>
    <row r="503" spans="1:11" hidden="1" x14ac:dyDescent="0.3">
      <c r="A503" t="s">
        <v>27</v>
      </c>
      <c r="B503" t="s">
        <v>58</v>
      </c>
      <c r="C503" t="s">
        <v>95</v>
      </c>
      <c r="D503">
        <v>9.7215600000000002</v>
      </c>
      <c r="E503">
        <f>Tableau4[[#This Row],[Potential (PJ)]]*1000/3.6</f>
        <v>2700.4333333333329</v>
      </c>
      <c r="F503">
        <v>2.1709999999999998</v>
      </c>
      <c r="G503">
        <f>Tableau4[[#This Row],[Cost (€/GJ)]]*3.6/1000</f>
        <v>7.8156000000000007E-3</v>
      </c>
      <c r="H503">
        <v>2.9521711768407801</v>
      </c>
      <c r="I503">
        <f>Tableau4[[#This Row],[GHG (kgCO2eq/GJ)]]*3.6/1000</f>
        <v>1.0627816236626808E-2</v>
      </c>
      <c r="J503" t="s">
        <v>104</v>
      </c>
      <c r="K503" t="s">
        <v>108</v>
      </c>
    </row>
    <row r="504" spans="1:11" hidden="1" x14ac:dyDescent="0.3">
      <c r="A504" t="s">
        <v>27</v>
      </c>
      <c r="B504" t="s">
        <v>50</v>
      </c>
      <c r="C504" t="s">
        <v>73</v>
      </c>
      <c r="D504">
        <v>2.2000000000000002</v>
      </c>
      <c r="E504">
        <f>Tableau4[[#This Row],[Potential (PJ)]]*1000/3.6</f>
        <v>611.11111111111109</v>
      </c>
      <c r="F504">
        <v>4.976</v>
      </c>
      <c r="G504">
        <f>Tableau4[[#This Row],[Cost (€/GJ)]]*3.6/1000</f>
        <v>1.7913599999999998E-2</v>
      </c>
      <c r="H504">
        <v>20.723404255319149</v>
      </c>
      <c r="I504">
        <f>Tableau4[[#This Row],[GHG (kgCO2eq/GJ)]]*3.6/1000</f>
        <v>7.4604255319148938E-2</v>
      </c>
      <c r="J504" t="s">
        <v>105</v>
      </c>
      <c r="K504" t="s">
        <v>108</v>
      </c>
    </row>
    <row r="505" spans="1:11" hidden="1" x14ac:dyDescent="0.3">
      <c r="A505" t="s">
        <v>27</v>
      </c>
      <c r="B505" t="s">
        <v>50</v>
      </c>
      <c r="C505" t="s">
        <v>74</v>
      </c>
      <c r="D505">
        <v>16.3</v>
      </c>
      <c r="E505">
        <f>Tableau4[[#This Row],[Potential (PJ)]]*1000/3.6</f>
        <v>4527.7777777777774</v>
      </c>
      <c r="F505">
        <v>3.8050000000000002</v>
      </c>
      <c r="G505">
        <f>Tableau4[[#This Row],[Cost (€/GJ)]]*3.6/1000</f>
        <v>1.3698E-2</v>
      </c>
      <c r="H505">
        <v>2.0635593220338988</v>
      </c>
      <c r="I505">
        <f>Tableau4[[#This Row],[GHG (kgCO2eq/GJ)]]*3.6/1000</f>
        <v>7.428813559322036E-3</v>
      </c>
      <c r="J505" t="s">
        <v>105</v>
      </c>
      <c r="K505" t="s">
        <v>108</v>
      </c>
    </row>
    <row r="506" spans="1:11" hidden="1" x14ac:dyDescent="0.3">
      <c r="A506" t="s">
        <v>27</v>
      </c>
      <c r="B506" t="s">
        <v>51</v>
      </c>
      <c r="C506" t="s">
        <v>75</v>
      </c>
      <c r="D506">
        <v>1.931362</v>
      </c>
      <c r="E506">
        <f>Tableau4[[#This Row],[Potential (PJ)]]*1000/3.6</f>
        <v>536.48944444444442</v>
      </c>
      <c r="F506">
        <v>2.8685590059143201E-2</v>
      </c>
      <c r="G506">
        <f>Tableau4[[#This Row],[Cost (€/GJ)]]*3.6/1000</f>
        <v>1.0326812421291552E-4</v>
      </c>
      <c r="H506">
        <v>11.74</v>
      </c>
      <c r="I506">
        <f>Tableau4[[#This Row],[GHG (kgCO2eq/GJ)]]*3.6/1000</f>
        <v>4.2264000000000003E-2</v>
      </c>
      <c r="J506" t="s">
        <v>104</v>
      </c>
      <c r="K506" t="s">
        <v>108</v>
      </c>
    </row>
    <row r="507" spans="1:11" hidden="1" x14ac:dyDescent="0.3">
      <c r="A507" t="s">
        <v>27</v>
      </c>
      <c r="B507" t="s">
        <v>60</v>
      </c>
      <c r="C507" t="s">
        <v>98</v>
      </c>
      <c r="D507">
        <v>0.73670000000000002</v>
      </c>
      <c r="E507">
        <f>Tableau4[[#This Row],[Potential (PJ)]]*1000/3.6</f>
        <v>204.63888888888889</v>
      </c>
      <c r="F507">
        <v>16.809881847475829</v>
      </c>
      <c r="G507">
        <f>Tableau4[[#This Row],[Cost (€/GJ)]]*3.6/1000</f>
        <v>6.0515574650912986E-2</v>
      </c>
      <c r="H507">
        <v>26.9</v>
      </c>
      <c r="I507">
        <f>Tableau4[[#This Row],[GHG (kgCO2eq/GJ)]]*3.6/1000</f>
        <v>9.6840000000000009E-2</v>
      </c>
      <c r="J507" t="s">
        <v>107</v>
      </c>
      <c r="K507" t="s">
        <v>109</v>
      </c>
    </row>
    <row r="508" spans="1:11" hidden="1" x14ac:dyDescent="0.3">
      <c r="A508" t="s">
        <v>27</v>
      </c>
      <c r="B508" t="s">
        <v>52</v>
      </c>
      <c r="C508" t="s">
        <v>76</v>
      </c>
      <c r="D508">
        <v>1E-3</v>
      </c>
      <c r="E508">
        <f>Tableau4[[#This Row],[Potential (PJ)]]*1000/3.6</f>
        <v>0.27777777777777779</v>
      </c>
      <c r="F508">
        <v>4.7567250000000003</v>
      </c>
      <c r="G508">
        <f>Tableau4[[#This Row],[Cost (€/GJ)]]*3.6/1000</f>
        <v>1.7124210000000001E-2</v>
      </c>
      <c r="H508">
        <v>12.68872359754714</v>
      </c>
      <c r="I508">
        <f>Tableau4[[#This Row],[GHG (kgCO2eq/GJ)]]*3.6/1000</f>
        <v>4.5679404951169705E-2</v>
      </c>
      <c r="J508" t="s">
        <v>105</v>
      </c>
      <c r="K508" t="s">
        <v>108</v>
      </c>
    </row>
    <row r="509" spans="1:11" hidden="1" x14ac:dyDescent="0.3">
      <c r="A509" t="s">
        <v>27</v>
      </c>
      <c r="B509" t="s">
        <v>53</v>
      </c>
      <c r="C509" t="s">
        <v>77</v>
      </c>
      <c r="D509">
        <v>5.6</v>
      </c>
      <c r="E509">
        <f>Tableau4[[#This Row],[Potential (PJ)]]*1000/3.6</f>
        <v>1555.5555555555554</v>
      </c>
      <c r="F509">
        <v>0</v>
      </c>
      <c r="G509">
        <f>Tableau4[[#This Row],[Cost (€/GJ)]]*3.6/1000</f>
        <v>0</v>
      </c>
      <c r="H509">
        <v>3.86607608129234</v>
      </c>
      <c r="I509">
        <f>Tableau4[[#This Row],[GHG (kgCO2eq/GJ)]]*3.6/1000</f>
        <v>1.3917873892652425E-2</v>
      </c>
      <c r="J509" t="s">
        <v>104</v>
      </c>
      <c r="K509" t="s">
        <v>108</v>
      </c>
    </row>
    <row r="510" spans="1:11" hidden="1" x14ac:dyDescent="0.3">
      <c r="A510" t="s">
        <v>27</v>
      </c>
      <c r="B510" t="s">
        <v>61</v>
      </c>
      <c r="C510" t="s">
        <v>99</v>
      </c>
      <c r="D510">
        <v>9.4</v>
      </c>
      <c r="E510">
        <f>Tableau4[[#This Row],[Potential (PJ)]]*1000/3.6</f>
        <v>2611.1111111111109</v>
      </c>
      <c r="F510">
        <v>0</v>
      </c>
      <c r="G510">
        <f>Tableau4[[#This Row],[Cost (€/GJ)]]*3.6/1000</f>
        <v>0</v>
      </c>
      <c r="H510">
        <v>2.9245635910224439</v>
      </c>
      <c r="I510">
        <f>Tableau4[[#This Row],[GHG (kgCO2eq/GJ)]]*3.6/1000</f>
        <v>1.0528428927680798E-2</v>
      </c>
      <c r="J510" t="s">
        <v>104</v>
      </c>
      <c r="K510" t="s">
        <v>108</v>
      </c>
    </row>
    <row r="511" spans="1:11" hidden="1" x14ac:dyDescent="0.3">
      <c r="A511" t="s">
        <v>27</v>
      </c>
      <c r="B511" t="s">
        <v>62</v>
      </c>
      <c r="C511" t="s">
        <v>100</v>
      </c>
      <c r="D511">
        <v>3.8</v>
      </c>
      <c r="E511">
        <f>Tableau4[[#This Row],[Potential (PJ)]]*1000/3.6</f>
        <v>1055.5555555555554</v>
      </c>
      <c r="F511">
        <v>1.2</v>
      </c>
      <c r="G511">
        <f>Tableau4[[#This Row],[Cost (€/GJ)]]*3.6/1000</f>
        <v>4.3200000000000001E-3</v>
      </c>
      <c r="H511">
        <v>2.6764106050305911</v>
      </c>
      <c r="I511">
        <f>Tableau4[[#This Row],[GHG (kgCO2eq/GJ)]]*3.6/1000</f>
        <v>9.6350781781101274E-3</v>
      </c>
      <c r="J511" t="s">
        <v>104</v>
      </c>
      <c r="K511" t="s">
        <v>108</v>
      </c>
    </row>
    <row r="512" spans="1:11" hidden="1" x14ac:dyDescent="0.3">
      <c r="A512" t="s">
        <v>27</v>
      </c>
      <c r="B512" t="s">
        <v>54</v>
      </c>
      <c r="C512" t="s">
        <v>78</v>
      </c>
      <c r="D512">
        <v>36.5</v>
      </c>
      <c r="E512">
        <f>Tableau4[[#This Row],[Potential (PJ)]]*1000/3.6</f>
        <v>10138.888888888889</v>
      </c>
      <c r="F512">
        <v>0</v>
      </c>
      <c r="G512">
        <f>Tableau4[[#This Row],[Cost (€/GJ)]]*3.6/1000</f>
        <v>0</v>
      </c>
      <c r="H512">
        <v>3.86607608129234</v>
      </c>
      <c r="I512">
        <f>Tableau4[[#This Row],[GHG (kgCO2eq/GJ)]]*3.6/1000</f>
        <v>1.3917873892652425E-2</v>
      </c>
      <c r="J512" t="s">
        <v>104</v>
      </c>
      <c r="K512" t="s">
        <v>108</v>
      </c>
    </row>
    <row r="513" spans="1:11" hidden="1" x14ac:dyDescent="0.3">
      <c r="A513" t="s">
        <v>28</v>
      </c>
      <c r="B513" t="s">
        <v>46</v>
      </c>
      <c r="C513" t="s">
        <v>103</v>
      </c>
      <c r="D513">
        <v>0.79300000000000004</v>
      </c>
      <c r="E513">
        <f>Tableau4[[#This Row],[Potential (PJ)]]*1000/3.6</f>
        <v>220.27777777777777</v>
      </c>
      <c r="F513">
        <v>0</v>
      </c>
      <c r="G513">
        <f>Tableau4[[#This Row],[Cost (€/GJ)]]*3.6/1000</f>
        <v>0</v>
      </c>
      <c r="I513">
        <f>Tableau4[[#This Row],[GHG (kgCO2eq/GJ)]]*3.6/1000</f>
        <v>0</v>
      </c>
    </row>
    <row r="514" spans="1:11" hidden="1" x14ac:dyDescent="0.3">
      <c r="A514" t="s">
        <v>28</v>
      </c>
      <c r="B514" t="s">
        <v>46</v>
      </c>
      <c r="C514" t="s">
        <v>80</v>
      </c>
      <c r="D514">
        <v>9.7999999999999997E-3</v>
      </c>
      <c r="E514">
        <f>Tableau4[[#This Row],[Potential (PJ)]]*1000/3.6</f>
        <v>2.7222222222222219</v>
      </c>
      <c r="F514">
        <v>0</v>
      </c>
      <c r="G514">
        <f>Tableau4[[#This Row],[Cost (€/GJ)]]*3.6/1000</f>
        <v>0</v>
      </c>
      <c r="H514">
        <v>28.139870918023309</v>
      </c>
      <c r="I514">
        <f>Tableau4[[#This Row],[GHG (kgCO2eq/GJ)]]*3.6/1000</f>
        <v>0.10130353530488391</v>
      </c>
      <c r="J514" t="s">
        <v>105</v>
      </c>
      <c r="K514" t="s">
        <v>108</v>
      </c>
    </row>
    <row r="515" spans="1:11" hidden="1" x14ac:dyDescent="0.3">
      <c r="A515" t="s">
        <v>28</v>
      </c>
      <c r="B515" t="s">
        <v>46</v>
      </c>
      <c r="C515" t="s">
        <v>81</v>
      </c>
      <c r="D515">
        <v>2.86E-2</v>
      </c>
      <c r="E515">
        <f>Tableau4[[#This Row],[Potential (PJ)]]*1000/3.6</f>
        <v>7.9444444444444446</v>
      </c>
      <c r="F515">
        <v>0</v>
      </c>
      <c r="G515">
        <f>Tableau4[[#This Row],[Cost (€/GJ)]]*3.6/1000</f>
        <v>0</v>
      </c>
      <c r="H515">
        <v>8.9647473560517046</v>
      </c>
      <c r="I515">
        <f>Tableau4[[#This Row],[GHG (kgCO2eq/GJ)]]*3.6/1000</f>
        <v>3.2273090481786136E-2</v>
      </c>
      <c r="J515" t="s">
        <v>105</v>
      </c>
      <c r="K515" t="s">
        <v>108</v>
      </c>
    </row>
    <row r="516" spans="1:11" hidden="1" x14ac:dyDescent="0.3">
      <c r="A516" t="s">
        <v>28</v>
      </c>
      <c r="B516" t="s">
        <v>55</v>
      </c>
      <c r="C516" t="s">
        <v>86</v>
      </c>
      <c r="D516">
        <v>0.2346</v>
      </c>
      <c r="E516">
        <f>Tableau4[[#This Row],[Potential (PJ)]]*1000/3.6</f>
        <v>65.166666666666657</v>
      </c>
      <c r="F516">
        <v>8.2059999999999995</v>
      </c>
      <c r="G516">
        <f>Tableau4[[#This Row],[Cost (€/GJ)]]*3.6/1000</f>
        <v>2.9541599999999998E-2</v>
      </c>
      <c r="H516">
        <v>26.3</v>
      </c>
      <c r="I516">
        <f>Tableau4[[#This Row],[GHG (kgCO2eq/GJ)]]*3.6/1000</f>
        <v>9.468E-2</v>
      </c>
      <c r="J516" t="s">
        <v>106</v>
      </c>
      <c r="K516" t="s">
        <v>109</v>
      </c>
    </row>
    <row r="517" spans="1:11" hidden="1" x14ac:dyDescent="0.3">
      <c r="A517" t="s">
        <v>28</v>
      </c>
      <c r="B517" t="s">
        <v>55</v>
      </c>
      <c r="C517" t="s">
        <v>88</v>
      </c>
      <c r="D517">
        <v>7.4999999999999997E-3</v>
      </c>
      <c r="E517">
        <f>Tableau4[[#This Row],[Potential (PJ)]]*1000/3.6</f>
        <v>2.0833333333333335</v>
      </c>
      <c r="F517">
        <v>5.0555000000000003</v>
      </c>
      <c r="G517">
        <f>Tableau4[[#This Row],[Cost (€/GJ)]]*3.6/1000</f>
        <v>1.8199800000000002E-2</v>
      </c>
      <c r="H517">
        <v>26.3</v>
      </c>
      <c r="I517">
        <f>Tableau4[[#This Row],[GHG (kgCO2eq/GJ)]]*3.6/1000</f>
        <v>9.468E-2</v>
      </c>
      <c r="J517" t="s">
        <v>106</v>
      </c>
      <c r="K517" t="s">
        <v>109</v>
      </c>
    </row>
    <row r="518" spans="1:11" hidden="1" x14ac:dyDescent="0.3">
      <c r="A518" t="s">
        <v>28</v>
      </c>
      <c r="B518" t="s">
        <v>55</v>
      </c>
      <c r="C518" t="s">
        <v>92</v>
      </c>
      <c r="D518">
        <v>0.23144000000000001</v>
      </c>
      <c r="E518">
        <f>Tableau4[[#This Row],[Potential (PJ)]]*1000/3.6</f>
        <v>64.288888888888891</v>
      </c>
      <c r="F518">
        <v>8.9079999999999995</v>
      </c>
      <c r="G518">
        <f>Tableau4[[#This Row],[Cost (€/GJ)]]*3.6/1000</f>
        <v>3.2068799999999995E-2</v>
      </c>
      <c r="H518">
        <v>26.3</v>
      </c>
      <c r="I518">
        <f>Tableau4[[#This Row],[GHG (kgCO2eq/GJ)]]*3.6/1000</f>
        <v>9.468E-2</v>
      </c>
      <c r="J518" t="s">
        <v>106</v>
      </c>
      <c r="K518" t="s">
        <v>109</v>
      </c>
    </row>
    <row r="519" spans="1:11" hidden="1" x14ac:dyDescent="0.3">
      <c r="A519" t="s">
        <v>28</v>
      </c>
      <c r="B519" t="s">
        <v>49</v>
      </c>
      <c r="C519" t="s">
        <v>71</v>
      </c>
      <c r="D519">
        <v>5.6525299999999996</v>
      </c>
      <c r="E519">
        <f>Tableau4[[#This Row],[Potential (PJ)]]*1000/3.6</f>
        <v>1570.1472222222221</v>
      </c>
      <c r="F519">
        <v>0</v>
      </c>
      <c r="G519">
        <f>Tableau4[[#This Row],[Cost (€/GJ)]]*3.6/1000</f>
        <v>0</v>
      </c>
      <c r="H519">
        <v>3.86607608129234</v>
      </c>
      <c r="I519">
        <f>Tableau4[[#This Row],[GHG (kgCO2eq/GJ)]]*3.6/1000</f>
        <v>1.3917873892652425E-2</v>
      </c>
      <c r="J519" t="s">
        <v>104</v>
      </c>
      <c r="K519" t="s">
        <v>108</v>
      </c>
    </row>
    <row r="520" spans="1:11" hidden="1" x14ac:dyDescent="0.3">
      <c r="A520" t="s">
        <v>28</v>
      </c>
      <c r="B520" t="s">
        <v>49</v>
      </c>
      <c r="C520" t="s">
        <v>72</v>
      </c>
      <c r="D520">
        <v>0.1</v>
      </c>
      <c r="E520">
        <f>Tableau4[[#This Row],[Potential (PJ)]]*1000/3.6</f>
        <v>27.777777777777779</v>
      </c>
      <c r="F520">
        <v>0</v>
      </c>
      <c r="G520">
        <f>Tableau4[[#This Row],[Cost (€/GJ)]]*3.6/1000</f>
        <v>0</v>
      </c>
      <c r="H520">
        <v>3.86607608129234</v>
      </c>
      <c r="I520">
        <f>Tableau4[[#This Row],[GHG (kgCO2eq/GJ)]]*3.6/1000</f>
        <v>1.3917873892652425E-2</v>
      </c>
      <c r="J520" t="s">
        <v>104</v>
      </c>
      <c r="K520" t="s">
        <v>108</v>
      </c>
    </row>
    <row r="521" spans="1:11" hidden="1" x14ac:dyDescent="0.3">
      <c r="A521" t="s">
        <v>28</v>
      </c>
      <c r="B521" t="s">
        <v>58</v>
      </c>
      <c r="C521" t="s">
        <v>103</v>
      </c>
      <c r="D521">
        <v>0.26709100000000002</v>
      </c>
      <c r="E521">
        <f>Tableau4[[#This Row],[Potential (PJ)]]*1000/3.6</f>
        <v>74.191944444444445</v>
      </c>
      <c r="F521">
        <v>0</v>
      </c>
      <c r="G521">
        <f>Tableau4[[#This Row],[Cost (€/GJ)]]*3.6/1000</f>
        <v>0</v>
      </c>
      <c r="I521">
        <f>Tableau4[[#This Row],[GHG (kgCO2eq/GJ)]]*3.6/1000</f>
        <v>0</v>
      </c>
    </row>
    <row r="522" spans="1:11" hidden="1" x14ac:dyDescent="0.3">
      <c r="A522" t="s">
        <v>28</v>
      </c>
      <c r="B522" t="s">
        <v>50</v>
      </c>
      <c r="C522" t="s">
        <v>103</v>
      </c>
      <c r="D522">
        <v>3.0438450000000001</v>
      </c>
      <c r="E522">
        <f>Tableau4[[#This Row],[Potential (PJ)]]*1000/3.6</f>
        <v>845.51250000000005</v>
      </c>
      <c r="F522">
        <v>0</v>
      </c>
      <c r="G522">
        <f>Tableau4[[#This Row],[Cost (€/GJ)]]*3.6/1000</f>
        <v>0</v>
      </c>
      <c r="I522">
        <f>Tableau4[[#This Row],[GHG (kgCO2eq/GJ)]]*3.6/1000</f>
        <v>0</v>
      </c>
    </row>
    <row r="523" spans="1:11" hidden="1" x14ac:dyDescent="0.3">
      <c r="A523" t="s">
        <v>28</v>
      </c>
      <c r="B523" t="s">
        <v>51</v>
      </c>
      <c r="C523" t="s">
        <v>75</v>
      </c>
      <c r="D523">
        <v>0.18448700000000001</v>
      </c>
      <c r="E523">
        <f>Tableau4[[#This Row],[Potential (PJ)]]*1000/3.6</f>
        <v>51.246388888888895</v>
      </c>
      <c r="F523">
        <v>5.6473283308184296E-4</v>
      </c>
      <c r="G523">
        <f>Tableau4[[#This Row],[Cost (€/GJ)]]*3.6/1000</f>
        <v>2.0330381990946348E-6</v>
      </c>
      <c r="H523">
        <v>11.74</v>
      </c>
      <c r="I523">
        <f>Tableau4[[#This Row],[GHG (kgCO2eq/GJ)]]*3.6/1000</f>
        <v>4.2264000000000003E-2</v>
      </c>
      <c r="J523" t="s">
        <v>104</v>
      </c>
      <c r="K523" t="s">
        <v>108</v>
      </c>
    </row>
    <row r="524" spans="1:11" hidden="1" x14ac:dyDescent="0.3">
      <c r="A524" t="s">
        <v>28</v>
      </c>
      <c r="B524" t="s">
        <v>60</v>
      </c>
      <c r="C524" t="s">
        <v>98</v>
      </c>
      <c r="D524">
        <v>3.9120000000000002E-2</v>
      </c>
      <c r="E524">
        <f>Tableau4[[#This Row],[Potential (PJ)]]*1000/3.6</f>
        <v>10.866666666666667</v>
      </c>
      <c r="F524">
        <v>0</v>
      </c>
      <c r="G524">
        <f>Tableau4[[#This Row],[Cost (€/GJ)]]*3.6/1000</f>
        <v>0</v>
      </c>
      <c r="H524">
        <v>37.799999999999997</v>
      </c>
      <c r="I524">
        <f>Tableau4[[#This Row],[GHG (kgCO2eq/GJ)]]*3.6/1000</f>
        <v>0.13607999999999998</v>
      </c>
      <c r="J524" t="s">
        <v>107</v>
      </c>
      <c r="K524" t="s">
        <v>109</v>
      </c>
    </row>
    <row r="525" spans="1:11" hidden="1" x14ac:dyDescent="0.3">
      <c r="A525" t="s">
        <v>28</v>
      </c>
      <c r="B525" t="s">
        <v>53</v>
      </c>
      <c r="C525" t="s">
        <v>77</v>
      </c>
      <c r="D525">
        <v>0.1</v>
      </c>
      <c r="E525">
        <f>Tableau4[[#This Row],[Potential (PJ)]]*1000/3.6</f>
        <v>27.777777777777779</v>
      </c>
      <c r="F525">
        <v>0</v>
      </c>
      <c r="G525">
        <f>Tableau4[[#This Row],[Cost (€/GJ)]]*3.6/1000</f>
        <v>0</v>
      </c>
      <c r="H525">
        <v>3.86607608129234</v>
      </c>
      <c r="I525">
        <f>Tableau4[[#This Row],[GHG (kgCO2eq/GJ)]]*3.6/1000</f>
        <v>1.3917873892652425E-2</v>
      </c>
      <c r="J525" t="s">
        <v>104</v>
      </c>
      <c r="K525" t="s">
        <v>108</v>
      </c>
    </row>
    <row r="526" spans="1:11" hidden="1" x14ac:dyDescent="0.3">
      <c r="A526" t="s">
        <v>28</v>
      </c>
      <c r="B526" t="s">
        <v>61</v>
      </c>
      <c r="C526" t="s">
        <v>103</v>
      </c>
      <c r="D526">
        <v>1.596992</v>
      </c>
      <c r="E526">
        <f>Tableau4[[#This Row],[Potential (PJ)]]*1000/3.6</f>
        <v>443.60888888888888</v>
      </c>
      <c r="F526">
        <v>0</v>
      </c>
      <c r="G526">
        <f>Tableau4[[#This Row],[Cost (€/GJ)]]*3.6/1000</f>
        <v>0</v>
      </c>
      <c r="I526">
        <f>Tableau4[[#This Row],[GHG (kgCO2eq/GJ)]]*3.6/1000</f>
        <v>0</v>
      </c>
    </row>
    <row r="527" spans="1:11" hidden="1" x14ac:dyDescent="0.3">
      <c r="A527" t="s">
        <v>28</v>
      </c>
      <c r="B527" t="s">
        <v>62</v>
      </c>
      <c r="C527" t="s">
        <v>103</v>
      </c>
      <c r="D527">
        <v>0.202681</v>
      </c>
      <c r="E527">
        <f>Tableau4[[#This Row],[Potential (PJ)]]*1000/3.6</f>
        <v>56.300277777777779</v>
      </c>
      <c r="F527">
        <v>0</v>
      </c>
      <c r="G527">
        <f>Tableau4[[#This Row],[Cost (€/GJ)]]*3.6/1000</f>
        <v>0</v>
      </c>
      <c r="I527">
        <f>Tableau4[[#This Row],[GHG (kgCO2eq/GJ)]]*3.6/1000</f>
        <v>0</v>
      </c>
    </row>
    <row r="528" spans="1:11" hidden="1" x14ac:dyDescent="0.3">
      <c r="A528" t="s">
        <v>28</v>
      </c>
      <c r="B528" t="s">
        <v>54</v>
      </c>
      <c r="C528" t="s">
        <v>78</v>
      </c>
      <c r="D528">
        <v>3.6</v>
      </c>
      <c r="E528">
        <f>Tableau4[[#This Row],[Potential (PJ)]]*1000/3.6</f>
        <v>1000</v>
      </c>
      <c r="F528">
        <v>0</v>
      </c>
      <c r="G528">
        <f>Tableau4[[#This Row],[Cost (€/GJ)]]*3.6/1000</f>
        <v>0</v>
      </c>
      <c r="H528">
        <v>3.86607608129234</v>
      </c>
      <c r="I528">
        <f>Tableau4[[#This Row],[GHG (kgCO2eq/GJ)]]*3.6/1000</f>
        <v>1.3917873892652425E-2</v>
      </c>
      <c r="J528" t="s">
        <v>104</v>
      </c>
      <c r="K528" t="s">
        <v>108</v>
      </c>
    </row>
    <row r="529" spans="1:11" hidden="1" x14ac:dyDescent="0.3">
      <c r="A529" t="s">
        <v>29</v>
      </c>
      <c r="B529" t="s">
        <v>46</v>
      </c>
      <c r="C529" t="s">
        <v>64</v>
      </c>
      <c r="D529">
        <v>1.6000000000000001E-4</v>
      </c>
      <c r="E529">
        <f>Tableau4[[#This Row],[Potential (PJ)]]*1000/3.6</f>
        <v>4.4444444444444446E-2</v>
      </c>
      <c r="F529">
        <v>0</v>
      </c>
      <c r="G529">
        <f>Tableau4[[#This Row],[Cost (€/GJ)]]*3.6/1000</f>
        <v>0</v>
      </c>
      <c r="H529">
        <v>2.9521711768407801</v>
      </c>
      <c r="I529">
        <f>Tableau4[[#This Row],[GHG (kgCO2eq/GJ)]]*3.6/1000</f>
        <v>1.0627816236626808E-2</v>
      </c>
      <c r="J529" t="s">
        <v>104</v>
      </c>
      <c r="K529" t="s">
        <v>108</v>
      </c>
    </row>
    <row r="530" spans="1:11" hidden="1" x14ac:dyDescent="0.3">
      <c r="A530" t="s">
        <v>29</v>
      </c>
      <c r="B530" t="s">
        <v>46</v>
      </c>
      <c r="C530" t="s">
        <v>79</v>
      </c>
      <c r="D530">
        <v>8.8000000000000007</v>
      </c>
      <c r="E530">
        <f>Tableau4[[#This Row],[Potential (PJ)]]*1000/3.6</f>
        <v>2444.4444444444443</v>
      </c>
      <c r="F530">
        <v>0</v>
      </c>
      <c r="G530">
        <f>Tableau4[[#This Row],[Cost (€/GJ)]]*3.6/1000</f>
        <v>0</v>
      </c>
      <c r="H530">
        <v>6.8428961748633883</v>
      </c>
      <c r="I530">
        <f>Tableau4[[#This Row],[GHG (kgCO2eq/GJ)]]*3.6/1000</f>
        <v>2.4634426229508198E-2</v>
      </c>
      <c r="J530" t="s">
        <v>104</v>
      </c>
      <c r="K530" t="s">
        <v>108</v>
      </c>
    </row>
    <row r="531" spans="1:11" hidden="1" x14ac:dyDescent="0.3">
      <c r="A531" t="s">
        <v>29</v>
      </c>
      <c r="B531" t="s">
        <v>46</v>
      </c>
      <c r="C531" t="s">
        <v>80</v>
      </c>
      <c r="D531">
        <v>3.8899999999999997E-2</v>
      </c>
      <c r="E531">
        <f>Tableau4[[#This Row],[Potential (PJ)]]*1000/3.6</f>
        <v>10.805555555555555</v>
      </c>
      <c r="F531">
        <v>0.18071476736345249</v>
      </c>
      <c r="G531">
        <f>Tableau4[[#This Row],[Cost (€/GJ)]]*3.6/1000</f>
        <v>6.5057316250842902E-4</v>
      </c>
      <c r="H531">
        <v>28.139870918023309</v>
      </c>
      <c r="I531">
        <f>Tableau4[[#This Row],[GHG (kgCO2eq/GJ)]]*3.6/1000</f>
        <v>0.10130353530488391</v>
      </c>
      <c r="J531" t="s">
        <v>105</v>
      </c>
      <c r="K531" t="s">
        <v>108</v>
      </c>
    </row>
    <row r="532" spans="1:11" hidden="1" x14ac:dyDescent="0.3">
      <c r="A532" t="s">
        <v>29</v>
      </c>
      <c r="B532" t="s">
        <v>46</v>
      </c>
      <c r="C532" t="s">
        <v>81</v>
      </c>
      <c r="D532">
        <v>8.9999999999999993E-3</v>
      </c>
      <c r="E532">
        <f>Tableau4[[#This Row],[Potential (PJ)]]*1000/3.6</f>
        <v>2.5</v>
      </c>
      <c r="F532">
        <v>0.36545240893066983</v>
      </c>
      <c r="G532">
        <f>Tableau4[[#This Row],[Cost (€/GJ)]]*3.6/1000</f>
        <v>1.3156286721504114E-3</v>
      </c>
      <c r="H532">
        <v>8.9647473560517046</v>
      </c>
      <c r="I532">
        <f>Tableau4[[#This Row],[GHG (kgCO2eq/GJ)]]*3.6/1000</f>
        <v>3.2273090481786136E-2</v>
      </c>
      <c r="J532" t="s">
        <v>105</v>
      </c>
      <c r="K532" t="s">
        <v>108</v>
      </c>
    </row>
    <row r="533" spans="1:11" hidden="1" x14ac:dyDescent="0.3">
      <c r="A533" t="s">
        <v>29</v>
      </c>
      <c r="B533" t="s">
        <v>46</v>
      </c>
      <c r="C533" t="s">
        <v>82</v>
      </c>
      <c r="D533">
        <v>0.6</v>
      </c>
      <c r="E533">
        <f>Tableau4[[#This Row],[Potential (PJ)]]*1000/3.6</f>
        <v>166.66666666666666</v>
      </c>
      <c r="F533">
        <v>1.3839999999999999</v>
      </c>
      <c r="G533">
        <f>Tableau4[[#This Row],[Cost (€/GJ)]]*3.6/1000</f>
        <v>4.9824000000000005E-3</v>
      </c>
      <c r="H533">
        <v>6.8428961748633883</v>
      </c>
      <c r="I533">
        <f>Tableau4[[#This Row],[GHG (kgCO2eq/GJ)]]*3.6/1000</f>
        <v>2.4634426229508198E-2</v>
      </c>
      <c r="J533" t="s">
        <v>104</v>
      </c>
      <c r="K533" t="s">
        <v>108</v>
      </c>
    </row>
    <row r="534" spans="1:11" hidden="1" x14ac:dyDescent="0.3">
      <c r="A534" t="s">
        <v>29</v>
      </c>
      <c r="B534" t="s">
        <v>55</v>
      </c>
      <c r="C534" t="s">
        <v>86</v>
      </c>
      <c r="D534">
        <v>1.0798000000000001</v>
      </c>
      <c r="E534">
        <f>Tableau4[[#This Row],[Potential (PJ)]]*1000/3.6</f>
        <v>299.94444444444451</v>
      </c>
      <c r="F534">
        <v>13.085000000000001</v>
      </c>
      <c r="G534">
        <f>Tableau4[[#This Row],[Cost (€/GJ)]]*3.6/1000</f>
        <v>4.7106000000000002E-2</v>
      </c>
      <c r="H534">
        <v>12.8</v>
      </c>
      <c r="I534">
        <f>Tableau4[[#This Row],[GHG (kgCO2eq/GJ)]]*3.6/1000</f>
        <v>4.6080000000000003E-2</v>
      </c>
      <c r="J534" t="s">
        <v>106</v>
      </c>
      <c r="K534" t="s">
        <v>109</v>
      </c>
    </row>
    <row r="535" spans="1:11" hidden="1" x14ac:dyDescent="0.3">
      <c r="A535" t="s">
        <v>29</v>
      </c>
      <c r="B535" t="s">
        <v>55</v>
      </c>
      <c r="C535" t="s">
        <v>89</v>
      </c>
      <c r="D535">
        <v>2.8999999999999998E-3</v>
      </c>
      <c r="E535">
        <f>Tableau4[[#This Row],[Potential (PJ)]]*1000/3.6</f>
        <v>0.80555555555555547</v>
      </c>
      <c r="F535">
        <v>0</v>
      </c>
      <c r="G535">
        <f>Tableau4[[#This Row],[Cost (€/GJ)]]*3.6/1000</f>
        <v>0</v>
      </c>
      <c r="H535">
        <v>12.8</v>
      </c>
      <c r="I535">
        <f>Tableau4[[#This Row],[GHG (kgCO2eq/GJ)]]*3.6/1000</f>
        <v>4.6080000000000003E-2</v>
      </c>
      <c r="J535" t="s">
        <v>106</v>
      </c>
      <c r="K535" t="s">
        <v>109</v>
      </c>
    </row>
    <row r="536" spans="1:11" hidden="1" x14ac:dyDescent="0.3">
      <c r="A536" t="s">
        <v>29</v>
      </c>
      <c r="B536" t="s">
        <v>55</v>
      </c>
      <c r="C536" t="s">
        <v>90</v>
      </c>
      <c r="D536">
        <v>0.70499999999999996</v>
      </c>
      <c r="E536">
        <f>Tableau4[[#This Row],[Potential (PJ)]]*1000/3.6</f>
        <v>195.83333333333331</v>
      </c>
      <c r="F536">
        <v>15.222</v>
      </c>
      <c r="G536">
        <f>Tableau4[[#This Row],[Cost (€/GJ)]]*3.6/1000</f>
        <v>5.4799199999999999E-2</v>
      </c>
      <c r="H536">
        <v>12.8</v>
      </c>
      <c r="I536">
        <f>Tableau4[[#This Row],[GHG (kgCO2eq/GJ)]]*3.6/1000</f>
        <v>4.6080000000000003E-2</v>
      </c>
      <c r="J536" t="s">
        <v>106</v>
      </c>
      <c r="K536" t="s">
        <v>109</v>
      </c>
    </row>
    <row r="537" spans="1:11" hidden="1" x14ac:dyDescent="0.3">
      <c r="A537" t="s">
        <v>29</v>
      </c>
      <c r="B537" t="s">
        <v>55</v>
      </c>
      <c r="C537" t="s">
        <v>91</v>
      </c>
      <c r="D537">
        <v>0.5494</v>
      </c>
      <c r="E537">
        <f>Tableau4[[#This Row],[Potential (PJ)]]*1000/3.6</f>
        <v>152.61111111111111</v>
      </c>
      <c r="F537">
        <v>12.984</v>
      </c>
      <c r="G537">
        <f>Tableau4[[#This Row],[Cost (€/GJ)]]*3.6/1000</f>
        <v>4.6742400000000003E-2</v>
      </c>
      <c r="H537">
        <v>12.8</v>
      </c>
      <c r="I537">
        <f>Tableau4[[#This Row],[GHG (kgCO2eq/GJ)]]*3.6/1000</f>
        <v>4.6080000000000003E-2</v>
      </c>
      <c r="J537" t="s">
        <v>106</v>
      </c>
      <c r="K537" t="s">
        <v>109</v>
      </c>
    </row>
    <row r="538" spans="1:11" hidden="1" x14ac:dyDescent="0.3">
      <c r="A538" t="s">
        <v>29</v>
      </c>
      <c r="B538" t="s">
        <v>55</v>
      </c>
      <c r="C538" t="s">
        <v>92</v>
      </c>
      <c r="D538">
        <v>6.11083</v>
      </c>
      <c r="E538">
        <f>Tableau4[[#This Row],[Potential (PJ)]]*1000/3.6</f>
        <v>1697.4527777777778</v>
      </c>
      <c r="F538">
        <v>15.595000000000001</v>
      </c>
      <c r="G538">
        <f>Tableau4[[#This Row],[Cost (€/GJ)]]*3.6/1000</f>
        <v>5.6142000000000004E-2</v>
      </c>
      <c r="H538">
        <v>12.8</v>
      </c>
      <c r="I538">
        <f>Tableau4[[#This Row],[GHG (kgCO2eq/GJ)]]*3.6/1000</f>
        <v>4.6080000000000003E-2</v>
      </c>
      <c r="J538" t="s">
        <v>106</v>
      </c>
      <c r="K538" t="s">
        <v>109</v>
      </c>
    </row>
    <row r="539" spans="1:11" hidden="1" x14ac:dyDescent="0.3">
      <c r="A539" t="s">
        <v>29</v>
      </c>
      <c r="B539" t="s">
        <v>47</v>
      </c>
      <c r="C539" t="s">
        <v>101</v>
      </c>
      <c r="D539">
        <v>4.9000000000000004</v>
      </c>
      <c r="E539">
        <f>Tableau4[[#This Row],[Potential (PJ)]]*1000/3.6</f>
        <v>1361.1111111111111</v>
      </c>
      <c r="F539">
        <v>3.1560000000000001</v>
      </c>
      <c r="G539">
        <f>Tableau4[[#This Row],[Cost (€/GJ)]]*3.6/1000</f>
        <v>1.1361600000000001E-2</v>
      </c>
      <c r="H539">
        <v>44</v>
      </c>
      <c r="I539">
        <f>Tableau4[[#This Row],[GHG (kgCO2eq/GJ)]]*3.6/1000</f>
        <v>0.15840000000000001</v>
      </c>
      <c r="J539" t="s">
        <v>104</v>
      </c>
      <c r="K539" t="s">
        <v>109</v>
      </c>
    </row>
    <row r="540" spans="1:11" hidden="1" x14ac:dyDescent="0.3">
      <c r="A540" t="s">
        <v>29</v>
      </c>
      <c r="B540" t="s">
        <v>57</v>
      </c>
      <c r="C540" t="s">
        <v>94</v>
      </c>
      <c r="D540">
        <v>3.9</v>
      </c>
      <c r="E540">
        <f>Tableau4[[#This Row],[Potential (PJ)]]*1000/3.6</f>
        <v>1083.3333333333333</v>
      </c>
      <c r="F540">
        <v>8.7729999999999997</v>
      </c>
      <c r="G540">
        <f>Tableau4[[#This Row],[Cost (€/GJ)]]*3.6/1000</f>
        <v>3.1582800000000001E-2</v>
      </c>
      <c r="H540">
        <v>19.899999999999999</v>
      </c>
      <c r="I540">
        <f>Tableau4[[#This Row],[GHG (kgCO2eq/GJ)]]*3.6/1000</f>
        <v>7.1639999999999995E-2</v>
      </c>
      <c r="J540" t="s">
        <v>104</v>
      </c>
      <c r="K540" t="s">
        <v>109</v>
      </c>
    </row>
    <row r="541" spans="1:11" hidden="1" x14ac:dyDescent="0.3">
      <c r="A541" t="s">
        <v>29</v>
      </c>
      <c r="B541" t="s">
        <v>49</v>
      </c>
      <c r="C541" t="s">
        <v>71</v>
      </c>
      <c r="D541">
        <v>140.80123</v>
      </c>
      <c r="E541">
        <f>Tableau4[[#This Row],[Potential (PJ)]]*1000/3.6</f>
        <v>39111.452777777777</v>
      </c>
      <c r="F541">
        <v>0</v>
      </c>
      <c r="G541">
        <f>Tableau4[[#This Row],[Cost (€/GJ)]]*3.6/1000</f>
        <v>0</v>
      </c>
      <c r="H541">
        <v>3.86607608129234</v>
      </c>
      <c r="I541">
        <f>Tableau4[[#This Row],[GHG (kgCO2eq/GJ)]]*3.6/1000</f>
        <v>1.3917873892652425E-2</v>
      </c>
      <c r="J541" t="s">
        <v>104</v>
      </c>
      <c r="K541" t="s">
        <v>108</v>
      </c>
    </row>
    <row r="542" spans="1:11" hidden="1" x14ac:dyDescent="0.3">
      <c r="A542" t="s">
        <v>29</v>
      </c>
      <c r="B542" t="s">
        <v>49</v>
      </c>
      <c r="C542" t="s">
        <v>72</v>
      </c>
      <c r="D542">
        <v>15.4</v>
      </c>
      <c r="E542">
        <f>Tableau4[[#This Row],[Potential (PJ)]]*1000/3.6</f>
        <v>4277.7777777777774</v>
      </c>
      <c r="F542">
        <v>0</v>
      </c>
      <c r="G542">
        <f>Tableau4[[#This Row],[Cost (€/GJ)]]*3.6/1000</f>
        <v>0</v>
      </c>
      <c r="H542">
        <v>3.86607608129234</v>
      </c>
      <c r="I542">
        <f>Tableau4[[#This Row],[GHG (kgCO2eq/GJ)]]*3.6/1000</f>
        <v>1.3917873892652425E-2</v>
      </c>
      <c r="J542" t="s">
        <v>104</v>
      </c>
      <c r="K542" t="s">
        <v>108</v>
      </c>
    </row>
    <row r="543" spans="1:11" hidden="1" x14ac:dyDescent="0.3">
      <c r="A543" t="s">
        <v>29</v>
      </c>
      <c r="B543" t="s">
        <v>58</v>
      </c>
      <c r="C543" t="s">
        <v>95</v>
      </c>
      <c r="D543">
        <v>8.9392700000000005</v>
      </c>
      <c r="E543">
        <f>Tableau4[[#This Row],[Potential (PJ)]]*1000/3.6</f>
        <v>2483.1305555555555</v>
      </c>
      <c r="F543">
        <v>2.1709999999999998</v>
      </c>
      <c r="G543">
        <f>Tableau4[[#This Row],[Cost (€/GJ)]]*3.6/1000</f>
        <v>7.8156000000000007E-3</v>
      </c>
      <c r="H543">
        <v>2.9521711768407801</v>
      </c>
      <c r="I543">
        <f>Tableau4[[#This Row],[GHG (kgCO2eq/GJ)]]*3.6/1000</f>
        <v>1.0627816236626808E-2</v>
      </c>
      <c r="J543" t="s">
        <v>104</v>
      </c>
      <c r="K543" t="s">
        <v>108</v>
      </c>
    </row>
    <row r="544" spans="1:11" hidden="1" x14ac:dyDescent="0.3">
      <c r="A544" t="s">
        <v>29</v>
      </c>
      <c r="B544" t="s">
        <v>50</v>
      </c>
      <c r="C544" t="s">
        <v>73</v>
      </c>
      <c r="D544">
        <v>0.4</v>
      </c>
      <c r="E544">
        <f>Tableau4[[#This Row],[Potential (PJ)]]*1000/3.6</f>
        <v>111.11111111111111</v>
      </c>
      <c r="F544">
        <v>5.0089999999999986</v>
      </c>
      <c r="G544">
        <f>Tableau4[[#This Row],[Cost (€/GJ)]]*3.6/1000</f>
        <v>1.8032399999999997E-2</v>
      </c>
      <c r="H544">
        <v>20.723404255319149</v>
      </c>
      <c r="I544">
        <f>Tableau4[[#This Row],[GHG (kgCO2eq/GJ)]]*3.6/1000</f>
        <v>7.4604255319148938E-2</v>
      </c>
      <c r="J544" t="s">
        <v>105</v>
      </c>
      <c r="K544" t="s">
        <v>108</v>
      </c>
    </row>
    <row r="545" spans="1:11" hidden="1" x14ac:dyDescent="0.3">
      <c r="A545" t="s">
        <v>29</v>
      </c>
      <c r="B545" t="s">
        <v>50</v>
      </c>
      <c r="C545" t="s">
        <v>74</v>
      </c>
      <c r="D545">
        <v>10.199999999999999</v>
      </c>
      <c r="E545">
        <f>Tableau4[[#This Row],[Potential (PJ)]]*1000/3.6</f>
        <v>2833.3333333333335</v>
      </c>
      <c r="F545">
        <v>3.76</v>
      </c>
      <c r="G545">
        <f>Tableau4[[#This Row],[Cost (€/GJ)]]*3.6/1000</f>
        <v>1.3535999999999999E-2</v>
      </c>
      <c r="H545">
        <v>2.0635593220338988</v>
      </c>
      <c r="I545">
        <f>Tableau4[[#This Row],[GHG (kgCO2eq/GJ)]]*3.6/1000</f>
        <v>7.428813559322036E-3</v>
      </c>
      <c r="J545" t="s">
        <v>105</v>
      </c>
      <c r="K545" t="s">
        <v>108</v>
      </c>
    </row>
    <row r="546" spans="1:11" hidden="1" x14ac:dyDescent="0.3">
      <c r="A546" t="s">
        <v>29</v>
      </c>
      <c r="B546" t="s">
        <v>51</v>
      </c>
      <c r="C546" t="s">
        <v>75</v>
      </c>
      <c r="D546">
        <v>0.95521800000000001</v>
      </c>
      <c r="E546">
        <f>Tableau4[[#This Row],[Potential (PJ)]]*1000/3.6</f>
        <v>265.33833333333331</v>
      </c>
      <c r="F546">
        <v>1.3720457538451299E-4</v>
      </c>
      <c r="G546">
        <f>Tableau4[[#This Row],[Cost (€/GJ)]]*3.6/1000</f>
        <v>4.9393647138424675E-7</v>
      </c>
      <c r="H546">
        <v>11.74</v>
      </c>
      <c r="I546">
        <f>Tableau4[[#This Row],[GHG (kgCO2eq/GJ)]]*3.6/1000</f>
        <v>4.2264000000000003E-2</v>
      </c>
      <c r="J546" t="s">
        <v>104</v>
      </c>
      <c r="K546" t="s">
        <v>108</v>
      </c>
    </row>
    <row r="547" spans="1:11" hidden="1" x14ac:dyDescent="0.3">
      <c r="A547" t="s">
        <v>29</v>
      </c>
      <c r="B547" t="s">
        <v>60</v>
      </c>
      <c r="C547" t="s">
        <v>98</v>
      </c>
      <c r="D547">
        <v>0.31035000000000001</v>
      </c>
      <c r="E547">
        <f>Tableau4[[#This Row],[Potential (PJ)]]*1000/3.6</f>
        <v>86.208333333333343</v>
      </c>
      <c r="F547">
        <v>16.058002148227711</v>
      </c>
      <c r="G547">
        <f>Tableau4[[#This Row],[Cost (€/GJ)]]*3.6/1000</f>
        <v>5.7808807733619759E-2</v>
      </c>
      <c r="H547">
        <v>28.2</v>
      </c>
      <c r="I547">
        <f>Tableau4[[#This Row],[GHG (kgCO2eq/GJ)]]*3.6/1000</f>
        <v>0.10152</v>
      </c>
      <c r="J547" t="s">
        <v>107</v>
      </c>
      <c r="K547" t="s">
        <v>109</v>
      </c>
    </row>
    <row r="548" spans="1:11" hidden="1" x14ac:dyDescent="0.3">
      <c r="A548" t="s">
        <v>29</v>
      </c>
      <c r="B548" t="s">
        <v>52</v>
      </c>
      <c r="C548" t="s">
        <v>76</v>
      </c>
      <c r="D548">
        <v>2E-3</v>
      </c>
      <c r="E548">
        <f>Tableau4[[#This Row],[Potential (PJ)]]*1000/3.6</f>
        <v>0.55555555555555558</v>
      </c>
      <c r="F548">
        <v>4.7567250000000003</v>
      </c>
      <c r="G548">
        <f>Tableau4[[#This Row],[Cost (€/GJ)]]*3.6/1000</f>
        <v>1.7124210000000001E-2</v>
      </c>
      <c r="H548">
        <v>12.68872359754714</v>
      </c>
      <c r="I548">
        <f>Tableau4[[#This Row],[GHG (kgCO2eq/GJ)]]*3.6/1000</f>
        <v>4.5679404951169705E-2</v>
      </c>
      <c r="J548" t="s">
        <v>105</v>
      </c>
      <c r="K548" t="s">
        <v>108</v>
      </c>
    </row>
    <row r="549" spans="1:11" hidden="1" x14ac:dyDescent="0.3">
      <c r="A549" t="s">
        <v>29</v>
      </c>
      <c r="B549" t="s">
        <v>53</v>
      </c>
      <c r="C549" t="s">
        <v>77</v>
      </c>
      <c r="D549">
        <v>8.3000000000000007</v>
      </c>
      <c r="E549">
        <f>Tableau4[[#This Row],[Potential (PJ)]]*1000/3.6</f>
        <v>2305.5555555555557</v>
      </c>
      <c r="F549">
        <v>0</v>
      </c>
      <c r="G549">
        <f>Tableau4[[#This Row],[Cost (€/GJ)]]*3.6/1000</f>
        <v>0</v>
      </c>
      <c r="H549">
        <v>3.86607608129234</v>
      </c>
      <c r="I549">
        <f>Tableau4[[#This Row],[GHG (kgCO2eq/GJ)]]*3.6/1000</f>
        <v>1.3917873892652425E-2</v>
      </c>
      <c r="J549" t="s">
        <v>104</v>
      </c>
      <c r="K549" t="s">
        <v>108</v>
      </c>
    </row>
    <row r="550" spans="1:11" hidden="1" x14ac:dyDescent="0.3">
      <c r="A550" t="s">
        <v>29</v>
      </c>
      <c r="B550" t="s">
        <v>61</v>
      </c>
      <c r="C550" t="s">
        <v>99</v>
      </c>
      <c r="D550">
        <v>28.3</v>
      </c>
      <c r="E550">
        <f>Tableau4[[#This Row],[Potential (PJ)]]*1000/3.6</f>
        <v>7861.1111111111113</v>
      </c>
      <c r="F550">
        <v>0</v>
      </c>
      <c r="G550">
        <f>Tableau4[[#This Row],[Cost (€/GJ)]]*3.6/1000</f>
        <v>0</v>
      </c>
      <c r="H550">
        <v>2.9245635910224439</v>
      </c>
      <c r="I550">
        <f>Tableau4[[#This Row],[GHG (kgCO2eq/GJ)]]*3.6/1000</f>
        <v>1.0528428927680798E-2</v>
      </c>
      <c r="J550" t="s">
        <v>104</v>
      </c>
      <c r="K550" t="s">
        <v>108</v>
      </c>
    </row>
    <row r="551" spans="1:11" hidden="1" x14ac:dyDescent="0.3">
      <c r="A551" t="s">
        <v>29</v>
      </c>
      <c r="B551" t="s">
        <v>62</v>
      </c>
      <c r="C551" t="s">
        <v>100</v>
      </c>
      <c r="D551">
        <v>12.2</v>
      </c>
      <c r="E551">
        <f>Tableau4[[#This Row],[Potential (PJ)]]*1000/3.6</f>
        <v>3388.8888888888887</v>
      </c>
      <c r="F551">
        <v>0</v>
      </c>
      <c r="G551">
        <f>Tableau4[[#This Row],[Cost (€/GJ)]]*3.6/1000</f>
        <v>0</v>
      </c>
      <c r="H551">
        <v>2.6764106050305911</v>
      </c>
      <c r="I551">
        <f>Tableau4[[#This Row],[GHG (kgCO2eq/GJ)]]*3.6/1000</f>
        <v>9.6350781781101274E-3</v>
      </c>
      <c r="J551" t="s">
        <v>104</v>
      </c>
      <c r="K551" t="s">
        <v>108</v>
      </c>
    </row>
    <row r="552" spans="1:11" hidden="1" x14ac:dyDescent="0.3">
      <c r="A552" t="s">
        <v>29</v>
      </c>
      <c r="B552" t="s">
        <v>54</v>
      </c>
      <c r="C552" t="s">
        <v>78</v>
      </c>
      <c r="D552">
        <v>75.7</v>
      </c>
      <c r="E552">
        <f>Tableau4[[#This Row],[Potential (PJ)]]*1000/3.6</f>
        <v>21027.777777777777</v>
      </c>
      <c r="F552">
        <v>0</v>
      </c>
      <c r="G552">
        <f>Tableau4[[#This Row],[Cost (€/GJ)]]*3.6/1000</f>
        <v>0</v>
      </c>
      <c r="H552">
        <v>3.86607608129234</v>
      </c>
      <c r="I552">
        <f>Tableau4[[#This Row],[GHG (kgCO2eq/GJ)]]*3.6/1000</f>
        <v>1.3917873892652425E-2</v>
      </c>
      <c r="J552" t="s">
        <v>104</v>
      </c>
      <c r="K552" t="s">
        <v>108</v>
      </c>
    </row>
    <row r="553" spans="1:11" hidden="1" x14ac:dyDescent="0.3">
      <c r="A553" t="s">
        <v>30</v>
      </c>
      <c r="B553" t="s">
        <v>46</v>
      </c>
      <c r="C553" t="s">
        <v>63</v>
      </c>
      <c r="D553">
        <v>5.4000000000000003E-3</v>
      </c>
      <c r="E553">
        <f>Tableau4[[#This Row],[Potential (PJ)]]*1000/3.6</f>
        <v>1.5</v>
      </c>
      <c r="F553">
        <v>2.9286474973375931</v>
      </c>
      <c r="G553">
        <f>Tableau4[[#This Row],[Cost (€/GJ)]]*3.6/1000</f>
        <v>1.0543130990415334E-2</v>
      </c>
      <c r="H553">
        <v>3.950479233226837</v>
      </c>
      <c r="I553">
        <f>Tableau4[[#This Row],[GHG (kgCO2eq/GJ)]]*3.6/1000</f>
        <v>1.4221725239616614E-2</v>
      </c>
      <c r="J553" t="s">
        <v>104</v>
      </c>
      <c r="K553" t="s">
        <v>108</v>
      </c>
    </row>
    <row r="554" spans="1:11" hidden="1" x14ac:dyDescent="0.3">
      <c r="A554" t="s">
        <v>30</v>
      </c>
      <c r="B554" t="s">
        <v>46</v>
      </c>
      <c r="C554" t="s">
        <v>64</v>
      </c>
      <c r="D554">
        <v>5.0860000000000002E-2</v>
      </c>
      <c r="E554">
        <f>Tableau4[[#This Row],[Potential (PJ)]]*1000/3.6</f>
        <v>14.127777777777776</v>
      </c>
      <c r="F554">
        <v>0</v>
      </c>
      <c r="G554">
        <f>Tableau4[[#This Row],[Cost (€/GJ)]]*3.6/1000</f>
        <v>0</v>
      </c>
      <c r="H554">
        <v>2.9521711768407801</v>
      </c>
      <c r="I554">
        <f>Tableau4[[#This Row],[GHG (kgCO2eq/GJ)]]*3.6/1000</f>
        <v>1.0627816236626808E-2</v>
      </c>
      <c r="J554" t="s">
        <v>104</v>
      </c>
      <c r="K554" t="s">
        <v>108</v>
      </c>
    </row>
    <row r="555" spans="1:11" hidden="1" x14ac:dyDescent="0.3">
      <c r="A555" t="s">
        <v>30</v>
      </c>
      <c r="B555" t="s">
        <v>46</v>
      </c>
      <c r="C555" t="s">
        <v>65</v>
      </c>
      <c r="D555">
        <v>0.1</v>
      </c>
      <c r="E555">
        <f>Tableau4[[#This Row],[Potential (PJ)]]*1000/3.6</f>
        <v>27.777777777777779</v>
      </c>
      <c r="F555">
        <v>4.3289999999999997</v>
      </c>
      <c r="G555">
        <f>Tableau4[[#This Row],[Cost (€/GJ)]]*3.6/1000</f>
        <v>1.5584399999999998E-2</v>
      </c>
      <c r="H555">
        <v>2.9521711768407801</v>
      </c>
      <c r="I555">
        <f>Tableau4[[#This Row],[GHG (kgCO2eq/GJ)]]*3.6/1000</f>
        <v>1.0627816236626808E-2</v>
      </c>
      <c r="J555" t="s">
        <v>104</v>
      </c>
      <c r="K555" t="s">
        <v>108</v>
      </c>
    </row>
    <row r="556" spans="1:11" hidden="1" x14ac:dyDescent="0.3">
      <c r="A556" t="s">
        <v>30</v>
      </c>
      <c r="B556" t="s">
        <v>46</v>
      </c>
      <c r="C556" t="s">
        <v>66</v>
      </c>
      <c r="D556">
        <v>0.1</v>
      </c>
      <c r="E556">
        <f>Tableau4[[#This Row],[Potential (PJ)]]*1000/3.6</f>
        <v>27.777777777777779</v>
      </c>
      <c r="F556">
        <v>0</v>
      </c>
      <c r="G556">
        <f>Tableau4[[#This Row],[Cost (€/GJ)]]*3.6/1000</f>
        <v>0</v>
      </c>
      <c r="H556">
        <v>6.8428961748633883</v>
      </c>
      <c r="I556">
        <f>Tableau4[[#This Row],[GHG (kgCO2eq/GJ)]]*3.6/1000</f>
        <v>2.4634426229508198E-2</v>
      </c>
      <c r="J556" t="s">
        <v>104</v>
      </c>
      <c r="K556" t="s">
        <v>108</v>
      </c>
    </row>
    <row r="557" spans="1:11" hidden="1" x14ac:dyDescent="0.3">
      <c r="A557" t="s">
        <v>30</v>
      </c>
      <c r="B557" t="s">
        <v>46</v>
      </c>
      <c r="C557" t="s">
        <v>85</v>
      </c>
      <c r="D557">
        <v>0.1</v>
      </c>
      <c r="E557">
        <f>Tableau4[[#This Row],[Potential (PJ)]]*1000/3.6</f>
        <v>27.777777777777779</v>
      </c>
      <c r="F557">
        <v>0</v>
      </c>
      <c r="G557">
        <f>Tableau4[[#This Row],[Cost (€/GJ)]]*3.6/1000</f>
        <v>0</v>
      </c>
      <c r="H557">
        <v>2.9521711768407801</v>
      </c>
      <c r="I557">
        <f>Tableau4[[#This Row],[GHG (kgCO2eq/GJ)]]*3.6/1000</f>
        <v>1.0627816236626808E-2</v>
      </c>
      <c r="J557" t="s">
        <v>104</v>
      </c>
      <c r="K557" t="s">
        <v>108</v>
      </c>
    </row>
    <row r="558" spans="1:11" hidden="1" x14ac:dyDescent="0.3">
      <c r="A558" t="s">
        <v>30</v>
      </c>
      <c r="B558" t="s">
        <v>47</v>
      </c>
      <c r="C558" t="s">
        <v>68</v>
      </c>
      <c r="D558">
        <v>2</v>
      </c>
      <c r="E558">
        <f>Tableau4[[#This Row],[Potential (PJ)]]*1000/3.6</f>
        <v>555.55555555555554</v>
      </c>
      <c r="F558">
        <v>3.9710000000000001</v>
      </c>
      <c r="G558">
        <f>Tableau4[[#This Row],[Cost (€/GJ)]]*3.6/1000</f>
        <v>1.42956E-2</v>
      </c>
      <c r="H558">
        <v>14.1</v>
      </c>
      <c r="I558">
        <f>Tableau4[[#This Row],[GHG (kgCO2eq/GJ)]]*3.6/1000</f>
        <v>5.076E-2</v>
      </c>
      <c r="J558" t="s">
        <v>104</v>
      </c>
      <c r="K558" t="s">
        <v>109</v>
      </c>
    </row>
    <row r="559" spans="1:11" hidden="1" x14ac:dyDescent="0.3">
      <c r="A559" t="s">
        <v>30</v>
      </c>
      <c r="B559" t="s">
        <v>47</v>
      </c>
      <c r="C559" t="s">
        <v>69</v>
      </c>
      <c r="D559">
        <v>1.4</v>
      </c>
      <c r="E559">
        <f>Tableau4[[#This Row],[Potential (PJ)]]*1000/3.6</f>
        <v>388.88888888888886</v>
      </c>
      <c r="F559">
        <v>3.9830000000000001</v>
      </c>
      <c r="G559">
        <f>Tableau4[[#This Row],[Cost (€/GJ)]]*3.6/1000</f>
        <v>1.4338800000000001E-2</v>
      </c>
      <c r="H559">
        <v>14.1</v>
      </c>
      <c r="I559">
        <f>Tableau4[[#This Row],[GHG (kgCO2eq/GJ)]]*3.6/1000</f>
        <v>5.076E-2</v>
      </c>
      <c r="J559" t="s">
        <v>104</v>
      </c>
      <c r="K559" t="s">
        <v>109</v>
      </c>
    </row>
    <row r="560" spans="1:11" hidden="1" x14ac:dyDescent="0.3">
      <c r="A560" t="s">
        <v>30</v>
      </c>
      <c r="B560" t="s">
        <v>48</v>
      </c>
      <c r="C560" t="s">
        <v>70</v>
      </c>
      <c r="D560">
        <v>0.8</v>
      </c>
      <c r="E560">
        <f>Tableau4[[#This Row],[Potential (PJ)]]*1000/3.6</f>
        <v>222.22222222222223</v>
      </c>
      <c r="F560">
        <v>10.238</v>
      </c>
      <c r="G560">
        <f>Tableau4[[#This Row],[Cost (€/GJ)]]*3.6/1000</f>
        <v>3.6856800000000002E-2</v>
      </c>
      <c r="H560">
        <v>0</v>
      </c>
      <c r="I560">
        <f>Tableau4[[#This Row],[GHG (kgCO2eq/GJ)]]*3.6/1000</f>
        <v>0</v>
      </c>
      <c r="J560" t="s">
        <v>104</v>
      </c>
      <c r="K560" t="s">
        <v>109</v>
      </c>
    </row>
    <row r="561" spans="1:11" hidden="1" x14ac:dyDescent="0.3">
      <c r="A561" t="s">
        <v>30</v>
      </c>
      <c r="B561" t="s">
        <v>49</v>
      </c>
      <c r="C561" t="s">
        <v>72</v>
      </c>
      <c r="D561">
        <v>5.7</v>
      </c>
      <c r="E561">
        <f>Tableau4[[#This Row],[Potential (PJ)]]*1000/3.6</f>
        <v>1583.3333333333333</v>
      </c>
      <c r="F561">
        <v>1.0720000000000001</v>
      </c>
      <c r="G561">
        <f>Tableau4[[#This Row],[Cost (€/GJ)]]*3.6/1000</f>
        <v>3.8592000000000006E-3</v>
      </c>
      <c r="H561">
        <v>3.86607608129234</v>
      </c>
      <c r="I561">
        <f>Tableau4[[#This Row],[GHG (kgCO2eq/GJ)]]*3.6/1000</f>
        <v>1.3917873892652425E-2</v>
      </c>
      <c r="J561" t="s">
        <v>104</v>
      </c>
      <c r="K561" t="s">
        <v>108</v>
      </c>
    </row>
    <row r="562" spans="1:11" hidden="1" x14ac:dyDescent="0.3">
      <c r="A562" t="s">
        <v>30</v>
      </c>
      <c r="B562" t="s">
        <v>50</v>
      </c>
      <c r="C562" t="s">
        <v>73</v>
      </c>
      <c r="D562">
        <v>0.1</v>
      </c>
      <c r="E562">
        <f>Tableau4[[#This Row],[Potential (PJ)]]*1000/3.6</f>
        <v>27.777777777777779</v>
      </c>
      <c r="F562">
        <v>4.8520000000000003</v>
      </c>
      <c r="G562">
        <f>Tableau4[[#This Row],[Cost (€/GJ)]]*3.6/1000</f>
        <v>1.7467200000000002E-2</v>
      </c>
      <c r="H562">
        <v>20.723404255319149</v>
      </c>
      <c r="I562">
        <f>Tableau4[[#This Row],[GHG (kgCO2eq/GJ)]]*3.6/1000</f>
        <v>7.4604255319148938E-2</v>
      </c>
      <c r="J562" t="s">
        <v>105</v>
      </c>
      <c r="K562" t="s">
        <v>108</v>
      </c>
    </row>
    <row r="563" spans="1:11" hidden="1" x14ac:dyDescent="0.3">
      <c r="A563" t="s">
        <v>30</v>
      </c>
      <c r="B563" t="s">
        <v>50</v>
      </c>
      <c r="C563" t="s">
        <v>74</v>
      </c>
      <c r="D563">
        <v>0.3</v>
      </c>
      <c r="E563">
        <f>Tableau4[[#This Row],[Potential (PJ)]]*1000/3.6</f>
        <v>83.333333333333329</v>
      </c>
      <c r="F563">
        <v>3.391999999999999</v>
      </c>
      <c r="G563">
        <f>Tableau4[[#This Row],[Cost (€/GJ)]]*3.6/1000</f>
        <v>1.2211199999999997E-2</v>
      </c>
      <c r="H563">
        <v>2.0635593220338988</v>
      </c>
      <c r="I563">
        <f>Tableau4[[#This Row],[GHG (kgCO2eq/GJ)]]*3.6/1000</f>
        <v>7.428813559322036E-3</v>
      </c>
      <c r="J563" t="s">
        <v>105</v>
      </c>
      <c r="K563" t="s">
        <v>108</v>
      </c>
    </row>
    <row r="564" spans="1:11" hidden="1" x14ac:dyDescent="0.3">
      <c r="A564" t="s">
        <v>30</v>
      </c>
      <c r="B564" t="s">
        <v>51</v>
      </c>
      <c r="C564" t="s">
        <v>75</v>
      </c>
      <c r="D564">
        <v>0</v>
      </c>
      <c r="E564">
        <f>Tableau4[[#This Row],[Potential (PJ)]]*1000/3.6</f>
        <v>0</v>
      </c>
      <c r="F564">
        <v>8.84487541138336E-2</v>
      </c>
      <c r="G564">
        <f>Tableau4[[#This Row],[Cost (€/GJ)]]*3.6/1000</f>
        <v>3.1841551480980097E-4</v>
      </c>
      <c r="H564">
        <v>11.74</v>
      </c>
      <c r="I564">
        <f>Tableau4[[#This Row],[GHG (kgCO2eq/GJ)]]*3.6/1000</f>
        <v>4.2264000000000003E-2</v>
      </c>
      <c r="J564" t="s">
        <v>104</v>
      </c>
      <c r="K564" t="s">
        <v>108</v>
      </c>
    </row>
    <row r="565" spans="1:11" hidden="1" x14ac:dyDescent="0.3">
      <c r="A565" t="s">
        <v>30</v>
      </c>
      <c r="B565" t="s">
        <v>53</v>
      </c>
      <c r="C565" t="s">
        <v>77</v>
      </c>
      <c r="D565">
        <v>3.2</v>
      </c>
      <c r="E565">
        <f>Tableau4[[#This Row],[Potential (PJ)]]*1000/3.6</f>
        <v>888.88888888888891</v>
      </c>
      <c r="F565">
        <v>1.0720000000000001</v>
      </c>
      <c r="G565">
        <f>Tableau4[[#This Row],[Cost (€/GJ)]]*3.6/1000</f>
        <v>3.8592000000000006E-3</v>
      </c>
      <c r="H565">
        <v>3.86607608129234</v>
      </c>
      <c r="I565">
        <f>Tableau4[[#This Row],[GHG (kgCO2eq/GJ)]]*3.6/1000</f>
        <v>1.3917873892652425E-2</v>
      </c>
      <c r="J565" t="s">
        <v>104</v>
      </c>
      <c r="K565" t="s">
        <v>108</v>
      </c>
    </row>
    <row r="566" spans="1:11" hidden="1" x14ac:dyDescent="0.3">
      <c r="A566" t="s">
        <v>31</v>
      </c>
      <c r="B566" t="s">
        <v>46</v>
      </c>
      <c r="C566" t="s">
        <v>63</v>
      </c>
      <c r="D566">
        <v>1.4999999999999999E-2</v>
      </c>
      <c r="E566">
        <f>Tableau4[[#This Row],[Potential (PJ)]]*1000/3.6</f>
        <v>4.166666666666667</v>
      </c>
      <c r="F566">
        <v>2.9286474973375931</v>
      </c>
      <c r="G566">
        <f>Tableau4[[#This Row],[Cost (€/GJ)]]*3.6/1000</f>
        <v>1.0543130990415334E-2</v>
      </c>
      <c r="H566">
        <v>3.950479233226837</v>
      </c>
      <c r="I566">
        <f>Tableau4[[#This Row],[GHG (kgCO2eq/GJ)]]*3.6/1000</f>
        <v>1.4221725239616614E-2</v>
      </c>
      <c r="J566" t="s">
        <v>104</v>
      </c>
      <c r="K566" t="s">
        <v>108</v>
      </c>
    </row>
    <row r="567" spans="1:11" hidden="1" x14ac:dyDescent="0.3">
      <c r="A567" t="s">
        <v>31</v>
      </c>
      <c r="B567" t="s">
        <v>46</v>
      </c>
      <c r="C567" t="s">
        <v>64</v>
      </c>
      <c r="D567">
        <v>0.47676000000000002</v>
      </c>
      <c r="E567">
        <f>Tableau4[[#This Row],[Potential (PJ)]]*1000/3.6</f>
        <v>132.43333333333334</v>
      </c>
      <c r="F567">
        <v>0</v>
      </c>
      <c r="G567">
        <f>Tableau4[[#This Row],[Cost (€/GJ)]]*3.6/1000</f>
        <v>0</v>
      </c>
      <c r="H567">
        <v>2.9521711768407801</v>
      </c>
      <c r="I567">
        <f>Tableau4[[#This Row],[GHG (kgCO2eq/GJ)]]*3.6/1000</f>
        <v>1.0627816236626808E-2</v>
      </c>
      <c r="J567" t="s">
        <v>104</v>
      </c>
      <c r="K567" t="s">
        <v>108</v>
      </c>
    </row>
    <row r="568" spans="1:11" hidden="1" x14ac:dyDescent="0.3">
      <c r="A568" t="s">
        <v>31</v>
      </c>
      <c r="B568" t="s">
        <v>46</v>
      </c>
      <c r="C568" t="s">
        <v>79</v>
      </c>
      <c r="D568">
        <v>1.6</v>
      </c>
      <c r="E568">
        <f>Tableau4[[#This Row],[Potential (PJ)]]*1000/3.6</f>
        <v>444.44444444444446</v>
      </c>
      <c r="F568">
        <v>0</v>
      </c>
      <c r="G568">
        <f>Tableau4[[#This Row],[Cost (€/GJ)]]*3.6/1000</f>
        <v>0</v>
      </c>
      <c r="H568">
        <v>6.8428961748633883</v>
      </c>
      <c r="I568">
        <f>Tableau4[[#This Row],[GHG (kgCO2eq/GJ)]]*3.6/1000</f>
        <v>2.4634426229508198E-2</v>
      </c>
      <c r="J568" t="s">
        <v>104</v>
      </c>
      <c r="K568" t="s">
        <v>108</v>
      </c>
    </row>
    <row r="569" spans="1:11" hidden="1" x14ac:dyDescent="0.3">
      <c r="A569" t="s">
        <v>31</v>
      </c>
      <c r="B569" t="s">
        <v>46</v>
      </c>
      <c r="C569" t="s">
        <v>65</v>
      </c>
      <c r="D569">
        <v>0.6</v>
      </c>
      <c r="E569">
        <f>Tableau4[[#This Row],[Potential (PJ)]]*1000/3.6</f>
        <v>166.66666666666666</v>
      </c>
      <c r="F569">
        <v>4.3049999999999997</v>
      </c>
      <c r="G569">
        <f>Tableau4[[#This Row],[Cost (€/GJ)]]*3.6/1000</f>
        <v>1.5498E-2</v>
      </c>
      <c r="H569">
        <v>2.9521711768407801</v>
      </c>
      <c r="I569">
        <f>Tableau4[[#This Row],[GHG (kgCO2eq/GJ)]]*3.6/1000</f>
        <v>1.0627816236626808E-2</v>
      </c>
      <c r="J569" t="s">
        <v>104</v>
      </c>
      <c r="K569" t="s">
        <v>108</v>
      </c>
    </row>
    <row r="570" spans="1:11" hidden="1" x14ac:dyDescent="0.3">
      <c r="A570" t="s">
        <v>31</v>
      </c>
      <c r="B570" t="s">
        <v>46</v>
      </c>
      <c r="C570" t="s">
        <v>66</v>
      </c>
      <c r="D570">
        <v>0.6</v>
      </c>
      <c r="E570">
        <f>Tableau4[[#This Row],[Potential (PJ)]]*1000/3.6</f>
        <v>166.66666666666666</v>
      </c>
      <c r="F570">
        <v>0</v>
      </c>
      <c r="G570">
        <f>Tableau4[[#This Row],[Cost (€/GJ)]]*3.6/1000</f>
        <v>0</v>
      </c>
      <c r="H570">
        <v>6.8428961748633883</v>
      </c>
      <c r="I570">
        <f>Tableau4[[#This Row],[GHG (kgCO2eq/GJ)]]*3.6/1000</f>
        <v>2.4634426229508198E-2</v>
      </c>
      <c r="J570" t="s">
        <v>104</v>
      </c>
      <c r="K570" t="s">
        <v>108</v>
      </c>
    </row>
    <row r="571" spans="1:11" hidden="1" x14ac:dyDescent="0.3">
      <c r="A571" t="s">
        <v>31</v>
      </c>
      <c r="B571" t="s">
        <v>46</v>
      </c>
      <c r="C571" t="s">
        <v>82</v>
      </c>
      <c r="D571">
        <v>0.1</v>
      </c>
      <c r="E571">
        <f>Tableau4[[#This Row],[Potential (PJ)]]*1000/3.6</f>
        <v>27.777777777777779</v>
      </c>
      <c r="F571">
        <v>0</v>
      </c>
      <c r="G571">
        <f>Tableau4[[#This Row],[Cost (€/GJ)]]*3.6/1000</f>
        <v>0</v>
      </c>
      <c r="H571">
        <v>6.8428961748633883</v>
      </c>
      <c r="I571">
        <f>Tableau4[[#This Row],[GHG (kgCO2eq/GJ)]]*3.6/1000</f>
        <v>2.4634426229508198E-2</v>
      </c>
      <c r="J571" t="s">
        <v>104</v>
      </c>
      <c r="K571" t="s">
        <v>108</v>
      </c>
    </row>
    <row r="572" spans="1:11" hidden="1" x14ac:dyDescent="0.3">
      <c r="A572" t="s">
        <v>31</v>
      </c>
      <c r="B572" t="s">
        <v>46</v>
      </c>
      <c r="C572" t="s">
        <v>83</v>
      </c>
      <c r="D572">
        <v>9.5130000000000006E-2</v>
      </c>
      <c r="E572">
        <f>Tableau4[[#This Row],[Potential (PJ)]]*1000/3.6</f>
        <v>26.425000000000001</v>
      </c>
      <c r="F572">
        <v>0</v>
      </c>
      <c r="G572">
        <f>Tableau4[[#This Row],[Cost (€/GJ)]]*3.6/1000</f>
        <v>0</v>
      </c>
      <c r="H572">
        <v>6.8428961748633883</v>
      </c>
      <c r="I572">
        <f>Tableau4[[#This Row],[GHG (kgCO2eq/GJ)]]*3.6/1000</f>
        <v>2.4634426229508198E-2</v>
      </c>
      <c r="J572" t="s">
        <v>104</v>
      </c>
      <c r="K572" t="s">
        <v>108</v>
      </c>
    </row>
    <row r="573" spans="1:11" hidden="1" x14ac:dyDescent="0.3">
      <c r="A573" t="s">
        <v>31</v>
      </c>
      <c r="B573" t="s">
        <v>46</v>
      </c>
      <c r="C573" t="s">
        <v>85</v>
      </c>
      <c r="D573">
        <v>0.2</v>
      </c>
      <c r="E573">
        <f>Tableau4[[#This Row],[Potential (PJ)]]*1000/3.6</f>
        <v>55.555555555555557</v>
      </c>
      <c r="F573">
        <v>0</v>
      </c>
      <c r="G573">
        <f>Tableau4[[#This Row],[Cost (€/GJ)]]*3.6/1000</f>
        <v>0</v>
      </c>
      <c r="H573">
        <v>2.9521711768407801</v>
      </c>
      <c r="I573">
        <f>Tableau4[[#This Row],[GHG (kgCO2eq/GJ)]]*3.6/1000</f>
        <v>1.0627816236626808E-2</v>
      </c>
      <c r="J573" t="s">
        <v>104</v>
      </c>
      <c r="K573" t="s">
        <v>108</v>
      </c>
    </row>
    <row r="574" spans="1:11" hidden="1" x14ac:dyDescent="0.3">
      <c r="A574" t="s">
        <v>31</v>
      </c>
      <c r="B574" t="s">
        <v>47</v>
      </c>
      <c r="C574" t="s">
        <v>68</v>
      </c>
      <c r="D574">
        <v>14.5</v>
      </c>
      <c r="E574">
        <f>Tableau4[[#This Row],[Potential (PJ)]]*1000/3.6</f>
        <v>4027.7777777777778</v>
      </c>
      <c r="F574">
        <v>3.9710000000000001</v>
      </c>
      <c r="G574">
        <f>Tableau4[[#This Row],[Cost (€/GJ)]]*3.6/1000</f>
        <v>1.42956E-2</v>
      </c>
      <c r="H574">
        <v>14.1</v>
      </c>
      <c r="I574">
        <f>Tableau4[[#This Row],[GHG (kgCO2eq/GJ)]]*3.6/1000</f>
        <v>5.076E-2</v>
      </c>
      <c r="J574" t="s">
        <v>104</v>
      </c>
      <c r="K574" t="s">
        <v>109</v>
      </c>
    </row>
    <row r="575" spans="1:11" hidden="1" x14ac:dyDescent="0.3">
      <c r="A575" t="s">
        <v>31</v>
      </c>
      <c r="B575" t="s">
        <v>47</v>
      </c>
      <c r="C575" t="s">
        <v>69</v>
      </c>
      <c r="D575">
        <v>10.199999999999999</v>
      </c>
      <c r="E575">
        <f>Tableau4[[#This Row],[Potential (PJ)]]*1000/3.6</f>
        <v>2833.3333333333335</v>
      </c>
      <c r="F575">
        <v>3.9830000000000001</v>
      </c>
      <c r="G575">
        <f>Tableau4[[#This Row],[Cost (€/GJ)]]*3.6/1000</f>
        <v>1.4338800000000001E-2</v>
      </c>
      <c r="H575">
        <v>14.1</v>
      </c>
      <c r="I575">
        <f>Tableau4[[#This Row],[GHG (kgCO2eq/GJ)]]*3.6/1000</f>
        <v>5.076E-2</v>
      </c>
      <c r="J575" t="s">
        <v>104</v>
      </c>
      <c r="K575" t="s">
        <v>109</v>
      </c>
    </row>
    <row r="576" spans="1:11" hidden="1" x14ac:dyDescent="0.3">
      <c r="A576" t="s">
        <v>31</v>
      </c>
      <c r="B576" t="s">
        <v>48</v>
      </c>
      <c r="C576" t="s">
        <v>70</v>
      </c>
      <c r="D576">
        <v>5.4</v>
      </c>
      <c r="E576">
        <f>Tableau4[[#This Row],[Potential (PJ)]]*1000/3.6</f>
        <v>1500</v>
      </c>
      <c r="F576">
        <v>10.238</v>
      </c>
      <c r="G576">
        <f>Tableau4[[#This Row],[Cost (€/GJ)]]*3.6/1000</f>
        <v>3.6856800000000002E-2</v>
      </c>
      <c r="H576">
        <v>0</v>
      </c>
      <c r="I576">
        <f>Tableau4[[#This Row],[GHG (kgCO2eq/GJ)]]*3.6/1000</f>
        <v>0</v>
      </c>
      <c r="J576" t="s">
        <v>104</v>
      </c>
      <c r="K576" t="s">
        <v>109</v>
      </c>
    </row>
    <row r="577" spans="1:11" hidden="1" x14ac:dyDescent="0.3">
      <c r="A577" t="s">
        <v>31</v>
      </c>
      <c r="B577" t="s">
        <v>49</v>
      </c>
      <c r="C577" t="s">
        <v>71</v>
      </c>
      <c r="D577">
        <v>5.5903600000000004</v>
      </c>
      <c r="E577">
        <f>Tableau4[[#This Row],[Potential (PJ)]]*1000/3.6</f>
        <v>1552.877777777778</v>
      </c>
      <c r="F577">
        <v>0</v>
      </c>
      <c r="G577">
        <f>Tableau4[[#This Row],[Cost (€/GJ)]]*3.6/1000</f>
        <v>0</v>
      </c>
      <c r="H577">
        <v>3.86607608129234</v>
      </c>
      <c r="I577">
        <f>Tableau4[[#This Row],[GHG (kgCO2eq/GJ)]]*3.6/1000</f>
        <v>1.3917873892652425E-2</v>
      </c>
      <c r="J577" t="s">
        <v>104</v>
      </c>
      <c r="K577" t="s">
        <v>108</v>
      </c>
    </row>
    <row r="578" spans="1:11" hidden="1" x14ac:dyDescent="0.3">
      <c r="A578" t="s">
        <v>31</v>
      </c>
      <c r="B578" t="s">
        <v>49</v>
      </c>
      <c r="C578" t="s">
        <v>72</v>
      </c>
      <c r="D578">
        <v>8.6999999999999993</v>
      </c>
      <c r="E578">
        <f>Tableau4[[#This Row],[Potential (PJ)]]*1000/3.6</f>
        <v>2416.6666666666665</v>
      </c>
      <c r="F578">
        <v>0</v>
      </c>
      <c r="G578">
        <f>Tableau4[[#This Row],[Cost (€/GJ)]]*3.6/1000</f>
        <v>0</v>
      </c>
      <c r="H578">
        <v>3.86607608129234</v>
      </c>
      <c r="I578">
        <f>Tableau4[[#This Row],[GHG (kgCO2eq/GJ)]]*3.6/1000</f>
        <v>1.3917873892652425E-2</v>
      </c>
      <c r="J578" t="s">
        <v>104</v>
      </c>
      <c r="K578" t="s">
        <v>108</v>
      </c>
    </row>
    <row r="579" spans="1:11" hidden="1" x14ac:dyDescent="0.3">
      <c r="A579" t="s">
        <v>31</v>
      </c>
      <c r="B579" t="s">
        <v>50</v>
      </c>
      <c r="C579" t="s">
        <v>73</v>
      </c>
      <c r="D579">
        <v>0.3</v>
      </c>
      <c r="E579">
        <f>Tableau4[[#This Row],[Potential (PJ)]]*1000/3.6</f>
        <v>83.333333333333329</v>
      </c>
      <c r="F579">
        <v>4.7309999999999999</v>
      </c>
      <c r="G579">
        <f>Tableau4[[#This Row],[Cost (€/GJ)]]*3.6/1000</f>
        <v>1.7031600000000001E-2</v>
      </c>
      <c r="H579">
        <v>20.723404255319149</v>
      </c>
      <c r="I579">
        <f>Tableau4[[#This Row],[GHG (kgCO2eq/GJ)]]*3.6/1000</f>
        <v>7.4604255319148938E-2</v>
      </c>
      <c r="J579" t="s">
        <v>105</v>
      </c>
      <c r="K579" t="s">
        <v>108</v>
      </c>
    </row>
    <row r="580" spans="1:11" hidden="1" x14ac:dyDescent="0.3">
      <c r="A580" t="s">
        <v>31</v>
      </c>
      <c r="B580" t="s">
        <v>50</v>
      </c>
      <c r="C580" t="s">
        <v>74</v>
      </c>
      <c r="D580">
        <v>0.8</v>
      </c>
      <c r="E580">
        <f>Tableau4[[#This Row],[Potential (PJ)]]*1000/3.6</f>
        <v>222.22222222222223</v>
      </c>
      <c r="F580">
        <v>3.3919999999999999</v>
      </c>
      <c r="G580">
        <f>Tableau4[[#This Row],[Cost (€/GJ)]]*3.6/1000</f>
        <v>1.22112E-2</v>
      </c>
      <c r="H580">
        <v>2.0635593220338988</v>
      </c>
      <c r="I580">
        <f>Tableau4[[#This Row],[GHG (kgCO2eq/GJ)]]*3.6/1000</f>
        <v>7.428813559322036E-3</v>
      </c>
      <c r="J580" t="s">
        <v>105</v>
      </c>
      <c r="K580" t="s">
        <v>108</v>
      </c>
    </row>
    <row r="581" spans="1:11" hidden="1" x14ac:dyDescent="0.3">
      <c r="A581" t="s">
        <v>31</v>
      </c>
      <c r="B581" t="s">
        <v>51</v>
      </c>
      <c r="C581" t="s">
        <v>75</v>
      </c>
      <c r="D581">
        <v>1.573148</v>
      </c>
      <c r="E581">
        <f>Tableau4[[#This Row],[Potential (PJ)]]*1000/3.6</f>
        <v>436.98555555555549</v>
      </c>
      <c r="F581">
        <v>3.09803450389264E-2</v>
      </c>
      <c r="G581">
        <f>Tableau4[[#This Row],[Cost (€/GJ)]]*3.6/1000</f>
        <v>1.1152924214013505E-4</v>
      </c>
      <c r="H581">
        <v>11.74</v>
      </c>
      <c r="I581">
        <f>Tableau4[[#This Row],[GHG (kgCO2eq/GJ)]]*3.6/1000</f>
        <v>4.2264000000000003E-2</v>
      </c>
      <c r="J581" t="s">
        <v>104</v>
      </c>
      <c r="K581" t="s">
        <v>108</v>
      </c>
    </row>
    <row r="582" spans="1:11" hidden="1" x14ac:dyDescent="0.3">
      <c r="A582" t="s">
        <v>31</v>
      </c>
      <c r="B582" t="s">
        <v>52</v>
      </c>
      <c r="C582" t="s">
        <v>76</v>
      </c>
      <c r="D582">
        <v>1.7000000000000001E-2</v>
      </c>
      <c r="E582">
        <f>Tableau4[[#This Row],[Potential (PJ)]]*1000/3.6</f>
        <v>4.7222222222222223</v>
      </c>
      <c r="F582">
        <v>4.7567250000000003</v>
      </c>
      <c r="G582">
        <f>Tableau4[[#This Row],[Cost (€/GJ)]]*3.6/1000</f>
        <v>1.7124210000000001E-2</v>
      </c>
      <c r="H582">
        <v>12.68872359754714</v>
      </c>
      <c r="I582">
        <f>Tableau4[[#This Row],[GHG (kgCO2eq/GJ)]]*3.6/1000</f>
        <v>4.5679404951169705E-2</v>
      </c>
      <c r="J582" t="s">
        <v>105</v>
      </c>
      <c r="K582" t="s">
        <v>108</v>
      </c>
    </row>
    <row r="583" spans="1:11" hidden="1" x14ac:dyDescent="0.3">
      <c r="A583" t="s">
        <v>31</v>
      </c>
      <c r="B583" t="s">
        <v>53</v>
      </c>
      <c r="C583" t="s">
        <v>77</v>
      </c>
      <c r="D583">
        <v>5.5</v>
      </c>
      <c r="E583">
        <f>Tableau4[[#This Row],[Potential (PJ)]]*1000/3.6</f>
        <v>1527.7777777777778</v>
      </c>
      <c r="F583">
        <v>0</v>
      </c>
      <c r="G583">
        <f>Tableau4[[#This Row],[Cost (€/GJ)]]*3.6/1000</f>
        <v>0</v>
      </c>
      <c r="H583">
        <v>3.86607608129234</v>
      </c>
      <c r="I583">
        <f>Tableau4[[#This Row],[GHG (kgCO2eq/GJ)]]*3.6/1000</f>
        <v>1.3917873892652425E-2</v>
      </c>
      <c r="J583" t="s">
        <v>104</v>
      </c>
      <c r="K583" t="s">
        <v>108</v>
      </c>
    </row>
    <row r="584" spans="1:11" hidden="1" x14ac:dyDescent="0.3">
      <c r="A584" t="s">
        <v>31</v>
      </c>
      <c r="B584" t="s">
        <v>54</v>
      </c>
      <c r="C584" t="s">
        <v>78</v>
      </c>
      <c r="D584">
        <v>3.5</v>
      </c>
      <c r="E584">
        <f>Tableau4[[#This Row],[Potential (PJ)]]*1000/3.6</f>
        <v>972.22222222222217</v>
      </c>
      <c r="F584">
        <v>0</v>
      </c>
      <c r="G584">
        <f>Tableau4[[#This Row],[Cost (€/GJ)]]*3.6/1000</f>
        <v>0</v>
      </c>
      <c r="H584">
        <v>3.86607608129234</v>
      </c>
      <c r="I584">
        <f>Tableau4[[#This Row],[GHG (kgCO2eq/GJ)]]*3.6/1000</f>
        <v>1.3917873892652425E-2</v>
      </c>
      <c r="J584" t="s">
        <v>104</v>
      </c>
      <c r="K584" t="s">
        <v>108</v>
      </c>
    </row>
    <row r="585" spans="1:11" hidden="1" x14ac:dyDescent="0.3">
      <c r="A585" t="s">
        <v>32</v>
      </c>
      <c r="B585" t="s">
        <v>46</v>
      </c>
      <c r="C585" t="s">
        <v>103</v>
      </c>
      <c r="D585">
        <v>2.3E-2</v>
      </c>
      <c r="E585">
        <f>Tableau4[[#This Row],[Potential (PJ)]]*1000/3.6</f>
        <v>6.3888888888888884</v>
      </c>
      <c r="F585">
        <v>0</v>
      </c>
      <c r="G585">
        <f>Tableau4[[#This Row],[Cost (€/GJ)]]*3.6/1000</f>
        <v>0</v>
      </c>
      <c r="I585">
        <f>Tableau4[[#This Row],[GHG (kgCO2eq/GJ)]]*3.6/1000</f>
        <v>0</v>
      </c>
    </row>
    <row r="586" spans="1:11" hidden="1" x14ac:dyDescent="0.3">
      <c r="A586" t="s">
        <v>32</v>
      </c>
      <c r="B586" t="s">
        <v>58</v>
      </c>
      <c r="C586" t="s">
        <v>103</v>
      </c>
      <c r="D586">
        <v>6.8326999999999999E-2</v>
      </c>
      <c r="E586">
        <f>Tableau4[[#This Row],[Potential (PJ)]]*1000/3.6</f>
        <v>18.979722222222222</v>
      </c>
      <c r="F586">
        <v>0</v>
      </c>
      <c r="G586">
        <f>Tableau4[[#This Row],[Cost (€/GJ)]]*3.6/1000</f>
        <v>0</v>
      </c>
      <c r="I586">
        <f>Tableau4[[#This Row],[GHG (kgCO2eq/GJ)]]*3.6/1000</f>
        <v>0</v>
      </c>
    </row>
    <row r="587" spans="1:11" hidden="1" x14ac:dyDescent="0.3">
      <c r="A587" t="s">
        <v>32</v>
      </c>
      <c r="B587" t="s">
        <v>50</v>
      </c>
      <c r="C587" t="s">
        <v>103</v>
      </c>
      <c r="D587">
        <v>0.81403300000000001</v>
      </c>
      <c r="E587">
        <f>Tableau4[[#This Row],[Potential (PJ)]]*1000/3.6</f>
        <v>226.12027777777777</v>
      </c>
      <c r="F587">
        <v>0</v>
      </c>
      <c r="G587">
        <f>Tableau4[[#This Row],[Cost (€/GJ)]]*3.6/1000</f>
        <v>0</v>
      </c>
      <c r="I587">
        <f>Tableau4[[#This Row],[GHG (kgCO2eq/GJ)]]*3.6/1000</f>
        <v>0</v>
      </c>
    </row>
    <row r="588" spans="1:11" hidden="1" x14ac:dyDescent="0.3">
      <c r="A588" t="s">
        <v>32</v>
      </c>
      <c r="B588" t="s">
        <v>51</v>
      </c>
      <c r="C588" t="s">
        <v>75</v>
      </c>
      <c r="D588">
        <v>5.8860109999999999</v>
      </c>
      <c r="E588">
        <f>Tableau4[[#This Row],[Potential (PJ)]]*1000/3.6</f>
        <v>1635.0030555555554</v>
      </c>
      <c r="F588">
        <v>1.9481911111946199E-5</v>
      </c>
      <c r="G588">
        <f>Tableau4[[#This Row],[Cost (€/GJ)]]*3.6/1000</f>
        <v>7.0134880003006319E-8</v>
      </c>
      <c r="H588">
        <v>11.74</v>
      </c>
      <c r="I588">
        <f>Tableau4[[#This Row],[GHG (kgCO2eq/GJ)]]*3.6/1000</f>
        <v>4.2264000000000003E-2</v>
      </c>
      <c r="J588" t="s">
        <v>104</v>
      </c>
      <c r="K588" t="s">
        <v>108</v>
      </c>
    </row>
    <row r="589" spans="1:11" hidden="1" x14ac:dyDescent="0.3">
      <c r="A589" t="s">
        <v>33</v>
      </c>
      <c r="B589" t="s">
        <v>46</v>
      </c>
      <c r="C589" t="s">
        <v>64</v>
      </c>
      <c r="D589">
        <v>0.16733000000000001</v>
      </c>
      <c r="E589">
        <f>Tableau4[[#This Row],[Potential (PJ)]]*1000/3.6</f>
        <v>46.480555555555561</v>
      </c>
      <c r="F589">
        <v>6.833080380087253</v>
      </c>
      <c r="G589">
        <f>Tableau4[[#This Row],[Cost (€/GJ)]]*3.6/1000</f>
        <v>2.4599089368314109E-2</v>
      </c>
      <c r="H589">
        <v>2.9521711768407801</v>
      </c>
      <c r="I589">
        <f>Tableau4[[#This Row],[GHG (kgCO2eq/GJ)]]*3.6/1000</f>
        <v>1.0627816236626808E-2</v>
      </c>
      <c r="J589" t="s">
        <v>104</v>
      </c>
      <c r="K589" t="s">
        <v>108</v>
      </c>
    </row>
    <row r="590" spans="1:11" hidden="1" x14ac:dyDescent="0.3">
      <c r="A590" t="s">
        <v>33</v>
      </c>
      <c r="B590" t="s">
        <v>46</v>
      </c>
      <c r="C590" t="s">
        <v>79</v>
      </c>
      <c r="D590">
        <v>1.9</v>
      </c>
      <c r="E590">
        <f>Tableau4[[#This Row],[Potential (PJ)]]*1000/3.6</f>
        <v>527.77777777777771</v>
      </c>
      <c r="F590">
        <v>4.6025263157894729</v>
      </c>
      <c r="G590">
        <f>Tableau4[[#This Row],[Cost (€/GJ)]]*3.6/1000</f>
        <v>1.6569094736842104E-2</v>
      </c>
      <c r="H590">
        <v>6.8428961748633883</v>
      </c>
      <c r="I590">
        <f>Tableau4[[#This Row],[GHG (kgCO2eq/GJ)]]*3.6/1000</f>
        <v>2.4634426229508198E-2</v>
      </c>
      <c r="J590" t="s">
        <v>104</v>
      </c>
      <c r="K590" t="s">
        <v>108</v>
      </c>
    </row>
    <row r="591" spans="1:11" hidden="1" x14ac:dyDescent="0.3">
      <c r="A591" t="s">
        <v>33</v>
      </c>
      <c r="B591" t="s">
        <v>46</v>
      </c>
      <c r="C591" t="s">
        <v>80</v>
      </c>
      <c r="D591">
        <v>1.5763</v>
      </c>
      <c r="E591">
        <f>Tableau4[[#This Row],[Potential (PJ)]]*1000/3.6</f>
        <v>437.86111111111109</v>
      </c>
      <c r="F591">
        <v>0.33378287255563049</v>
      </c>
      <c r="G591">
        <f>Tableau4[[#This Row],[Cost (€/GJ)]]*3.6/1000</f>
        <v>1.2016183412002699E-3</v>
      </c>
      <c r="H591">
        <v>28.139870918023309</v>
      </c>
      <c r="I591">
        <f>Tableau4[[#This Row],[GHG (kgCO2eq/GJ)]]*3.6/1000</f>
        <v>0.10130353530488391</v>
      </c>
      <c r="J591" t="s">
        <v>105</v>
      </c>
      <c r="K591" t="s">
        <v>108</v>
      </c>
    </row>
    <row r="592" spans="1:11" hidden="1" x14ac:dyDescent="0.3">
      <c r="A592" t="s">
        <v>33</v>
      </c>
      <c r="B592" t="s">
        <v>46</v>
      </c>
      <c r="C592" t="s">
        <v>81</v>
      </c>
      <c r="D592">
        <v>1.5733999999999999</v>
      </c>
      <c r="E592">
        <f>Tableau4[[#This Row],[Potential (PJ)]]*1000/3.6</f>
        <v>437.05555555555549</v>
      </c>
      <c r="F592">
        <v>1.173913043478261</v>
      </c>
      <c r="G592">
        <f>Tableau4[[#This Row],[Cost (€/GJ)]]*3.6/1000</f>
        <v>4.2260869565217398E-3</v>
      </c>
      <c r="H592">
        <v>8.9647473560517046</v>
      </c>
      <c r="I592">
        <f>Tableau4[[#This Row],[GHG (kgCO2eq/GJ)]]*3.6/1000</f>
        <v>3.2273090481786136E-2</v>
      </c>
      <c r="J592" t="s">
        <v>105</v>
      </c>
      <c r="K592" t="s">
        <v>108</v>
      </c>
    </row>
    <row r="593" spans="1:11" hidden="1" x14ac:dyDescent="0.3">
      <c r="A593" t="s">
        <v>33</v>
      </c>
      <c r="B593" t="s">
        <v>46</v>
      </c>
      <c r="C593" t="s">
        <v>66</v>
      </c>
      <c r="D593">
        <v>3.3</v>
      </c>
      <c r="E593">
        <f>Tableau4[[#This Row],[Potential (PJ)]]*1000/3.6</f>
        <v>916.66666666666663</v>
      </c>
      <c r="F593">
        <v>4.7432727272727284</v>
      </c>
      <c r="G593">
        <f>Tableau4[[#This Row],[Cost (€/GJ)]]*3.6/1000</f>
        <v>1.7075781818181823E-2</v>
      </c>
      <c r="H593">
        <v>6.8428961748633883</v>
      </c>
      <c r="I593">
        <f>Tableau4[[#This Row],[GHG (kgCO2eq/GJ)]]*3.6/1000</f>
        <v>2.4634426229508198E-2</v>
      </c>
      <c r="J593" t="s">
        <v>104</v>
      </c>
      <c r="K593" t="s">
        <v>108</v>
      </c>
    </row>
    <row r="594" spans="1:11" hidden="1" x14ac:dyDescent="0.3">
      <c r="A594" t="s">
        <v>33</v>
      </c>
      <c r="B594" t="s">
        <v>46</v>
      </c>
      <c r="C594" t="s">
        <v>84</v>
      </c>
      <c r="D594">
        <v>0.5</v>
      </c>
      <c r="E594">
        <f>Tableau4[[#This Row],[Potential (PJ)]]*1000/3.6</f>
        <v>138.88888888888889</v>
      </c>
      <c r="F594">
        <v>2.5908000000000002</v>
      </c>
      <c r="G594">
        <f>Tableau4[[#This Row],[Cost (€/GJ)]]*3.6/1000</f>
        <v>9.3268800000000009E-3</v>
      </c>
      <c r="H594">
        <v>28.139870918023309</v>
      </c>
      <c r="I594">
        <f>Tableau4[[#This Row],[GHG (kgCO2eq/GJ)]]*3.6/1000</f>
        <v>0.10130353530488391</v>
      </c>
      <c r="J594" t="s">
        <v>105</v>
      </c>
      <c r="K594" t="s">
        <v>108</v>
      </c>
    </row>
    <row r="595" spans="1:11" hidden="1" x14ac:dyDescent="0.3">
      <c r="A595" t="s">
        <v>33</v>
      </c>
      <c r="B595" t="s">
        <v>55</v>
      </c>
      <c r="C595" t="s">
        <v>86</v>
      </c>
      <c r="D595">
        <v>1.2999999999999999E-3</v>
      </c>
      <c r="E595">
        <f>Tableau4[[#This Row],[Potential (PJ)]]*1000/3.6</f>
        <v>0.3611111111111111</v>
      </c>
      <c r="F595">
        <v>17.419</v>
      </c>
      <c r="G595">
        <f>Tableau4[[#This Row],[Cost (€/GJ)]]*3.6/1000</f>
        <v>6.2708400000000011E-2</v>
      </c>
      <c r="H595">
        <v>41.1</v>
      </c>
      <c r="I595">
        <f>Tableau4[[#This Row],[GHG (kgCO2eq/GJ)]]*3.6/1000</f>
        <v>0.14796000000000001</v>
      </c>
      <c r="J595" t="s">
        <v>106</v>
      </c>
      <c r="K595" t="s">
        <v>109</v>
      </c>
    </row>
    <row r="596" spans="1:11" hidden="1" x14ac:dyDescent="0.3">
      <c r="A596" t="s">
        <v>33</v>
      </c>
      <c r="B596" t="s">
        <v>55</v>
      </c>
      <c r="C596" t="s">
        <v>88</v>
      </c>
      <c r="D596">
        <v>0.51859999999999995</v>
      </c>
      <c r="E596">
        <f>Tableau4[[#This Row],[Potential (PJ)]]*1000/3.6</f>
        <v>144.05555555555551</v>
      </c>
      <c r="F596">
        <v>16.597000000000001</v>
      </c>
      <c r="G596">
        <f>Tableau4[[#This Row],[Cost (€/GJ)]]*3.6/1000</f>
        <v>5.9749200000000009E-2</v>
      </c>
      <c r="H596">
        <v>41.1</v>
      </c>
      <c r="I596">
        <f>Tableau4[[#This Row],[GHG (kgCO2eq/GJ)]]*3.6/1000</f>
        <v>0.14796000000000001</v>
      </c>
      <c r="J596" t="s">
        <v>106</v>
      </c>
      <c r="K596" t="s">
        <v>109</v>
      </c>
    </row>
    <row r="597" spans="1:11" hidden="1" x14ac:dyDescent="0.3">
      <c r="A597" t="s">
        <v>33</v>
      </c>
      <c r="B597" t="s">
        <v>55</v>
      </c>
      <c r="C597" t="s">
        <v>89</v>
      </c>
      <c r="D597">
        <v>8.2199999999999995E-2</v>
      </c>
      <c r="E597">
        <f>Tableau4[[#This Row],[Potential (PJ)]]*1000/3.6</f>
        <v>22.833333333333329</v>
      </c>
      <c r="F597">
        <v>0</v>
      </c>
      <c r="G597">
        <f>Tableau4[[#This Row],[Cost (€/GJ)]]*3.6/1000</f>
        <v>0</v>
      </c>
      <c r="H597">
        <v>41.1</v>
      </c>
      <c r="I597">
        <f>Tableau4[[#This Row],[GHG (kgCO2eq/GJ)]]*3.6/1000</f>
        <v>0.14796000000000001</v>
      </c>
      <c r="J597" t="s">
        <v>106</v>
      </c>
      <c r="K597" t="s">
        <v>109</v>
      </c>
    </row>
    <row r="598" spans="1:11" hidden="1" x14ac:dyDescent="0.3">
      <c r="A598" t="s">
        <v>33</v>
      </c>
      <c r="B598" t="s">
        <v>55</v>
      </c>
      <c r="C598" t="s">
        <v>90</v>
      </c>
      <c r="D598">
        <v>2.0199999999999999E-2</v>
      </c>
      <c r="E598">
        <f>Tableau4[[#This Row],[Potential (PJ)]]*1000/3.6</f>
        <v>5.6111111111111107</v>
      </c>
      <c r="F598">
        <v>22.513000000000002</v>
      </c>
      <c r="G598">
        <f>Tableau4[[#This Row],[Cost (€/GJ)]]*3.6/1000</f>
        <v>8.1046800000000002E-2</v>
      </c>
      <c r="H598">
        <v>41.1</v>
      </c>
      <c r="I598">
        <f>Tableau4[[#This Row],[GHG (kgCO2eq/GJ)]]*3.6/1000</f>
        <v>0.14796000000000001</v>
      </c>
      <c r="J598" t="s">
        <v>106</v>
      </c>
      <c r="K598" t="s">
        <v>109</v>
      </c>
    </row>
    <row r="599" spans="1:11" hidden="1" x14ac:dyDescent="0.3">
      <c r="A599" t="s">
        <v>33</v>
      </c>
      <c r="B599" t="s">
        <v>55</v>
      </c>
      <c r="C599" t="s">
        <v>92</v>
      </c>
      <c r="D599">
        <v>0.46948000000000001</v>
      </c>
      <c r="E599">
        <f>Tableau4[[#This Row],[Potential (PJ)]]*1000/3.6</f>
        <v>130.41111111111113</v>
      </c>
      <c r="F599">
        <v>17.239999999999998</v>
      </c>
      <c r="G599">
        <f>Tableau4[[#This Row],[Cost (€/GJ)]]*3.6/1000</f>
        <v>6.2063999999999994E-2</v>
      </c>
      <c r="H599">
        <v>41.1</v>
      </c>
      <c r="I599">
        <f>Tableau4[[#This Row],[GHG (kgCO2eq/GJ)]]*3.6/1000</f>
        <v>0.14796000000000001</v>
      </c>
      <c r="J599" t="s">
        <v>106</v>
      </c>
      <c r="K599" t="s">
        <v>109</v>
      </c>
    </row>
    <row r="600" spans="1:11" hidden="1" x14ac:dyDescent="0.3">
      <c r="A600" t="s">
        <v>33</v>
      </c>
      <c r="B600" t="s">
        <v>56</v>
      </c>
      <c r="C600" t="s">
        <v>93</v>
      </c>
      <c r="D600">
        <v>15.794499999999999</v>
      </c>
      <c r="E600">
        <f>Tableau4[[#This Row],[Potential (PJ)]]*1000/3.6</f>
        <v>4387.3611111111113</v>
      </c>
      <c r="F600">
        <v>2.939759036144578</v>
      </c>
      <c r="G600">
        <f>Tableau4[[#This Row],[Cost (€/GJ)]]*3.6/1000</f>
        <v>1.0583132530120483E-2</v>
      </c>
      <c r="H600">
        <v>53.4</v>
      </c>
      <c r="I600">
        <f>Tableau4[[#This Row],[GHG (kgCO2eq/GJ)]]*3.6/1000</f>
        <v>0.19224000000000002</v>
      </c>
      <c r="J600" t="s">
        <v>106</v>
      </c>
      <c r="K600" t="s">
        <v>109</v>
      </c>
    </row>
    <row r="601" spans="1:11" hidden="1" x14ac:dyDescent="0.3">
      <c r="A601" t="s">
        <v>33</v>
      </c>
      <c r="B601" t="s">
        <v>47</v>
      </c>
      <c r="C601" t="s">
        <v>68</v>
      </c>
      <c r="D601">
        <v>9.5</v>
      </c>
      <c r="E601">
        <f>Tableau4[[#This Row],[Potential (PJ)]]*1000/3.6</f>
        <v>2638.8888888888887</v>
      </c>
      <c r="F601">
        <v>6.9111578947368431</v>
      </c>
      <c r="G601">
        <f>Tableau4[[#This Row],[Cost (€/GJ)]]*3.6/1000</f>
        <v>2.4880168421052635E-2</v>
      </c>
      <c r="H601">
        <v>23.8</v>
      </c>
      <c r="I601">
        <f>Tableau4[[#This Row],[GHG (kgCO2eq/GJ)]]*3.6/1000</f>
        <v>8.5680000000000006E-2</v>
      </c>
      <c r="J601" t="s">
        <v>104</v>
      </c>
      <c r="K601" t="s">
        <v>109</v>
      </c>
    </row>
    <row r="602" spans="1:11" hidden="1" x14ac:dyDescent="0.3">
      <c r="A602" t="s">
        <v>33</v>
      </c>
      <c r="B602" t="s">
        <v>47</v>
      </c>
      <c r="C602" t="s">
        <v>69</v>
      </c>
      <c r="D602">
        <v>13.5</v>
      </c>
      <c r="E602">
        <f>Tableau4[[#This Row],[Potential (PJ)]]*1000/3.6</f>
        <v>3750</v>
      </c>
      <c r="F602">
        <v>6.2987925925925916</v>
      </c>
      <c r="G602">
        <f>Tableau4[[#This Row],[Cost (€/GJ)]]*3.6/1000</f>
        <v>2.267565333333333E-2</v>
      </c>
      <c r="H602">
        <v>23.8</v>
      </c>
      <c r="I602">
        <f>Tableau4[[#This Row],[GHG (kgCO2eq/GJ)]]*3.6/1000</f>
        <v>8.5680000000000006E-2</v>
      </c>
      <c r="J602" t="s">
        <v>104</v>
      </c>
      <c r="K602" t="s">
        <v>109</v>
      </c>
    </row>
    <row r="603" spans="1:11" hidden="1" x14ac:dyDescent="0.3">
      <c r="A603" t="s">
        <v>33</v>
      </c>
      <c r="B603" t="s">
        <v>57</v>
      </c>
      <c r="C603" t="s">
        <v>94</v>
      </c>
      <c r="D603">
        <v>2.2000000000000002</v>
      </c>
      <c r="E603">
        <f>Tableau4[[#This Row],[Potential (PJ)]]*1000/3.6</f>
        <v>611.11111111111109</v>
      </c>
      <c r="F603">
        <v>11.907772727272731</v>
      </c>
      <c r="G603">
        <f>Tableau4[[#This Row],[Cost (€/GJ)]]*3.6/1000</f>
        <v>4.2867981818181834E-2</v>
      </c>
      <c r="H603">
        <v>48.3</v>
      </c>
      <c r="I603">
        <f>Tableau4[[#This Row],[GHG (kgCO2eq/GJ)]]*3.6/1000</f>
        <v>0.17388000000000001</v>
      </c>
      <c r="J603" t="s">
        <v>104</v>
      </c>
      <c r="K603" t="s">
        <v>109</v>
      </c>
    </row>
    <row r="604" spans="1:11" hidden="1" x14ac:dyDescent="0.3">
      <c r="A604" t="s">
        <v>33</v>
      </c>
      <c r="B604" t="s">
        <v>49</v>
      </c>
      <c r="C604" t="s">
        <v>71</v>
      </c>
      <c r="D604">
        <v>17.411349999999999</v>
      </c>
      <c r="E604">
        <f>Tableau4[[#This Row],[Potential (PJ)]]*1000/3.6</f>
        <v>4836.4861111111104</v>
      </c>
      <c r="F604">
        <v>2.500366552852018</v>
      </c>
      <c r="G604">
        <f>Tableau4[[#This Row],[Cost (€/GJ)]]*3.6/1000</f>
        <v>9.0013195902672646E-3</v>
      </c>
      <c r="H604">
        <v>3.86607608129234</v>
      </c>
      <c r="I604">
        <f>Tableau4[[#This Row],[GHG (kgCO2eq/GJ)]]*3.6/1000</f>
        <v>1.3917873892652425E-2</v>
      </c>
      <c r="J604" t="s">
        <v>104</v>
      </c>
      <c r="K604" t="s">
        <v>108</v>
      </c>
    </row>
    <row r="605" spans="1:11" hidden="1" x14ac:dyDescent="0.3">
      <c r="A605" t="s">
        <v>33</v>
      </c>
      <c r="B605" t="s">
        <v>49</v>
      </c>
      <c r="C605" t="s">
        <v>72</v>
      </c>
      <c r="D605">
        <v>2.9</v>
      </c>
      <c r="E605">
        <f>Tableau4[[#This Row],[Potential (PJ)]]*1000/3.6</f>
        <v>805.55555555555554</v>
      </c>
      <c r="F605">
        <v>3.460517241379311</v>
      </c>
      <c r="G605">
        <f>Tableau4[[#This Row],[Cost (€/GJ)]]*3.6/1000</f>
        <v>1.2457862068965519E-2</v>
      </c>
      <c r="H605">
        <v>3.86607608129234</v>
      </c>
      <c r="I605">
        <f>Tableau4[[#This Row],[GHG (kgCO2eq/GJ)]]*3.6/1000</f>
        <v>1.3917873892652425E-2</v>
      </c>
      <c r="J605" t="s">
        <v>104</v>
      </c>
      <c r="K605" t="s">
        <v>108</v>
      </c>
    </row>
    <row r="606" spans="1:11" hidden="1" x14ac:dyDescent="0.3">
      <c r="A606" t="s">
        <v>33</v>
      </c>
      <c r="B606" t="s">
        <v>58</v>
      </c>
      <c r="C606" t="s">
        <v>95</v>
      </c>
      <c r="D606">
        <v>6.5798699999999997</v>
      </c>
      <c r="E606">
        <f>Tableau4[[#This Row],[Potential (PJ)]]*1000/3.6</f>
        <v>1827.7416666666666</v>
      </c>
      <c r="F606">
        <v>1.4225246790590089</v>
      </c>
      <c r="G606">
        <f>Tableau4[[#This Row],[Cost (€/GJ)]]*3.6/1000</f>
        <v>5.1210888446124323E-3</v>
      </c>
      <c r="H606">
        <v>2.9521711768407801</v>
      </c>
      <c r="I606">
        <f>Tableau4[[#This Row],[GHG (kgCO2eq/GJ)]]*3.6/1000</f>
        <v>1.0627816236626808E-2</v>
      </c>
      <c r="J606" t="s">
        <v>104</v>
      </c>
      <c r="K606" t="s">
        <v>108</v>
      </c>
    </row>
    <row r="607" spans="1:11" hidden="1" x14ac:dyDescent="0.3">
      <c r="A607" t="s">
        <v>33</v>
      </c>
      <c r="B607" t="s">
        <v>50</v>
      </c>
      <c r="C607" t="s">
        <v>73</v>
      </c>
      <c r="D607">
        <v>41.3</v>
      </c>
      <c r="E607">
        <f>Tableau4[[#This Row],[Potential (PJ)]]*1000/3.6</f>
        <v>11472.222222222223</v>
      </c>
      <c r="F607">
        <v>5.9097651331719128</v>
      </c>
      <c r="G607">
        <f>Tableau4[[#This Row],[Cost (€/GJ)]]*3.6/1000</f>
        <v>2.1275154479418888E-2</v>
      </c>
      <c r="H607">
        <v>20.723404255319149</v>
      </c>
      <c r="I607">
        <f>Tableau4[[#This Row],[GHG (kgCO2eq/GJ)]]*3.6/1000</f>
        <v>7.4604255319148938E-2</v>
      </c>
      <c r="J607" t="s">
        <v>105</v>
      </c>
      <c r="K607" t="s">
        <v>108</v>
      </c>
    </row>
    <row r="608" spans="1:11" hidden="1" x14ac:dyDescent="0.3">
      <c r="A608" t="s">
        <v>33</v>
      </c>
      <c r="B608" t="s">
        <v>50</v>
      </c>
      <c r="C608" t="s">
        <v>74</v>
      </c>
      <c r="D608">
        <v>30.6</v>
      </c>
      <c r="E608">
        <f>Tableau4[[#This Row],[Potential (PJ)]]*1000/3.6</f>
        <v>8500</v>
      </c>
      <c r="F608">
        <v>6.513261437908497</v>
      </c>
      <c r="G608">
        <f>Tableau4[[#This Row],[Cost (€/GJ)]]*3.6/1000</f>
        <v>2.3447741176470589E-2</v>
      </c>
      <c r="H608">
        <v>2.0635593220338988</v>
      </c>
      <c r="I608">
        <f>Tableau4[[#This Row],[GHG (kgCO2eq/GJ)]]*3.6/1000</f>
        <v>7.428813559322036E-3</v>
      </c>
      <c r="J608" t="s">
        <v>105</v>
      </c>
      <c r="K608" t="s">
        <v>108</v>
      </c>
    </row>
    <row r="609" spans="1:11" hidden="1" x14ac:dyDescent="0.3">
      <c r="A609" t="s">
        <v>33</v>
      </c>
      <c r="B609" t="s">
        <v>59</v>
      </c>
      <c r="C609" t="s">
        <v>97</v>
      </c>
      <c r="D609">
        <v>2.7000000000000001E-3</v>
      </c>
      <c r="E609">
        <f>Tableau4[[#This Row],[Potential (PJ)]]*1000/3.6</f>
        <v>0.75</v>
      </c>
      <c r="F609">
        <v>20.2930005425936</v>
      </c>
      <c r="G609">
        <f>Tableau4[[#This Row],[Cost (€/GJ)]]*3.6/1000</f>
        <v>7.3054801953336967E-2</v>
      </c>
      <c r="H609">
        <v>25.7</v>
      </c>
      <c r="I609">
        <f>Tableau4[[#This Row],[GHG (kgCO2eq/GJ)]]*3.6/1000</f>
        <v>9.2519999999999991E-2</v>
      </c>
      <c r="J609" t="s">
        <v>107</v>
      </c>
      <c r="K609" t="s">
        <v>109</v>
      </c>
    </row>
    <row r="610" spans="1:11" hidden="1" x14ac:dyDescent="0.3">
      <c r="A610" t="s">
        <v>33</v>
      </c>
      <c r="B610" t="s">
        <v>51</v>
      </c>
      <c r="C610" t="s">
        <v>75</v>
      </c>
      <c r="D610">
        <v>89.377260000000007</v>
      </c>
      <c r="E610">
        <f>Tableau4[[#This Row],[Potential (PJ)]]*1000/3.6</f>
        <v>24827.01666666667</v>
      </c>
      <c r="F610">
        <v>3.3197090781219699E-2</v>
      </c>
      <c r="G610">
        <f>Tableau4[[#This Row],[Cost (€/GJ)]]*3.6/1000</f>
        <v>1.1950952681239092E-4</v>
      </c>
      <c r="H610">
        <v>11.74</v>
      </c>
      <c r="I610">
        <f>Tableau4[[#This Row],[GHG (kgCO2eq/GJ)]]*3.6/1000</f>
        <v>4.2264000000000003E-2</v>
      </c>
      <c r="J610" t="s">
        <v>104</v>
      </c>
      <c r="K610" t="s">
        <v>108</v>
      </c>
    </row>
    <row r="611" spans="1:11" hidden="1" x14ac:dyDescent="0.3">
      <c r="A611" t="s">
        <v>33</v>
      </c>
      <c r="B611" t="s">
        <v>60</v>
      </c>
      <c r="C611" t="s">
        <v>98</v>
      </c>
      <c r="D611">
        <v>1.1520000000000001E-2</v>
      </c>
      <c r="E611">
        <f>Tableau4[[#This Row],[Potential (PJ)]]*1000/3.6</f>
        <v>3.2</v>
      </c>
      <c r="F611">
        <v>12.19119226638024</v>
      </c>
      <c r="G611">
        <f>Tableau4[[#This Row],[Cost (€/GJ)]]*3.6/1000</f>
        <v>4.3888292158968868E-2</v>
      </c>
      <c r="H611">
        <v>61.8</v>
      </c>
      <c r="I611">
        <f>Tableau4[[#This Row],[GHG (kgCO2eq/GJ)]]*3.6/1000</f>
        <v>0.22247999999999998</v>
      </c>
      <c r="J611" t="s">
        <v>107</v>
      </c>
      <c r="K611" t="s">
        <v>109</v>
      </c>
    </row>
    <row r="612" spans="1:11" hidden="1" x14ac:dyDescent="0.3">
      <c r="A612" t="s">
        <v>33</v>
      </c>
      <c r="B612" t="s">
        <v>52</v>
      </c>
      <c r="C612" t="s">
        <v>76</v>
      </c>
      <c r="D612">
        <v>0.71899999999999997</v>
      </c>
      <c r="E612">
        <f>Tableau4[[#This Row],[Potential (PJ)]]*1000/3.6</f>
        <v>199.72222222222223</v>
      </c>
      <c r="F612">
        <v>4.7567250000000003</v>
      </c>
      <c r="G612">
        <f>Tableau4[[#This Row],[Cost (€/GJ)]]*3.6/1000</f>
        <v>1.7124210000000001E-2</v>
      </c>
      <c r="H612">
        <v>12.68872359754714</v>
      </c>
      <c r="I612">
        <f>Tableau4[[#This Row],[GHG (kgCO2eq/GJ)]]*3.6/1000</f>
        <v>4.5679404951169705E-2</v>
      </c>
      <c r="J612" t="s">
        <v>105</v>
      </c>
      <c r="K612" t="s">
        <v>108</v>
      </c>
    </row>
    <row r="613" spans="1:11" hidden="1" x14ac:dyDescent="0.3">
      <c r="A613" t="s">
        <v>33</v>
      </c>
      <c r="B613" t="s">
        <v>53</v>
      </c>
      <c r="C613" t="s">
        <v>77</v>
      </c>
      <c r="D613">
        <v>1.2</v>
      </c>
      <c r="E613">
        <f>Tableau4[[#This Row],[Potential (PJ)]]*1000/3.6</f>
        <v>333.33333333333331</v>
      </c>
      <c r="F613">
        <v>3.459916666666667</v>
      </c>
      <c r="G613">
        <f>Tableau4[[#This Row],[Cost (€/GJ)]]*3.6/1000</f>
        <v>1.2455700000000002E-2</v>
      </c>
      <c r="H613">
        <v>3.86607608129234</v>
      </c>
      <c r="I613">
        <f>Tableau4[[#This Row],[GHG (kgCO2eq/GJ)]]*3.6/1000</f>
        <v>1.3917873892652425E-2</v>
      </c>
      <c r="J613" t="s">
        <v>104</v>
      </c>
      <c r="K613" t="s">
        <v>108</v>
      </c>
    </row>
    <row r="614" spans="1:11" hidden="1" x14ac:dyDescent="0.3">
      <c r="A614" t="s">
        <v>33</v>
      </c>
      <c r="B614" t="s">
        <v>61</v>
      </c>
      <c r="C614" t="s">
        <v>99</v>
      </c>
      <c r="D614">
        <v>1.3</v>
      </c>
      <c r="E614">
        <f>Tableau4[[#This Row],[Potential (PJ)]]*1000/3.6</f>
        <v>361.11111111111109</v>
      </c>
      <c r="F614">
        <v>1.6473076923076919</v>
      </c>
      <c r="G614">
        <f>Tableau4[[#This Row],[Cost (€/GJ)]]*3.6/1000</f>
        <v>5.9303076923076913E-3</v>
      </c>
      <c r="H614">
        <v>2.9245635910224439</v>
      </c>
      <c r="I614">
        <f>Tableau4[[#This Row],[GHG (kgCO2eq/GJ)]]*3.6/1000</f>
        <v>1.0528428927680798E-2</v>
      </c>
      <c r="J614" t="s">
        <v>104</v>
      </c>
      <c r="K614" t="s">
        <v>108</v>
      </c>
    </row>
    <row r="615" spans="1:11" hidden="1" x14ac:dyDescent="0.3">
      <c r="A615" t="s">
        <v>33</v>
      </c>
      <c r="B615" t="s">
        <v>62</v>
      </c>
      <c r="C615" t="s">
        <v>100</v>
      </c>
      <c r="D615">
        <v>0.2</v>
      </c>
      <c r="E615">
        <f>Tableau4[[#This Row],[Potential (PJ)]]*1000/3.6</f>
        <v>55.555555555555557</v>
      </c>
      <c r="F615">
        <v>0.1</v>
      </c>
      <c r="G615">
        <f>Tableau4[[#This Row],[Cost (€/GJ)]]*3.6/1000</f>
        <v>3.6000000000000002E-4</v>
      </c>
      <c r="H615">
        <v>2.6764106050305911</v>
      </c>
      <c r="I615">
        <f>Tableau4[[#This Row],[GHG (kgCO2eq/GJ)]]*3.6/1000</f>
        <v>9.6350781781101274E-3</v>
      </c>
      <c r="J615" t="s">
        <v>104</v>
      </c>
      <c r="K615" t="s">
        <v>108</v>
      </c>
    </row>
    <row r="616" spans="1:11" hidden="1" x14ac:dyDescent="0.3">
      <c r="A616" t="s">
        <v>33</v>
      </c>
      <c r="B616" t="s">
        <v>54</v>
      </c>
      <c r="C616" t="s">
        <v>78</v>
      </c>
      <c r="D616">
        <v>8</v>
      </c>
      <c r="E616">
        <f>Tableau4[[#This Row],[Potential (PJ)]]*1000/3.6</f>
        <v>2222.2222222222222</v>
      </c>
      <c r="F616">
        <v>7.1039750000000002</v>
      </c>
      <c r="G616">
        <f>Tableau4[[#This Row],[Cost (€/GJ)]]*3.6/1000</f>
        <v>2.5574309999999999E-2</v>
      </c>
      <c r="H616">
        <v>3.86607608129234</v>
      </c>
      <c r="I616">
        <f>Tableau4[[#This Row],[GHG (kgCO2eq/GJ)]]*3.6/1000</f>
        <v>1.3917873892652425E-2</v>
      </c>
      <c r="J616" t="s">
        <v>104</v>
      </c>
      <c r="K616" t="s">
        <v>108</v>
      </c>
    </row>
    <row r="617" spans="1:11" hidden="1" x14ac:dyDescent="0.3">
      <c r="A617" t="s">
        <v>34</v>
      </c>
      <c r="B617" t="s">
        <v>47</v>
      </c>
      <c r="C617" t="s">
        <v>101</v>
      </c>
      <c r="D617">
        <v>6</v>
      </c>
      <c r="E617">
        <f>Tableau4[[#This Row],[Potential (PJ)]]*1000/3.6</f>
        <v>1666.6666666666665</v>
      </c>
      <c r="F617">
        <v>7.4660000000000002</v>
      </c>
      <c r="G617">
        <f>Tableau4[[#This Row],[Cost (€/GJ)]]*3.6/1000</f>
        <v>2.6877600000000001E-2</v>
      </c>
      <c r="H617">
        <v>0</v>
      </c>
      <c r="I617">
        <f>Tableau4[[#This Row],[GHG (kgCO2eq/GJ)]]*3.6/1000</f>
        <v>0</v>
      </c>
      <c r="J617" t="s">
        <v>104</v>
      </c>
      <c r="K617" t="s">
        <v>109</v>
      </c>
    </row>
    <row r="618" spans="1:11" hidden="1" x14ac:dyDescent="0.3">
      <c r="A618" t="s">
        <v>34</v>
      </c>
      <c r="B618" t="s">
        <v>57</v>
      </c>
      <c r="C618" t="s">
        <v>94</v>
      </c>
      <c r="D618">
        <v>5.6</v>
      </c>
      <c r="E618">
        <f>Tableau4[[#This Row],[Potential (PJ)]]*1000/3.6</f>
        <v>1555.5555555555554</v>
      </c>
      <c r="F618">
        <v>13.009</v>
      </c>
      <c r="G618">
        <f>Tableau4[[#This Row],[Cost (€/GJ)]]*3.6/1000</f>
        <v>4.6832400000000003E-2</v>
      </c>
      <c r="H618">
        <v>0</v>
      </c>
      <c r="I618">
        <f>Tableau4[[#This Row],[GHG (kgCO2eq/GJ)]]*3.6/1000</f>
        <v>0</v>
      </c>
      <c r="J618" t="s">
        <v>104</v>
      </c>
      <c r="K618" t="s">
        <v>109</v>
      </c>
    </row>
    <row r="619" spans="1:11" hidden="1" x14ac:dyDescent="0.3">
      <c r="A619" t="s">
        <v>34</v>
      </c>
      <c r="B619" t="s">
        <v>49</v>
      </c>
      <c r="C619" t="s">
        <v>71</v>
      </c>
      <c r="D619">
        <v>125.68492999999999</v>
      </c>
      <c r="E619">
        <f>Tableau4[[#This Row],[Potential (PJ)]]*1000/3.6</f>
        <v>34912.48055555555</v>
      </c>
      <c r="F619">
        <v>3.5437552054967929</v>
      </c>
      <c r="G619">
        <f>Tableau4[[#This Row],[Cost (€/GJ)]]*3.6/1000</f>
        <v>1.2757518739788455E-2</v>
      </c>
      <c r="H619">
        <v>3.86607608129234</v>
      </c>
      <c r="I619">
        <f>Tableau4[[#This Row],[GHG (kgCO2eq/GJ)]]*3.6/1000</f>
        <v>1.3917873892652425E-2</v>
      </c>
      <c r="J619" t="s">
        <v>104</v>
      </c>
      <c r="K619" t="s">
        <v>108</v>
      </c>
    </row>
    <row r="620" spans="1:11" hidden="1" x14ac:dyDescent="0.3">
      <c r="A620" t="s">
        <v>34</v>
      </c>
      <c r="B620" t="s">
        <v>49</v>
      </c>
      <c r="C620" t="s">
        <v>72</v>
      </c>
      <c r="D620">
        <v>10.9</v>
      </c>
      <c r="E620">
        <f>Tableau4[[#This Row],[Potential (PJ)]]*1000/3.6</f>
        <v>3027.7777777777778</v>
      </c>
      <c r="F620">
        <v>2.8321284403669731</v>
      </c>
      <c r="G620">
        <f>Tableau4[[#This Row],[Cost (€/GJ)]]*3.6/1000</f>
        <v>1.0195662385321104E-2</v>
      </c>
      <c r="H620">
        <v>3.86607608129234</v>
      </c>
      <c r="I620">
        <f>Tableau4[[#This Row],[GHG (kgCO2eq/GJ)]]*3.6/1000</f>
        <v>1.3917873892652425E-2</v>
      </c>
      <c r="J620" t="s">
        <v>104</v>
      </c>
      <c r="K620" t="s">
        <v>108</v>
      </c>
    </row>
    <row r="621" spans="1:11" hidden="1" x14ac:dyDescent="0.3">
      <c r="A621" t="s">
        <v>34</v>
      </c>
      <c r="B621" t="s">
        <v>51</v>
      </c>
      <c r="C621" t="s">
        <v>75</v>
      </c>
      <c r="D621">
        <v>42.07938</v>
      </c>
      <c r="E621">
        <f>Tableau4[[#This Row],[Potential (PJ)]]*1000/3.6</f>
        <v>11688.716666666665</v>
      </c>
      <c r="F621">
        <v>2.67770429980423E-3</v>
      </c>
      <c r="G621">
        <f>Tableau4[[#This Row],[Cost (€/GJ)]]*3.6/1000</f>
        <v>9.639735479295229E-6</v>
      </c>
      <c r="H621">
        <v>11.74</v>
      </c>
      <c r="I621">
        <f>Tableau4[[#This Row],[GHG (kgCO2eq/GJ)]]*3.6/1000</f>
        <v>4.2264000000000003E-2</v>
      </c>
      <c r="J621" t="s">
        <v>104</v>
      </c>
      <c r="K621" t="s">
        <v>108</v>
      </c>
    </row>
    <row r="622" spans="1:11" hidden="1" x14ac:dyDescent="0.3">
      <c r="A622" t="s">
        <v>34</v>
      </c>
      <c r="B622" t="s">
        <v>52</v>
      </c>
      <c r="C622" t="s">
        <v>76</v>
      </c>
      <c r="D622">
        <v>1.4059999999999999</v>
      </c>
      <c r="E622">
        <f>Tableau4[[#This Row],[Potential (PJ)]]*1000/3.6</f>
        <v>390.55555555555554</v>
      </c>
      <c r="F622">
        <v>4.7567250000000003</v>
      </c>
      <c r="G622">
        <f>Tableau4[[#This Row],[Cost (€/GJ)]]*3.6/1000</f>
        <v>1.7124210000000001E-2</v>
      </c>
      <c r="H622">
        <v>12.68872359754714</v>
      </c>
      <c r="I622">
        <f>Tableau4[[#This Row],[GHG (kgCO2eq/GJ)]]*3.6/1000</f>
        <v>4.5679404951169705E-2</v>
      </c>
      <c r="J622" t="s">
        <v>105</v>
      </c>
      <c r="K622" t="s">
        <v>108</v>
      </c>
    </row>
    <row r="623" spans="1:11" hidden="1" x14ac:dyDescent="0.3">
      <c r="A623" t="s">
        <v>34</v>
      </c>
      <c r="B623" t="s">
        <v>53</v>
      </c>
      <c r="C623" t="s">
        <v>77</v>
      </c>
      <c r="D623">
        <v>6.8</v>
      </c>
      <c r="E623">
        <f>Tableau4[[#This Row],[Potential (PJ)]]*1000/3.6</f>
        <v>1888.8888888888889</v>
      </c>
      <c r="F623">
        <v>2.8322205882352942</v>
      </c>
      <c r="G623">
        <f>Tableau4[[#This Row],[Cost (€/GJ)]]*3.6/1000</f>
        <v>1.0195994117647059E-2</v>
      </c>
      <c r="H623">
        <v>3.86607608129234</v>
      </c>
      <c r="I623">
        <f>Tableau4[[#This Row],[GHG (kgCO2eq/GJ)]]*3.6/1000</f>
        <v>1.3917873892652425E-2</v>
      </c>
      <c r="J623" t="s">
        <v>104</v>
      </c>
      <c r="K623" t="s">
        <v>108</v>
      </c>
    </row>
    <row r="624" spans="1:11" hidden="1" x14ac:dyDescent="0.3">
      <c r="A624" t="s">
        <v>34</v>
      </c>
      <c r="B624" t="s">
        <v>54</v>
      </c>
      <c r="C624" t="s">
        <v>78</v>
      </c>
      <c r="D624">
        <v>79</v>
      </c>
      <c r="E624">
        <f>Tableau4[[#This Row],[Potential (PJ)]]*1000/3.6</f>
        <v>21944.444444444445</v>
      </c>
      <c r="F624">
        <v>5.730632911392405</v>
      </c>
      <c r="G624">
        <f>Tableau4[[#This Row],[Cost (€/GJ)]]*3.6/1000</f>
        <v>2.0630278481012659E-2</v>
      </c>
      <c r="H624">
        <v>3.86607608129234</v>
      </c>
      <c r="I624">
        <f>Tableau4[[#This Row],[GHG (kgCO2eq/GJ)]]*3.6/1000</f>
        <v>1.3917873892652425E-2</v>
      </c>
      <c r="J624" t="s">
        <v>104</v>
      </c>
      <c r="K624" t="s">
        <v>108</v>
      </c>
    </row>
    <row r="625" spans="1:11" hidden="1" x14ac:dyDescent="0.3">
      <c r="A625" t="s">
        <v>35</v>
      </c>
      <c r="B625" t="s">
        <v>46</v>
      </c>
      <c r="C625" t="s">
        <v>64</v>
      </c>
      <c r="D625">
        <v>3.18554</v>
      </c>
      <c r="E625">
        <f>Tableau4[[#This Row],[Potential (PJ)]]*1000/3.6</f>
        <v>884.87222222222215</v>
      </c>
      <c r="F625">
        <v>5.9432818799952294</v>
      </c>
      <c r="G625">
        <f>Tableau4[[#This Row],[Cost (€/GJ)]]*3.6/1000</f>
        <v>2.1395814767982826E-2</v>
      </c>
      <c r="H625">
        <v>2.9521711768407801</v>
      </c>
      <c r="I625">
        <f>Tableau4[[#This Row],[GHG (kgCO2eq/GJ)]]*3.6/1000</f>
        <v>1.0627816236626808E-2</v>
      </c>
      <c r="J625" t="s">
        <v>104</v>
      </c>
      <c r="K625" t="s">
        <v>108</v>
      </c>
    </row>
    <row r="626" spans="1:11" hidden="1" x14ac:dyDescent="0.3">
      <c r="A626" t="s">
        <v>35</v>
      </c>
      <c r="B626" t="s">
        <v>46</v>
      </c>
      <c r="C626" t="s">
        <v>79</v>
      </c>
      <c r="D626">
        <v>78.400000000000006</v>
      </c>
      <c r="E626">
        <f>Tableau4[[#This Row],[Potential (PJ)]]*1000/3.6</f>
        <v>21777.777777777777</v>
      </c>
      <c r="F626">
        <v>2.025192602040816</v>
      </c>
      <c r="G626">
        <f>Tableau4[[#This Row],[Cost (€/GJ)]]*3.6/1000</f>
        <v>7.2906933673469376E-3</v>
      </c>
      <c r="H626">
        <v>6.8428961748633883</v>
      </c>
      <c r="I626">
        <f>Tableau4[[#This Row],[GHG (kgCO2eq/GJ)]]*3.6/1000</f>
        <v>2.4634426229508198E-2</v>
      </c>
      <c r="J626" t="s">
        <v>104</v>
      </c>
      <c r="K626" t="s">
        <v>108</v>
      </c>
    </row>
    <row r="627" spans="1:11" hidden="1" x14ac:dyDescent="0.3">
      <c r="A627" t="s">
        <v>35</v>
      </c>
      <c r="B627" t="s">
        <v>46</v>
      </c>
      <c r="C627" t="s">
        <v>65</v>
      </c>
      <c r="D627">
        <v>5.0999999999999996</v>
      </c>
      <c r="E627">
        <f>Tableau4[[#This Row],[Potential (PJ)]]*1000/3.6</f>
        <v>1416.6666666666667</v>
      </c>
      <c r="F627">
        <v>3.637960784313726</v>
      </c>
      <c r="G627">
        <f>Tableau4[[#This Row],[Cost (€/GJ)]]*3.6/1000</f>
        <v>1.3096658823529414E-2</v>
      </c>
      <c r="H627">
        <v>2.9521711768407801</v>
      </c>
      <c r="I627">
        <f>Tableau4[[#This Row],[GHG (kgCO2eq/GJ)]]*3.6/1000</f>
        <v>1.0627816236626808E-2</v>
      </c>
      <c r="J627" t="s">
        <v>104</v>
      </c>
      <c r="K627" t="s">
        <v>108</v>
      </c>
    </row>
    <row r="628" spans="1:11" hidden="1" x14ac:dyDescent="0.3">
      <c r="A628" t="s">
        <v>35</v>
      </c>
      <c r="B628" t="s">
        <v>46</v>
      </c>
      <c r="C628" t="s">
        <v>80</v>
      </c>
      <c r="D628">
        <v>1.2668999999999999</v>
      </c>
      <c r="E628">
        <f>Tableau4[[#This Row],[Potential (PJ)]]*1000/3.6</f>
        <v>351.91666666666663</v>
      </c>
      <c r="F628">
        <v>0.46459878624409978</v>
      </c>
      <c r="G628">
        <f>Tableau4[[#This Row],[Cost (€/GJ)]]*3.6/1000</f>
        <v>1.6725556304787593E-3</v>
      </c>
      <c r="H628">
        <v>28.139870918023309</v>
      </c>
      <c r="I628">
        <f>Tableau4[[#This Row],[GHG (kgCO2eq/GJ)]]*3.6/1000</f>
        <v>0.10130353530488391</v>
      </c>
      <c r="J628" t="s">
        <v>105</v>
      </c>
      <c r="K628" t="s">
        <v>108</v>
      </c>
    </row>
    <row r="629" spans="1:11" hidden="1" x14ac:dyDescent="0.3">
      <c r="A629" t="s">
        <v>35</v>
      </c>
      <c r="B629" t="s">
        <v>46</v>
      </c>
      <c r="C629" t="s">
        <v>81</v>
      </c>
      <c r="D629">
        <v>4.8923000000000014</v>
      </c>
      <c r="E629">
        <f>Tableau4[[#This Row],[Potential (PJ)]]*1000/3.6</f>
        <v>1358.9722222222224</v>
      </c>
      <c r="F629">
        <v>0.69388954171562867</v>
      </c>
      <c r="G629">
        <f>Tableau4[[#This Row],[Cost (€/GJ)]]*3.6/1000</f>
        <v>2.498002350176263E-3</v>
      </c>
      <c r="H629">
        <v>8.9647473560517046</v>
      </c>
      <c r="I629">
        <f>Tableau4[[#This Row],[GHG (kgCO2eq/GJ)]]*3.6/1000</f>
        <v>3.2273090481786136E-2</v>
      </c>
      <c r="J629" t="s">
        <v>105</v>
      </c>
      <c r="K629" t="s">
        <v>108</v>
      </c>
    </row>
    <row r="630" spans="1:11" hidden="1" x14ac:dyDescent="0.3">
      <c r="A630" t="s">
        <v>35</v>
      </c>
      <c r="B630" t="s">
        <v>46</v>
      </c>
      <c r="C630" t="s">
        <v>66</v>
      </c>
      <c r="D630">
        <v>0.1</v>
      </c>
      <c r="E630">
        <f>Tableau4[[#This Row],[Potential (PJ)]]*1000/3.6</f>
        <v>27.777777777777779</v>
      </c>
      <c r="F630">
        <v>2.1469999999999998</v>
      </c>
      <c r="G630">
        <f>Tableau4[[#This Row],[Cost (€/GJ)]]*3.6/1000</f>
        <v>7.7291999999999994E-3</v>
      </c>
      <c r="H630">
        <v>6.8428961748633883</v>
      </c>
      <c r="I630">
        <f>Tableau4[[#This Row],[GHG (kgCO2eq/GJ)]]*3.6/1000</f>
        <v>2.4634426229508198E-2</v>
      </c>
      <c r="J630" t="s">
        <v>104</v>
      </c>
      <c r="K630" t="s">
        <v>108</v>
      </c>
    </row>
    <row r="631" spans="1:11" hidden="1" x14ac:dyDescent="0.3">
      <c r="A631" t="s">
        <v>35</v>
      </c>
      <c r="B631" t="s">
        <v>46</v>
      </c>
      <c r="C631" t="s">
        <v>82</v>
      </c>
      <c r="D631">
        <v>8.6</v>
      </c>
      <c r="E631">
        <f>Tableau4[[#This Row],[Potential (PJ)]]*1000/3.6</f>
        <v>2388.8888888888887</v>
      </c>
      <c r="F631">
        <v>1.3062558139534881</v>
      </c>
      <c r="G631">
        <f>Tableau4[[#This Row],[Cost (€/GJ)]]*3.6/1000</f>
        <v>4.7025209302325576E-3</v>
      </c>
      <c r="H631">
        <v>6.8428961748633883</v>
      </c>
      <c r="I631">
        <f>Tableau4[[#This Row],[GHG (kgCO2eq/GJ)]]*3.6/1000</f>
        <v>2.4634426229508198E-2</v>
      </c>
      <c r="J631" t="s">
        <v>104</v>
      </c>
      <c r="K631" t="s">
        <v>108</v>
      </c>
    </row>
    <row r="632" spans="1:11" hidden="1" x14ac:dyDescent="0.3">
      <c r="A632" t="s">
        <v>35</v>
      </c>
      <c r="B632" t="s">
        <v>46</v>
      </c>
      <c r="C632" t="s">
        <v>84</v>
      </c>
      <c r="D632">
        <v>2.1</v>
      </c>
      <c r="E632">
        <f>Tableau4[[#This Row],[Potential (PJ)]]*1000/3.6</f>
        <v>583.33333333333337</v>
      </c>
      <c r="F632">
        <v>1.3849523809523809</v>
      </c>
      <c r="G632">
        <f>Tableau4[[#This Row],[Cost (€/GJ)]]*3.6/1000</f>
        <v>4.9858285714285714E-3</v>
      </c>
      <c r="H632">
        <v>28.139870918023309</v>
      </c>
      <c r="I632">
        <f>Tableau4[[#This Row],[GHG (kgCO2eq/GJ)]]*3.6/1000</f>
        <v>0.10130353530488391</v>
      </c>
      <c r="J632" t="s">
        <v>105</v>
      </c>
      <c r="K632" t="s">
        <v>108</v>
      </c>
    </row>
    <row r="633" spans="1:11" hidden="1" x14ac:dyDescent="0.3">
      <c r="A633" t="s">
        <v>35</v>
      </c>
      <c r="B633" t="s">
        <v>55</v>
      </c>
      <c r="C633" t="s">
        <v>86</v>
      </c>
      <c r="D633">
        <v>6.1764999999999999</v>
      </c>
      <c r="E633">
        <f>Tableau4[[#This Row],[Potential (PJ)]]*1000/3.6</f>
        <v>1715.6944444444443</v>
      </c>
      <c r="F633">
        <v>14.813999999999989</v>
      </c>
      <c r="G633">
        <f>Tableau4[[#This Row],[Cost (€/GJ)]]*3.6/1000</f>
        <v>5.3330399999999958E-2</v>
      </c>
      <c r="H633">
        <v>12.3</v>
      </c>
      <c r="I633">
        <f>Tableau4[[#This Row],[GHG (kgCO2eq/GJ)]]*3.6/1000</f>
        <v>4.428E-2</v>
      </c>
      <c r="J633" t="s">
        <v>106</v>
      </c>
      <c r="K633" t="s">
        <v>109</v>
      </c>
    </row>
    <row r="634" spans="1:11" hidden="1" x14ac:dyDescent="0.3">
      <c r="A634" t="s">
        <v>35</v>
      </c>
      <c r="B634" t="s">
        <v>55</v>
      </c>
      <c r="C634" t="s">
        <v>88</v>
      </c>
      <c r="D634">
        <v>0.1129</v>
      </c>
      <c r="E634">
        <f>Tableau4[[#This Row],[Potential (PJ)]]*1000/3.6</f>
        <v>31.361111111111111</v>
      </c>
      <c r="F634">
        <v>15.557</v>
      </c>
      <c r="G634">
        <f>Tableau4[[#This Row],[Cost (€/GJ)]]*3.6/1000</f>
        <v>5.6005200000000005E-2</v>
      </c>
      <c r="H634">
        <v>12.3</v>
      </c>
      <c r="I634">
        <f>Tableau4[[#This Row],[GHG (kgCO2eq/GJ)]]*3.6/1000</f>
        <v>4.428E-2</v>
      </c>
      <c r="J634" t="s">
        <v>106</v>
      </c>
      <c r="K634" t="s">
        <v>109</v>
      </c>
    </row>
    <row r="635" spans="1:11" hidden="1" x14ac:dyDescent="0.3">
      <c r="A635" t="s">
        <v>35</v>
      </c>
      <c r="B635" t="s">
        <v>55</v>
      </c>
      <c r="C635" t="s">
        <v>90</v>
      </c>
      <c r="D635">
        <v>0.36609999999999998</v>
      </c>
      <c r="E635">
        <f>Tableau4[[#This Row],[Potential (PJ)]]*1000/3.6</f>
        <v>101.69444444444443</v>
      </c>
      <c r="F635">
        <v>15.294</v>
      </c>
      <c r="G635">
        <f>Tableau4[[#This Row],[Cost (€/GJ)]]*3.6/1000</f>
        <v>5.5058400000000007E-2</v>
      </c>
      <c r="H635">
        <v>12.3</v>
      </c>
      <c r="I635">
        <f>Tableau4[[#This Row],[GHG (kgCO2eq/GJ)]]*3.6/1000</f>
        <v>4.428E-2</v>
      </c>
      <c r="J635" t="s">
        <v>106</v>
      </c>
      <c r="K635" t="s">
        <v>109</v>
      </c>
    </row>
    <row r="636" spans="1:11" hidden="1" x14ac:dyDescent="0.3">
      <c r="A636" t="s">
        <v>35</v>
      </c>
      <c r="B636" t="s">
        <v>55</v>
      </c>
      <c r="C636" t="s">
        <v>91</v>
      </c>
      <c r="D636">
        <v>9.4757999999999996</v>
      </c>
      <c r="E636">
        <f>Tableau4[[#This Row],[Potential (PJ)]]*1000/3.6</f>
        <v>2632.1666666666665</v>
      </c>
      <c r="F636">
        <v>12.90199999999999</v>
      </c>
      <c r="G636">
        <f>Tableau4[[#This Row],[Cost (€/GJ)]]*3.6/1000</f>
        <v>4.6447199999999966E-2</v>
      </c>
      <c r="H636">
        <v>12.3</v>
      </c>
      <c r="I636">
        <f>Tableau4[[#This Row],[GHG (kgCO2eq/GJ)]]*3.6/1000</f>
        <v>4.428E-2</v>
      </c>
      <c r="J636" t="s">
        <v>106</v>
      </c>
      <c r="K636" t="s">
        <v>109</v>
      </c>
    </row>
    <row r="637" spans="1:11" hidden="1" x14ac:dyDescent="0.3">
      <c r="A637" t="s">
        <v>35</v>
      </c>
      <c r="B637" t="s">
        <v>55</v>
      </c>
      <c r="C637" t="s">
        <v>92</v>
      </c>
      <c r="D637">
        <v>4.1813599999999997</v>
      </c>
      <c r="E637">
        <f>Tableau4[[#This Row],[Potential (PJ)]]*1000/3.6</f>
        <v>1161.4888888888888</v>
      </c>
      <c r="F637">
        <v>15.932</v>
      </c>
      <c r="G637">
        <f>Tableau4[[#This Row],[Cost (€/GJ)]]*3.6/1000</f>
        <v>5.7355200000000002E-2</v>
      </c>
      <c r="H637">
        <v>12.3</v>
      </c>
      <c r="I637">
        <f>Tableau4[[#This Row],[GHG (kgCO2eq/GJ)]]*3.6/1000</f>
        <v>4.428E-2</v>
      </c>
      <c r="J637" t="s">
        <v>106</v>
      </c>
      <c r="K637" t="s">
        <v>109</v>
      </c>
    </row>
    <row r="638" spans="1:11" hidden="1" x14ac:dyDescent="0.3">
      <c r="A638" t="s">
        <v>35</v>
      </c>
      <c r="B638" t="s">
        <v>56</v>
      </c>
      <c r="C638" t="s">
        <v>93</v>
      </c>
      <c r="D638">
        <v>146.33920000000001</v>
      </c>
      <c r="E638">
        <f>Tableau4[[#This Row],[Potential (PJ)]]*1000/3.6</f>
        <v>40649.777777777781</v>
      </c>
      <c r="F638">
        <v>2.9493975903614462</v>
      </c>
      <c r="G638">
        <f>Tableau4[[#This Row],[Cost (€/GJ)]]*3.6/1000</f>
        <v>1.0617831325301207E-2</v>
      </c>
      <c r="H638">
        <v>29.5</v>
      </c>
      <c r="I638">
        <f>Tableau4[[#This Row],[GHG (kgCO2eq/GJ)]]*3.6/1000</f>
        <v>0.1062</v>
      </c>
      <c r="J638" t="s">
        <v>106</v>
      </c>
      <c r="K638" t="s">
        <v>109</v>
      </c>
    </row>
    <row r="639" spans="1:11" hidden="1" x14ac:dyDescent="0.3">
      <c r="A639" t="s">
        <v>35</v>
      </c>
      <c r="B639" t="s">
        <v>47</v>
      </c>
      <c r="C639" t="s">
        <v>101</v>
      </c>
      <c r="D639">
        <v>292</v>
      </c>
      <c r="E639">
        <f>Tableau4[[#This Row],[Potential (PJ)]]*1000/3.6</f>
        <v>81111.111111111109</v>
      </c>
      <c r="F639">
        <v>3.2888986301369858</v>
      </c>
      <c r="G639">
        <f>Tableau4[[#This Row],[Cost (€/GJ)]]*3.6/1000</f>
        <v>1.1840035068493149E-2</v>
      </c>
      <c r="H639">
        <v>44</v>
      </c>
      <c r="I639">
        <f>Tableau4[[#This Row],[GHG (kgCO2eq/GJ)]]*3.6/1000</f>
        <v>0.15840000000000001</v>
      </c>
      <c r="J639" t="s">
        <v>104</v>
      </c>
      <c r="K639" t="s">
        <v>109</v>
      </c>
    </row>
    <row r="640" spans="1:11" hidden="1" x14ac:dyDescent="0.3">
      <c r="A640" t="s">
        <v>35</v>
      </c>
      <c r="B640" t="s">
        <v>57</v>
      </c>
      <c r="C640" t="s">
        <v>94</v>
      </c>
      <c r="D640">
        <v>131</v>
      </c>
      <c r="E640">
        <f>Tableau4[[#This Row],[Potential (PJ)]]*1000/3.6</f>
        <v>36388.888888888891</v>
      </c>
      <c r="F640">
        <v>7.3087770992366412</v>
      </c>
      <c r="G640">
        <f>Tableau4[[#This Row],[Cost (€/GJ)]]*3.6/1000</f>
        <v>2.6311597557251907E-2</v>
      </c>
      <c r="H640">
        <v>19.899999999999999</v>
      </c>
      <c r="I640">
        <f>Tableau4[[#This Row],[GHG (kgCO2eq/GJ)]]*3.6/1000</f>
        <v>7.1639999999999995E-2</v>
      </c>
      <c r="J640" t="s">
        <v>104</v>
      </c>
      <c r="K640" t="s">
        <v>109</v>
      </c>
    </row>
    <row r="641" spans="1:11" hidden="1" x14ac:dyDescent="0.3">
      <c r="A641" t="s">
        <v>35</v>
      </c>
      <c r="B641" t="s">
        <v>49</v>
      </c>
      <c r="C641" t="s">
        <v>71</v>
      </c>
      <c r="D641">
        <v>506.86909000000003</v>
      </c>
      <c r="E641">
        <f>Tableau4[[#This Row],[Potential (PJ)]]*1000/3.6</f>
        <v>140796.96944444446</v>
      </c>
      <c r="F641">
        <v>2.1189578213183209</v>
      </c>
      <c r="G641">
        <f>Tableau4[[#This Row],[Cost (€/GJ)]]*3.6/1000</f>
        <v>7.6282481567459554E-3</v>
      </c>
      <c r="H641">
        <v>3.86607608129234</v>
      </c>
      <c r="I641">
        <f>Tableau4[[#This Row],[GHG (kgCO2eq/GJ)]]*3.6/1000</f>
        <v>1.3917873892652425E-2</v>
      </c>
      <c r="J641" t="s">
        <v>104</v>
      </c>
      <c r="K641" t="s">
        <v>108</v>
      </c>
    </row>
    <row r="642" spans="1:11" hidden="1" x14ac:dyDescent="0.3">
      <c r="A642" t="s">
        <v>35</v>
      </c>
      <c r="B642" t="s">
        <v>49</v>
      </c>
      <c r="C642" t="s">
        <v>72</v>
      </c>
      <c r="D642">
        <v>24.8</v>
      </c>
      <c r="E642">
        <f>Tableau4[[#This Row],[Potential (PJ)]]*1000/3.6</f>
        <v>6888.8888888888887</v>
      </c>
      <c r="F642">
        <v>2.8338467741935491</v>
      </c>
      <c r="G642">
        <f>Tableau4[[#This Row],[Cost (€/GJ)]]*3.6/1000</f>
        <v>1.0201848387096778E-2</v>
      </c>
      <c r="H642">
        <v>3.86607608129234</v>
      </c>
      <c r="I642">
        <f>Tableau4[[#This Row],[GHG (kgCO2eq/GJ)]]*3.6/1000</f>
        <v>1.3917873892652425E-2</v>
      </c>
      <c r="J642" t="s">
        <v>104</v>
      </c>
      <c r="K642" t="s">
        <v>108</v>
      </c>
    </row>
    <row r="643" spans="1:11" hidden="1" x14ac:dyDescent="0.3">
      <c r="A643" t="s">
        <v>35</v>
      </c>
      <c r="B643" t="s">
        <v>58</v>
      </c>
      <c r="C643" t="s">
        <v>95</v>
      </c>
      <c r="D643">
        <v>49.783070000000002</v>
      </c>
      <c r="E643">
        <f>Tableau4[[#This Row],[Potential (PJ)]]*1000/3.6</f>
        <v>13828.630555555555</v>
      </c>
      <c r="F643">
        <v>0.20460933727068259</v>
      </c>
      <c r="G643">
        <f>Tableau4[[#This Row],[Cost (€/GJ)]]*3.6/1000</f>
        <v>7.365936141744574E-4</v>
      </c>
      <c r="H643">
        <v>2.9521711768407801</v>
      </c>
      <c r="I643">
        <f>Tableau4[[#This Row],[GHG (kgCO2eq/GJ)]]*3.6/1000</f>
        <v>1.0627816236626808E-2</v>
      </c>
      <c r="J643" t="s">
        <v>104</v>
      </c>
      <c r="K643" t="s">
        <v>108</v>
      </c>
    </row>
    <row r="644" spans="1:11" hidden="1" x14ac:dyDescent="0.3">
      <c r="A644" t="s">
        <v>35</v>
      </c>
      <c r="B644" t="s">
        <v>50</v>
      </c>
      <c r="C644" t="s">
        <v>73</v>
      </c>
      <c r="D644">
        <v>6.1</v>
      </c>
      <c r="E644">
        <f>Tableau4[[#This Row],[Potential (PJ)]]*1000/3.6</f>
        <v>1694.4444444444443</v>
      </c>
      <c r="F644">
        <v>5.1070000000000002</v>
      </c>
      <c r="G644">
        <f>Tableau4[[#This Row],[Cost (€/GJ)]]*3.6/1000</f>
        <v>1.8385200000000001E-2</v>
      </c>
      <c r="H644">
        <v>20.723404255319149</v>
      </c>
      <c r="I644">
        <f>Tableau4[[#This Row],[GHG (kgCO2eq/GJ)]]*3.6/1000</f>
        <v>7.4604255319148938E-2</v>
      </c>
      <c r="J644" t="s">
        <v>105</v>
      </c>
      <c r="K644" t="s">
        <v>108</v>
      </c>
    </row>
    <row r="645" spans="1:11" hidden="1" x14ac:dyDescent="0.3">
      <c r="A645" t="s">
        <v>35</v>
      </c>
      <c r="B645" t="s">
        <v>50</v>
      </c>
      <c r="C645" t="s">
        <v>74</v>
      </c>
      <c r="D645">
        <v>110.2</v>
      </c>
      <c r="E645">
        <f>Tableau4[[#This Row],[Potential (PJ)]]*1000/3.6</f>
        <v>30611.111111111109</v>
      </c>
      <c r="F645">
        <v>3.7998484573502722</v>
      </c>
      <c r="G645">
        <f>Tableau4[[#This Row],[Cost (€/GJ)]]*3.6/1000</f>
        <v>1.367945444646098E-2</v>
      </c>
      <c r="H645">
        <v>2.0635593220338988</v>
      </c>
      <c r="I645">
        <f>Tableau4[[#This Row],[GHG (kgCO2eq/GJ)]]*3.6/1000</f>
        <v>7.428813559322036E-3</v>
      </c>
      <c r="J645" t="s">
        <v>105</v>
      </c>
      <c r="K645" t="s">
        <v>108</v>
      </c>
    </row>
    <row r="646" spans="1:11" hidden="1" x14ac:dyDescent="0.3">
      <c r="A646" t="s">
        <v>35</v>
      </c>
      <c r="B646" t="s">
        <v>59</v>
      </c>
      <c r="C646" t="s">
        <v>96</v>
      </c>
      <c r="D646">
        <v>0.1021</v>
      </c>
      <c r="E646">
        <f>Tableau4[[#This Row],[Potential (PJ)]]*1000/3.6</f>
        <v>28.361111111111107</v>
      </c>
      <c r="F646">
        <v>29.969000000000001</v>
      </c>
      <c r="G646">
        <f>Tableau4[[#This Row],[Cost (€/GJ)]]*3.6/1000</f>
        <v>0.10788840000000001</v>
      </c>
      <c r="H646">
        <v>16</v>
      </c>
      <c r="I646">
        <f>Tableau4[[#This Row],[GHG (kgCO2eq/GJ)]]*3.6/1000</f>
        <v>5.7599999999999998E-2</v>
      </c>
      <c r="J646" t="s">
        <v>107</v>
      </c>
      <c r="K646" t="s">
        <v>109</v>
      </c>
    </row>
    <row r="647" spans="1:11" hidden="1" x14ac:dyDescent="0.3">
      <c r="A647" t="s">
        <v>35</v>
      </c>
      <c r="B647" t="s">
        <v>59</v>
      </c>
      <c r="C647" t="s">
        <v>97</v>
      </c>
      <c r="D647">
        <v>0.105</v>
      </c>
      <c r="E647">
        <f>Tableau4[[#This Row],[Potential (PJ)]]*1000/3.6</f>
        <v>29.166666666666664</v>
      </c>
      <c r="F647">
        <v>19.099294628323381</v>
      </c>
      <c r="G647">
        <f>Tableau4[[#This Row],[Cost (€/GJ)]]*3.6/1000</f>
        <v>6.875746066196417E-2</v>
      </c>
      <c r="H647">
        <v>16</v>
      </c>
      <c r="I647">
        <f>Tableau4[[#This Row],[GHG (kgCO2eq/GJ)]]*3.6/1000</f>
        <v>5.7599999999999998E-2</v>
      </c>
      <c r="J647" t="s">
        <v>107</v>
      </c>
      <c r="K647" t="s">
        <v>109</v>
      </c>
    </row>
    <row r="648" spans="1:11" hidden="1" x14ac:dyDescent="0.3">
      <c r="A648" t="s">
        <v>35</v>
      </c>
      <c r="B648" t="s">
        <v>51</v>
      </c>
      <c r="C648" t="s">
        <v>75</v>
      </c>
      <c r="D648">
        <v>40.509</v>
      </c>
      <c r="E648">
        <f>Tableau4[[#This Row],[Potential (PJ)]]*1000/3.6</f>
        <v>11252.5</v>
      </c>
      <c r="F648">
        <v>2.2811446298634198E-3</v>
      </c>
      <c r="G648">
        <f>Tableau4[[#This Row],[Cost (€/GJ)]]*3.6/1000</f>
        <v>8.2121206675083123E-6</v>
      </c>
      <c r="H648">
        <v>11.74</v>
      </c>
      <c r="I648">
        <f>Tableau4[[#This Row],[GHG (kgCO2eq/GJ)]]*3.6/1000</f>
        <v>4.2264000000000003E-2</v>
      </c>
      <c r="J648" t="s">
        <v>104</v>
      </c>
      <c r="K648" t="s">
        <v>108</v>
      </c>
    </row>
    <row r="649" spans="1:11" hidden="1" x14ac:dyDescent="0.3">
      <c r="A649" t="s">
        <v>35</v>
      </c>
      <c r="B649" t="s">
        <v>60</v>
      </c>
      <c r="C649" t="s">
        <v>98</v>
      </c>
      <c r="D649">
        <v>8.6170100000000005</v>
      </c>
      <c r="E649">
        <f>Tableau4[[#This Row],[Potential (PJ)]]*1000/3.6</f>
        <v>2393.6138888888891</v>
      </c>
      <c r="F649">
        <v>16.165413533834581</v>
      </c>
      <c r="G649">
        <f>Tableau4[[#This Row],[Cost (€/GJ)]]*3.6/1000</f>
        <v>5.8195488721804495E-2</v>
      </c>
      <c r="H649">
        <v>46</v>
      </c>
      <c r="I649">
        <f>Tableau4[[#This Row],[GHG (kgCO2eq/GJ)]]*3.6/1000</f>
        <v>0.1656</v>
      </c>
      <c r="J649" t="s">
        <v>107</v>
      </c>
      <c r="K649" t="s">
        <v>109</v>
      </c>
    </row>
    <row r="650" spans="1:11" hidden="1" x14ac:dyDescent="0.3">
      <c r="A650" t="s">
        <v>35</v>
      </c>
      <c r="B650" t="s">
        <v>52</v>
      </c>
      <c r="C650" t="s">
        <v>76</v>
      </c>
      <c r="D650">
        <v>1.8029999999999999</v>
      </c>
      <c r="E650">
        <f>Tableau4[[#This Row],[Potential (PJ)]]*1000/3.6</f>
        <v>500.83333333333331</v>
      </c>
      <c r="F650">
        <v>4.7567250000000003</v>
      </c>
      <c r="G650">
        <f>Tableau4[[#This Row],[Cost (€/GJ)]]*3.6/1000</f>
        <v>1.7124210000000001E-2</v>
      </c>
      <c r="H650">
        <v>12.68872359754714</v>
      </c>
      <c r="I650">
        <f>Tableau4[[#This Row],[GHG (kgCO2eq/GJ)]]*3.6/1000</f>
        <v>4.5679404951169705E-2</v>
      </c>
      <c r="J650" t="s">
        <v>105</v>
      </c>
      <c r="K650" t="s">
        <v>108</v>
      </c>
    </row>
    <row r="651" spans="1:11" hidden="1" x14ac:dyDescent="0.3">
      <c r="A651" t="s">
        <v>35</v>
      </c>
      <c r="B651" t="s">
        <v>53</v>
      </c>
      <c r="C651" t="s">
        <v>77</v>
      </c>
      <c r="D651">
        <v>11.5</v>
      </c>
      <c r="E651">
        <f>Tableau4[[#This Row],[Potential (PJ)]]*1000/3.6</f>
        <v>3194.4444444444443</v>
      </c>
      <c r="F651">
        <v>2.8338521739130438</v>
      </c>
      <c r="G651">
        <f>Tableau4[[#This Row],[Cost (€/GJ)]]*3.6/1000</f>
        <v>1.0201867826086957E-2</v>
      </c>
      <c r="H651">
        <v>3.86607608129234</v>
      </c>
      <c r="I651">
        <f>Tableau4[[#This Row],[GHG (kgCO2eq/GJ)]]*3.6/1000</f>
        <v>1.3917873892652425E-2</v>
      </c>
      <c r="J651" t="s">
        <v>104</v>
      </c>
      <c r="K651" t="s">
        <v>108</v>
      </c>
    </row>
    <row r="652" spans="1:11" hidden="1" x14ac:dyDescent="0.3">
      <c r="A652" t="s">
        <v>35</v>
      </c>
      <c r="B652" t="s">
        <v>61</v>
      </c>
      <c r="C652" t="s">
        <v>99</v>
      </c>
      <c r="D652">
        <v>40.299999999999997</v>
      </c>
      <c r="E652">
        <f>Tableau4[[#This Row],[Potential (PJ)]]*1000/3.6</f>
        <v>11194.444444444443</v>
      </c>
      <c r="F652">
        <v>1.1120645161290319</v>
      </c>
      <c r="G652">
        <f>Tableau4[[#This Row],[Cost (€/GJ)]]*3.6/1000</f>
        <v>4.0034322580645145E-3</v>
      </c>
      <c r="H652">
        <v>2.9245635910224439</v>
      </c>
      <c r="I652">
        <f>Tableau4[[#This Row],[GHG (kgCO2eq/GJ)]]*3.6/1000</f>
        <v>1.0528428927680798E-2</v>
      </c>
      <c r="J652" t="s">
        <v>104</v>
      </c>
      <c r="K652" t="s">
        <v>108</v>
      </c>
    </row>
    <row r="653" spans="1:11" hidden="1" x14ac:dyDescent="0.3">
      <c r="A653" t="s">
        <v>35</v>
      </c>
      <c r="B653" t="s">
        <v>62</v>
      </c>
      <c r="C653" t="s">
        <v>100</v>
      </c>
      <c r="D653">
        <v>6.1</v>
      </c>
      <c r="E653">
        <f>Tableau4[[#This Row],[Potential (PJ)]]*1000/3.6</f>
        <v>1694.4444444444443</v>
      </c>
      <c r="F653">
        <v>9.0163934426229525E-2</v>
      </c>
      <c r="G653">
        <f>Tableau4[[#This Row],[Cost (€/GJ)]]*3.6/1000</f>
        <v>3.2459016393442629E-4</v>
      </c>
      <c r="H653">
        <v>2.6764106050305911</v>
      </c>
      <c r="I653">
        <f>Tableau4[[#This Row],[GHG (kgCO2eq/GJ)]]*3.6/1000</f>
        <v>9.6350781781101274E-3</v>
      </c>
      <c r="J653" t="s">
        <v>104</v>
      </c>
      <c r="K653" t="s">
        <v>108</v>
      </c>
    </row>
    <row r="654" spans="1:11" hidden="1" x14ac:dyDescent="0.3">
      <c r="A654" t="s">
        <v>35</v>
      </c>
      <c r="B654" t="s">
        <v>54</v>
      </c>
      <c r="C654" t="s">
        <v>78</v>
      </c>
      <c r="D654">
        <v>234.6</v>
      </c>
      <c r="E654">
        <f>Tableau4[[#This Row],[Potential (PJ)]]*1000/3.6</f>
        <v>65166.666666666664</v>
      </c>
      <c r="F654">
        <v>2.8068503836317129</v>
      </c>
      <c r="G654">
        <f>Tableau4[[#This Row],[Cost (€/GJ)]]*3.6/1000</f>
        <v>1.0104661381074166E-2</v>
      </c>
      <c r="H654">
        <v>3.86607608129234</v>
      </c>
      <c r="I654">
        <f>Tableau4[[#This Row],[GHG (kgCO2eq/GJ)]]*3.6/1000</f>
        <v>1.3917873892652425E-2</v>
      </c>
      <c r="J654" t="s">
        <v>104</v>
      </c>
      <c r="K654" t="s">
        <v>108</v>
      </c>
    </row>
    <row r="655" spans="1:11" hidden="1" x14ac:dyDescent="0.3">
      <c r="A655" t="s">
        <v>36</v>
      </c>
      <c r="B655" t="s">
        <v>46</v>
      </c>
      <c r="C655" t="s">
        <v>63</v>
      </c>
      <c r="D655">
        <v>1.8486</v>
      </c>
      <c r="E655">
        <f>Tableau4[[#This Row],[Potential (PJ)]]*1000/3.6</f>
        <v>513.5</v>
      </c>
      <c r="F655">
        <v>2.9286474973375931</v>
      </c>
      <c r="G655">
        <f>Tableau4[[#This Row],[Cost (€/GJ)]]*3.6/1000</f>
        <v>1.0543130990415334E-2</v>
      </c>
      <c r="H655">
        <v>3.950479233226837</v>
      </c>
      <c r="I655">
        <f>Tableau4[[#This Row],[GHG (kgCO2eq/GJ)]]*3.6/1000</f>
        <v>1.4221725239616614E-2</v>
      </c>
      <c r="J655" t="s">
        <v>104</v>
      </c>
      <c r="K655" t="s">
        <v>108</v>
      </c>
    </row>
    <row r="656" spans="1:11" hidden="1" x14ac:dyDescent="0.3">
      <c r="A656" t="s">
        <v>36</v>
      </c>
      <c r="B656" t="s">
        <v>46</v>
      </c>
      <c r="C656" t="s">
        <v>64</v>
      </c>
      <c r="D656">
        <v>0.21512999999999999</v>
      </c>
      <c r="E656">
        <f>Tableau4[[#This Row],[Potential (PJ)]]*1000/3.6</f>
        <v>59.758333333333333</v>
      </c>
      <c r="F656">
        <v>0</v>
      </c>
      <c r="G656">
        <f>Tableau4[[#This Row],[Cost (€/GJ)]]*3.6/1000</f>
        <v>0</v>
      </c>
      <c r="H656">
        <v>2.9521711768407801</v>
      </c>
      <c r="I656">
        <f>Tableau4[[#This Row],[GHG (kgCO2eq/GJ)]]*3.6/1000</f>
        <v>1.0627816236626808E-2</v>
      </c>
      <c r="J656" t="s">
        <v>104</v>
      </c>
      <c r="K656" t="s">
        <v>108</v>
      </c>
    </row>
    <row r="657" spans="1:11" hidden="1" x14ac:dyDescent="0.3">
      <c r="A657" t="s">
        <v>36</v>
      </c>
      <c r="B657" t="s">
        <v>46</v>
      </c>
      <c r="C657" t="s">
        <v>65</v>
      </c>
      <c r="D657">
        <v>2.2999999999999998</v>
      </c>
      <c r="E657">
        <f>Tableau4[[#This Row],[Potential (PJ)]]*1000/3.6</f>
        <v>638.88888888888891</v>
      </c>
      <c r="F657">
        <v>3.5611739130434792</v>
      </c>
      <c r="G657">
        <f>Tableau4[[#This Row],[Cost (€/GJ)]]*3.6/1000</f>
        <v>1.2820226086956526E-2</v>
      </c>
      <c r="H657">
        <v>2.9521711768407801</v>
      </c>
      <c r="I657">
        <f>Tableau4[[#This Row],[GHG (kgCO2eq/GJ)]]*3.6/1000</f>
        <v>1.0627816236626808E-2</v>
      </c>
      <c r="J657" t="s">
        <v>104</v>
      </c>
      <c r="K657" t="s">
        <v>108</v>
      </c>
    </row>
    <row r="658" spans="1:11" hidden="1" x14ac:dyDescent="0.3">
      <c r="A658" t="s">
        <v>36</v>
      </c>
      <c r="B658" t="s">
        <v>46</v>
      </c>
      <c r="C658" t="s">
        <v>102</v>
      </c>
      <c r="D658">
        <v>0.3</v>
      </c>
      <c r="E658">
        <f>Tableau4[[#This Row],[Potential (PJ)]]*1000/3.6</f>
        <v>83.333333333333329</v>
      </c>
      <c r="F658">
        <v>3.4043333333333332</v>
      </c>
      <c r="G658">
        <f>Tableau4[[#This Row],[Cost (€/GJ)]]*3.6/1000</f>
        <v>1.22556E-2</v>
      </c>
      <c r="H658">
        <v>2.9521711768407801</v>
      </c>
      <c r="I658">
        <f>Tableau4[[#This Row],[GHG (kgCO2eq/GJ)]]*3.6/1000</f>
        <v>1.0627816236626808E-2</v>
      </c>
      <c r="J658" t="s">
        <v>104</v>
      </c>
      <c r="K658" t="s">
        <v>108</v>
      </c>
    </row>
    <row r="659" spans="1:11" hidden="1" x14ac:dyDescent="0.3">
      <c r="A659" t="s">
        <v>36</v>
      </c>
      <c r="B659" t="s">
        <v>46</v>
      </c>
      <c r="C659" t="s">
        <v>80</v>
      </c>
      <c r="D659">
        <v>0.15659999999999999</v>
      </c>
      <c r="E659">
        <f>Tableau4[[#This Row],[Potential (PJ)]]*1000/3.6</f>
        <v>43.5</v>
      </c>
      <c r="F659">
        <v>0.36952124072825349</v>
      </c>
      <c r="G659">
        <f>Tableau4[[#This Row],[Cost (€/GJ)]]*3.6/1000</f>
        <v>1.3302764666217127E-3</v>
      </c>
      <c r="H659">
        <v>28.139870918023309</v>
      </c>
      <c r="I659">
        <f>Tableau4[[#This Row],[GHG (kgCO2eq/GJ)]]*3.6/1000</f>
        <v>0.10130353530488391</v>
      </c>
      <c r="J659" t="s">
        <v>105</v>
      </c>
      <c r="K659" t="s">
        <v>108</v>
      </c>
    </row>
    <row r="660" spans="1:11" hidden="1" x14ac:dyDescent="0.3">
      <c r="A660" t="s">
        <v>36</v>
      </c>
      <c r="B660" t="s">
        <v>46</v>
      </c>
      <c r="C660" t="s">
        <v>81</v>
      </c>
      <c r="D660">
        <v>1.0507</v>
      </c>
      <c r="E660">
        <f>Tableau4[[#This Row],[Potential (PJ)]]*1000/3.6</f>
        <v>291.86111111111114</v>
      </c>
      <c r="F660">
        <v>1.463572267920094</v>
      </c>
      <c r="G660">
        <f>Tableau4[[#This Row],[Cost (€/GJ)]]*3.6/1000</f>
        <v>5.268860164512338E-3</v>
      </c>
      <c r="H660">
        <v>8.9647473560517046</v>
      </c>
      <c r="I660">
        <f>Tableau4[[#This Row],[GHG (kgCO2eq/GJ)]]*3.6/1000</f>
        <v>3.2273090481786136E-2</v>
      </c>
      <c r="J660" t="s">
        <v>105</v>
      </c>
      <c r="K660" t="s">
        <v>108</v>
      </c>
    </row>
    <row r="661" spans="1:11" hidden="1" x14ac:dyDescent="0.3">
      <c r="A661" t="s">
        <v>36</v>
      </c>
      <c r="B661" t="s">
        <v>46</v>
      </c>
      <c r="C661" t="s">
        <v>66</v>
      </c>
      <c r="D661">
        <v>1.3</v>
      </c>
      <c r="E661">
        <f>Tableau4[[#This Row],[Potential (PJ)]]*1000/3.6</f>
        <v>361.11111111111109</v>
      </c>
      <c r="F661">
        <v>1.843692307692308</v>
      </c>
      <c r="G661">
        <f>Tableau4[[#This Row],[Cost (€/GJ)]]*3.6/1000</f>
        <v>6.6372923076923086E-3</v>
      </c>
      <c r="H661">
        <v>6.8428961748633883</v>
      </c>
      <c r="I661">
        <f>Tableau4[[#This Row],[GHG (kgCO2eq/GJ)]]*3.6/1000</f>
        <v>2.4634426229508198E-2</v>
      </c>
      <c r="J661" t="s">
        <v>104</v>
      </c>
      <c r="K661" t="s">
        <v>108</v>
      </c>
    </row>
    <row r="662" spans="1:11" hidden="1" x14ac:dyDescent="0.3">
      <c r="A662" t="s">
        <v>36</v>
      </c>
      <c r="B662" t="s">
        <v>46</v>
      </c>
      <c r="C662" t="s">
        <v>67</v>
      </c>
      <c r="D662">
        <v>3.9</v>
      </c>
      <c r="E662">
        <f>Tableau4[[#This Row],[Potential (PJ)]]*1000/3.6</f>
        <v>1083.3333333333333</v>
      </c>
      <c r="F662">
        <v>4.3026153846153843</v>
      </c>
      <c r="G662">
        <f>Tableau4[[#This Row],[Cost (€/GJ)]]*3.6/1000</f>
        <v>1.5489415384615384E-2</v>
      </c>
      <c r="H662">
        <v>2.9521711768407801</v>
      </c>
      <c r="I662">
        <f>Tableau4[[#This Row],[GHG (kgCO2eq/GJ)]]*3.6/1000</f>
        <v>1.0627816236626808E-2</v>
      </c>
      <c r="J662" t="s">
        <v>104</v>
      </c>
      <c r="K662" t="s">
        <v>108</v>
      </c>
    </row>
    <row r="663" spans="1:11" hidden="1" x14ac:dyDescent="0.3">
      <c r="A663" t="s">
        <v>36</v>
      </c>
      <c r="B663" t="s">
        <v>46</v>
      </c>
      <c r="C663" t="s">
        <v>82</v>
      </c>
      <c r="D663">
        <v>0.1</v>
      </c>
      <c r="E663">
        <f>Tableau4[[#This Row],[Potential (PJ)]]*1000/3.6</f>
        <v>27.777777777777779</v>
      </c>
      <c r="F663">
        <v>1.28</v>
      </c>
      <c r="G663">
        <f>Tableau4[[#This Row],[Cost (€/GJ)]]*3.6/1000</f>
        <v>4.6080000000000001E-3</v>
      </c>
      <c r="H663">
        <v>6.8428961748633883</v>
      </c>
      <c r="I663">
        <f>Tableau4[[#This Row],[GHG (kgCO2eq/GJ)]]*3.6/1000</f>
        <v>2.4634426229508198E-2</v>
      </c>
      <c r="J663" t="s">
        <v>104</v>
      </c>
      <c r="K663" t="s">
        <v>108</v>
      </c>
    </row>
    <row r="664" spans="1:11" hidden="1" x14ac:dyDescent="0.3">
      <c r="A664" t="s">
        <v>36</v>
      </c>
      <c r="B664" t="s">
        <v>46</v>
      </c>
      <c r="C664" t="s">
        <v>83</v>
      </c>
      <c r="D664">
        <v>1.3593</v>
      </c>
      <c r="E664">
        <f>Tableau4[[#This Row],[Potential (PJ)]]*1000/3.6</f>
        <v>377.58333333333331</v>
      </c>
      <c r="F664">
        <v>1.676261230044876</v>
      </c>
      <c r="G664">
        <f>Tableau4[[#This Row],[Cost (€/GJ)]]*3.6/1000</f>
        <v>6.0345404281615537E-3</v>
      </c>
      <c r="H664">
        <v>6.8428961748633883</v>
      </c>
      <c r="I664">
        <f>Tableau4[[#This Row],[GHG (kgCO2eq/GJ)]]*3.6/1000</f>
        <v>2.4634426229508198E-2</v>
      </c>
      <c r="J664" t="s">
        <v>104</v>
      </c>
      <c r="K664" t="s">
        <v>108</v>
      </c>
    </row>
    <row r="665" spans="1:11" hidden="1" x14ac:dyDescent="0.3">
      <c r="A665" t="s">
        <v>36</v>
      </c>
      <c r="B665" t="s">
        <v>46</v>
      </c>
      <c r="C665" t="s">
        <v>85</v>
      </c>
      <c r="D665">
        <v>1.3</v>
      </c>
      <c r="E665">
        <f>Tableau4[[#This Row],[Potential (PJ)]]*1000/3.6</f>
        <v>361.11111111111109</v>
      </c>
      <c r="F665">
        <v>0</v>
      </c>
      <c r="G665">
        <f>Tableau4[[#This Row],[Cost (€/GJ)]]*3.6/1000</f>
        <v>0</v>
      </c>
      <c r="H665">
        <v>2.9521711768407801</v>
      </c>
      <c r="I665">
        <f>Tableau4[[#This Row],[GHG (kgCO2eq/GJ)]]*3.6/1000</f>
        <v>1.0627816236626808E-2</v>
      </c>
      <c r="J665" t="s">
        <v>104</v>
      </c>
      <c r="K665" t="s">
        <v>108</v>
      </c>
    </row>
    <row r="666" spans="1:11" hidden="1" x14ac:dyDescent="0.3">
      <c r="A666" t="s">
        <v>36</v>
      </c>
      <c r="B666" t="s">
        <v>55</v>
      </c>
      <c r="C666" t="s">
        <v>86</v>
      </c>
      <c r="D666">
        <v>3.4599999999999999E-2</v>
      </c>
      <c r="E666">
        <f>Tableau4[[#This Row],[Potential (PJ)]]*1000/3.6</f>
        <v>9.6111111111111107</v>
      </c>
      <c r="F666">
        <v>20.815000000000001</v>
      </c>
      <c r="G666">
        <f>Tableau4[[#This Row],[Cost (€/GJ)]]*3.6/1000</f>
        <v>7.4934000000000014E-2</v>
      </c>
      <c r="H666">
        <v>26.1</v>
      </c>
      <c r="I666">
        <f>Tableau4[[#This Row],[GHG (kgCO2eq/GJ)]]*3.6/1000</f>
        <v>9.3960000000000002E-2</v>
      </c>
      <c r="J666" t="s">
        <v>106</v>
      </c>
      <c r="K666" t="s">
        <v>109</v>
      </c>
    </row>
    <row r="667" spans="1:11" hidden="1" x14ac:dyDescent="0.3">
      <c r="A667" t="s">
        <v>36</v>
      </c>
      <c r="B667" t="s">
        <v>55</v>
      </c>
      <c r="C667" t="s">
        <v>88</v>
      </c>
      <c r="D667">
        <v>3.5999999999999997E-2</v>
      </c>
      <c r="E667">
        <f>Tableau4[[#This Row],[Potential (PJ)]]*1000/3.6</f>
        <v>10</v>
      </c>
      <c r="F667">
        <v>18.759</v>
      </c>
      <c r="G667">
        <f>Tableau4[[#This Row],[Cost (€/GJ)]]*3.6/1000</f>
        <v>6.7532400000000006E-2</v>
      </c>
      <c r="H667">
        <v>26.1</v>
      </c>
      <c r="I667">
        <f>Tableau4[[#This Row],[GHG (kgCO2eq/GJ)]]*3.6/1000</f>
        <v>9.3960000000000002E-2</v>
      </c>
      <c r="J667" t="s">
        <v>106</v>
      </c>
      <c r="K667" t="s">
        <v>109</v>
      </c>
    </row>
    <row r="668" spans="1:11" hidden="1" x14ac:dyDescent="0.3">
      <c r="A668" t="s">
        <v>36</v>
      </c>
      <c r="B668" t="s">
        <v>56</v>
      </c>
      <c r="C668" t="s">
        <v>93</v>
      </c>
      <c r="D668">
        <v>0.52429999999999999</v>
      </c>
      <c r="E668">
        <f>Tableau4[[#This Row],[Potential (PJ)]]*1000/3.6</f>
        <v>145.63888888888889</v>
      </c>
      <c r="F668">
        <v>2.939759036144578</v>
      </c>
      <c r="G668">
        <f>Tableau4[[#This Row],[Cost (€/GJ)]]*3.6/1000</f>
        <v>1.0583132530120483E-2</v>
      </c>
      <c r="H668">
        <v>26.7</v>
      </c>
      <c r="I668">
        <f>Tableau4[[#This Row],[GHG (kgCO2eq/GJ)]]*3.6/1000</f>
        <v>9.6120000000000011E-2</v>
      </c>
      <c r="J668" t="s">
        <v>106</v>
      </c>
      <c r="K668" t="s">
        <v>109</v>
      </c>
    </row>
    <row r="669" spans="1:11" hidden="1" x14ac:dyDescent="0.3">
      <c r="A669" t="s">
        <v>36</v>
      </c>
      <c r="B669" t="s">
        <v>47</v>
      </c>
      <c r="C669" t="s">
        <v>68</v>
      </c>
      <c r="D669">
        <v>21.5</v>
      </c>
      <c r="E669">
        <f>Tableau4[[#This Row],[Potential (PJ)]]*1000/3.6</f>
        <v>5972.2222222222217</v>
      </c>
      <c r="F669">
        <v>3.9533999999999998</v>
      </c>
      <c r="G669">
        <f>Tableau4[[#This Row],[Cost (€/GJ)]]*3.6/1000</f>
        <v>1.4232239999999998E-2</v>
      </c>
      <c r="H669">
        <v>10</v>
      </c>
      <c r="I669">
        <f>Tableau4[[#This Row],[GHG (kgCO2eq/GJ)]]*3.6/1000</f>
        <v>3.5999999999999997E-2</v>
      </c>
      <c r="J669" t="s">
        <v>104</v>
      </c>
      <c r="K669" t="s">
        <v>109</v>
      </c>
    </row>
    <row r="670" spans="1:11" hidden="1" x14ac:dyDescent="0.3">
      <c r="A670" t="s">
        <v>36</v>
      </c>
      <c r="B670" t="s">
        <v>47</v>
      </c>
      <c r="C670" t="s">
        <v>69</v>
      </c>
      <c r="D670">
        <v>15.1</v>
      </c>
      <c r="E670">
        <f>Tableau4[[#This Row],[Potential (PJ)]]*1000/3.6</f>
        <v>4194.4444444444443</v>
      </c>
      <c r="F670">
        <v>4.2874635761589399</v>
      </c>
      <c r="G670">
        <f>Tableau4[[#This Row],[Cost (€/GJ)]]*3.6/1000</f>
        <v>1.5434868874172183E-2</v>
      </c>
      <c r="H670">
        <v>10</v>
      </c>
      <c r="I670">
        <f>Tableau4[[#This Row],[GHG (kgCO2eq/GJ)]]*3.6/1000</f>
        <v>3.5999999999999997E-2</v>
      </c>
      <c r="J670" t="s">
        <v>104</v>
      </c>
      <c r="K670" t="s">
        <v>109</v>
      </c>
    </row>
    <row r="671" spans="1:11" hidden="1" x14ac:dyDescent="0.3">
      <c r="A671" t="s">
        <v>36</v>
      </c>
      <c r="B671" t="s">
        <v>48</v>
      </c>
      <c r="C671" t="s">
        <v>70</v>
      </c>
      <c r="D671">
        <v>9.4</v>
      </c>
      <c r="E671">
        <f>Tableau4[[#This Row],[Potential (PJ)]]*1000/3.6</f>
        <v>2611.1111111111109</v>
      </c>
      <c r="F671">
        <v>9.7817021276595746</v>
      </c>
      <c r="G671">
        <f>Tableau4[[#This Row],[Cost (€/GJ)]]*3.6/1000</f>
        <v>3.5214127659574476E-2</v>
      </c>
      <c r="H671">
        <v>0</v>
      </c>
      <c r="I671">
        <f>Tableau4[[#This Row],[GHG (kgCO2eq/GJ)]]*3.6/1000</f>
        <v>0</v>
      </c>
      <c r="J671" t="s">
        <v>104</v>
      </c>
      <c r="K671" t="s">
        <v>109</v>
      </c>
    </row>
    <row r="672" spans="1:11" hidden="1" x14ac:dyDescent="0.3">
      <c r="A672" t="s">
        <v>36</v>
      </c>
      <c r="B672" t="s">
        <v>49</v>
      </c>
      <c r="C672" t="s">
        <v>71</v>
      </c>
      <c r="D672">
        <v>170.34751</v>
      </c>
      <c r="E672">
        <f>Tableau4[[#This Row],[Potential (PJ)]]*1000/3.6</f>
        <v>47318.75277777778</v>
      </c>
      <c r="F672">
        <v>3.921070745912282</v>
      </c>
      <c r="G672">
        <f>Tableau4[[#This Row],[Cost (€/GJ)]]*3.6/1000</f>
        <v>1.4115854685284215E-2</v>
      </c>
      <c r="H672">
        <v>3.86607608129234</v>
      </c>
      <c r="I672">
        <f>Tableau4[[#This Row],[GHG (kgCO2eq/GJ)]]*3.6/1000</f>
        <v>1.3917873892652425E-2</v>
      </c>
      <c r="J672" t="s">
        <v>104</v>
      </c>
      <c r="K672" t="s">
        <v>108</v>
      </c>
    </row>
    <row r="673" spans="1:11" hidden="1" x14ac:dyDescent="0.3">
      <c r="A673" t="s">
        <v>36</v>
      </c>
      <c r="B673" t="s">
        <v>49</v>
      </c>
      <c r="C673" t="s">
        <v>72</v>
      </c>
      <c r="D673">
        <v>4.5</v>
      </c>
      <c r="E673">
        <f>Tableau4[[#This Row],[Potential (PJ)]]*1000/3.6</f>
        <v>1250</v>
      </c>
      <c r="F673">
        <v>3.1411555555555561</v>
      </c>
      <c r="G673">
        <f>Tableau4[[#This Row],[Cost (€/GJ)]]*3.6/1000</f>
        <v>1.1308160000000003E-2</v>
      </c>
      <c r="H673">
        <v>3.86607608129234</v>
      </c>
      <c r="I673">
        <f>Tableau4[[#This Row],[GHG (kgCO2eq/GJ)]]*3.6/1000</f>
        <v>1.3917873892652425E-2</v>
      </c>
      <c r="J673" t="s">
        <v>104</v>
      </c>
      <c r="K673" t="s">
        <v>108</v>
      </c>
    </row>
    <row r="674" spans="1:11" hidden="1" x14ac:dyDescent="0.3">
      <c r="A674" t="s">
        <v>36</v>
      </c>
      <c r="B674" t="s">
        <v>58</v>
      </c>
      <c r="C674" t="s">
        <v>95</v>
      </c>
      <c r="D674">
        <v>13.93187</v>
      </c>
      <c r="E674">
        <f>Tableau4[[#This Row],[Potential (PJ)]]*1000/3.6</f>
        <v>3869.963888888889</v>
      </c>
      <c r="F674">
        <v>0</v>
      </c>
      <c r="G674">
        <f>Tableau4[[#This Row],[Cost (€/GJ)]]*3.6/1000</f>
        <v>0</v>
      </c>
      <c r="H674">
        <v>2.9521711768407801</v>
      </c>
      <c r="I674">
        <f>Tableau4[[#This Row],[GHG (kgCO2eq/GJ)]]*3.6/1000</f>
        <v>1.0627816236626808E-2</v>
      </c>
      <c r="J674" t="s">
        <v>104</v>
      </c>
      <c r="K674" t="s">
        <v>108</v>
      </c>
    </row>
    <row r="675" spans="1:11" hidden="1" x14ac:dyDescent="0.3">
      <c r="A675" t="s">
        <v>36</v>
      </c>
      <c r="B675" t="s">
        <v>50</v>
      </c>
      <c r="C675" t="s">
        <v>73</v>
      </c>
      <c r="D675">
        <v>3.1</v>
      </c>
      <c r="E675">
        <f>Tableau4[[#This Row],[Potential (PJ)]]*1000/3.6</f>
        <v>861.11111111111109</v>
      </c>
      <c r="F675">
        <v>5.0774838709677423</v>
      </c>
      <c r="G675">
        <f>Tableau4[[#This Row],[Cost (€/GJ)]]*3.6/1000</f>
        <v>1.8278941935483871E-2</v>
      </c>
      <c r="H675">
        <v>20.723404255319149</v>
      </c>
      <c r="I675">
        <f>Tableau4[[#This Row],[GHG (kgCO2eq/GJ)]]*3.6/1000</f>
        <v>7.4604255319148938E-2</v>
      </c>
      <c r="J675" t="s">
        <v>105</v>
      </c>
      <c r="K675" t="s">
        <v>108</v>
      </c>
    </row>
    <row r="676" spans="1:11" hidden="1" x14ac:dyDescent="0.3">
      <c r="A676" t="s">
        <v>36</v>
      </c>
      <c r="B676" t="s">
        <v>50</v>
      </c>
      <c r="C676" t="s">
        <v>74</v>
      </c>
      <c r="D676">
        <v>31.4</v>
      </c>
      <c r="E676">
        <f>Tableau4[[#This Row],[Potential (PJ)]]*1000/3.6</f>
        <v>8722.2222222222226</v>
      </c>
      <c r="F676">
        <v>3.9148184713375791</v>
      </c>
      <c r="G676">
        <f>Tableau4[[#This Row],[Cost (€/GJ)]]*3.6/1000</f>
        <v>1.4093346496815285E-2</v>
      </c>
      <c r="H676">
        <v>2.0635593220338988</v>
      </c>
      <c r="I676">
        <f>Tableau4[[#This Row],[GHG (kgCO2eq/GJ)]]*3.6/1000</f>
        <v>7.428813559322036E-3</v>
      </c>
      <c r="J676" t="s">
        <v>105</v>
      </c>
      <c r="K676" t="s">
        <v>108</v>
      </c>
    </row>
    <row r="677" spans="1:11" hidden="1" x14ac:dyDescent="0.3">
      <c r="A677" t="s">
        <v>36</v>
      </c>
      <c r="B677" t="s">
        <v>59</v>
      </c>
      <c r="C677" t="s">
        <v>97</v>
      </c>
      <c r="D677">
        <v>0.36599999999999999</v>
      </c>
      <c r="E677">
        <f>Tableau4[[#This Row],[Potential (PJ)]]*1000/3.6</f>
        <v>101.66666666666666</v>
      </c>
      <c r="F677">
        <v>36.353771025501899</v>
      </c>
      <c r="G677">
        <f>Tableau4[[#This Row],[Cost (€/GJ)]]*3.6/1000</f>
        <v>0.13087357569180685</v>
      </c>
      <c r="H677">
        <v>36.299999999999997</v>
      </c>
      <c r="I677">
        <f>Tableau4[[#This Row],[GHG (kgCO2eq/GJ)]]*3.6/1000</f>
        <v>0.13068000000000002</v>
      </c>
      <c r="J677" t="s">
        <v>107</v>
      </c>
      <c r="K677" t="s">
        <v>109</v>
      </c>
    </row>
    <row r="678" spans="1:11" hidden="1" x14ac:dyDescent="0.3">
      <c r="A678" t="s">
        <v>36</v>
      </c>
      <c r="B678" t="s">
        <v>51</v>
      </c>
      <c r="C678" t="s">
        <v>75</v>
      </c>
      <c r="D678">
        <v>22.58212</v>
      </c>
      <c r="E678">
        <f>Tableau4[[#This Row],[Potential (PJ)]]*1000/3.6</f>
        <v>6272.8111111111102</v>
      </c>
      <c r="F678">
        <v>3.5423942658118898E-3</v>
      </c>
      <c r="G678">
        <f>Tableau4[[#This Row],[Cost (€/GJ)]]*3.6/1000</f>
        <v>1.2752619356922803E-5</v>
      </c>
      <c r="H678">
        <v>11.74</v>
      </c>
      <c r="I678">
        <f>Tableau4[[#This Row],[GHG (kgCO2eq/GJ)]]*3.6/1000</f>
        <v>4.2264000000000003E-2</v>
      </c>
      <c r="J678" t="s">
        <v>104</v>
      </c>
      <c r="K678" t="s">
        <v>108</v>
      </c>
    </row>
    <row r="679" spans="1:11" hidden="1" x14ac:dyDescent="0.3">
      <c r="A679" t="s">
        <v>36</v>
      </c>
      <c r="B679" t="s">
        <v>52</v>
      </c>
      <c r="C679" t="s">
        <v>76</v>
      </c>
      <c r="D679">
        <v>1.1419999999999999</v>
      </c>
      <c r="E679">
        <f>Tableau4[[#This Row],[Potential (PJ)]]*1000/3.6</f>
        <v>317.22222222222223</v>
      </c>
      <c r="F679">
        <v>4.7567250000000003</v>
      </c>
      <c r="G679">
        <f>Tableau4[[#This Row],[Cost (€/GJ)]]*3.6/1000</f>
        <v>1.7124210000000001E-2</v>
      </c>
      <c r="H679">
        <v>12.68872359754714</v>
      </c>
      <c r="I679">
        <f>Tableau4[[#This Row],[GHG (kgCO2eq/GJ)]]*3.6/1000</f>
        <v>4.5679404951169705E-2</v>
      </c>
      <c r="J679" t="s">
        <v>105</v>
      </c>
      <c r="K679" t="s">
        <v>108</v>
      </c>
    </row>
    <row r="680" spans="1:11" hidden="1" x14ac:dyDescent="0.3">
      <c r="A680" t="s">
        <v>36</v>
      </c>
      <c r="B680" t="s">
        <v>53</v>
      </c>
      <c r="C680" t="s">
        <v>77</v>
      </c>
      <c r="D680">
        <v>1.4</v>
      </c>
      <c r="E680">
        <f>Tableau4[[#This Row],[Potential (PJ)]]*1000/3.6</f>
        <v>388.88888888888886</v>
      </c>
      <c r="F680">
        <v>3.1416428571428572</v>
      </c>
      <c r="G680">
        <f>Tableau4[[#This Row],[Cost (€/GJ)]]*3.6/1000</f>
        <v>1.1309914285714286E-2</v>
      </c>
      <c r="H680">
        <v>3.86607608129234</v>
      </c>
      <c r="I680">
        <f>Tableau4[[#This Row],[GHG (kgCO2eq/GJ)]]*3.6/1000</f>
        <v>1.3917873892652425E-2</v>
      </c>
      <c r="J680" t="s">
        <v>104</v>
      </c>
      <c r="K680" t="s">
        <v>108</v>
      </c>
    </row>
    <row r="681" spans="1:11" hidden="1" x14ac:dyDescent="0.3">
      <c r="A681" t="s">
        <v>36</v>
      </c>
      <c r="B681" t="s">
        <v>61</v>
      </c>
      <c r="C681" t="s">
        <v>99</v>
      </c>
      <c r="D681">
        <v>10.9</v>
      </c>
      <c r="E681">
        <f>Tableau4[[#This Row],[Potential (PJ)]]*1000/3.6</f>
        <v>3027.7777777777778</v>
      </c>
      <c r="F681">
        <v>1.5403669724770639</v>
      </c>
      <c r="G681">
        <f>Tableau4[[#This Row],[Cost (€/GJ)]]*3.6/1000</f>
        <v>5.5453211009174304E-3</v>
      </c>
      <c r="H681">
        <v>2.9245635910224439</v>
      </c>
      <c r="I681">
        <f>Tableau4[[#This Row],[GHG (kgCO2eq/GJ)]]*3.6/1000</f>
        <v>1.0528428927680798E-2</v>
      </c>
      <c r="J681" t="s">
        <v>104</v>
      </c>
      <c r="K681" t="s">
        <v>108</v>
      </c>
    </row>
    <row r="682" spans="1:11" hidden="1" x14ac:dyDescent="0.3">
      <c r="A682" t="s">
        <v>36</v>
      </c>
      <c r="B682" t="s">
        <v>62</v>
      </c>
      <c r="C682" t="s">
        <v>100</v>
      </c>
      <c r="D682">
        <v>2.4</v>
      </c>
      <c r="E682">
        <f>Tableau4[[#This Row],[Potential (PJ)]]*1000/3.6</f>
        <v>666.66666666666663</v>
      </c>
      <c r="F682">
        <v>2.0833333333333339E-2</v>
      </c>
      <c r="G682">
        <f>Tableau4[[#This Row],[Cost (€/GJ)]]*3.6/1000</f>
        <v>7.5000000000000021E-5</v>
      </c>
      <c r="H682">
        <v>2.6764106050305911</v>
      </c>
      <c r="I682">
        <f>Tableau4[[#This Row],[GHG (kgCO2eq/GJ)]]*3.6/1000</f>
        <v>9.6350781781101274E-3</v>
      </c>
      <c r="J682" t="s">
        <v>104</v>
      </c>
      <c r="K682" t="s">
        <v>108</v>
      </c>
    </row>
    <row r="683" spans="1:11" hidden="1" x14ac:dyDescent="0.3">
      <c r="A683" t="s">
        <v>36</v>
      </c>
      <c r="B683" t="s">
        <v>54</v>
      </c>
      <c r="C683" t="s">
        <v>78</v>
      </c>
      <c r="D683">
        <v>55.3</v>
      </c>
      <c r="E683">
        <f>Tableau4[[#This Row],[Potential (PJ)]]*1000/3.6</f>
        <v>15361.111111111111</v>
      </c>
      <c r="F683">
        <v>6.5293110307414111</v>
      </c>
      <c r="G683">
        <f>Tableau4[[#This Row],[Cost (€/GJ)]]*3.6/1000</f>
        <v>2.3505519710669082E-2</v>
      </c>
      <c r="H683">
        <v>3.86607608129234</v>
      </c>
      <c r="I683">
        <f>Tableau4[[#This Row],[GHG (kgCO2eq/GJ)]]*3.6/1000</f>
        <v>1.3917873892652425E-2</v>
      </c>
      <c r="J683" t="s">
        <v>104</v>
      </c>
      <c r="K683" t="s">
        <v>108</v>
      </c>
    </row>
    <row r="684" spans="1:11" hidden="1" x14ac:dyDescent="0.3">
      <c r="A684" t="s">
        <v>37</v>
      </c>
      <c r="B684" t="s">
        <v>46</v>
      </c>
      <c r="C684" t="s">
        <v>64</v>
      </c>
      <c r="D684">
        <v>0.54586000000000001</v>
      </c>
      <c r="E684">
        <f>Tableau4[[#This Row],[Potential (PJ)]]*1000/3.6</f>
        <v>151.62777777777777</v>
      </c>
      <c r="F684">
        <v>0</v>
      </c>
      <c r="G684">
        <f>Tableau4[[#This Row],[Cost (€/GJ)]]*3.6/1000</f>
        <v>0</v>
      </c>
      <c r="H684">
        <v>2.9521711768407801</v>
      </c>
      <c r="I684">
        <f>Tableau4[[#This Row],[GHG (kgCO2eq/GJ)]]*3.6/1000</f>
        <v>1.0627816236626808E-2</v>
      </c>
      <c r="J684" t="s">
        <v>104</v>
      </c>
      <c r="K684" t="s">
        <v>108</v>
      </c>
    </row>
    <row r="685" spans="1:11" hidden="1" x14ac:dyDescent="0.3">
      <c r="A685" t="s">
        <v>37</v>
      </c>
      <c r="B685" t="s">
        <v>46</v>
      </c>
      <c r="C685" t="s">
        <v>79</v>
      </c>
      <c r="D685">
        <v>37.299999999999997</v>
      </c>
      <c r="E685">
        <f>Tableau4[[#This Row],[Potential (PJ)]]*1000/3.6</f>
        <v>10361.111111111111</v>
      </c>
      <c r="F685">
        <v>1.9921420911528149</v>
      </c>
      <c r="G685">
        <f>Tableau4[[#This Row],[Cost (€/GJ)]]*3.6/1000</f>
        <v>7.1717115281501338E-3</v>
      </c>
      <c r="H685">
        <v>6.8428961748633883</v>
      </c>
      <c r="I685">
        <f>Tableau4[[#This Row],[GHG (kgCO2eq/GJ)]]*3.6/1000</f>
        <v>2.4634426229508198E-2</v>
      </c>
      <c r="J685" t="s">
        <v>104</v>
      </c>
      <c r="K685" t="s">
        <v>108</v>
      </c>
    </row>
    <row r="686" spans="1:11" hidden="1" x14ac:dyDescent="0.3">
      <c r="A686" t="s">
        <v>37</v>
      </c>
      <c r="B686" t="s">
        <v>46</v>
      </c>
      <c r="C686" t="s">
        <v>65</v>
      </c>
      <c r="D686">
        <v>1.5</v>
      </c>
      <c r="E686">
        <f>Tableau4[[#This Row],[Potential (PJ)]]*1000/3.6</f>
        <v>416.66666666666663</v>
      </c>
      <c r="F686">
        <v>3.8524666666666669</v>
      </c>
      <c r="G686">
        <f>Tableau4[[#This Row],[Cost (€/GJ)]]*3.6/1000</f>
        <v>1.386888E-2</v>
      </c>
      <c r="H686">
        <v>2.9521711768407801</v>
      </c>
      <c r="I686">
        <f>Tableau4[[#This Row],[GHG (kgCO2eq/GJ)]]*3.6/1000</f>
        <v>1.0627816236626808E-2</v>
      </c>
      <c r="J686" t="s">
        <v>104</v>
      </c>
      <c r="K686" t="s">
        <v>108</v>
      </c>
    </row>
    <row r="687" spans="1:11" hidden="1" x14ac:dyDescent="0.3">
      <c r="A687" t="s">
        <v>37</v>
      </c>
      <c r="B687" t="s">
        <v>46</v>
      </c>
      <c r="C687" t="s">
        <v>80</v>
      </c>
      <c r="D687">
        <v>1.3835999999999999</v>
      </c>
      <c r="E687">
        <f>Tableau4[[#This Row],[Potential (PJ)]]*1000/3.6</f>
        <v>384.33333333333331</v>
      </c>
      <c r="F687">
        <v>1.7687120701281189</v>
      </c>
      <c r="G687">
        <f>Tableau4[[#This Row],[Cost (€/GJ)]]*3.6/1000</f>
        <v>6.3673634524612282E-3</v>
      </c>
      <c r="H687">
        <v>28.139870918023309</v>
      </c>
      <c r="I687">
        <f>Tableau4[[#This Row],[GHG (kgCO2eq/GJ)]]*3.6/1000</f>
        <v>0.10130353530488391</v>
      </c>
      <c r="J687" t="s">
        <v>105</v>
      </c>
      <c r="K687" t="s">
        <v>108</v>
      </c>
    </row>
    <row r="688" spans="1:11" hidden="1" x14ac:dyDescent="0.3">
      <c r="A688" t="s">
        <v>37</v>
      </c>
      <c r="B688" t="s">
        <v>46</v>
      </c>
      <c r="C688" t="s">
        <v>81</v>
      </c>
      <c r="D688">
        <v>1.4255</v>
      </c>
      <c r="E688">
        <f>Tableau4[[#This Row],[Potential (PJ)]]*1000/3.6</f>
        <v>395.97222222222223</v>
      </c>
      <c r="F688">
        <v>3.96180963572268</v>
      </c>
      <c r="G688">
        <f>Tableau4[[#This Row],[Cost (€/GJ)]]*3.6/1000</f>
        <v>1.4262514688601648E-2</v>
      </c>
      <c r="H688">
        <v>8.9647473560517046</v>
      </c>
      <c r="I688">
        <f>Tableau4[[#This Row],[GHG (kgCO2eq/GJ)]]*3.6/1000</f>
        <v>3.2273090481786136E-2</v>
      </c>
      <c r="J688" t="s">
        <v>105</v>
      </c>
      <c r="K688" t="s">
        <v>108</v>
      </c>
    </row>
    <row r="689" spans="1:11" hidden="1" x14ac:dyDescent="0.3">
      <c r="A689" t="s">
        <v>37</v>
      </c>
      <c r="B689" t="s">
        <v>46</v>
      </c>
      <c r="C689" t="s">
        <v>66</v>
      </c>
      <c r="D689">
        <v>34.200000000000003</v>
      </c>
      <c r="E689">
        <f>Tableau4[[#This Row],[Potential (PJ)]]*1000/3.6</f>
        <v>9500</v>
      </c>
      <c r="F689">
        <v>2.0764532163742691</v>
      </c>
      <c r="G689">
        <f>Tableau4[[#This Row],[Cost (€/GJ)]]*3.6/1000</f>
        <v>7.4752315789473689E-3</v>
      </c>
      <c r="H689">
        <v>6.8428961748633883</v>
      </c>
      <c r="I689">
        <f>Tableau4[[#This Row],[GHG (kgCO2eq/GJ)]]*3.6/1000</f>
        <v>2.4634426229508198E-2</v>
      </c>
      <c r="J689" t="s">
        <v>104</v>
      </c>
      <c r="K689" t="s">
        <v>108</v>
      </c>
    </row>
    <row r="690" spans="1:11" hidden="1" x14ac:dyDescent="0.3">
      <c r="A690" t="s">
        <v>37</v>
      </c>
      <c r="B690" t="s">
        <v>46</v>
      </c>
      <c r="C690" t="s">
        <v>82</v>
      </c>
      <c r="D690">
        <v>24.2</v>
      </c>
      <c r="E690">
        <f>Tableau4[[#This Row],[Potential (PJ)]]*1000/3.6</f>
        <v>6722.2222222222217</v>
      </c>
      <c r="F690">
        <v>1.2821363636363641</v>
      </c>
      <c r="G690">
        <f>Tableau4[[#This Row],[Cost (€/GJ)]]*3.6/1000</f>
        <v>4.6156909090909106E-3</v>
      </c>
      <c r="H690">
        <v>6.8428961748633883</v>
      </c>
      <c r="I690">
        <f>Tableau4[[#This Row],[GHG (kgCO2eq/GJ)]]*3.6/1000</f>
        <v>2.4634426229508198E-2</v>
      </c>
      <c r="J690" t="s">
        <v>104</v>
      </c>
      <c r="K690" t="s">
        <v>108</v>
      </c>
    </row>
    <row r="691" spans="1:11" hidden="1" x14ac:dyDescent="0.3">
      <c r="A691" t="s">
        <v>37</v>
      </c>
      <c r="B691" t="s">
        <v>46</v>
      </c>
      <c r="C691" t="s">
        <v>83</v>
      </c>
      <c r="D691">
        <v>0.36958000000000002</v>
      </c>
      <c r="E691">
        <f>Tableau4[[#This Row],[Potential (PJ)]]*1000/3.6</f>
        <v>102.66111111111113</v>
      </c>
      <c r="F691">
        <v>2.3459465880188319</v>
      </c>
      <c r="G691">
        <f>Tableau4[[#This Row],[Cost (€/GJ)]]*3.6/1000</f>
        <v>8.4454077168677946E-3</v>
      </c>
      <c r="H691">
        <v>6.8428961748633883</v>
      </c>
      <c r="I691">
        <f>Tableau4[[#This Row],[GHG (kgCO2eq/GJ)]]*3.6/1000</f>
        <v>2.4634426229508198E-2</v>
      </c>
      <c r="J691" t="s">
        <v>104</v>
      </c>
      <c r="K691" t="s">
        <v>108</v>
      </c>
    </row>
    <row r="692" spans="1:11" hidden="1" x14ac:dyDescent="0.3">
      <c r="A692" t="s">
        <v>37</v>
      </c>
      <c r="B692" t="s">
        <v>46</v>
      </c>
      <c r="C692" t="s">
        <v>84</v>
      </c>
      <c r="D692">
        <v>0.5</v>
      </c>
      <c r="E692">
        <f>Tableau4[[#This Row],[Potential (PJ)]]*1000/3.6</f>
        <v>138.88888888888889</v>
      </c>
      <c r="F692">
        <v>1.3996</v>
      </c>
      <c r="G692">
        <f>Tableau4[[#This Row],[Cost (€/GJ)]]*3.6/1000</f>
        <v>5.0385600000000001E-3</v>
      </c>
      <c r="H692">
        <v>28.139870918023309</v>
      </c>
      <c r="I692">
        <f>Tableau4[[#This Row],[GHG (kgCO2eq/GJ)]]*3.6/1000</f>
        <v>0.10130353530488391</v>
      </c>
      <c r="J692" t="s">
        <v>105</v>
      </c>
      <c r="K692" t="s">
        <v>108</v>
      </c>
    </row>
    <row r="693" spans="1:11" hidden="1" x14ac:dyDescent="0.3">
      <c r="A693" t="s">
        <v>37</v>
      </c>
      <c r="B693" t="s">
        <v>46</v>
      </c>
      <c r="C693" t="s">
        <v>85</v>
      </c>
      <c r="D693">
        <v>0.7</v>
      </c>
      <c r="E693">
        <f>Tableau4[[#This Row],[Potential (PJ)]]*1000/3.6</f>
        <v>194.44444444444443</v>
      </c>
      <c r="F693">
        <v>0</v>
      </c>
      <c r="G693">
        <f>Tableau4[[#This Row],[Cost (€/GJ)]]*3.6/1000</f>
        <v>0</v>
      </c>
      <c r="H693">
        <v>2.9521711768407801</v>
      </c>
      <c r="I693">
        <f>Tableau4[[#This Row],[GHG (kgCO2eq/GJ)]]*3.6/1000</f>
        <v>1.0627816236626808E-2</v>
      </c>
      <c r="J693" t="s">
        <v>104</v>
      </c>
      <c r="K693" t="s">
        <v>108</v>
      </c>
    </row>
    <row r="694" spans="1:11" hidden="1" x14ac:dyDescent="0.3">
      <c r="A694" t="s">
        <v>37</v>
      </c>
      <c r="B694" t="s">
        <v>55</v>
      </c>
      <c r="C694" t="s">
        <v>86</v>
      </c>
      <c r="D694">
        <v>2.5423</v>
      </c>
      <c r="E694">
        <f>Tableau4[[#This Row],[Potential (PJ)]]*1000/3.6</f>
        <v>706.19444444444446</v>
      </c>
      <c r="F694">
        <v>20.597000000000001</v>
      </c>
      <c r="G694">
        <f>Tableau4[[#This Row],[Cost (€/GJ)]]*3.6/1000</f>
        <v>7.4149200000000012E-2</v>
      </c>
      <c r="H694">
        <v>8.6999999999999993</v>
      </c>
      <c r="I694">
        <f>Tableau4[[#This Row],[GHG (kgCO2eq/GJ)]]*3.6/1000</f>
        <v>3.1319999999999994E-2</v>
      </c>
      <c r="J694" t="s">
        <v>106</v>
      </c>
      <c r="K694" t="s">
        <v>109</v>
      </c>
    </row>
    <row r="695" spans="1:11" hidden="1" x14ac:dyDescent="0.3">
      <c r="A695" t="s">
        <v>37</v>
      </c>
      <c r="B695" t="s">
        <v>55</v>
      </c>
      <c r="C695" t="s">
        <v>87</v>
      </c>
      <c r="D695">
        <v>0.18509999999999999</v>
      </c>
      <c r="E695">
        <f>Tableau4[[#This Row],[Potential (PJ)]]*1000/3.6</f>
        <v>51.416666666666664</v>
      </c>
      <c r="F695">
        <v>18.068000000000001</v>
      </c>
      <c r="G695">
        <f>Tableau4[[#This Row],[Cost (€/GJ)]]*3.6/1000</f>
        <v>6.5044800000000014E-2</v>
      </c>
      <c r="H695">
        <v>8.6999999999999993</v>
      </c>
      <c r="I695">
        <f>Tableau4[[#This Row],[GHG (kgCO2eq/GJ)]]*3.6/1000</f>
        <v>3.1319999999999994E-2</v>
      </c>
      <c r="J695" t="s">
        <v>106</v>
      </c>
      <c r="K695" t="s">
        <v>109</v>
      </c>
    </row>
    <row r="696" spans="1:11" hidden="1" x14ac:dyDescent="0.3">
      <c r="A696" t="s">
        <v>37</v>
      </c>
      <c r="B696" t="s">
        <v>55</v>
      </c>
      <c r="C696" t="s">
        <v>88</v>
      </c>
      <c r="D696">
        <v>24.344000000000001</v>
      </c>
      <c r="E696">
        <f>Tableau4[[#This Row],[Potential (PJ)]]*1000/3.6</f>
        <v>6762.2222222222217</v>
      </c>
      <c r="F696">
        <v>26.291</v>
      </c>
      <c r="G696">
        <f>Tableau4[[#This Row],[Cost (€/GJ)]]*3.6/1000</f>
        <v>9.4647599999999998E-2</v>
      </c>
      <c r="H696">
        <v>8.6999999999999993</v>
      </c>
      <c r="I696">
        <f>Tableau4[[#This Row],[GHG (kgCO2eq/GJ)]]*3.6/1000</f>
        <v>3.1319999999999994E-2</v>
      </c>
      <c r="J696" t="s">
        <v>106</v>
      </c>
      <c r="K696" t="s">
        <v>109</v>
      </c>
    </row>
    <row r="697" spans="1:11" hidden="1" x14ac:dyDescent="0.3">
      <c r="A697" t="s">
        <v>37</v>
      </c>
      <c r="B697" t="s">
        <v>55</v>
      </c>
      <c r="C697" t="s">
        <v>89</v>
      </c>
      <c r="D697">
        <v>7.4000000000000003E-3</v>
      </c>
      <c r="E697">
        <f>Tableau4[[#This Row],[Potential (PJ)]]*1000/3.6</f>
        <v>2.0555555555555558</v>
      </c>
      <c r="F697">
        <v>0</v>
      </c>
      <c r="G697">
        <f>Tableau4[[#This Row],[Cost (€/GJ)]]*3.6/1000</f>
        <v>0</v>
      </c>
      <c r="H697">
        <v>8.6999999999999993</v>
      </c>
      <c r="I697">
        <f>Tableau4[[#This Row],[GHG (kgCO2eq/GJ)]]*3.6/1000</f>
        <v>3.1319999999999994E-2</v>
      </c>
      <c r="J697" t="s">
        <v>106</v>
      </c>
      <c r="K697" t="s">
        <v>109</v>
      </c>
    </row>
    <row r="698" spans="1:11" hidden="1" x14ac:dyDescent="0.3">
      <c r="A698" t="s">
        <v>37</v>
      </c>
      <c r="B698" t="s">
        <v>55</v>
      </c>
      <c r="C698" t="s">
        <v>92</v>
      </c>
      <c r="D698">
        <v>2.2601300000000002</v>
      </c>
      <c r="E698">
        <f>Tableau4[[#This Row],[Potential (PJ)]]*1000/3.6</f>
        <v>627.81388888888887</v>
      </c>
      <c r="F698">
        <v>18.068000000000001</v>
      </c>
      <c r="G698">
        <f>Tableau4[[#This Row],[Cost (€/GJ)]]*3.6/1000</f>
        <v>6.5044800000000014E-2</v>
      </c>
      <c r="H698">
        <v>8.6999999999999993</v>
      </c>
      <c r="I698">
        <f>Tableau4[[#This Row],[GHG (kgCO2eq/GJ)]]*3.6/1000</f>
        <v>3.1319999999999994E-2</v>
      </c>
      <c r="J698" t="s">
        <v>106</v>
      </c>
      <c r="K698" t="s">
        <v>109</v>
      </c>
    </row>
    <row r="699" spans="1:11" hidden="1" x14ac:dyDescent="0.3">
      <c r="A699" t="s">
        <v>37</v>
      </c>
      <c r="B699" t="s">
        <v>56</v>
      </c>
      <c r="C699" t="s">
        <v>93</v>
      </c>
      <c r="D699">
        <v>10.3094</v>
      </c>
      <c r="E699">
        <f>Tableau4[[#This Row],[Potential (PJ)]]*1000/3.6</f>
        <v>2863.7222222222222</v>
      </c>
      <c r="F699">
        <v>2.9493975903614462</v>
      </c>
      <c r="G699">
        <f>Tableau4[[#This Row],[Cost (€/GJ)]]*3.6/1000</f>
        <v>1.0617831325301207E-2</v>
      </c>
      <c r="H699">
        <v>34</v>
      </c>
      <c r="I699">
        <f>Tableau4[[#This Row],[GHG (kgCO2eq/GJ)]]*3.6/1000</f>
        <v>0.12240000000000001</v>
      </c>
      <c r="J699" t="s">
        <v>106</v>
      </c>
      <c r="K699" t="s">
        <v>109</v>
      </c>
    </row>
    <row r="700" spans="1:11" hidden="1" x14ac:dyDescent="0.3">
      <c r="A700" t="s">
        <v>37</v>
      </c>
      <c r="B700" t="s">
        <v>47</v>
      </c>
      <c r="C700" t="s">
        <v>68</v>
      </c>
      <c r="D700">
        <v>185.3</v>
      </c>
      <c r="E700">
        <f>Tableau4[[#This Row],[Potential (PJ)]]*1000/3.6</f>
        <v>51472.222222222219</v>
      </c>
      <c r="F700">
        <v>2.513846195358878</v>
      </c>
      <c r="G700">
        <f>Tableau4[[#This Row],[Cost (€/GJ)]]*3.6/1000</f>
        <v>9.0498463032919613E-3</v>
      </c>
      <c r="H700">
        <v>16.600000000000001</v>
      </c>
      <c r="I700">
        <f>Tableau4[[#This Row],[GHG (kgCO2eq/GJ)]]*3.6/1000</f>
        <v>5.9760000000000008E-2</v>
      </c>
      <c r="J700" t="s">
        <v>104</v>
      </c>
      <c r="K700" t="s">
        <v>109</v>
      </c>
    </row>
    <row r="701" spans="1:11" hidden="1" x14ac:dyDescent="0.3">
      <c r="A701" t="s">
        <v>37</v>
      </c>
      <c r="B701" t="s">
        <v>47</v>
      </c>
      <c r="C701" t="s">
        <v>69</v>
      </c>
      <c r="D701">
        <v>183.1</v>
      </c>
      <c r="E701">
        <f>Tableau4[[#This Row],[Potential (PJ)]]*1000/3.6</f>
        <v>50861.111111111109</v>
      </c>
      <c r="F701">
        <v>2.3549748771163301</v>
      </c>
      <c r="G701">
        <f>Tableau4[[#This Row],[Cost (€/GJ)]]*3.6/1000</f>
        <v>8.4779095576187884E-3</v>
      </c>
      <c r="H701">
        <v>16.600000000000001</v>
      </c>
      <c r="I701">
        <f>Tableau4[[#This Row],[GHG (kgCO2eq/GJ)]]*3.6/1000</f>
        <v>5.9760000000000008E-2</v>
      </c>
      <c r="J701" t="s">
        <v>104</v>
      </c>
      <c r="K701" t="s">
        <v>109</v>
      </c>
    </row>
    <row r="702" spans="1:11" hidden="1" x14ac:dyDescent="0.3">
      <c r="A702" t="s">
        <v>37</v>
      </c>
      <c r="B702" t="s">
        <v>57</v>
      </c>
      <c r="C702" t="s">
        <v>94</v>
      </c>
      <c r="D702">
        <v>89.1</v>
      </c>
      <c r="E702">
        <f>Tableau4[[#This Row],[Potential (PJ)]]*1000/3.6</f>
        <v>24750</v>
      </c>
      <c r="F702">
        <v>6.4830168350168353</v>
      </c>
      <c r="G702">
        <f>Tableau4[[#This Row],[Cost (€/GJ)]]*3.6/1000</f>
        <v>2.3338860606060607E-2</v>
      </c>
      <c r="H702">
        <v>16.5</v>
      </c>
      <c r="I702">
        <f>Tableau4[[#This Row],[GHG (kgCO2eq/GJ)]]*3.6/1000</f>
        <v>5.9400000000000001E-2</v>
      </c>
      <c r="J702" t="s">
        <v>104</v>
      </c>
      <c r="K702" t="s">
        <v>109</v>
      </c>
    </row>
    <row r="703" spans="1:11" hidden="1" x14ac:dyDescent="0.3">
      <c r="A703" t="s">
        <v>37</v>
      </c>
      <c r="B703" t="s">
        <v>49</v>
      </c>
      <c r="C703" t="s">
        <v>71</v>
      </c>
      <c r="D703">
        <v>357.3152</v>
      </c>
      <c r="E703">
        <f>Tableau4[[#This Row],[Potential (PJ)]]*1000/3.6</f>
        <v>99254.222222222219</v>
      </c>
      <c r="F703">
        <v>1.7121745846244429</v>
      </c>
      <c r="G703">
        <f>Tableau4[[#This Row],[Cost (€/GJ)]]*3.6/1000</f>
        <v>6.1638285046479949E-3</v>
      </c>
      <c r="H703">
        <v>3.86607608129234</v>
      </c>
      <c r="I703">
        <f>Tableau4[[#This Row],[GHG (kgCO2eq/GJ)]]*3.6/1000</f>
        <v>1.3917873892652425E-2</v>
      </c>
      <c r="J703" t="s">
        <v>104</v>
      </c>
      <c r="K703" t="s">
        <v>108</v>
      </c>
    </row>
    <row r="704" spans="1:11" hidden="1" x14ac:dyDescent="0.3">
      <c r="A704" t="s">
        <v>37</v>
      </c>
      <c r="B704" t="s">
        <v>49</v>
      </c>
      <c r="C704" t="s">
        <v>72</v>
      </c>
      <c r="D704">
        <v>22</v>
      </c>
      <c r="E704">
        <f>Tableau4[[#This Row],[Potential (PJ)]]*1000/3.6</f>
        <v>6111.1111111111113</v>
      </c>
      <c r="F704">
        <v>2.2743409090909088</v>
      </c>
      <c r="G704">
        <f>Tableau4[[#This Row],[Cost (€/GJ)]]*3.6/1000</f>
        <v>8.1876272727272725E-3</v>
      </c>
      <c r="H704">
        <v>3.86607608129234</v>
      </c>
      <c r="I704">
        <f>Tableau4[[#This Row],[GHG (kgCO2eq/GJ)]]*3.6/1000</f>
        <v>1.3917873892652425E-2</v>
      </c>
      <c r="J704" t="s">
        <v>104</v>
      </c>
      <c r="K704" t="s">
        <v>108</v>
      </c>
    </row>
    <row r="705" spans="1:11" hidden="1" x14ac:dyDescent="0.3">
      <c r="A705" t="s">
        <v>37</v>
      </c>
      <c r="B705" t="s">
        <v>58</v>
      </c>
      <c r="C705" t="s">
        <v>95</v>
      </c>
      <c r="D705">
        <v>52.27299</v>
      </c>
      <c r="E705">
        <f>Tableau4[[#This Row],[Potential (PJ)]]*1000/3.6</f>
        <v>14520.275</v>
      </c>
      <c r="F705">
        <v>1.6696404860330361</v>
      </c>
      <c r="G705">
        <f>Tableau4[[#This Row],[Cost (€/GJ)]]*3.6/1000</f>
        <v>6.01070574971893E-3</v>
      </c>
      <c r="H705">
        <v>2.9521711768407801</v>
      </c>
      <c r="I705">
        <f>Tableau4[[#This Row],[GHG (kgCO2eq/GJ)]]*3.6/1000</f>
        <v>1.0627816236626808E-2</v>
      </c>
      <c r="J705" t="s">
        <v>104</v>
      </c>
      <c r="K705" t="s">
        <v>108</v>
      </c>
    </row>
    <row r="706" spans="1:11" hidden="1" x14ac:dyDescent="0.3">
      <c r="A706" t="s">
        <v>37</v>
      </c>
      <c r="B706" t="s">
        <v>50</v>
      </c>
      <c r="C706" t="s">
        <v>73</v>
      </c>
      <c r="D706">
        <v>1.5</v>
      </c>
      <c r="E706">
        <f>Tableau4[[#This Row],[Potential (PJ)]]*1000/3.6</f>
        <v>416.66666666666663</v>
      </c>
      <c r="F706">
        <v>4.9509333333333334</v>
      </c>
      <c r="G706">
        <f>Tableau4[[#This Row],[Cost (€/GJ)]]*3.6/1000</f>
        <v>1.782336E-2</v>
      </c>
      <c r="H706">
        <v>20.723404255319149</v>
      </c>
      <c r="I706">
        <f>Tableau4[[#This Row],[GHG (kgCO2eq/GJ)]]*3.6/1000</f>
        <v>7.4604255319148938E-2</v>
      </c>
      <c r="J706" t="s">
        <v>105</v>
      </c>
      <c r="K706" t="s">
        <v>108</v>
      </c>
    </row>
    <row r="707" spans="1:11" hidden="1" x14ac:dyDescent="0.3">
      <c r="A707" t="s">
        <v>37</v>
      </c>
      <c r="B707" t="s">
        <v>50</v>
      </c>
      <c r="C707" t="s">
        <v>74</v>
      </c>
      <c r="D707">
        <v>25.4</v>
      </c>
      <c r="E707">
        <f>Tableau4[[#This Row],[Potential (PJ)]]*1000/3.6</f>
        <v>7055.5555555555557</v>
      </c>
      <c r="F707">
        <v>3.3499448818897641</v>
      </c>
      <c r="G707">
        <f>Tableau4[[#This Row],[Cost (€/GJ)]]*3.6/1000</f>
        <v>1.2059801574803151E-2</v>
      </c>
      <c r="H707">
        <v>2.0635593220338988</v>
      </c>
      <c r="I707">
        <f>Tableau4[[#This Row],[GHG (kgCO2eq/GJ)]]*3.6/1000</f>
        <v>7.428813559322036E-3</v>
      </c>
      <c r="J707" t="s">
        <v>105</v>
      </c>
      <c r="K707" t="s">
        <v>108</v>
      </c>
    </row>
    <row r="708" spans="1:11" hidden="1" x14ac:dyDescent="0.3">
      <c r="A708" t="s">
        <v>37</v>
      </c>
      <c r="B708" t="s">
        <v>59</v>
      </c>
      <c r="C708" t="s">
        <v>96</v>
      </c>
      <c r="D708">
        <v>4.7545999999999999</v>
      </c>
      <c r="E708">
        <f>Tableau4[[#This Row],[Potential (PJ)]]*1000/3.6</f>
        <v>1320.7222222222224</v>
      </c>
      <c r="F708">
        <v>31.498000000000001</v>
      </c>
      <c r="G708">
        <f>Tableau4[[#This Row],[Cost (€/GJ)]]*3.6/1000</f>
        <v>0.1133928</v>
      </c>
      <c r="H708">
        <v>6</v>
      </c>
      <c r="I708">
        <f>Tableau4[[#This Row],[GHG (kgCO2eq/GJ)]]*3.6/1000</f>
        <v>2.1600000000000001E-2</v>
      </c>
      <c r="J708" t="s">
        <v>107</v>
      </c>
      <c r="K708" t="s">
        <v>109</v>
      </c>
    </row>
    <row r="709" spans="1:11" hidden="1" x14ac:dyDescent="0.3">
      <c r="A709" t="s">
        <v>37</v>
      </c>
      <c r="B709" t="s">
        <v>59</v>
      </c>
      <c r="C709" t="s">
        <v>97</v>
      </c>
      <c r="D709">
        <v>2.7867999999999999</v>
      </c>
      <c r="E709">
        <f>Tableau4[[#This Row],[Potential (PJ)]]*1000/3.6</f>
        <v>774.11111111111097</v>
      </c>
      <c r="F709">
        <v>15.95225176342919</v>
      </c>
      <c r="G709">
        <f>Tableau4[[#This Row],[Cost (€/GJ)]]*3.6/1000</f>
        <v>5.7428106348345088E-2</v>
      </c>
      <c r="H709">
        <v>6</v>
      </c>
      <c r="I709">
        <f>Tableau4[[#This Row],[GHG (kgCO2eq/GJ)]]*3.6/1000</f>
        <v>2.1600000000000001E-2</v>
      </c>
      <c r="J709" t="s">
        <v>107</v>
      </c>
      <c r="K709" t="s">
        <v>109</v>
      </c>
    </row>
    <row r="710" spans="1:11" hidden="1" x14ac:dyDescent="0.3">
      <c r="A710" t="s">
        <v>37</v>
      </c>
      <c r="B710" t="s">
        <v>51</v>
      </c>
      <c r="C710" t="s">
        <v>75</v>
      </c>
      <c r="D710">
        <v>11.84056</v>
      </c>
      <c r="E710">
        <f>Tableau4[[#This Row],[Potential (PJ)]]*1000/3.6</f>
        <v>3289.0444444444443</v>
      </c>
      <c r="F710">
        <v>8.84487541138336E-2</v>
      </c>
      <c r="G710">
        <f>Tableau4[[#This Row],[Cost (€/GJ)]]*3.6/1000</f>
        <v>3.1841551480980097E-4</v>
      </c>
      <c r="H710">
        <v>11.74</v>
      </c>
      <c r="I710">
        <f>Tableau4[[#This Row],[GHG (kgCO2eq/GJ)]]*3.6/1000</f>
        <v>4.2264000000000003E-2</v>
      </c>
      <c r="J710" t="s">
        <v>104</v>
      </c>
      <c r="K710" t="s">
        <v>108</v>
      </c>
    </row>
    <row r="711" spans="1:11" hidden="1" x14ac:dyDescent="0.3">
      <c r="A711" t="s">
        <v>37</v>
      </c>
      <c r="B711" t="s">
        <v>60</v>
      </c>
      <c r="C711" t="s">
        <v>98</v>
      </c>
      <c r="D711">
        <v>15.99785</v>
      </c>
      <c r="E711">
        <f>Tableau4[[#This Row],[Potential (PJ)]]*1000/3.6</f>
        <v>4443.8472222222226</v>
      </c>
      <c r="F711">
        <v>13.856068743286791</v>
      </c>
      <c r="G711">
        <f>Tableau4[[#This Row],[Cost (€/GJ)]]*3.6/1000</f>
        <v>4.988184747583245E-2</v>
      </c>
      <c r="H711">
        <v>24.7</v>
      </c>
      <c r="I711">
        <f>Tableau4[[#This Row],[GHG (kgCO2eq/GJ)]]*3.6/1000</f>
        <v>8.8919999999999999E-2</v>
      </c>
      <c r="J711" t="s">
        <v>107</v>
      </c>
      <c r="K711" t="s">
        <v>109</v>
      </c>
    </row>
    <row r="712" spans="1:11" hidden="1" x14ac:dyDescent="0.3">
      <c r="A712" t="s">
        <v>37</v>
      </c>
      <c r="B712" t="s">
        <v>52</v>
      </c>
      <c r="C712" t="s">
        <v>76</v>
      </c>
      <c r="D712">
        <v>4.1000000000000002E-2</v>
      </c>
      <c r="E712">
        <f>Tableau4[[#This Row],[Potential (PJ)]]*1000/3.6</f>
        <v>11.388888888888889</v>
      </c>
      <c r="F712">
        <v>4.7567250000000003</v>
      </c>
      <c r="G712">
        <f>Tableau4[[#This Row],[Cost (€/GJ)]]*3.6/1000</f>
        <v>1.7124210000000001E-2</v>
      </c>
      <c r="H712">
        <v>12.68872359754714</v>
      </c>
      <c r="I712">
        <f>Tableau4[[#This Row],[GHG (kgCO2eq/GJ)]]*3.6/1000</f>
        <v>4.5679404951169705E-2</v>
      </c>
      <c r="J712" t="s">
        <v>105</v>
      </c>
      <c r="K712" t="s">
        <v>108</v>
      </c>
    </row>
    <row r="713" spans="1:11" hidden="1" x14ac:dyDescent="0.3">
      <c r="A713" t="s">
        <v>37</v>
      </c>
      <c r="B713" t="s">
        <v>53</v>
      </c>
      <c r="C713" t="s">
        <v>77</v>
      </c>
      <c r="D713">
        <v>8.6999999999999993</v>
      </c>
      <c r="E713">
        <f>Tableau4[[#This Row],[Potential (PJ)]]*1000/3.6</f>
        <v>2416.6666666666665</v>
      </c>
      <c r="F713">
        <v>2.2743448275862068</v>
      </c>
      <c r="G713">
        <f>Tableau4[[#This Row],[Cost (€/GJ)]]*3.6/1000</f>
        <v>8.1876413793103443E-3</v>
      </c>
      <c r="H713">
        <v>3.86607608129234</v>
      </c>
      <c r="I713">
        <f>Tableau4[[#This Row],[GHG (kgCO2eq/GJ)]]*3.6/1000</f>
        <v>1.3917873892652425E-2</v>
      </c>
      <c r="J713" t="s">
        <v>104</v>
      </c>
      <c r="K713" t="s">
        <v>108</v>
      </c>
    </row>
    <row r="714" spans="1:11" hidden="1" x14ac:dyDescent="0.3">
      <c r="A714" t="s">
        <v>37</v>
      </c>
      <c r="B714" t="s">
        <v>61</v>
      </c>
      <c r="C714" t="s">
        <v>99</v>
      </c>
      <c r="D714">
        <v>55.3</v>
      </c>
      <c r="E714">
        <f>Tableau4[[#This Row],[Potential (PJ)]]*1000/3.6</f>
        <v>15361.111111111111</v>
      </c>
      <c r="F714">
        <v>1.120690777576854</v>
      </c>
      <c r="G714">
        <f>Tableau4[[#This Row],[Cost (€/GJ)]]*3.6/1000</f>
        <v>4.0344867992766747E-3</v>
      </c>
      <c r="H714">
        <v>2.9245635910224439</v>
      </c>
      <c r="I714">
        <f>Tableau4[[#This Row],[GHG (kgCO2eq/GJ)]]*3.6/1000</f>
        <v>1.0528428927680798E-2</v>
      </c>
      <c r="J714" t="s">
        <v>104</v>
      </c>
      <c r="K714" t="s">
        <v>108</v>
      </c>
    </row>
    <row r="715" spans="1:11" hidden="1" x14ac:dyDescent="0.3">
      <c r="A715" t="s">
        <v>37</v>
      </c>
      <c r="B715" t="s">
        <v>62</v>
      </c>
      <c r="C715" t="s">
        <v>100</v>
      </c>
      <c r="D715">
        <v>17.8</v>
      </c>
      <c r="E715">
        <f>Tableau4[[#This Row],[Potential (PJ)]]*1000/3.6</f>
        <v>4944.4444444444443</v>
      </c>
      <c r="F715">
        <v>0.13988764044943819</v>
      </c>
      <c r="G715">
        <f>Tableau4[[#This Row],[Cost (€/GJ)]]*3.6/1000</f>
        <v>5.0359550561797752E-4</v>
      </c>
      <c r="H715">
        <v>2.6764106050305911</v>
      </c>
      <c r="I715">
        <f>Tableau4[[#This Row],[GHG (kgCO2eq/GJ)]]*3.6/1000</f>
        <v>9.6350781781101274E-3</v>
      </c>
      <c r="J715" t="s">
        <v>104</v>
      </c>
      <c r="K715" t="s">
        <v>108</v>
      </c>
    </row>
    <row r="716" spans="1:11" hidden="1" x14ac:dyDescent="0.3">
      <c r="A716" t="s">
        <v>37</v>
      </c>
      <c r="B716" t="s">
        <v>54</v>
      </c>
      <c r="C716" t="s">
        <v>78</v>
      </c>
      <c r="D716">
        <v>144.30000000000001</v>
      </c>
      <c r="E716">
        <f>Tableau4[[#This Row],[Potential (PJ)]]*1000/3.6</f>
        <v>40083.333333333336</v>
      </c>
      <c r="F716">
        <v>2.2566382536382541</v>
      </c>
      <c r="G716">
        <f>Tableau4[[#This Row],[Cost (€/GJ)]]*3.6/1000</f>
        <v>8.123897713097716E-3</v>
      </c>
      <c r="H716">
        <v>3.86607608129234</v>
      </c>
      <c r="I716">
        <f>Tableau4[[#This Row],[GHG (kgCO2eq/GJ)]]*3.6/1000</f>
        <v>1.3917873892652425E-2</v>
      </c>
      <c r="J716" t="s">
        <v>104</v>
      </c>
      <c r="K716" t="s">
        <v>108</v>
      </c>
    </row>
    <row r="717" spans="1:11" hidden="1" x14ac:dyDescent="0.3">
      <c r="A717" t="s">
        <v>38</v>
      </c>
      <c r="B717" t="s">
        <v>46</v>
      </c>
      <c r="C717" t="s">
        <v>64</v>
      </c>
      <c r="D717">
        <v>1.1146</v>
      </c>
      <c r="E717">
        <f>Tableau4[[#This Row],[Potential (PJ)]]*1000/3.6</f>
        <v>309.61111111111114</v>
      </c>
      <c r="F717">
        <v>0</v>
      </c>
      <c r="G717">
        <f>Tableau4[[#This Row],[Cost (€/GJ)]]*3.6/1000</f>
        <v>0</v>
      </c>
      <c r="H717">
        <v>2.9521711768407801</v>
      </c>
      <c r="I717">
        <f>Tableau4[[#This Row],[GHG (kgCO2eq/GJ)]]*3.6/1000</f>
        <v>1.0627816236626808E-2</v>
      </c>
      <c r="J717" t="s">
        <v>104</v>
      </c>
      <c r="K717" t="s">
        <v>108</v>
      </c>
    </row>
    <row r="718" spans="1:11" hidden="1" x14ac:dyDescent="0.3">
      <c r="A718" t="s">
        <v>38</v>
      </c>
      <c r="B718" t="s">
        <v>46</v>
      </c>
      <c r="C718" t="s">
        <v>79</v>
      </c>
      <c r="D718">
        <v>20</v>
      </c>
      <c r="E718">
        <f>Tableau4[[#This Row],[Potential (PJ)]]*1000/3.6</f>
        <v>5555.5555555555557</v>
      </c>
      <c r="F718">
        <v>0</v>
      </c>
      <c r="G718">
        <f>Tableau4[[#This Row],[Cost (€/GJ)]]*3.6/1000</f>
        <v>0</v>
      </c>
      <c r="H718">
        <v>6.8428961748633883</v>
      </c>
      <c r="I718">
        <f>Tableau4[[#This Row],[GHG (kgCO2eq/GJ)]]*3.6/1000</f>
        <v>2.4634426229508198E-2</v>
      </c>
      <c r="J718" t="s">
        <v>104</v>
      </c>
      <c r="K718" t="s">
        <v>108</v>
      </c>
    </row>
    <row r="719" spans="1:11" hidden="1" x14ac:dyDescent="0.3">
      <c r="A719" t="s">
        <v>38</v>
      </c>
      <c r="B719" t="s">
        <v>46</v>
      </c>
      <c r="C719" t="s">
        <v>65</v>
      </c>
      <c r="D719">
        <v>2.9</v>
      </c>
      <c r="E719">
        <f>Tableau4[[#This Row],[Potential (PJ)]]*1000/3.6</f>
        <v>805.55555555555554</v>
      </c>
      <c r="F719">
        <v>4.3079999999999998</v>
      </c>
      <c r="G719">
        <f>Tableau4[[#This Row],[Cost (€/GJ)]]*3.6/1000</f>
        <v>1.55088E-2</v>
      </c>
      <c r="H719">
        <v>2.9521711768407801</v>
      </c>
      <c r="I719">
        <f>Tableau4[[#This Row],[GHG (kgCO2eq/GJ)]]*3.6/1000</f>
        <v>1.0627816236626808E-2</v>
      </c>
      <c r="J719" t="s">
        <v>104</v>
      </c>
      <c r="K719" t="s">
        <v>108</v>
      </c>
    </row>
    <row r="720" spans="1:11" hidden="1" x14ac:dyDescent="0.3">
      <c r="A720" t="s">
        <v>38</v>
      </c>
      <c r="B720" t="s">
        <v>46</v>
      </c>
      <c r="C720" t="s">
        <v>66</v>
      </c>
      <c r="D720">
        <v>28.5</v>
      </c>
      <c r="E720">
        <f>Tableau4[[#This Row],[Potential (PJ)]]*1000/3.6</f>
        <v>7916.6666666666661</v>
      </c>
      <c r="F720">
        <v>2.6139999999999999</v>
      </c>
      <c r="G720">
        <f>Tableau4[[#This Row],[Cost (€/GJ)]]*3.6/1000</f>
        <v>9.4103999999999993E-3</v>
      </c>
      <c r="H720">
        <v>6.8428961748633883</v>
      </c>
      <c r="I720">
        <f>Tableau4[[#This Row],[GHG (kgCO2eq/GJ)]]*3.6/1000</f>
        <v>2.4634426229508198E-2</v>
      </c>
      <c r="J720" t="s">
        <v>104</v>
      </c>
      <c r="K720" t="s">
        <v>108</v>
      </c>
    </row>
    <row r="721" spans="1:11" hidden="1" x14ac:dyDescent="0.3">
      <c r="A721" t="s">
        <v>38</v>
      </c>
      <c r="B721" t="s">
        <v>46</v>
      </c>
      <c r="C721" t="s">
        <v>82</v>
      </c>
      <c r="D721">
        <v>0.6</v>
      </c>
      <c r="E721">
        <f>Tableau4[[#This Row],[Potential (PJ)]]*1000/3.6</f>
        <v>166.66666666666666</v>
      </c>
      <c r="F721">
        <v>0</v>
      </c>
      <c r="G721">
        <f>Tableau4[[#This Row],[Cost (€/GJ)]]*3.6/1000</f>
        <v>0</v>
      </c>
      <c r="H721">
        <v>6.8428961748633883</v>
      </c>
      <c r="I721">
        <f>Tableau4[[#This Row],[GHG (kgCO2eq/GJ)]]*3.6/1000</f>
        <v>2.4634426229508198E-2</v>
      </c>
      <c r="J721" t="s">
        <v>104</v>
      </c>
      <c r="K721" t="s">
        <v>108</v>
      </c>
    </row>
    <row r="722" spans="1:11" hidden="1" x14ac:dyDescent="0.3">
      <c r="A722" t="s">
        <v>38</v>
      </c>
      <c r="B722" t="s">
        <v>46</v>
      </c>
      <c r="C722" t="s">
        <v>84</v>
      </c>
      <c r="D722">
        <v>0.7</v>
      </c>
      <c r="E722">
        <f>Tableau4[[#This Row],[Potential (PJ)]]*1000/3.6</f>
        <v>194.44444444444443</v>
      </c>
      <c r="F722">
        <v>2.0419999999999998</v>
      </c>
      <c r="G722">
        <f>Tableau4[[#This Row],[Cost (€/GJ)]]*3.6/1000</f>
        <v>7.3511999999999996E-3</v>
      </c>
      <c r="H722">
        <v>28.139870918023309</v>
      </c>
      <c r="I722">
        <f>Tableau4[[#This Row],[GHG (kgCO2eq/GJ)]]*3.6/1000</f>
        <v>0.10130353530488391</v>
      </c>
      <c r="J722" t="s">
        <v>105</v>
      </c>
      <c r="K722" t="s">
        <v>108</v>
      </c>
    </row>
    <row r="723" spans="1:11" hidden="1" x14ac:dyDescent="0.3">
      <c r="A723" t="s">
        <v>38</v>
      </c>
      <c r="B723" t="s">
        <v>46</v>
      </c>
      <c r="C723" t="s">
        <v>85</v>
      </c>
      <c r="D723">
        <v>0.8</v>
      </c>
      <c r="E723">
        <f>Tableau4[[#This Row],[Potential (PJ)]]*1000/3.6</f>
        <v>222.22222222222223</v>
      </c>
      <c r="F723">
        <v>0</v>
      </c>
      <c r="G723">
        <f>Tableau4[[#This Row],[Cost (€/GJ)]]*3.6/1000</f>
        <v>0</v>
      </c>
      <c r="H723">
        <v>2.9521711768407801</v>
      </c>
      <c r="I723">
        <f>Tableau4[[#This Row],[GHG (kgCO2eq/GJ)]]*3.6/1000</f>
        <v>1.0627816236626808E-2</v>
      </c>
      <c r="J723" t="s">
        <v>104</v>
      </c>
      <c r="K723" t="s">
        <v>108</v>
      </c>
    </row>
    <row r="724" spans="1:11" hidden="1" x14ac:dyDescent="0.3">
      <c r="A724" t="s">
        <v>38</v>
      </c>
      <c r="B724" t="s">
        <v>47</v>
      </c>
      <c r="C724" t="s">
        <v>68</v>
      </c>
      <c r="D724">
        <v>24.6</v>
      </c>
      <c r="E724">
        <f>Tableau4[[#This Row],[Potential (PJ)]]*1000/3.6</f>
        <v>6833.333333333333</v>
      </c>
      <c r="F724">
        <v>3.9649999999999999</v>
      </c>
      <c r="G724">
        <f>Tableau4[[#This Row],[Cost (€/GJ)]]*3.6/1000</f>
        <v>1.4273999999999998E-2</v>
      </c>
      <c r="H724">
        <v>14.1</v>
      </c>
      <c r="I724">
        <f>Tableau4[[#This Row],[GHG (kgCO2eq/GJ)]]*3.6/1000</f>
        <v>5.076E-2</v>
      </c>
      <c r="J724" t="s">
        <v>104</v>
      </c>
      <c r="K724" t="s">
        <v>109</v>
      </c>
    </row>
    <row r="725" spans="1:11" hidden="1" x14ac:dyDescent="0.3">
      <c r="A725" t="s">
        <v>38</v>
      </c>
      <c r="B725" t="s">
        <v>47</v>
      </c>
      <c r="C725" t="s">
        <v>69</v>
      </c>
      <c r="D725">
        <v>17.2</v>
      </c>
      <c r="E725">
        <f>Tableau4[[#This Row],[Potential (PJ)]]*1000/3.6</f>
        <v>4777.7777777777774</v>
      </c>
      <c r="F725">
        <v>3.9769999999999999</v>
      </c>
      <c r="G725">
        <f>Tableau4[[#This Row],[Cost (€/GJ)]]*3.6/1000</f>
        <v>1.43172E-2</v>
      </c>
      <c r="H725">
        <v>14.1</v>
      </c>
      <c r="I725">
        <f>Tableau4[[#This Row],[GHG (kgCO2eq/GJ)]]*3.6/1000</f>
        <v>5.076E-2</v>
      </c>
      <c r="J725" t="s">
        <v>104</v>
      </c>
      <c r="K725" t="s">
        <v>109</v>
      </c>
    </row>
    <row r="726" spans="1:11" hidden="1" x14ac:dyDescent="0.3">
      <c r="A726" t="s">
        <v>38</v>
      </c>
      <c r="B726" t="s">
        <v>48</v>
      </c>
      <c r="C726" t="s">
        <v>70</v>
      </c>
      <c r="D726">
        <v>9.1</v>
      </c>
      <c r="E726">
        <f>Tableau4[[#This Row],[Potential (PJ)]]*1000/3.6</f>
        <v>2527.7777777777778</v>
      </c>
      <c r="F726">
        <v>10.218</v>
      </c>
      <c r="G726">
        <f>Tableau4[[#This Row],[Cost (€/GJ)]]*3.6/1000</f>
        <v>3.6784800000000006E-2</v>
      </c>
      <c r="H726">
        <v>0</v>
      </c>
      <c r="I726">
        <f>Tableau4[[#This Row],[GHG (kgCO2eq/GJ)]]*3.6/1000</f>
        <v>0</v>
      </c>
      <c r="J726" t="s">
        <v>104</v>
      </c>
      <c r="K726" t="s">
        <v>109</v>
      </c>
    </row>
    <row r="727" spans="1:11" hidden="1" x14ac:dyDescent="0.3">
      <c r="A727" t="s">
        <v>38</v>
      </c>
      <c r="B727" t="s">
        <v>49</v>
      </c>
      <c r="C727" t="s">
        <v>72</v>
      </c>
      <c r="D727">
        <v>27.9</v>
      </c>
      <c r="E727">
        <f>Tableau4[[#This Row],[Potential (PJ)]]*1000/3.6</f>
        <v>7750</v>
      </c>
      <c r="F727">
        <v>0</v>
      </c>
      <c r="G727">
        <f>Tableau4[[#This Row],[Cost (€/GJ)]]*3.6/1000</f>
        <v>0</v>
      </c>
      <c r="H727">
        <v>3.86607608129234</v>
      </c>
      <c r="I727">
        <f>Tableau4[[#This Row],[GHG (kgCO2eq/GJ)]]*3.6/1000</f>
        <v>1.3917873892652425E-2</v>
      </c>
      <c r="J727" t="s">
        <v>104</v>
      </c>
      <c r="K727" t="s">
        <v>108</v>
      </c>
    </row>
    <row r="728" spans="1:11" hidden="1" x14ac:dyDescent="0.3">
      <c r="A728" t="s">
        <v>38</v>
      </c>
      <c r="B728" t="s">
        <v>50</v>
      </c>
      <c r="C728" t="s">
        <v>73</v>
      </c>
      <c r="D728">
        <v>4.9000000000000004</v>
      </c>
      <c r="E728">
        <f>Tableau4[[#This Row],[Potential (PJ)]]*1000/3.6</f>
        <v>1361.1111111111111</v>
      </c>
      <c r="F728">
        <v>5.4240000000000004</v>
      </c>
      <c r="G728">
        <f>Tableau4[[#This Row],[Cost (€/GJ)]]*3.6/1000</f>
        <v>1.9526400000000003E-2</v>
      </c>
      <c r="H728">
        <v>20.723404255319149</v>
      </c>
      <c r="I728">
        <f>Tableau4[[#This Row],[GHG (kgCO2eq/GJ)]]*3.6/1000</f>
        <v>7.4604255319148938E-2</v>
      </c>
      <c r="J728" t="s">
        <v>105</v>
      </c>
      <c r="K728" t="s">
        <v>108</v>
      </c>
    </row>
    <row r="729" spans="1:11" hidden="1" x14ac:dyDescent="0.3">
      <c r="A729" t="s">
        <v>38</v>
      </c>
      <c r="B729" t="s">
        <v>50</v>
      </c>
      <c r="C729" t="s">
        <v>74</v>
      </c>
      <c r="D729">
        <v>7</v>
      </c>
      <c r="E729">
        <f>Tableau4[[#This Row],[Potential (PJ)]]*1000/3.6</f>
        <v>1944.4444444444443</v>
      </c>
      <c r="F729">
        <v>3.484</v>
      </c>
      <c r="G729">
        <f>Tableau4[[#This Row],[Cost (€/GJ)]]*3.6/1000</f>
        <v>1.25424E-2</v>
      </c>
      <c r="H729">
        <v>2.0635593220338988</v>
      </c>
      <c r="I729">
        <f>Tableau4[[#This Row],[GHG (kgCO2eq/GJ)]]*3.6/1000</f>
        <v>7.428813559322036E-3</v>
      </c>
      <c r="J729" t="s">
        <v>105</v>
      </c>
      <c r="K729" t="s">
        <v>108</v>
      </c>
    </row>
    <row r="730" spans="1:11" hidden="1" x14ac:dyDescent="0.3">
      <c r="A730" t="s">
        <v>38</v>
      </c>
      <c r="B730" t="s">
        <v>51</v>
      </c>
      <c r="C730" t="s">
        <v>75</v>
      </c>
      <c r="D730">
        <v>27.238040000000002</v>
      </c>
      <c r="E730">
        <f>Tableau4[[#This Row],[Potential (PJ)]]*1000/3.6</f>
        <v>7566.1222222222223</v>
      </c>
      <c r="F730">
        <v>8.84487541138336E-2</v>
      </c>
      <c r="G730">
        <f>Tableau4[[#This Row],[Cost (€/GJ)]]*3.6/1000</f>
        <v>3.1841551480980097E-4</v>
      </c>
      <c r="H730">
        <v>11.74</v>
      </c>
      <c r="I730">
        <f>Tableau4[[#This Row],[GHG (kgCO2eq/GJ)]]*3.6/1000</f>
        <v>4.2264000000000003E-2</v>
      </c>
      <c r="J730" t="s">
        <v>104</v>
      </c>
      <c r="K730" t="s">
        <v>108</v>
      </c>
    </row>
    <row r="731" spans="1:11" hidden="1" x14ac:dyDescent="0.3">
      <c r="A731" t="s">
        <v>38</v>
      </c>
      <c r="B731" t="s">
        <v>52</v>
      </c>
      <c r="C731" t="s">
        <v>76</v>
      </c>
      <c r="D731">
        <v>1.2999999999999999E-2</v>
      </c>
      <c r="E731">
        <f>Tableau4[[#This Row],[Potential (PJ)]]*1000/3.6</f>
        <v>3.6111111111111112</v>
      </c>
      <c r="F731">
        <v>4.7567250000000003</v>
      </c>
      <c r="G731">
        <f>Tableau4[[#This Row],[Cost (€/GJ)]]*3.6/1000</f>
        <v>1.7124210000000001E-2</v>
      </c>
      <c r="H731">
        <v>12.68872359754714</v>
      </c>
      <c r="I731">
        <f>Tableau4[[#This Row],[GHG (kgCO2eq/GJ)]]*3.6/1000</f>
        <v>4.5679404951169705E-2</v>
      </c>
      <c r="J731" t="s">
        <v>105</v>
      </c>
      <c r="K731" t="s">
        <v>108</v>
      </c>
    </row>
    <row r="732" spans="1:11" hidden="1" x14ac:dyDescent="0.3">
      <c r="A732" t="s">
        <v>38</v>
      </c>
      <c r="B732" t="s">
        <v>53</v>
      </c>
      <c r="C732" t="s">
        <v>77</v>
      </c>
      <c r="D732">
        <v>27</v>
      </c>
      <c r="E732">
        <f>Tableau4[[#This Row],[Potential (PJ)]]*1000/3.6</f>
        <v>7500</v>
      </c>
      <c r="F732">
        <v>0</v>
      </c>
      <c r="G732">
        <f>Tableau4[[#This Row],[Cost (€/GJ)]]*3.6/1000</f>
        <v>0</v>
      </c>
      <c r="H732">
        <v>3.86607608129234</v>
      </c>
      <c r="I732">
        <f>Tableau4[[#This Row],[GHG (kgCO2eq/GJ)]]*3.6/1000</f>
        <v>1.3917873892652425E-2</v>
      </c>
      <c r="J732" t="s">
        <v>104</v>
      </c>
      <c r="K732" t="s">
        <v>108</v>
      </c>
    </row>
    <row r="733" spans="1:11" hidden="1" x14ac:dyDescent="0.3">
      <c r="A733" t="s">
        <v>39</v>
      </c>
      <c r="B733" t="s">
        <v>46</v>
      </c>
      <c r="C733" t="s">
        <v>64</v>
      </c>
      <c r="D733">
        <v>1.6150000000000001E-2</v>
      </c>
      <c r="E733">
        <f>Tableau4[[#This Row],[Potential (PJ)]]*1000/3.6</f>
        <v>4.4861111111111116</v>
      </c>
      <c r="F733">
        <v>0</v>
      </c>
      <c r="G733">
        <f>Tableau4[[#This Row],[Cost (€/GJ)]]*3.6/1000</f>
        <v>0</v>
      </c>
      <c r="H733">
        <v>2.9521711768407801</v>
      </c>
      <c r="I733">
        <f>Tableau4[[#This Row],[GHG (kgCO2eq/GJ)]]*3.6/1000</f>
        <v>1.0627816236626808E-2</v>
      </c>
      <c r="J733" t="s">
        <v>104</v>
      </c>
      <c r="K733" t="s">
        <v>108</v>
      </c>
    </row>
    <row r="734" spans="1:11" hidden="1" x14ac:dyDescent="0.3">
      <c r="A734" t="s">
        <v>39</v>
      </c>
      <c r="B734" t="s">
        <v>46</v>
      </c>
      <c r="C734" t="s">
        <v>79</v>
      </c>
      <c r="D734">
        <v>20.2</v>
      </c>
      <c r="E734">
        <f>Tableau4[[#This Row],[Potential (PJ)]]*1000/3.6</f>
        <v>5611.1111111111113</v>
      </c>
      <c r="F734">
        <v>3.285524752475248</v>
      </c>
      <c r="G734">
        <f>Tableau4[[#This Row],[Cost (€/GJ)]]*3.6/1000</f>
        <v>1.1827889108910894E-2</v>
      </c>
      <c r="H734">
        <v>6.8428961748633883</v>
      </c>
      <c r="I734">
        <f>Tableau4[[#This Row],[GHG (kgCO2eq/GJ)]]*3.6/1000</f>
        <v>2.4634426229508198E-2</v>
      </c>
      <c r="J734" t="s">
        <v>104</v>
      </c>
      <c r="K734" t="s">
        <v>108</v>
      </c>
    </row>
    <row r="735" spans="1:11" hidden="1" x14ac:dyDescent="0.3">
      <c r="A735" t="s">
        <v>39</v>
      </c>
      <c r="B735" t="s">
        <v>46</v>
      </c>
      <c r="C735" t="s">
        <v>80</v>
      </c>
      <c r="D735">
        <v>1.2709999999999999</v>
      </c>
      <c r="E735">
        <f>Tableau4[[#This Row],[Potential (PJ)]]*1000/3.6</f>
        <v>353.05555555555554</v>
      </c>
      <c r="F735">
        <v>0.56844234659474036</v>
      </c>
      <c r="G735">
        <f>Tableau4[[#This Row],[Cost (€/GJ)]]*3.6/1000</f>
        <v>2.0463924477410658E-3</v>
      </c>
      <c r="H735">
        <v>28.139870918023309</v>
      </c>
      <c r="I735">
        <f>Tableau4[[#This Row],[GHG (kgCO2eq/GJ)]]*3.6/1000</f>
        <v>0.10130353530488391</v>
      </c>
      <c r="J735" t="s">
        <v>105</v>
      </c>
      <c r="K735" t="s">
        <v>108</v>
      </c>
    </row>
    <row r="736" spans="1:11" hidden="1" x14ac:dyDescent="0.3">
      <c r="A736" t="s">
        <v>39</v>
      </c>
      <c r="B736" t="s">
        <v>46</v>
      </c>
      <c r="C736" t="s">
        <v>81</v>
      </c>
      <c r="D736">
        <v>7.6E-3</v>
      </c>
      <c r="E736">
        <f>Tableau4[[#This Row],[Potential (PJ)]]*1000/3.6</f>
        <v>2.1111111111111112</v>
      </c>
      <c r="F736">
        <v>3.150998824911869</v>
      </c>
      <c r="G736">
        <f>Tableau4[[#This Row],[Cost (€/GJ)]]*3.6/1000</f>
        <v>1.1343595769682729E-2</v>
      </c>
      <c r="H736">
        <v>8.9647473560517046</v>
      </c>
      <c r="I736">
        <f>Tableau4[[#This Row],[GHG (kgCO2eq/GJ)]]*3.6/1000</f>
        <v>3.2273090481786136E-2</v>
      </c>
      <c r="J736" t="s">
        <v>105</v>
      </c>
      <c r="K736" t="s">
        <v>108</v>
      </c>
    </row>
    <row r="737" spans="1:11" hidden="1" x14ac:dyDescent="0.3">
      <c r="A737" t="s">
        <v>39</v>
      </c>
      <c r="B737" t="s">
        <v>46</v>
      </c>
      <c r="C737" t="s">
        <v>82</v>
      </c>
      <c r="D737">
        <v>2</v>
      </c>
      <c r="E737">
        <f>Tableau4[[#This Row],[Potential (PJ)]]*1000/3.6</f>
        <v>555.55555555555554</v>
      </c>
      <c r="F737">
        <v>2.0992999999999999</v>
      </c>
      <c r="G737">
        <f>Tableau4[[#This Row],[Cost (€/GJ)]]*3.6/1000</f>
        <v>7.5574800000000001E-3</v>
      </c>
      <c r="H737">
        <v>6.8428961748633883</v>
      </c>
      <c r="I737">
        <f>Tableau4[[#This Row],[GHG (kgCO2eq/GJ)]]*3.6/1000</f>
        <v>2.4634426229508198E-2</v>
      </c>
      <c r="J737" t="s">
        <v>104</v>
      </c>
      <c r="K737" t="s">
        <v>108</v>
      </c>
    </row>
    <row r="738" spans="1:11" hidden="1" x14ac:dyDescent="0.3">
      <c r="A738" t="s">
        <v>39</v>
      </c>
      <c r="B738" t="s">
        <v>46</v>
      </c>
      <c r="C738" t="s">
        <v>84</v>
      </c>
      <c r="D738">
        <v>0.3</v>
      </c>
      <c r="E738">
        <f>Tableau4[[#This Row],[Potential (PJ)]]*1000/3.6</f>
        <v>83.333333333333329</v>
      </c>
      <c r="F738">
        <v>2.6520000000000001</v>
      </c>
      <c r="G738">
        <f>Tableau4[[#This Row],[Cost (€/GJ)]]*3.6/1000</f>
        <v>9.5472000000000005E-3</v>
      </c>
      <c r="H738">
        <v>28.139870918023309</v>
      </c>
      <c r="I738">
        <f>Tableau4[[#This Row],[GHG (kgCO2eq/GJ)]]*3.6/1000</f>
        <v>0.10130353530488391</v>
      </c>
      <c r="J738" t="s">
        <v>105</v>
      </c>
      <c r="K738" t="s">
        <v>108</v>
      </c>
    </row>
    <row r="739" spans="1:11" hidden="1" x14ac:dyDescent="0.3">
      <c r="A739" t="s">
        <v>39</v>
      </c>
      <c r="B739" t="s">
        <v>55</v>
      </c>
      <c r="C739" t="s">
        <v>86</v>
      </c>
      <c r="D739">
        <v>0.33489999999999998</v>
      </c>
      <c r="E739">
        <f>Tableau4[[#This Row],[Potential (PJ)]]*1000/3.6</f>
        <v>93.027777777777771</v>
      </c>
      <c r="F739">
        <v>16.594999999999999</v>
      </c>
      <c r="G739">
        <f>Tableau4[[#This Row],[Cost (€/GJ)]]*3.6/1000</f>
        <v>5.9741999999999996E-2</v>
      </c>
      <c r="H739">
        <v>14.2</v>
      </c>
      <c r="I739">
        <f>Tableau4[[#This Row],[GHG (kgCO2eq/GJ)]]*3.6/1000</f>
        <v>5.1119999999999999E-2</v>
      </c>
      <c r="J739" t="s">
        <v>106</v>
      </c>
      <c r="K739" t="s">
        <v>109</v>
      </c>
    </row>
    <row r="740" spans="1:11" hidden="1" x14ac:dyDescent="0.3">
      <c r="A740" t="s">
        <v>39</v>
      </c>
      <c r="B740" t="s">
        <v>55</v>
      </c>
      <c r="C740" t="s">
        <v>89</v>
      </c>
      <c r="D740">
        <v>6.5000000000000002E-2</v>
      </c>
      <c r="E740">
        <f>Tableau4[[#This Row],[Potential (PJ)]]*1000/3.6</f>
        <v>18.055555555555554</v>
      </c>
      <c r="F740">
        <v>0</v>
      </c>
      <c r="G740">
        <f>Tableau4[[#This Row],[Cost (€/GJ)]]*3.6/1000</f>
        <v>0</v>
      </c>
      <c r="H740">
        <v>14.2</v>
      </c>
      <c r="I740">
        <f>Tableau4[[#This Row],[GHG (kgCO2eq/GJ)]]*3.6/1000</f>
        <v>5.1119999999999999E-2</v>
      </c>
      <c r="J740" t="s">
        <v>106</v>
      </c>
      <c r="K740" t="s">
        <v>109</v>
      </c>
    </row>
    <row r="741" spans="1:11" hidden="1" x14ac:dyDescent="0.3">
      <c r="A741" t="s">
        <v>39</v>
      </c>
      <c r="B741" t="s">
        <v>55</v>
      </c>
      <c r="C741" t="s">
        <v>91</v>
      </c>
      <c r="D741">
        <v>1E-4</v>
      </c>
      <c r="E741">
        <f>Tableau4[[#This Row],[Potential (PJ)]]*1000/3.6</f>
        <v>2.777777777777778E-2</v>
      </c>
      <c r="F741">
        <v>15.297000000000001</v>
      </c>
      <c r="G741">
        <f>Tableau4[[#This Row],[Cost (€/GJ)]]*3.6/1000</f>
        <v>5.5069199999999999E-2</v>
      </c>
      <c r="H741">
        <v>14.2</v>
      </c>
      <c r="I741">
        <f>Tableau4[[#This Row],[GHG (kgCO2eq/GJ)]]*3.6/1000</f>
        <v>5.1119999999999999E-2</v>
      </c>
      <c r="J741" t="s">
        <v>106</v>
      </c>
      <c r="K741" t="s">
        <v>109</v>
      </c>
    </row>
    <row r="742" spans="1:11" hidden="1" x14ac:dyDescent="0.3">
      <c r="A742" t="s">
        <v>39</v>
      </c>
      <c r="B742" t="s">
        <v>55</v>
      </c>
      <c r="C742" t="s">
        <v>92</v>
      </c>
      <c r="D742">
        <v>0.10242</v>
      </c>
      <c r="E742">
        <f>Tableau4[[#This Row],[Potential (PJ)]]*1000/3.6</f>
        <v>28.45</v>
      </c>
      <c r="F742">
        <v>17.721</v>
      </c>
      <c r="G742">
        <f>Tableau4[[#This Row],[Cost (€/GJ)]]*3.6/1000</f>
        <v>6.3795599999999994E-2</v>
      </c>
      <c r="H742">
        <v>14.2</v>
      </c>
      <c r="I742">
        <f>Tableau4[[#This Row],[GHG (kgCO2eq/GJ)]]*3.6/1000</f>
        <v>5.1119999999999999E-2</v>
      </c>
      <c r="J742" t="s">
        <v>106</v>
      </c>
      <c r="K742" t="s">
        <v>109</v>
      </c>
    </row>
    <row r="743" spans="1:11" hidden="1" x14ac:dyDescent="0.3">
      <c r="A743" t="s">
        <v>39</v>
      </c>
      <c r="B743" t="s">
        <v>56</v>
      </c>
      <c r="C743" t="s">
        <v>93</v>
      </c>
      <c r="D743">
        <v>5.9813999999999998</v>
      </c>
      <c r="E743">
        <f>Tableau4[[#This Row],[Potential (PJ)]]*1000/3.6</f>
        <v>1661.4999999999998</v>
      </c>
      <c r="F743">
        <v>2.939759036144578</v>
      </c>
      <c r="G743">
        <f>Tableau4[[#This Row],[Cost (€/GJ)]]*3.6/1000</f>
        <v>1.0583132530120483E-2</v>
      </c>
      <c r="H743">
        <v>0.1</v>
      </c>
      <c r="I743">
        <f>Tableau4[[#This Row],[GHG (kgCO2eq/GJ)]]*3.6/1000</f>
        <v>3.6000000000000002E-4</v>
      </c>
      <c r="J743" t="s">
        <v>106</v>
      </c>
      <c r="K743" t="s">
        <v>109</v>
      </c>
    </row>
    <row r="744" spans="1:11" hidden="1" x14ac:dyDescent="0.3">
      <c r="A744" t="s">
        <v>39</v>
      </c>
      <c r="B744" t="s">
        <v>47</v>
      </c>
      <c r="C744" t="s">
        <v>101</v>
      </c>
      <c r="D744">
        <v>16.2</v>
      </c>
      <c r="E744">
        <f>Tableau4[[#This Row],[Potential (PJ)]]*1000/3.6</f>
        <v>4500</v>
      </c>
      <c r="F744">
        <v>6.3676913580246914</v>
      </c>
      <c r="G744">
        <f>Tableau4[[#This Row],[Cost (€/GJ)]]*3.6/1000</f>
        <v>2.2923688888888891E-2</v>
      </c>
      <c r="H744">
        <v>29.3</v>
      </c>
      <c r="I744">
        <f>Tableau4[[#This Row],[GHG (kgCO2eq/GJ)]]*3.6/1000</f>
        <v>0.10548</v>
      </c>
      <c r="J744" t="s">
        <v>104</v>
      </c>
      <c r="K744" t="s">
        <v>109</v>
      </c>
    </row>
    <row r="745" spans="1:11" hidden="1" x14ac:dyDescent="0.3">
      <c r="A745" t="s">
        <v>39</v>
      </c>
      <c r="B745" t="s">
        <v>57</v>
      </c>
      <c r="C745" t="s">
        <v>94</v>
      </c>
      <c r="D745">
        <v>6.5</v>
      </c>
      <c r="E745">
        <f>Tableau4[[#This Row],[Potential (PJ)]]*1000/3.6</f>
        <v>1805.5555555555554</v>
      </c>
      <c r="F745">
        <v>11.79158461538462</v>
      </c>
      <c r="G745">
        <f>Tableau4[[#This Row],[Cost (€/GJ)]]*3.6/1000</f>
        <v>4.244970461538463E-2</v>
      </c>
      <c r="H745">
        <v>15.9</v>
      </c>
      <c r="I745">
        <f>Tableau4[[#This Row],[GHG (kgCO2eq/GJ)]]*3.6/1000</f>
        <v>5.7239999999999999E-2</v>
      </c>
      <c r="J745" t="s">
        <v>104</v>
      </c>
      <c r="K745" t="s">
        <v>109</v>
      </c>
    </row>
    <row r="746" spans="1:11" hidden="1" x14ac:dyDescent="0.3">
      <c r="A746" t="s">
        <v>39</v>
      </c>
      <c r="B746" t="s">
        <v>49</v>
      </c>
      <c r="C746" t="s">
        <v>71</v>
      </c>
      <c r="D746">
        <v>584.15256999999997</v>
      </c>
      <c r="E746">
        <f>Tableau4[[#This Row],[Potential (PJ)]]*1000/3.6</f>
        <v>162264.60277777776</v>
      </c>
      <c r="F746">
        <v>4.499387449206977</v>
      </c>
      <c r="G746">
        <f>Tableau4[[#This Row],[Cost (€/GJ)]]*3.6/1000</f>
        <v>1.6197794817145117E-2</v>
      </c>
      <c r="H746">
        <v>3.86607608129234</v>
      </c>
      <c r="I746">
        <f>Tableau4[[#This Row],[GHG (kgCO2eq/GJ)]]*3.6/1000</f>
        <v>1.3917873892652425E-2</v>
      </c>
      <c r="J746" t="s">
        <v>104</v>
      </c>
      <c r="K746" t="s">
        <v>108</v>
      </c>
    </row>
    <row r="747" spans="1:11" hidden="1" x14ac:dyDescent="0.3">
      <c r="A747" t="s">
        <v>39</v>
      </c>
      <c r="B747" t="s">
        <v>49</v>
      </c>
      <c r="C747" t="s">
        <v>72</v>
      </c>
      <c r="D747">
        <v>30.2</v>
      </c>
      <c r="E747">
        <f>Tableau4[[#This Row],[Potential (PJ)]]*1000/3.6</f>
        <v>8388.8888888888887</v>
      </c>
      <c r="F747">
        <v>3.596549668874172</v>
      </c>
      <c r="G747">
        <f>Tableau4[[#This Row],[Cost (€/GJ)]]*3.6/1000</f>
        <v>1.294757880794702E-2</v>
      </c>
      <c r="H747">
        <v>3.86607608129234</v>
      </c>
      <c r="I747">
        <f>Tableau4[[#This Row],[GHG (kgCO2eq/GJ)]]*3.6/1000</f>
        <v>1.3917873892652425E-2</v>
      </c>
      <c r="J747" t="s">
        <v>104</v>
      </c>
      <c r="K747" t="s">
        <v>108</v>
      </c>
    </row>
    <row r="748" spans="1:11" hidden="1" x14ac:dyDescent="0.3">
      <c r="A748" t="s">
        <v>39</v>
      </c>
      <c r="B748" t="s">
        <v>58</v>
      </c>
      <c r="C748" t="s">
        <v>95</v>
      </c>
      <c r="D748">
        <v>71.447180000000003</v>
      </c>
      <c r="E748">
        <f>Tableau4[[#This Row],[Potential (PJ)]]*1000/3.6</f>
        <v>19846.43888888889</v>
      </c>
      <c r="F748">
        <v>0.47826435123121719</v>
      </c>
      <c r="G748">
        <f>Tableau4[[#This Row],[Cost (€/GJ)]]*3.6/1000</f>
        <v>1.7217516644323818E-3</v>
      </c>
      <c r="H748">
        <v>2.9521711768407801</v>
      </c>
      <c r="I748">
        <f>Tableau4[[#This Row],[GHG (kgCO2eq/GJ)]]*3.6/1000</f>
        <v>1.0627816236626808E-2</v>
      </c>
      <c r="J748" t="s">
        <v>104</v>
      </c>
      <c r="K748" t="s">
        <v>108</v>
      </c>
    </row>
    <row r="749" spans="1:11" hidden="1" x14ac:dyDescent="0.3">
      <c r="A749" t="s">
        <v>39</v>
      </c>
      <c r="B749" t="s">
        <v>50</v>
      </c>
      <c r="C749" t="s">
        <v>73</v>
      </c>
      <c r="D749">
        <v>5.0999999999999996</v>
      </c>
      <c r="E749">
        <f>Tableau4[[#This Row],[Potential (PJ)]]*1000/3.6</f>
        <v>1416.6666666666667</v>
      </c>
      <c r="F749">
        <v>5.780117647058824</v>
      </c>
      <c r="G749">
        <f>Tableau4[[#This Row],[Cost (€/GJ)]]*3.6/1000</f>
        <v>2.0808423529411764E-2</v>
      </c>
      <c r="H749">
        <v>20.723404255319149</v>
      </c>
      <c r="I749">
        <f>Tableau4[[#This Row],[GHG (kgCO2eq/GJ)]]*3.6/1000</f>
        <v>7.4604255319148938E-2</v>
      </c>
      <c r="J749" t="s">
        <v>105</v>
      </c>
      <c r="K749" t="s">
        <v>108</v>
      </c>
    </row>
    <row r="750" spans="1:11" hidden="1" x14ac:dyDescent="0.3">
      <c r="A750" t="s">
        <v>39</v>
      </c>
      <c r="B750" t="s">
        <v>50</v>
      </c>
      <c r="C750" t="s">
        <v>74</v>
      </c>
      <c r="D750">
        <v>24.3</v>
      </c>
      <c r="E750">
        <f>Tableau4[[#This Row],[Potential (PJ)]]*1000/3.6</f>
        <v>6750</v>
      </c>
      <c r="F750">
        <v>6.7218971193415644</v>
      </c>
      <c r="G750">
        <f>Tableau4[[#This Row],[Cost (€/GJ)]]*3.6/1000</f>
        <v>2.4198829629629631E-2</v>
      </c>
      <c r="H750">
        <v>2.0635593220338988</v>
      </c>
      <c r="I750">
        <f>Tableau4[[#This Row],[GHG (kgCO2eq/GJ)]]*3.6/1000</f>
        <v>7.428813559322036E-3</v>
      </c>
      <c r="J750" t="s">
        <v>105</v>
      </c>
      <c r="K750" t="s">
        <v>108</v>
      </c>
    </row>
    <row r="751" spans="1:11" hidden="1" x14ac:dyDescent="0.3">
      <c r="A751" t="s">
        <v>39</v>
      </c>
      <c r="B751" t="s">
        <v>51</v>
      </c>
      <c r="C751" t="s">
        <v>75</v>
      </c>
      <c r="D751">
        <v>42.196599999999997</v>
      </c>
      <c r="E751">
        <f>Tableau4[[#This Row],[Potential (PJ)]]*1000/3.6</f>
        <v>11721.277777777777</v>
      </c>
      <c r="F751">
        <v>3.2096293703716499E-3</v>
      </c>
      <c r="G751">
        <f>Tableau4[[#This Row],[Cost (€/GJ)]]*3.6/1000</f>
        <v>1.155466573333794E-5</v>
      </c>
      <c r="H751">
        <v>11.74</v>
      </c>
      <c r="I751">
        <f>Tableau4[[#This Row],[GHG (kgCO2eq/GJ)]]*3.6/1000</f>
        <v>4.2264000000000003E-2</v>
      </c>
      <c r="J751" t="s">
        <v>104</v>
      </c>
      <c r="K751" t="s">
        <v>108</v>
      </c>
    </row>
    <row r="752" spans="1:11" hidden="1" x14ac:dyDescent="0.3">
      <c r="A752" t="s">
        <v>39</v>
      </c>
      <c r="B752" t="s">
        <v>60</v>
      </c>
      <c r="C752" t="s">
        <v>98</v>
      </c>
      <c r="D752">
        <v>1.492</v>
      </c>
      <c r="E752">
        <f>Tableau4[[#This Row],[Potential (PJ)]]*1000/3.6</f>
        <v>414.44444444444446</v>
      </c>
      <c r="F752">
        <v>16.004296455424271</v>
      </c>
      <c r="G752">
        <f>Tableau4[[#This Row],[Cost (€/GJ)]]*3.6/1000</f>
        <v>5.7615467239527374E-2</v>
      </c>
      <c r="H752">
        <v>22.8</v>
      </c>
      <c r="I752">
        <f>Tableau4[[#This Row],[GHG (kgCO2eq/GJ)]]*3.6/1000</f>
        <v>8.208E-2</v>
      </c>
      <c r="J752" t="s">
        <v>107</v>
      </c>
      <c r="K752" t="s">
        <v>109</v>
      </c>
    </row>
    <row r="753" spans="1:11" hidden="1" x14ac:dyDescent="0.3">
      <c r="A753" t="s">
        <v>39</v>
      </c>
      <c r="B753" t="s">
        <v>52</v>
      </c>
      <c r="C753" t="s">
        <v>76</v>
      </c>
      <c r="D753">
        <v>3.1970000000000001</v>
      </c>
      <c r="E753">
        <f>Tableau4[[#This Row],[Potential (PJ)]]*1000/3.6</f>
        <v>888.05555555555554</v>
      </c>
      <c r="F753">
        <v>4.7567250000000003</v>
      </c>
      <c r="G753">
        <f>Tableau4[[#This Row],[Cost (€/GJ)]]*3.6/1000</f>
        <v>1.7124210000000001E-2</v>
      </c>
      <c r="H753">
        <v>12.68872359754714</v>
      </c>
      <c r="I753">
        <f>Tableau4[[#This Row],[GHG (kgCO2eq/GJ)]]*3.6/1000</f>
        <v>4.5679404951169705E-2</v>
      </c>
      <c r="J753" t="s">
        <v>105</v>
      </c>
      <c r="K753" t="s">
        <v>108</v>
      </c>
    </row>
    <row r="754" spans="1:11" hidden="1" x14ac:dyDescent="0.3">
      <c r="A754" t="s">
        <v>39</v>
      </c>
      <c r="B754" t="s">
        <v>53</v>
      </c>
      <c r="C754" t="s">
        <v>77</v>
      </c>
      <c r="D754">
        <v>20.5</v>
      </c>
      <c r="E754">
        <f>Tableau4[[#This Row],[Potential (PJ)]]*1000/3.6</f>
        <v>5694.4444444444443</v>
      </c>
      <c r="F754">
        <v>3.5968341463414628</v>
      </c>
      <c r="G754">
        <f>Tableau4[[#This Row],[Cost (€/GJ)]]*3.6/1000</f>
        <v>1.2948602926829266E-2</v>
      </c>
      <c r="H754">
        <v>3.86607608129234</v>
      </c>
      <c r="I754">
        <f>Tableau4[[#This Row],[GHG (kgCO2eq/GJ)]]*3.6/1000</f>
        <v>1.3917873892652425E-2</v>
      </c>
      <c r="J754" t="s">
        <v>104</v>
      </c>
      <c r="K754" t="s">
        <v>108</v>
      </c>
    </row>
    <row r="755" spans="1:11" hidden="1" x14ac:dyDescent="0.3">
      <c r="A755" t="s">
        <v>39</v>
      </c>
      <c r="B755" t="s">
        <v>61</v>
      </c>
      <c r="C755" t="s">
        <v>99</v>
      </c>
      <c r="D755">
        <v>190.2</v>
      </c>
      <c r="E755">
        <f>Tableau4[[#This Row],[Potential (PJ)]]*1000/3.6</f>
        <v>52833.333333333328</v>
      </c>
      <c r="F755">
        <v>1.3855504731861199</v>
      </c>
      <c r="G755">
        <f>Tableau4[[#This Row],[Cost (€/GJ)]]*3.6/1000</f>
        <v>4.9879817034700321E-3</v>
      </c>
      <c r="H755">
        <v>2.9245635910224439</v>
      </c>
      <c r="I755">
        <f>Tableau4[[#This Row],[GHG (kgCO2eq/GJ)]]*3.6/1000</f>
        <v>1.0528428927680798E-2</v>
      </c>
      <c r="J755" t="s">
        <v>104</v>
      </c>
      <c r="K755" t="s">
        <v>108</v>
      </c>
    </row>
    <row r="756" spans="1:11" hidden="1" x14ac:dyDescent="0.3">
      <c r="A756" t="s">
        <v>39</v>
      </c>
      <c r="B756" t="s">
        <v>62</v>
      </c>
      <c r="C756" t="s">
        <v>100</v>
      </c>
      <c r="D756">
        <v>86.800000000000011</v>
      </c>
      <c r="E756">
        <f>Tableau4[[#This Row],[Potential (PJ)]]*1000/3.6</f>
        <v>24111.111111111113</v>
      </c>
      <c r="F756">
        <v>0.50599078341013826</v>
      </c>
      <c r="G756">
        <f>Tableau4[[#This Row],[Cost (€/GJ)]]*3.6/1000</f>
        <v>1.8215668202764979E-3</v>
      </c>
      <c r="H756">
        <v>2.6764106050305911</v>
      </c>
      <c r="I756">
        <f>Tableau4[[#This Row],[GHG (kgCO2eq/GJ)]]*3.6/1000</f>
        <v>9.6350781781101274E-3</v>
      </c>
      <c r="J756" t="s">
        <v>104</v>
      </c>
      <c r="K756" t="s">
        <v>108</v>
      </c>
    </row>
    <row r="757" spans="1:11" hidden="1" x14ac:dyDescent="0.3">
      <c r="A757" t="s">
        <v>39</v>
      </c>
      <c r="B757" t="s">
        <v>54</v>
      </c>
      <c r="C757" t="s">
        <v>78</v>
      </c>
      <c r="D757">
        <v>397.6</v>
      </c>
      <c r="E757">
        <f>Tableau4[[#This Row],[Potential (PJ)]]*1000/3.6</f>
        <v>110444.44444444444</v>
      </c>
      <c r="F757">
        <v>7.400907193158953</v>
      </c>
      <c r="G757">
        <f>Tableau4[[#This Row],[Cost (€/GJ)]]*3.6/1000</f>
        <v>2.6643265895372231E-2</v>
      </c>
      <c r="H757">
        <v>3.86607608129234</v>
      </c>
      <c r="I757">
        <f>Tableau4[[#This Row],[GHG (kgCO2eq/GJ)]]*3.6/1000</f>
        <v>1.3917873892652425E-2</v>
      </c>
      <c r="J757" t="s">
        <v>104</v>
      </c>
      <c r="K757" t="s">
        <v>108</v>
      </c>
    </row>
    <row r="758" spans="1:11" hidden="1" x14ac:dyDescent="0.3">
      <c r="A758" t="s">
        <v>40</v>
      </c>
      <c r="B758" t="s">
        <v>46</v>
      </c>
      <c r="C758" t="s">
        <v>63</v>
      </c>
      <c r="D758">
        <v>7.1000000000000004E-3</v>
      </c>
      <c r="E758">
        <f>Tableau4[[#This Row],[Potential (PJ)]]*1000/3.6</f>
        <v>1.9722222222222223</v>
      </c>
      <c r="F758">
        <v>2.9286474973375931</v>
      </c>
      <c r="G758">
        <f>Tableau4[[#This Row],[Cost (€/GJ)]]*3.6/1000</f>
        <v>1.0543130990415334E-2</v>
      </c>
      <c r="H758">
        <v>3.950479233226837</v>
      </c>
      <c r="I758">
        <f>Tableau4[[#This Row],[GHG (kgCO2eq/GJ)]]*3.6/1000</f>
        <v>1.4221725239616614E-2</v>
      </c>
      <c r="J758" t="s">
        <v>104</v>
      </c>
      <c r="K758" t="s">
        <v>108</v>
      </c>
    </row>
    <row r="759" spans="1:11" hidden="1" x14ac:dyDescent="0.3">
      <c r="A759" t="s">
        <v>40</v>
      </c>
      <c r="B759" t="s">
        <v>46</v>
      </c>
      <c r="C759" t="s">
        <v>64</v>
      </c>
      <c r="D759">
        <v>5.806E-2</v>
      </c>
      <c r="E759">
        <f>Tableau4[[#This Row],[Potential (PJ)]]*1000/3.6</f>
        <v>16.127777777777776</v>
      </c>
      <c r="F759">
        <v>0</v>
      </c>
      <c r="G759">
        <f>Tableau4[[#This Row],[Cost (€/GJ)]]*3.6/1000</f>
        <v>0</v>
      </c>
      <c r="H759">
        <v>2.9521711768407801</v>
      </c>
      <c r="I759">
        <f>Tableau4[[#This Row],[GHG (kgCO2eq/GJ)]]*3.6/1000</f>
        <v>1.0627816236626808E-2</v>
      </c>
      <c r="J759" t="s">
        <v>104</v>
      </c>
      <c r="K759" t="s">
        <v>108</v>
      </c>
    </row>
    <row r="760" spans="1:11" hidden="1" x14ac:dyDescent="0.3">
      <c r="A760" t="s">
        <v>40</v>
      </c>
      <c r="B760" t="s">
        <v>46</v>
      </c>
      <c r="C760" t="s">
        <v>80</v>
      </c>
      <c r="D760">
        <v>0.18090000000000001</v>
      </c>
      <c r="E760">
        <f>Tableau4[[#This Row],[Potential (PJ)]]*1000/3.6</f>
        <v>50.25</v>
      </c>
      <c r="F760">
        <v>2.7417397167902902</v>
      </c>
      <c r="G760">
        <f>Tableau4[[#This Row],[Cost (€/GJ)]]*3.6/1000</f>
        <v>9.870262980445044E-3</v>
      </c>
      <c r="H760">
        <v>28.139870918023309</v>
      </c>
      <c r="I760">
        <f>Tableau4[[#This Row],[GHG (kgCO2eq/GJ)]]*3.6/1000</f>
        <v>0.10130353530488391</v>
      </c>
      <c r="J760" t="s">
        <v>105</v>
      </c>
      <c r="K760" t="s">
        <v>108</v>
      </c>
    </row>
    <row r="761" spans="1:11" hidden="1" x14ac:dyDescent="0.3">
      <c r="A761" t="s">
        <v>40</v>
      </c>
      <c r="B761" t="s">
        <v>46</v>
      </c>
      <c r="C761" t="s">
        <v>81</v>
      </c>
      <c r="D761">
        <v>5.3400000000000003E-2</v>
      </c>
      <c r="E761">
        <f>Tableau4[[#This Row],[Potential (PJ)]]*1000/3.6</f>
        <v>14.833333333333334</v>
      </c>
      <c r="F761">
        <v>2.5616921269095179</v>
      </c>
      <c r="G761">
        <f>Tableau4[[#This Row],[Cost (€/GJ)]]*3.6/1000</f>
        <v>9.2220916568742633E-3</v>
      </c>
      <c r="H761">
        <v>8.9647473560517046</v>
      </c>
      <c r="I761">
        <f>Tableau4[[#This Row],[GHG (kgCO2eq/GJ)]]*3.6/1000</f>
        <v>3.2273090481786136E-2</v>
      </c>
      <c r="J761" t="s">
        <v>105</v>
      </c>
      <c r="K761" t="s">
        <v>108</v>
      </c>
    </row>
    <row r="762" spans="1:11" hidden="1" x14ac:dyDescent="0.3">
      <c r="A762" t="s">
        <v>40</v>
      </c>
      <c r="B762" t="s">
        <v>46</v>
      </c>
      <c r="C762" t="s">
        <v>66</v>
      </c>
      <c r="D762">
        <v>0.4</v>
      </c>
      <c r="E762">
        <f>Tableau4[[#This Row],[Potential (PJ)]]*1000/3.6</f>
        <v>111.11111111111111</v>
      </c>
      <c r="F762">
        <v>2.2512500000000002</v>
      </c>
      <c r="G762">
        <f>Tableau4[[#This Row],[Cost (€/GJ)]]*3.6/1000</f>
        <v>8.1045000000000023E-3</v>
      </c>
      <c r="H762">
        <v>6.8428961748633883</v>
      </c>
      <c r="I762">
        <f>Tableau4[[#This Row],[GHG (kgCO2eq/GJ)]]*3.6/1000</f>
        <v>2.4634426229508198E-2</v>
      </c>
      <c r="J762" t="s">
        <v>104</v>
      </c>
      <c r="K762" t="s">
        <v>108</v>
      </c>
    </row>
    <row r="763" spans="1:11" hidden="1" x14ac:dyDescent="0.3">
      <c r="A763" t="s">
        <v>40</v>
      </c>
      <c r="B763" t="s">
        <v>46</v>
      </c>
      <c r="C763" t="s">
        <v>82</v>
      </c>
      <c r="D763">
        <v>0.60000000000000009</v>
      </c>
      <c r="E763">
        <f>Tableau4[[#This Row],[Potential (PJ)]]*1000/3.6</f>
        <v>166.66666666666669</v>
      </c>
      <c r="F763">
        <v>1.3340000000000001</v>
      </c>
      <c r="G763">
        <f>Tableau4[[#This Row],[Cost (€/GJ)]]*3.6/1000</f>
        <v>4.8024000000000001E-3</v>
      </c>
      <c r="H763">
        <v>6.8428961748633883</v>
      </c>
      <c r="I763">
        <f>Tableau4[[#This Row],[GHG (kgCO2eq/GJ)]]*3.6/1000</f>
        <v>2.4634426229508198E-2</v>
      </c>
      <c r="J763" t="s">
        <v>104</v>
      </c>
      <c r="K763" t="s">
        <v>108</v>
      </c>
    </row>
    <row r="764" spans="1:11" hidden="1" x14ac:dyDescent="0.3">
      <c r="A764" t="s">
        <v>40</v>
      </c>
      <c r="B764" t="s">
        <v>46</v>
      </c>
      <c r="C764" t="s">
        <v>85</v>
      </c>
      <c r="D764">
        <v>0.3</v>
      </c>
      <c r="E764">
        <f>Tableau4[[#This Row],[Potential (PJ)]]*1000/3.6</f>
        <v>83.333333333333329</v>
      </c>
      <c r="F764">
        <v>0</v>
      </c>
      <c r="G764">
        <f>Tableau4[[#This Row],[Cost (€/GJ)]]*3.6/1000</f>
        <v>0</v>
      </c>
      <c r="H764">
        <v>2.9521711768407801</v>
      </c>
      <c r="I764">
        <f>Tableau4[[#This Row],[GHG (kgCO2eq/GJ)]]*3.6/1000</f>
        <v>1.0627816236626808E-2</v>
      </c>
      <c r="J764" t="s">
        <v>104</v>
      </c>
      <c r="K764" t="s">
        <v>108</v>
      </c>
    </row>
    <row r="765" spans="1:11" hidden="1" x14ac:dyDescent="0.3">
      <c r="A765" t="s">
        <v>40</v>
      </c>
      <c r="B765" t="s">
        <v>55</v>
      </c>
      <c r="C765" t="s">
        <v>86</v>
      </c>
      <c r="D765">
        <v>0.12039999999999999</v>
      </c>
      <c r="E765">
        <f>Tableau4[[#This Row],[Potential (PJ)]]*1000/3.6</f>
        <v>33.444444444444443</v>
      </c>
      <c r="F765">
        <v>14.561</v>
      </c>
      <c r="G765">
        <f>Tableau4[[#This Row],[Cost (€/GJ)]]*3.6/1000</f>
        <v>5.2419600000000004E-2</v>
      </c>
      <c r="H765">
        <v>21.3</v>
      </c>
      <c r="I765">
        <f>Tableau4[[#This Row],[GHG (kgCO2eq/GJ)]]*3.6/1000</f>
        <v>7.6680000000000012E-2</v>
      </c>
      <c r="J765" t="s">
        <v>106</v>
      </c>
      <c r="K765" t="s">
        <v>109</v>
      </c>
    </row>
    <row r="766" spans="1:11" hidden="1" x14ac:dyDescent="0.3">
      <c r="A766" t="s">
        <v>40</v>
      </c>
      <c r="B766" t="s">
        <v>55</v>
      </c>
      <c r="C766" t="s">
        <v>88</v>
      </c>
      <c r="D766">
        <v>3.2099999999999997E-2</v>
      </c>
      <c r="E766">
        <f>Tableau4[[#This Row],[Potential (PJ)]]*1000/3.6</f>
        <v>8.9166666666666643</v>
      </c>
      <c r="F766">
        <v>15.038</v>
      </c>
      <c r="G766">
        <f>Tableau4[[#This Row],[Cost (€/GJ)]]*3.6/1000</f>
        <v>5.4136799999999999E-2</v>
      </c>
      <c r="H766">
        <v>21.3</v>
      </c>
      <c r="I766">
        <f>Tableau4[[#This Row],[GHG (kgCO2eq/GJ)]]*3.6/1000</f>
        <v>7.6680000000000012E-2</v>
      </c>
      <c r="J766" t="s">
        <v>106</v>
      </c>
      <c r="K766" t="s">
        <v>109</v>
      </c>
    </row>
    <row r="767" spans="1:11" hidden="1" x14ac:dyDescent="0.3">
      <c r="A767" t="s">
        <v>40</v>
      </c>
      <c r="B767" t="s">
        <v>47</v>
      </c>
      <c r="C767" t="s">
        <v>68</v>
      </c>
      <c r="D767">
        <v>3.9</v>
      </c>
      <c r="E767">
        <f>Tableau4[[#This Row],[Potential (PJ)]]*1000/3.6</f>
        <v>1083.3333333333333</v>
      </c>
      <c r="F767">
        <v>2.7851538461538459</v>
      </c>
      <c r="G767">
        <f>Tableau4[[#This Row],[Cost (€/GJ)]]*3.6/1000</f>
        <v>1.0026553846153845E-2</v>
      </c>
      <c r="H767">
        <v>17.3</v>
      </c>
      <c r="I767">
        <f>Tableau4[[#This Row],[GHG (kgCO2eq/GJ)]]*3.6/1000</f>
        <v>6.2280000000000002E-2</v>
      </c>
      <c r="J767" t="s">
        <v>104</v>
      </c>
      <c r="K767" t="s">
        <v>109</v>
      </c>
    </row>
    <row r="768" spans="1:11" hidden="1" x14ac:dyDescent="0.3">
      <c r="A768" t="s">
        <v>40</v>
      </c>
      <c r="B768" t="s">
        <v>47</v>
      </c>
      <c r="C768" t="s">
        <v>69</v>
      </c>
      <c r="D768">
        <v>1.7</v>
      </c>
      <c r="E768">
        <f>Tableau4[[#This Row],[Potential (PJ)]]*1000/3.6</f>
        <v>472.22222222222223</v>
      </c>
      <c r="F768">
        <v>2.8875294117647061</v>
      </c>
      <c r="G768">
        <f>Tableau4[[#This Row],[Cost (€/GJ)]]*3.6/1000</f>
        <v>1.0395105882352942E-2</v>
      </c>
      <c r="H768">
        <v>17.3</v>
      </c>
      <c r="I768">
        <f>Tableau4[[#This Row],[GHG (kgCO2eq/GJ)]]*3.6/1000</f>
        <v>6.2280000000000002E-2</v>
      </c>
      <c r="J768" t="s">
        <v>104</v>
      </c>
      <c r="K768" t="s">
        <v>109</v>
      </c>
    </row>
    <row r="769" spans="1:11" hidden="1" x14ac:dyDescent="0.3">
      <c r="A769" t="s">
        <v>40</v>
      </c>
      <c r="B769" t="s">
        <v>48</v>
      </c>
      <c r="C769" t="s">
        <v>70</v>
      </c>
      <c r="D769">
        <v>0.3</v>
      </c>
      <c r="E769">
        <f>Tableau4[[#This Row],[Potential (PJ)]]*1000/3.6</f>
        <v>83.333333333333329</v>
      </c>
      <c r="F769">
        <v>8.2579999999999991</v>
      </c>
      <c r="G769">
        <f>Tableau4[[#This Row],[Cost (€/GJ)]]*3.6/1000</f>
        <v>2.9728799999999996E-2</v>
      </c>
      <c r="H769">
        <v>0</v>
      </c>
      <c r="I769">
        <f>Tableau4[[#This Row],[GHG (kgCO2eq/GJ)]]*3.6/1000</f>
        <v>0</v>
      </c>
      <c r="J769" t="s">
        <v>104</v>
      </c>
      <c r="K769" t="s">
        <v>109</v>
      </c>
    </row>
    <row r="770" spans="1:11" hidden="1" x14ac:dyDescent="0.3">
      <c r="A770" t="s">
        <v>40</v>
      </c>
      <c r="B770" t="s">
        <v>49</v>
      </c>
      <c r="C770" t="s">
        <v>71</v>
      </c>
      <c r="D770">
        <v>88.246489999999994</v>
      </c>
      <c r="E770">
        <f>Tableau4[[#This Row],[Potential (PJ)]]*1000/3.6</f>
        <v>24512.913888888885</v>
      </c>
      <c r="F770">
        <v>1.946592851341737</v>
      </c>
      <c r="G770">
        <f>Tableau4[[#This Row],[Cost (€/GJ)]]*3.6/1000</f>
        <v>7.0077342648302531E-3</v>
      </c>
      <c r="H770">
        <v>3.86607608129234</v>
      </c>
      <c r="I770">
        <f>Tableau4[[#This Row],[GHG (kgCO2eq/GJ)]]*3.6/1000</f>
        <v>1.3917873892652425E-2</v>
      </c>
      <c r="J770" t="s">
        <v>104</v>
      </c>
      <c r="K770" t="s">
        <v>108</v>
      </c>
    </row>
    <row r="771" spans="1:11" hidden="1" x14ac:dyDescent="0.3">
      <c r="A771" t="s">
        <v>40</v>
      </c>
      <c r="B771" t="s">
        <v>49</v>
      </c>
      <c r="C771" t="s">
        <v>72</v>
      </c>
      <c r="D771">
        <v>7.3</v>
      </c>
      <c r="E771">
        <f>Tableau4[[#This Row],[Potential (PJ)]]*1000/3.6</f>
        <v>2027.7777777777778</v>
      </c>
      <c r="F771">
        <v>2.5380684931506852</v>
      </c>
      <c r="G771">
        <f>Tableau4[[#This Row],[Cost (€/GJ)]]*3.6/1000</f>
        <v>9.1370465753424675E-3</v>
      </c>
      <c r="H771">
        <v>3.86607608129234</v>
      </c>
      <c r="I771">
        <f>Tableau4[[#This Row],[GHG (kgCO2eq/GJ)]]*3.6/1000</f>
        <v>1.3917873892652425E-2</v>
      </c>
      <c r="J771" t="s">
        <v>104</v>
      </c>
      <c r="K771" t="s">
        <v>108</v>
      </c>
    </row>
    <row r="772" spans="1:11" hidden="1" x14ac:dyDescent="0.3">
      <c r="A772" t="s">
        <v>40</v>
      </c>
      <c r="B772" t="s">
        <v>58</v>
      </c>
      <c r="C772" t="s">
        <v>95</v>
      </c>
      <c r="D772">
        <v>1.74234</v>
      </c>
      <c r="E772">
        <f>Tableau4[[#This Row],[Potential (PJ)]]*1000/3.6</f>
        <v>483.98333333333329</v>
      </c>
      <c r="F772">
        <v>0</v>
      </c>
      <c r="G772">
        <f>Tableau4[[#This Row],[Cost (€/GJ)]]*3.6/1000</f>
        <v>0</v>
      </c>
      <c r="H772">
        <v>2.9521711768407801</v>
      </c>
      <c r="I772">
        <f>Tableau4[[#This Row],[GHG (kgCO2eq/GJ)]]*3.6/1000</f>
        <v>1.0627816236626808E-2</v>
      </c>
      <c r="J772" t="s">
        <v>104</v>
      </c>
      <c r="K772" t="s">
        <v>108</v>
      </c>
    </row>
    <row r="773" spans="1:11" hidden="1" x14ac:dyDescent="0.3">
      <c r="A773" t="s">
        <v>40</v>
      </c>
      <c r="B773" t="s">
        <v>50</v>
      </c>
      <c r="C773" t="s">
        <v>73</v>
      </c>
      <c r="D773">
        <v>0.4</v>
      </c>
      <c r="E773">
        <f>Tableau4[[#This Row],[Potential (PJ)]]*1000/3.6</f>
        <v>111.11111111111111</v>
      </c>
      <c r="F773">
        <v>5.1550000000000002</v>
      </c>
      <c r="G773">
        <f>Tableau4[[#This Row],[Cost (€/GJ)]]*3.6/1000</f>
        <v>1.8557999999999998E-2</v>
      </c>
      <c r="H773">
        <v>20.723404255319149</v>
      </c>
      <c r="I773">
        <f>Tableau4[[#This Row],[GHG (kgCO2eq/GJ)]]*3.6/1000</f>
        <v>7.4604255319148938E-2</v>
      </c>
      <c r="J773" t="s">
        <v>105</v>
      </c>
      <c r="K773" t="s">
        <v>108</v>
      </c>
    </row>
    <row r="774" spans="1:11" hidden="1" x14ac:dyDescent="0.3">
      <c r="A774" t="s">
        <v>40</v>
      </c>
      <c r="B774" t="s">
        <v>50</v>
      </c>
      <c r="C774" t="s">
        <v>74</v>
      </c>
      <c r="D774">
        <v>1.7</v>
      </c>
      <c r="E774">
        <f>Tableau4[[#This Row],[Potential (PJ)]]*1000/3.6</f>
        <v>472.22222222222223</v>
      </c>
      <c r="F774">
        <v>3.8133529411764702</v>
      </c>
      <c r="G774">
        <f>Tableau4[[#This Row],[Cost (€/GJ)]]*3.6/1000</f>
        <v>1.3728070588235292E-2</v>
      </c>
      <c r="H774">
        <v>2.0635593220338988</v>
      </c>
      <c r="I774">
        <f>Tableau4[[#This Row],[GHG (kgCO2eq/GJ)]]*3.6/1000</f>
        <v>7.428813559322036E-3</v>
      </c>
      <c r="J774" t="s">
        <v>105</v>
      </c>
      <c r="K774" t="s">
        <v>108</v>
      </c>
    </row>
    <row r="775" spans="1:11" hidden="1" x14ac:dyDescent="0.3">
      <c r="A775" t="s">
        <v>40</v>
      </c>
      <c r="B775" t="s">
        <v>51</v>
      </c>
      <c r="C775" t="s">
        <v>75</v>
      </c>
      <c r="D775">
        <v>1.4403109999999999</v>
      </c>
      <c r="E775">
        <f>Tableau4[[#This Row],[Potential (PJ)]]*1000/3.6</f>
        <v>400.08638888888885</v>
      </c>
      <c r="F775">
        <v>9.5888996448760297E-2</v>
      </c>
      <c r="G775">
        <f>Tableau4[[#This Row],[Cost (€/GJ)]]*3.6/1000</f>
        <v>3.4520038721553707E-4</v>
      </c>
      <c r="H775">
        <v>11.74</v>
      </c>
      <c r="I775">
        <f>Tableau4[[#This Row],[GHG (kgCO2eq/GJ)]]*3.6/1000</f>
        <v>4.2264000000000003E-2</v>
      </c>
      <c r="J775" t="s">
        <v>104</v>
      </c>
      <c r="K775" t="s">
        <v>108</v>
      </c>
    </row>
    <row r="776" spans="1:11" hidden="1" x14ac:dyDescent="0.3">
      <c r="A776" t="s">
        <v>40</v>
      </c>
      <c r="B776" t="s">
        <v>60</v>
      </c>
      <c r="C776" t="s">
        <v>98</v>
      </c>
      <c r="D776">
        <v>0.13752</v>
      </c>
      <c r="E776">
        <f>Tableau4[[#This Row],[Potential (PJ)]]*1000/3.6</f>
        <v>38.200000000000003</v>
      </c>
      <c r="F776">
        <v>28.73254564983888</v>
      </c>
      <c r="G776">
        <f>Tableau4[[#This Row],[Cost (€/GJ)]]*3.6/1000</f>
        <v>0.10343716433941996</v>
      </c>
      <c r="H776">
        <v>37.6</v>
      </c>
      <c r="I776">
        <f>Tableau4[[#This Row],[GHG (kgCO2eq/GJ)]]*3.6/1000</f>
        <v>0.13536000000000001</v>
      </c>
      <c r="J776" t="s">
        <v>107</v>
      </c>
      <c r="K776" t="s">
        <v>109</v>
      </c>
    </row>
    <row r="777" spans="1:11" hidden="1" x14ac:dyDescent="0.3">
      <c r="A777" t="s">
        <v>40</v>
      </c>
      <c r="B777" t="s">
        <v>52</v>
      </c>
      <c r="C777" t="s">
        <v>76</v>
      </c>
      <c r="D777">
        <v>0.126</v>
      </c>
      <c r="E777">
        <f>Tableau4[[#This Row],[Potential (PJ)]]*1000/3.6</f>
        <v>35</v>
      </c>
      <c r="F777">
        <v>4.7567250000000003</v>
      </c>
      <c r="G777">
        <f>Tableau4[[#This Row],[Cost (€/GJ)]]*3.6/1000</f>
        <v>1.7124210000000001E-2</v>
      </c>
      <c r="H777">
        <v>12.68872359754714</v>
      </c>
      <c r="I777">
        <f>Tableau4[[#This Row],[GHG (kgCO2eq/GJ)]]*3.6/1000</f>
        <v>4.5679404951169705E-2</v>
      </c>
      <c r="J777" t="s">
        <v>105</v>
      </c>
      <c r="K777" t="s">
        <v>108</v>
      </c>
    </row>
    <row r="778" spans="1:11" hidden="1" x14ac:dyDescent="0.3">
      <c r="A778" t="s">
        <v>40</v>
      </c>
      <c r="B778" t="s">
        <v>53</v>
      </c>
      <c r="C778" t="s">
        <v>77</v>
      </c>
      <c r="D778">
        <v>3.2</v>
      </c>
      <c r="E778">
        <f>Tableau4[[#This Row],[Potential (PJ)]]*1000/3.6</f>
        <v>888.88888888888891</v>
      </c>
      <c r="F778">
        <v>2.538125</v>
      </c>
      <c r="G778">
        <f>Tableau4[[#This Row],[Cost (€/GJ)]]*3.6/1000</f>
        <v>9.1372499999999995E-3</v>
      </c>
      <c r="H778">
        <v>3.86607608129234</v>
      </c>
      <c r="I778">
        <f>Tableau4[[#This Row],[GHG (kgCO2eq/GJ)]]*3.6/1000</f>
        <v>1.3917873892652425E-2</v>
      </c>
      <c r="J778" t="s">
        <v>104</v>
      </c>
      <c r="K778" t="s">
        <v>108</v>
      </c>
    </row>
    <row r="779" spans="1:11" hidden="1" x14ac:dyDescent="0.3">
      <c r="A779" t="s">
        <v>40</v>
      </c>
      <c r="B779" t="s">
        <v>61</v>
      </c>
      <c r="C779" t="s">
        <v>99</v>
      </c>
      <c r="D779">
        <v>6.3</v>
      </c>
      <c r="E779">
        <f>Tableau4[[#This Row],[Potential (PJ)]]*1000/3.6</f>
        <v>1750</v>
      </c>
      <c r="F779">
        <v>1.2551111111111111</v>
      </c>
      <c r="G779">
        <f>Tableau4[[#This Row],[Cost (€/GJ)]]*3.6/1000</f>
        <v>4.5183999999999997E-3</v>
      </c>
      <c r="H779">
        <v>2.9245635910224439</v>
      </c>
      <c r="I779">
        <f>Tableau4[[#This Row],[GHG (kgCO2eq/GJ)]]*3.6/1000</f>
        <v>1.0528428927680798E-2</v>
      </c>
      <c r="J779" t="s">
        <v>104</v>
      </c>
      <c r="K779" t="s">
        <v>108</v>
      </c>
    </row>
    <row r="780" spans="1:11" hidden="1" x14ac:dyDescent="0.3">
      <c r="A780" t="s">
        <v>40</v>
      </c>
      <c r="B780" t="s">
        <v>62</v>
      </c>
      <c r="C780" t="s">
        <v>100</v>
      </c>
      <c r="D780">
        <v>1.4</v>
      </c>
      <c r="E780">
        <f>Tableau4[[#This Row],[Potential (PJ)]]*1000/3.6</f>
        <v>388.88888888888886</v>
      </c>
      <c r="F780">
        <v>0.32142857142857151</v>
      </c>
      <c r="G780">
        <f>Tableau4[[#This Row],[Cost (€/GJ)]]*3.6/1000</f>
        <v>1.1571428571428575E-3</v>
      </c>
      <c r="H780">
        <v>2.6764106050305911</v>
      </c>
      <c r="I780">
        <f>Tableau4[[#This Row],[GHG (kgCO2eq/GJ)]]*3.6/1000</f>
        <v>9.6350781781101274E-3</v>
      </c>
      <c r="J780" t="s">
        <v>104</v>
      </c>
      <c r="K780" t="s">
        <v>108</v>
      </c>
    </row>
    <row r="781" spans="1:11" hidden="1" x14ac:dyDescent="0.3">
      <c r="A781" t="s">
        <v>40</v>
      </c>
      <c r="B781" t="s">
        <v>54</v>
      </c>
      <c r="C781" t="s">
        <v>78</v>
      </c>
      <c r="D781">
        <v>38.799999999999997</v>
      </c>
      <c r="E781">
        <f>Tableau4[[#This Row],[Potential (PJ)]]*1000/3.6</f>
        <v>10777.777777777777</v>
      </c>
      <c r="F781">
        <v>2.5441237113402071</v>
      </c>
      <c r="G781">
        <f>Tableau4[[#This Row],[Cost (€/GJ)]]*3.6/1000</f>
        <v>9.1588453608247456E-3</v>
      </c>
      <c r="H781">
        <v>3.86607608129234</v>
      </c>
      <c r="I781">
        <f>Tableau4[[#This Row],[GHG (kgCO2eq/GJ)]]*3.6/1000</f>
        <v>1.3917873892652425E-2</v>
      </c>
      <c r="J781" t="s">
        <v>104</v>
      </c>
      <c r="K781" t="s">
        <v>108</v>
      </c>
    </row>
    <row r="782" spans="1:11" hidden="1" x14ac:dyDescent="0.3">
      <c r="A782" t="s">
        <v>41</v>
      </c>
      <c r="B782" t="s">
        <v>46</v>
      </c>
      <c r="C782" t="s">
        <v>64</v>
      </c>
      <c r="D782">
        <v>5.3199999999999997E-2</v>
      </c>
      <c r="E782">
        <f>Tableau4[[#This Row],[Potential (PJ)]]*1000/3.6</f>
        <v>14.777777777777777</v>
      </c>
      <c r="F782">
        <v>5.2535926691729333</v>
      </c>
      <c r="G782">
        <f>Tableau4[[#This Row],[Cost (€/GJ)]]*3.6/1000</f>
        <v>1.8912933609022558E-2</v>
      </c>
      <c r="H782">
        <v>2.9521711768407801</v>
      </c>
      <c r="I782">
        <f>Tableau4[[#This Row],[GHG (kgCO2eq/GJ)]]*3.6/1000</f>
        <v>1.0627816236626808E-2</v>
      </c>
      <c r="J782" t="s">
        <v>104</v>
      </c>
      <c r="K782" t="s">
        <v>108</v>
      </c>
    </row>
    <row r="783" spans="1:11" hidden="1" x14ac:dyDescent="0.3">
      <c r="A783" t="s">
        <v>41</v>
      </c>
      <c r="B783" t="s">
        <v>46</v>
      </c>
      <c r="C783" t="s">
        <v>79</v>
      </c>
      <c r="D783">
        <v>11.3</v>
      </c>
      <c r="E783">
        <f>Tableau4[[#This Row],[Potential (PJ)]]*1000/3.6</f>
        <v>3138.8888888888887</v>
      </c>
      <c r="F783">
        <v>3.3388495575221242</v>
      </c>
      <c r="G783">
        <f>Tableau4[[#This Row],[Cost (€/GJ)]]*3.6/1000</f>
        <v>1.2019858407079647E-2</v>
      </c>
      <c r="H783">
        <v>6.8428961748633883</v>
      </c>
      <c r="I783">
        <f>Tableau4[[#This Row],[GHG (kgCO2eq/GJ)]]*3.6/1000</f>
        <v>2.4634426229508198E-2</v>
      </c>
      <c r="J783" t="s">
        <v>104</v>
      </c>
      <c r="K783" t="s">
        <v>108</v>
      </c>
    </row>
    <row r="784" spans="1:11" hidden="1" x14ac:dyDescent="0.3">
      <c r="A784" t="s">
        <v>41</v>
      </c>
      <c r="B784" t="s">
        <v>46</v>
      </c>
      <c r="C784" t="s">
        <v>65</v>
      </c>
      <c r="D784">
        <v>0.1</v>
      </c>
      <c r="E784">
        <f>Tableau4[[#This Row],[Potential (PJ)]]*1000/3.6</f>
        <v>27.777777777777779</v>
      </c>
      <c r="F784">
        <v>4.2919999999999998</v>
      </c>
      <c r="G784">
        <f>Tableau4[[#This Row],[Cost (€/GJ)]]*3.6/1000</f>
        <v>1.54512E-2</v>
      </c>
      <c r="H784">
        <v>2.9521711768407801</v>
      </c>
      <c r="I784">
        <f>Tableau4[[#This Row],[GHG (kgCO2eq/GJ)]]*3.6/1000</f>
        <v>1.0627816236626808E-2</v>
      </c>
      <c r="J784" t="s">
        <v>104</v>
      </c>
      <c r="K784" t="s">
        <v>108</v>
      </c>
    </row>
    <row r="785" spans="1:11" hidden="1" x14ac:dyDescent="0.3">
      <c r="A785" t="s">
        <v>41</v>
      </c>
      <c r="B785" t="s">
        <v>46</v>
      </c>
      <c r="C785" t="s">
        <v>80</v>
      </c>
      <c r="D785">
        <v>0.11409999999999999</v>
      </c>
      <c r="E785">
        <f>Tableau4[[#This Row],[Potential (PJ)]]*1000/3.6</f>
        <v>31.694444444444443</v>
      </c>
      <c r="F785">
        <v>0.2002697235333783</v>
      </c>
      <c r="G785">
        <f>Tableau4[[#This Row],[Cost (€/GJ)]]*3.6/1000</f>
        <v>7.2097100472016181E-4</v>
      </c>
      <c r="H785">
        <v>28.139870918023309</v>
      </c>
      <c r="I785">
        <f>Tableau4[[#This Row],[GHG (kgCO2eq/GJ)]]*3.6/1000</f>
        <v>0.10130353530488391</v>
      </c>
      <c r="J785" t="s">
        <v>105</v>
      </c>
      <c r="K785" t="s">
        <v>108</v>
      </c>
    </row>
    <row r="786" spans="1:11" hidden="1" x14ac:dyDescent="0.3">
      <c r="A786" t="s">
        <v>41</v>
      </c>
      <c r="B786" t="s">
        <v>46</v>
      </c>
      <c r="C786" t="s">
        <v>81</v>
      </c>
      <c r="D786">
        <v>6.8500000000000005E-2</v>
      </c>
      <c r="E786">
        <f>Tableau4[[#This Row],[Potential (PJ)]]*1000/3.6</f>
        <v>19.027777777777779</v>
      </c>
      <c r="F786">
        <v>0.36251468860164521</v>
      </c>
      <c r="G786">
        <f>Tableau4[[#This Row],[Cost (€/GJ)]]*3.6/1000</f>
        <v>1.3050528789659227E-3</v>
      </c>
      <c r="H786">
        <v>8.9647473560517046</v>
      </c>
      <c r="I786">
        <f>Tableau4[[#This Row],[GHG (kgCO2eq/GJ)]]*3.6/1000</f>
        <v>3.2273090481786136E-2</v>
      </c>
      <c r="J786" t="s">
        <v>105</v>
      </c>
      <c r="K786" t="s">
        <v>108</v>
      </c>
    </row>
    <row r="787" spans="1:11" hidden="1" x14ac:dyDescent="0.3">
      <c r="A787" t="s">
        <v>41</v>
      </c>
      <c r="B787" t="s">
        <v>46</v>
      </c>
      <c r="C787" t="s">
        <v>66</v>
      </c>
      <c r="D787">
        <v>4.3</v>
      </c>
      <c r="E787">
        <f>Tableau4[[#This Row],[Potential (PJ)]]*1000/3.6</f>
        <v>1194.4444444444443</v>
      </c>
      <c r="F787">
        <v>3.4333255813953492</v>
      </c>
      <c r="G787">
        <f>Tableau4[[#This Row],[Cost (€/GJ)]]*3.6/1000</f>
        <v>1.2359972093023258E-2</v>
      </c>
      <c r="H787">
        <v>6.8428961748633883</v>
      </c>
      <c r="I787">
        <f>Tableau4[[#This Row],[GHG (kgCO2eq/GJ)]]*3.6/1000</f>
        <v>2.4634426229508198E-2</v>
      </c>
      <c r="J787" t="s">
        <v>104</v>
      </c>
      <c r="K787" t="s">
        <v>108</v>
      </c>
    </row>
    <row r="788" spans="1:11" hidden="1" x14ac:dyDescent="0.3">
      <c r="A788" t="s">
        <v>41</v>
      </c>
      <c r="B788" t="s">
        <v>46</v>
      </c>
      <c r="C788" t="s">
        <v>82</v>
      </c>
      <c r="D788">
        <v>3.5</v>
      </c>
      <c r="E788">
        <f>Tableau4[[#This Row],[Potential (PJ)]]*1000/3.6</f>
        <v>972.22222222222217</v>
      </c>
      <c r="F788">
        <v>2.1172571428571429</v>
      </c>
      <c r="G788">
        <f>Tableau4[[#This Row],[Cost (€/GJ)]]*3.6/1000</f>
        <v>7.6221257142857143E-3</v>
      </c>
      <c r="H788">
        <v>6.8428961748633883</v>
      </c>
      <c r="I788">
        <f>Tableau4[[#This Row],[GHG (kgCO2eq/GJ)]]*3.6/1000</f>
        <v>2.4634426229508198E-2</v>
      </c>
      <c r="J788" t="s">
        <v>104</v>
      </c>
      <c r="K788" t="s">
        <v>108</v>
      </c>
    </row>
    <row r="789" spans="1:11" hidden="1" x14ac:dyDescent="0.3">
      <c r="A789" t="s">
        <v>41</v>
      </c>
      <c r="B789" t="s">
        <v>46</v>
      </c>
      <c r="C789" t="s">
        <v>84</v>
      </c>
      <c r="D789">
        <v>0.2</v>
      </c>
      <c r="E789">
        <f>Tableau4[[#This Row],[Potential (PJ)]]*1000/3.6</f>
        <v>55.555555555555557</v>
      </c>
      <c r="F789">
        <v>2.0019999999999998</v>
      </c>
      <c r="G789">
        <f>Tableau4[[#This Row],[Cost (€/GJ)]]*3.6/1000</f>
        <v>7.2071999999999995E-3</v>
      </c>
      <c r="H789">
        <v>28.139870918023309</v>
      </c>
      <c r="I789">
        <f>Tableau4[[#This Row],[GHG (kgCO2eq/GJ)]]*3.6/1000</f>
        <v>0.10130353530488391</v>
      </c>
      <c r="J789" t="s">
        <v>105</v>
      </c>
      <c r="K789" t="s">
        <v>108</v>
      </c>
    </row>
    <row r="790" spans="1:11" hidden="1" x14ac:dyDescent="0.3">
      <c r="A790" t="s">
        <v>41</v>
      </c>
      <c r="B790" t="s">
        <v>55</v>
      </c>
      <c r="C790" t="s">
        <v>86</v>
      </c>
      <c r="D790">
        <v>4.2900000000000001E-2</v>
      </c>
      <c r="E790">
        <f>Tableau4[[#This Row],[Potential (PJ)]]*1000/3.6</f>
        <v>11.916666666666666</v>
      </c>
      <c r="F790">
        <v>17.356000000000002</v>
      </c>
      <c r="G790">
        <f>Tableau4[[#This Row],[Cost (€/GJ)]]*3.6/1000</f>
        <v>6.2481600000000005E-2</v>
      </c>
      <c r="H790">
        <v>9</v>
      </c>
      <c r="I790">
        <f>Tableau4[[#This Row],[GHG (kgCO2eq/GJ)]]*3.6/1000</f>
        <v>3.2399999999999998E-2</v>
      </c>
      <c r="J790" t="s">
        <v>106</v>
      </c>
      <c r="K790" t="s">
        <v>109</v>
      </c>
    </row>
    <row r="791" spans="1:11" hidden="1" x14ac:dyDescent="0.3">
      <c r="A791" t="s">
        <v>41</v>
      </c>
      <c r="B791" t="s">
        <v>55</v>
      </c>
      <c r="C791" t="s">
        <v>87</v>
      </c>
      <c r="D791">
        <v>0.84319999999999995</v>
      </c>
      <c r="E791">
        <f>Tableau4[[#This Row],[Potential (PJ)]]*1000/3.6</f>
        <v>234.2222222222222</v>
      </c>
      <c r="F791">
        <v>15.88</v>
      </c>
      <c r="G791">
        <f>Tableau4[[#This Row],[Cost (€/GJ)]]*3.6/1000</f>
        <v>5.7168000000000004E-2</v>
      </c>
      <c r="H791">
        <v>9</v>
      </c>
      <c r="I791">
        <f>Tableau4[[#This Row],[GHG (kgCO2eq/GJ)]]*3.6/1000</f>
        <v>3.2399999999999998E-2</v>
      </c>
      <c r="J791" t="s">
        <v>106</v>
      </c>
      <c r="K791" t="s">
        <v>109</v>
      </c>
    </row>
    <row r="792" spans="1:11" hidden="1" x14ac:dyDescent="0.3">
      <c r="A792" t="s">
        <v>41</v>
      </c>
      <c r="B792" t="s">
        <v>55</v>
      </c>
      <c r="C792" t="s">
        <v>88</v>
      </c>
      <c r="D792">
        <v>1.7355</v>
      </c>
      <c r="E792">
        <f>Tableau4[[#This Row],[Potential (PJ)]]*1000/3.6</f>
        <v>482.08333333333331</v>
      </c>
      <c r="F792">
        <v>14.911</v>
      </c>
      <c r="G792">
        <f>Tableau4[[#This Row],[Cost (€/GJ)]]*3.6/1000</f>
        <v>5.3679600000000001E-2</v>
      </c>
      <c r="H792">
        <v>9</v>
      </c>
      <c r="I792">
        <f>Tableau4[[#This Row],[GHG (kgCO2eq/GJ)]]*3.6/1000</f>
        <v>3.2399999999999998E-2</v>
      </c>
      <c r="J792" t="s">
        <v>106</v>
      </c>
      <c r="K792" t="s">
        <v>109</v>
      </c>
    </row>
    <row r="793" spans="1:11" hidden="1" x14ac:dyDescent="0.3">
      <c r="A793" t="s">
        <v>41</v>
      </c>
      <c r="B793" t="s">
        <v>55</v>
      </c>
      <c r="C793" t="s">
        <v>91</v>
      </c>
      <c r="D793">
        <v>0.2442</v>
      </c>
      <c r="E793">
        <f>Tableau4[[#This Row],[Potential (PJ)]]*1000/3.6</f>
        <v>67.833333333333329</v>
      </c>
      <c r="F793">
        <v>16.141999999999999</v>
      </c>
      <c r="G793">
        <f>Tableau4[[#This Row],[Cost (€/GJ)]]*3.6/1000</f>
        <v>5.8111199999999995E-2</v>
      </c>
      <c r="H793">
        <v>9</v>
      </c>
      <c r="I793">
        <f>Tableau4[[#This Row],[GHG (kgCO2eq/GJ)]]*3.6/1000</f>
        <v>3.2399999999999998E-2</v>
      </c>
      <c r="J793" t="s">
        <v>106</v>
      </c>
      <c r="K793" t="s">
        <v>109</v>
      </c>
    </row>
    <row r="794" spans="1:11" hidden="1" x14ac:dyDescent="0.3">
      <c r="A794" t="s">
        <v>41</v>
      </c>
      <c r="B794" t="s">
        <v>55</v>
      </c>
      <c r="C794" t="s">
        <v>92</v>
      </c>
      <c r="D794">
        <v>0.10915999999999999</v>
      </c>
      <c r="E794">
        <f>Tableau4[[#This Row],[Potential (PJ)]]*1000/3.6</f>
        <v>30.322222222222219</v>
      </c>
      <c r="F794">
        <v>15.88</v>
      </c>
      <c r="G794">
        <f>Tableau4[[#This Row],[Cost (€/GJ)]]*3.6/1000</f>
        <v>5.7168000000000004E-2</v>
      </c>
      <c r="H794">
        <v>9</v>
      </c>
      <c r="I794">
        <f>Tableau4[[#This Row],[GHG (kgCO2eq/GJ)]]*3.6/1000</f>
        <v>3.2399999999999998E-2</v>
      </c>
      <c r="J794" t="s">
        <v>106</v>
      </c>
      <c r="K794" t="s">
        <v>109</v>
      </c>
    </row>
    <row r="795" spans="1:11" hidden="1" x14ac:dyDescent="0.3">
      <c r="A795" t="s">
        <v>41</v>
      </c>
      <c r="B795" t="s">
        <v>56</v>
      </c>
      <c r="C795" t="s">
        <v>93</v>
      </c>
      <c r="D795">
        <v>9.6708999999999996</v>
      </c>
      <c r="E795">
        <f>Tableau4[[#This Row],[Potential (PJ)]]*1000/3.6</f>
        <v>2686.3611111111109</v>
      </c>
      <c r="F795">
        <v>2.9493975903614462</v>
      </c>
      <c r="G795">
        <f>Tableau4[[#This Row],[Cost (€/GJ)]]*3.6/1000</f>
        <v>1.0617831325301207E-2</v>
      </c>
      <c r="H795">
        <v>15.9</v>
      </c>
      <c r="I795">
        <f>Tableau4[[#This Row],[GHG (kgCO2eq/GJ)]]*3.6/1000</f>
        <v>5.7239999999999999E-2</v>
      </c>
      <c r="J795" t="s">
        <v>106</v>
      </c>
      <c r="K795" t="s">
        <v>109</v>
      </c>
    </row>
    <row r="796" spans="1:11" hidden="1" x14ac:dyDescent="0.3">
      <c r="A796" t="s">
        <v>41</v>
      </c>
      <c r="B796" t="s">
        <v>47</v>
      </c>
      <c r="C796" t="s">
        <v>68</v>
      </c>
      <c r="D796">
        <v>2.2999999999999998</v>
      </c>
      <c r="E796">
        <f>Tableau4[[#This Row],[Potential (PJ)]]*1000/3.6</f>
        <v>638.88888888888891</v>
      </c>
      <c r="F796">
        <v>3.3540869565217402</v>
      </c>
      <c r="G796">
        <f>Tableau4[[#This Row],[Cost (€/GJ)]]*3.6/1000</f>
        <v>1.2074713043478265E-2</v>
      </c>
      <c r="H796">
        <v>22.8</v>
      </c>
      <c r="I796">
        <f>Tableau4[[#This Row],[GHG (kgCO2eq/GJ)]]*3.6/1000</f>
        <v>8.208E-2</v>
      </c>
      <c r="J796" t="s">
        <v>104</v>
      </c>
      <c r="K796" t="s">
        <v>109</v>
      </c>
    </row>
    <row r="797" spans="1:11" hidden="1" x14ac:dyDescent="0.3">
      <c r="A797" t="s">
        <v>41</v>
      </c>
      <c r="B797" t="s">
        <v>47</v>
      </c>
      <c r="C797" t="s">
        <v>69</v>
      </c>
      <c r="D797">
        <v>1.6</v>
      </c>
      <c r="E797">
        <f>Tableau4[[#This Row],[Potential (PJ)]]*1000/3.6</f>
        <v>444.44444444444446</v>
      </c>
      <c r="F797">
        <v>3.3641874999999999</v>
      </c>
      <c r="G797">
        <f>Tableau4[[#This Row],[Cost (€/GJ)]]*3.6/1000</f>
        <v>1.2111074999999999E-2</v>
      </c>
      <c r="H797">
        <v>22.8</v>
      </c>
      <c r="I797">
        <f>Tableau4[[#This Row],[GHG (kgCO2eq/GJ)]]*3.6/1000</f>
        <v>8.208E-2</v>
      </c>
      <c r="J797" t="s">
        <v>104</v>
      </c>
      <c r="K797" t="s">
        <v>109</v>
      </c>
    </row>
    <row r="798" spans="1:11" hidden="1" x14ac:dyDescent="0.3">
      <c r="A798" t="s">
        <v>41</v>
      </c>
      <c r="B798" t="s">
        <v>57</v>
      </c>
      <c r="C798" t="s">
        <v>94</v>
      </c>
      <c r="D798">
        <v>1.9</v>
      </c>
      <c r="E798">
        <f>Tableau4[[#This Row],[Potential (PJ)]]*1000/3.6</f>
        <v>527.77777777777771</v>
      </c>
      <c r="F798">
        <v>8.0303684210526303</v>
      </c>
      <c r="G798">
        <f>Tableau4[[#This Row],[Cost (€/GJ)]]*3.6/1000</f>
        <v>2.890932631578947E-2</v>
      </c>
      <c r="H798">
        <v>14.9</v>
      </c>
      <c r="I798">
        <f>Tableau4[[#This Row],[GHG (kgCO2eq/GJ)]]*3.6/1000</f>
        <v>5.364E-2</v>
      </c>
      <c r="J798" t="s">
        <v>104</v>
      </c>
      <c r="K798" t="s">
        <v>109</v>
      </c>
    </row>
    <row r="799" spans="1:11" hidden="1" x14ac:dyDescent="0.3">
      <c r="A799" t="s">
        <v>41</v>
      </c>
      <c r="B799" t="s">
        <v>49</v>
      </c>
      <c r="C799" t="s">
        <v>71</v>
      </c>
      <c r="D799">
        <v>93.684460000000001</v>
      </c>
      <c r="E799">
        <f>Tableau4[[#This Row],[Potential (PJ)]]*1000/3.6</f>
        <v>26023.461111111112</v>
      </c>
      <c r="F799">
        <v>1.839650450352172</v>
      </c>
      <c r="G799">
        <f>Tableau4[[#This Row],[Cost (€/GJ)]]*3.6/1000</f>
        <v>6.622741621267819E-3</v>
      </c>
      <c r="H799">
        <v>3.86607608129234</v>
      </c>
      <c r="I799">
        <f>Tableau4[[#This Row],[GHG (kgCO2eq/GJ)]]*3.6/1000</f>
        <v>1.3917873892652425E-2</v>
      </c>
      <c r="J799" t="s">
        <v>104</v>
      </c>
      <c r="K799" t="s">
        <v>108</v>
      </c>
    </row>
    <row r="800" spans="1:11" hidden="1" x14ac:dyDescent="0.3">
      <c r="A800" t="s">
        <v>41</v>
      </c>
      <c r="B800" t="s">
        <v>49</v>
      </c>
      <c r="C800" t="s">
        <v>72</v>
      </c>
      <c r="D800">
        <v>2.7</v>
      </c>
      <c r="E800">
        <f>Tableau4[[#This Row],[Potential (PJ)]]*1000/3.6</f>
        <v>750</v>
      </c>
      <c r="F800">
        <v>2.4145555555555549</v>
      </c>
      <c r="G800">
        <f>Tableau4[[#This Row],[Cost (€/GJ)]]*3.6/1000</f>
        <v>8.6923999999999977E-3</v>
      </c>
      <c r="H800">
        <v>3.86607608129234</v>
      </c>
      <c r="I800">
        <f>Tableau4[[#This Row],[GHG (kgCO2eq/GJ)]]*3.6/1000</f>
        <v>1.3917873892652425E-2</v>
      </c>
      <c r="J800" t="s">
        <v>104</v>
      </c>
      <c r="K800" t="s">
        <v>108</v>
      </c>
    </row>
    <row r="801" spans="1:11" hidden="1" x14ac:dyDescent="0.3">
      <c r="A801" t="s">
        <v>41</v>
      </c>
      <c r="B801" t="s">
        <v>58</v>
      </c>
      <c r="C801" t="s">
        <v>95</v>
      </c>
      <c r="D801">
        <v>7.4681500000000014</v>
      </c>
      <c r="E801">
        <f>Tableau4[[#This Row],[Potential (PJ)]]*1000/3.6</f>
        <v>2074.4861111111113</v>
      </c>
      <c r="F801">
        <v>2.3055807047260699</v>
      </c>
      <c r="G801">
        <f>Tableau4[[#This Row],[Cost (€/GJ)]]*3.6/1000</f>
        <v>8.3000905370138513E-3</v>
      </c>
      <c r="H801">
        <v>2.9521711768407801</v>
      </c>
      <c r="I801">
        <f>Tableau4[[#This Row],[GHG (kgCO2eq/GJ)]]*3.6/1000</f>
        <v>1.0627816236626808E-2</v>
      </c>
      <c r="J801" t="s">
        <v>104</v>
      </c>
      <c r="K801" t="s">
        <v>108</v>
      </c>
    </row>
    <row r="802" spans="1:11" hidden="1" x14ac:dyDescent="0.3">
      <c r="A802" t="s">
        <v>41</v>
      </c>
      <c r="B802" t="s">
        <v>50</v>
      </c>
      <c r="C802" t="s">
        <v>73</v>
      </c>
      <c r="D802">
        <v>2.1</v>
      </c>
      <c r="E802">
        <f>Tableau4[[#This Row],[Potential (PJ)]]*1000/3.6</f>
        <v>583.33333333333337</v>
      </c>
      <c r="F802">
        <v>5.1365238095238093</v>
      </c>
      <c r="G802">
        <f>Tableau4[[#This Row],[Cost (€/GJ)]]*3.6/1000</f>
        <v>1.8491485714285712E-2</v>
      </c>
      <c r="H802">
        <v>20.723404255319149</v>
      </c>
      <c r="I802">
        <f>Tableau4[[#This Row],[GHG (kgCO2eq/GJ)]]*3.6/1000</f>
        <v>7.4604255319148938E-2</v>
      </c>
      <c r="J802" t="s">
        <v>105</v>
      </c>
      <c r="K802" t="s">
        <v>108</v>
      </c>
    </row>
    <row r="803" spans="1:11" hidden="1" x14ac:dyDescent="0.3">
      <c r="A803" t="s">
        <v>41</v>
      </c>
      <c r="B803" t="s">
        <v>50</v>
      </c>
      <c r="C803" t="s">
        <v>74</v>
      </c>
      <c r="D803">
        <v>13.4</v>
      </c>
      <c r="E803">
        <f>Tableau4[[#This Row],[Potential (PJ)]]*1000/3.6</f>
        <v>3722.2222222222222</v>
      </c>
      <c r="F803">
        <v>3.4208507462686559</v>
      </c>
      <c r="G803">
        <f>Tableau4[[#This Row],[Cost (€/GJ)]]*3.6/1000</f>
        <v>1.2315062686567162E-2</v>
      </c>
      <c r="H803">
        <v>2.0635593220338988</v>
      </c>
      <c r="I803">
        <f>Tableau4[[#This Row],[GHG (kgCO2eq/GJ)]]*3.6/1000</f>
        <v>7.428813559322036E-3</v>
      </c>
      <c r="J803" t="s">
        <v>105</v>
      </c>
      <c r="K803" t="s">
        <v>108</v>
      </c>
    </row>
    <row r="804" spans="1:11" hidden="1" x14ac:dyDescent="0.3">
      <c r="A804" t="s">
        <v>41</v>
      </c>
      <c r="B804" t="s">
        <v>59</v>
      </c>
      <c r="C804" t="s">
        <v>96</v>
      </c>
      <c r="D804">
        <v>7.619999999999999E-2</v>
      </c>
      <c r="E804">
        <f>Tableau4[[#This Row],[Potential (PJ)]]*1000/3.6</f>
        <v>21.166666666666664</v>
      </c>
      <c r="F804">
        <v>30.006</v>
      </c>
      <c r="G804">
        <f>Tableau4[[#This Row],[Cost (€/GJ)]]*3.6/1000</f>
        <v>0.10802160000000001</v>
      </c>
      <c r="H804">
        <v>1</v>
      </c>
      <c r="I804">
        <f>Tableau4[[#This Row],[GHG (kgCO2eq/GJ)]]*3.6/1000</f>
        <v>3.5999999999999999E-3</v>
      </c>
      <c r="J804" t="s">
        <v>107</v>
      </c>
      <c r="K804" t="s">
        <v>109</v>
      </c>
    </row>
    <row r="805" spans="1:11" hidden="1" x14ac:dyDescent="0.3">
      <c r="A805" t="s">
        <v>41</v>
      </c>
      <c r="B805" t="s">
        <v>59</v>
      </c>
      <c r="C805" t="s">
        <v>97</v>
      </c>
      <c r="D805">
        <v>4.2000000000000006E-3</v>
      </c>
      <c r="E805">
        <f>Tableau4[[#This Row],[Potential (PJ)]]*1000/3.6</f>
        <v>1.1666666666666667</v>
      </c>
      <c r="F805">
        <v>15.95225176342919</v>
      </c>
      <c r="G805">
        <f>Tableau4[[#This Row],[Cost (€/GJ)]]*3.6/1000</f>
        <v>5.7428106348345088E-2</v>
      </c>
      <c r="H805">
        <v>1</v>
      </c>
      <c r="I805">
        <f>Tableau4[[#This Row],[GHG (kgCO2eq/GJ)]]*3.6/1000</f>
        <v>3.5999999999999999E-3</v>
      </c>
      <c r="J805" t="s">
        <v>107</v>
      </c>
      <c r="K805" t="s">
        <v>109</v>
      </c>
    </row>
    <row r="806" spans="1:11" hidden="1" x14ac:dyDescent="0.3">
      <c r="A806" t="s">
        <v>41</v>
      </c>
      <c r="B806" t="s">
        <v>51</v>
      </c>
      <c r="C806" t="s">
        <v>75</v>
      </c>
      <c r="D806">
        <v>6.2903399999999996</v>
      </c>
      <c r="E806">
        <f>Tableau4[[#This Row],[Potential (PJ)]]*1000/3.6</f>
        <v>1747.3166666666664</v>
      </c>
      <c r="F806">
        <v>1.4104643750917301E-2</v>
      </c>
      <c r="G806">
        <f>Tableau4[[#This Row],[Cost (€/GJ)]]*3.6/1000</f>
        <v>5.0776717503302279E-5</v>
      </c>
      <c r="H806">
        <v>11.74</v>
      </c>
      <c r="I806">
        <f>Tableau4[[#This Row],[GHG (kgCO2eq/GJ)]]*3.6/1000</f>
        <v>4.2264000000000003E-2</v>
      </c>
      <c r="J806" t="s">
        <v>104</v>
      </c>
      <c r="K806" t="s">
        <v>108</v>
      </c>
    </row>
    <row r="807" spans="1:11" hidden="1" x14ac:dyDescent="0.3">
      <c r="A807" t="s">
        <v>41</v>
      </c>
      <c r="B807" t="s">
        <v>60</v>
      </c>
      <c r="C807" t="s">
        <v>98</v>
      </c>
      <c r="D807">
        <v>1.27095</v>
      </c>
      <c r="E807">
        <f>Tableau4[[#This Row],[Potential (PJ)]]*1000/3.6</f>
        <v>353.04166666666669</v>
      </c>
      <c r="F807">
        <v>18.367346938775508</v>
      </c>
      <c r="G807">
        <f>Tableau4[[#This Row],[Cost (€/GJ)]]*3.6/1000</f>
        <v>6.6122448979591839E-2</v>
      </c>
      <c r="H807">
        <v>18.8</v>
      </c>
      <c r="I807">
        <f>Tableau4[[#This Row],[GHG (kgCO2eq/GJ)]]*3.6/1000</f>
        <v>6.7680000000000004E-2</v>
      </c>
      <c r="J807" t="s">
        <v>107</v>
      </c>
      <c r="K807" t="s">
        <v>109</v>
      </c>
    </row>
    <row r="808" spans="1:11" hidden="1" x14ac:dyDescent="0.3">
      <c r="A808" t="s">
        <v>41</v>
      </c>
      <c r="B808" t="s">
        <v>52</v>
      </c>
      <c r="C808" t="s">
        <v>76</v>
      </c>
      <c r="D808">
        <v>3.0000000000000001E-3</v>
      </c>
      <c r="E808">
        <f>Tableau4[[#This Row],[Potential (PJ)]]*1000/3.6</f>
        <v>0.83333333333333326</v>
      </c>
      <c r="F808">
        <v>4.7567250000000003</v>
      </c>
      <c r="G808">
        <f>Tableau4[[#This Row],[Cost (€/GJ)]]*3.6/1000</f>
        <v>1.7124210000000001E-2</v>
      </c>
      <c r="H808">
        <v>12.68872359754714</v>
      </c>
      <c r="I808">
        <f>Tableau4[[#This Row],[GHG (kgCO2eq/GJ)]]*3.6/1000</f>
        <v>4.5679404951169705E-2</v>
      </c>
      <c r="J808" t="s">
        <v>105</v>
      </c>
      <c r="K808" t="s">
        <v>108</v>
      </c>
    </row>
    <row r="809" spans="1:11" hidden="1" x14ac:dyDescent="0.3">
      <c r="A809" t="s">
        <v>41</v>
      </c>
      <c r="B809" t="s">
        <v>53</v>
      </c>
      <c r="C809" t="s">
        <v>77</v>
      </c>
      <c r="D809">
        <v>1.2</v>
      </c>
      <c r="E809">
        <f>Tableau4[[#This Row],[Potential (PJ)]]*1000/3.6</f>
        <v>333.33333333333331</v>
      </c>
      <c r="F809">
        <v>2.414333333333333</v>
      </c>
      <c r="G809">
        <f>Tableau4[[#This Row],[Cost (€/GJ)]]*3.6/1000</f>
        <v>8.691599999999999E-3</v>
      </c>
      <c r="H809">
        <v>3.86607608129234</v>
      </c>
      <c r="I809">
        <f>Tableau4[[#This Row],[GHG (kgCO2eq/GJ)]]*3.6/1000</f>
        <v>1.3917873892652425E-2</v>
      </c>
      <c r="J809" t="s">
        <v>104</v>
      </c>
      <c r="K809" t="s">
        <v>108</v>
      </c>
    </row>
    <row r="810" spans="1:11" hidden="1" x14ac:dyDescent="0.3">
      <c r="A810" t="s">
        <v>41</v>
      </c>
      <c r="B810" t="s">
        <v>61</v>
      </c>
      <c r="C810" t="s">
        <v>99</v>
      </c>
      <c r="D810">
        <v>14.3</v>
      </c>
      <c r="E810">
        <f>Tableau4[[#This Row],[Potential (PJ)]]*1000/3.6</f>
        <v>3972.2222222222222</v>
      </c>
      <c r="F810">
        <v>1.518391608391608</v>
      </c>
      <c r="G810">
        <f>Tableau4[[#This Row],[Cost (€/GJ)]]*3.6/1000</f>
        <v>5.4662097902097896E-3</v>
      </c>
      <c r="H810">
        <v>2.9245635910224439</v>
      </c>
      <c r="I810">
        <f>Tableau4[[#This Row],[GHG (kgCO2eq/GJ)]]*3.6/1000</f>
        <v>1.0528428927680798E-2</v>
      </c>
      <c r="J810" t="s">
        <v>104</v>
      </c>
      <c r="K810" t="s">
        <v>108</v>
      </c>
    </row>
    <row r="811" spans="1:11" hidden="1" x14ac:dyDescent="0.3">
      <c r="A811" t="s">
        <v>41</v>
      </c>
      <c r="B811" t="s">
        <v>62</v>
      </c>
      <c r="C811" t="s">
        <v>100</v>
      </c>
      <c r="D811">
        <v>4.4000000000000004</v>
      </c>
      <c r="E811">
        <f>Tableau4[[#This Row],[Potential (PJ)]]*1000/3.6</f>
        <v>1222.2222222222222</v>
      </c>
      <c r="F811">
        <v>0.38181818181818178</v>
      </c>
      <c r="G811">
        <f>Tableau4[[#This Row],[Cost (€/GJ)]]*3.6/1000</f>
        <v>1.3745454545454545E-3</v>
      </c>
      <c r="H811">
        <v>2.6764106050305911</v>
      </c>
      <c r="I811">
        <f>Tableau4[[#This Row],[GHG (kgCO2eq/GJ)]]*3.6/1000</f>
        <v>9.6350781781101274E-3</v>
      </c>
      <c r="J811" t="s">
        <v>104</v>
      </c>
      <c r="K811" t="s">
        <v>108</v>
      </c>
    </row>
    <row r="812" spans="1:11" hidden="1" x14ac:dyDescent="0.3">
      <c r="A812" t="s">
        <v>41</v>
      </c>
      <c r="B812" t="s">
        <v>54</v>
      </c>
      <c r="C812" t="s">
        <v>78</v>
      </c>
      <c r="D812">
        <v>42.8</v>
      </c>
      <c r="E812">
        <f>Tableau4[[#This Row],[Potential (PJ)]]*1000/3.6</f>
        <v>11888.888888888889</v>
      </c>
      <c r="F812">
        <v>2.4112126168224299</v>
      </c>
      <c r="G812">
        <f>Tableau4[[#This Row],[Cost (€/GJ)]]*3.6/1000</f>
        <v>8.6803654205607466E-3</v>
      </c>
      <c r="H812">
        <v>3.86607608129234</v>
      </c>
      <c r="I812">
        <f>Tableau4[[#This Row],[GHG (kgCO2eq/GJ)]]*3.6/1000</f>
        <v>1.3917873892652425E-2</v>
      </c>
      <c r="J812" t="s">
        <v>104</v>
      </c>
      <c r="K812" t="s">
        <v>108</v>
      </c>
    </row>
    <row r="813" spans="1:11" hidden="1" x14ac:dyDescent="0.3">
      <c r="A813" t="s">
        <v>42</v>
      </c>
      <c r="B813" t="s">
        <v>46</v>
      </c>
      <c r="C813" t="s">
        <v>63</v>
      </c>
      <c r="D813">
        <v>5.2691999999999997</v>
      </c>
      <c r="E813">
        <f>Tableau4[[#This Row],[Potential (PJ)]]*1000/3.6</f>
        <v>1463.6666666666665</v>
      </c>
      <c r="F813">
        <v>2.9286474973375931</v>
      </c>
      <c r="G813">
        <f>Tableau4[[#This Row],[Cost (€/GJ)]]*3.6/1000</f>
        <v>1.0543130990415334E-2</v>
      </c>
      <c r="H813">
        <v>3.950479233226837</v>
      </c>
      <c r="I813">
        <f>Tableau4[[#This Row],[GHG (kgCO2eq/GJ)]]*3.6/1000</f>
        <v>1.4221725239616614E-2</v>
      </c>
      <c r="J813" t="s">
        <v>104</v>
      </c>
      <c r="K813" t="s">
        <v>108</v>
      </c>
    </row>
    <row r="814" spans="1:11" hidden="1" x14ac:dyDescent="0.3">
      <c r="A814" t="s">
        <v>42</v>
      </c>
      <c r="B814" t="s">
        <v>46</v>
      </c>
      <c r="C814" t="s">
        <v>64</v>
      </c>
      <c r="D814">
        <v>3.5775999999999999</v>
      </c>
      <c r="E814">
        <f>Tableau4[[#This Row],[Potential (PJ)]]*1000/3.6</f>
        <v>993.77777777777771</v>
      </c>
      <c r="F814">
        <v>6.1414905076028621</v>
      </c>
      <c r="G814">
        <f>Tableau4[[#This Row],[Cost (€/GJ)]]*3.6/1000</f>
        <v>2.2109365827370303E-2</v>
      </c>
      <c r="H814">
        <v>2.9521711768407801</v>
      </c>
      <c r="I814">
        <f>Tableau4[[#This Row],[GHG (kgCO2eq/GJ)]]*3.6/1000</f>
        <v>1.0627816236626808E-2</v>
      </c>
      <c r="J814" t="s">
        <v>104</v>
      </c>
      <c r="K814" t="s">
        <v>108</v>
      </c>
    </row>
    <row r="815" spans="1:11" hidden="1" x14ac:dyDescent="0.3">
      <c r="A815" t="s">
        <v>42</v>
      </c>
      <c r="B815" t="s">
        <v>46</v>
      </c>
      <c r="C815" t="s">
        <v>65</v>
      </c>
      <c r="D815">
        <v>21.1</v>
      </c>
      <c r="E815">
        <f>Tableau4[[#This Row],[Potential (PJ)]]*1000/3.6</f>
        <v>5861.1111111111113</v>
      </c>
      <c r="F815">
        <v>4.441393364928909</v>
      </c>
      <c r="G815">
        <f>Tableau4[[#This Row],[Cost (€/GJ)]]*3.6/1000</f>
        <v>1.5989016113744071E-2</v>
      </c>
      <c r="H815">
        <v>2.9521711768407801</v>
      </c>
      <c r="I815">
        <f>Tableau4[[#This Row],[GHG (kgCO2eq/GJ)]]*3.6/1000</f>
        <v>1.0627816236626808E-2</v>
      </c>
      <c r="J815" t="s">
        <v>104</v>
      </c>
      <c r="K815" t="s">
        <v>108</v>
      </c>
    </row>
    <row r="816" spans="1:11" hidden="1" x14ac:dyDescent="0.3">
      <c r="A816" t="s">
        <v>42</v>
      </c>
      <c r="B816" t="s">
        <v>46</v>
      </c>
      <c r="C816" t="s">
        <v>67</v>
      </c>
      <c r="D816">
        <v>15.6</v>
      </c>
      <c r="E816">
        <f>Tableau4[[#This Row],[Potential (PJ)]]*1000/3.6</f>
        <v>4333.333333333333</v>
      </c>
      <c r="F816">
        <v>5.657</v>
      </c>
      <c r="G816">
        <f>Tableau4[[#This Row],[Cost (€/GJ)]]*3.6/1000</f>
        <v>2.03652E-2</v>
      </c>
      <c r="H816">
        <v>2.9521711768407801</v>
      </c>
      <c r="I816">
        <f>Tableau4[[#This Row],[GHG (kgCO2eq/GJ)]]*3.6/1000</f>
        <v>1.0627816236626808E-2</v>
      </c>
      <c r="J816" t="s">
        <v>104</v>
      </c>
      <c r="K816" t="s">
        <v>108</v>
      </c>
    </row>
    <row r="817" spans="1:11" hidden="1" x14ac:dyDescent="0.3">
      <c r="A817" t="s">
        <v>42</v>
      </c>
      <c r="B817" t="s">
        <v>46</v>
      </c>
      <c r="C817" t="s">
        <v>85</v>
      </c>
      <c r="D817">
        <v>4.1000000000000014</v>
      </c>
      <c r="E817">
        <f>Tableau4[[#This Row],[Potential (PJ)]]*1000/3.6</f>
        <v>1138.8888888888894</v>
      </c>
      <c r="F817">
        <v>4.5365853658536581</v>
      </c>
      <c r="G817">
        <f>Tableau4[[#This Row],[Cost (€/GJ)]]*3.6/1000</f>
        <v>1.6331707317073171E-2</v>
      </c>
      <c r="H817">
        <v>2.9521711768407801</v>
      </c>
      <c r="I817">
        <f>Tableau4[[#This Row],[GHG (kgCO2eq/GJ)]]*3.6/1000</f>
        <v>1.0627816236626808E-2</v>
      </c>
      <c r="J817" t="s">
        <v>104</v>
      </c>
      <c r="K817" t="s">
        <v>108</v>
      </c>
    </row>
    <row r="818" spans="1:11" hidden="1" x14ac:dyDescent="0.3">
      <c r="A818" t="s">
        <v>42</v>
      </c>
      <c r="B818" t="s">
        <v>47</v>
      </c>
      <c r="C818" t="s">
        <v>68</v>
      </c>
      <c r="D818">
        <v>223.9</v>
      </c>
      <c r="E818">
        <f>Tableau4[[#This Row],[Potential (PJ)]]*1000/3.6</f>
        <v>62194.444444444445</v>
      </c>
      <c r="F818">
        <v>3.3740000000000001</v>
      </c>
      <c r="G818">
        <f>Tableau4[[#This Row],[Cost (€/GJ)]]*3.6/1000</f>
        <v>1.21464E-2</v>
      </c>
      <c r="I818">
        <f>Tableau4[[#This Row],[GHG (kgCO2eq/GJ)]]*3.6/1000</f>
        <v>0</v>
      </c>
      <c r="J818" t="s">
        <v>104</v>
      </c>
      <c r="K818" t="s">
        <v>109</v>
      </c>
    </row>
    <row r="819" spans="1:11" hidden="1" x14ac:dyDescent="0.3">
      <c r="A819" t="s">
        <v>42</v>
      </c>
      <c r="B819" t="s">
        <v>47</v>
      </c>
      <c r="C819" t="s">
        <v>69</v>
      </c>
      <c r="D819">
        <v>156.9</v>
      </c>
      <c r="E819">
        <f>Tableau4[[#This Row],[Potential (PJ)]]*1000/3.6</f>
        <v>43583.333333333336</v>
      </c>
      <c r="F819">
        <v>3.3820000000000001</v>
      </c>
      <c r="G819">
        <f>Tableau4[[#This Row],[Cost (€/GJ)]]*3.6/1000</f>
        <v>1.2175200000000001E-2</v>
      </c>
      <c r="I819">
        <f>Tableau4[[#This Row],[GHG (kgCO2eq/GJ)]]*3.6/1000</f>
        <v>0</v>
      </c>
      <c r="J819" t="s">
        <v>104</v>
      </c>
      <c r="K819" t="s">
        <v>109</v>
      </c>
    </row>
    <row r="820" spans="1:11" hidden="1" x14ac:dyDescent="0.3">
      <c r="A820" t="s">
        <v>42</v>
      </c>
      <c r="B820" t="s">
        <v>48</v>
      </c>
      <c r="C820" t="s">
        <v>70</v>
      </c>
      <c r="D820">
        <v>82.8</v>
      </c>
      <c r="E820">
        <f>Tableau4[[#This Row],[Potential (PJ)]]*1000/3.6</f>
        <v>23000</v>
      </c>
      <c r="F820">
        <v>8.9080000000000013</v>
      </c>
      <c r="G820">
        <f>Tableau4[[#This Row],[Cost (€/GJ)]]*3.6/1000</f>
        <v>3.2068800000000001E-2</v>
      </c>
      <c r="I820">
        <f>Tableau4[[#This Row],[GHG (kgCO2eq/GJ)]]*3.6/1000</f>
        <v>0</v>
      </c>
      <c r="J820" t="s">
        <v>104</v>
      </c>
      <c r="K820" t="s">
        <v>109</v>
      </c>
    </row>
    <row r="821" spans="1:11" hidden="1" x14ac:dyDescent="0.3">
      <c r="A821" t="s">
        <v>42</v>
      </c>
      <c r="B821" t="s">
        <v>49</v>
      </c>
      <c r="C821" t="s">
        <v>71</v>
      </c>
      <c r="D821">
        <v>0.19686999999999999</v>
      </c>
      <c r="E821">
        <f>Tableau4[[#This Row],[Potential (PJ)]]*1000/3.6</f>
        <v>54.686111111111103</v>
      </c>
      <c r="F821">
        <v>2.496</v>
      </c>
      <c r="G821">
        <f>Tableau4[[#This Row],[Cost (€/GJ)]]*3.6/1000</f>
        <v>8.9855999999999998E-3</v>
      </c>
      <c r="H821">
        <v>3.86607608129234</v>
      </c>
      <c r="I821">
        <f>Tableau4[[#This Row],[GHG (kgCO2eq/GJ)]]*3.6/1000</f>
        <v>1.3917873892652425E-2</v>
      </c>
      <c r="J821" t="s">
        <v>104</v>
      </c>
      <c r="K821" t="s">
        <v>108</v>
      </c>
    </row>
    <row r="822" spans="1:11" hidden="1" x14ac:dyDescent="0.3">
      <c r="A822" t="s">
        <v>42</v>
      </c>
      <c r="B822" t="s">
        <v>52</v>
      </c>
      <c r="C822" t="s">
        <v>76</v>
      </c>
      <c r="D822">
        <v>13.396000000000001</v>
      </c>
      <c r="E822">
        <f>Tableau4[[#This Row],[Potential (PJ)]]*1000/3.6</f>
        <v>3721.1111111111109</v>
      </c>
      <c r="F822">
        <v>0</v>
      </c>
      <c r="G822">
        <f>Tableau4[[#This Row],[Cost (€/GJ)]]*3.6/1000</f>
        <v>0</v>
      </c>
      <c r="H822">
        <v>12.68872359754714</v>
      </c>
      <c r="I822">
        <f>Tableau4[[#This Row],[GHG (kgCO2eq/GJ)]]*3.6/1000</f>
        <v>4.5679404951169705E-2</v>
      </c>
      <c r="J822" t="s">
        <v>105</v>
      </c>
      <c r="K822" t="s">
        <v>108</v>
      </c>
    </row>
    <row r="823" spans="1:11" hidden="1" x14ac:dyDescent="0.3">
      <c r="A823" t="s">
        <v>43</v>
      </c>
      <c r="B823" t="s">
        <v>49</v>
      </c>
      <c r="C823" t="s">
        <v>71</v>
      </c>
      <c r="D823">
        <v>370.10629999999998</v>
      </c>
      <c r="E823">
        <f>Tableau4[[#This Row],[Potential (PJ)]]*1000/3.6</f>
        <v>102807.30555555555</v>
      </c>
      <c r="F823">
        <v>0</v>
      </c>
      <c r="G823">
        <f>Tableau4[[#This Row],[Cost (€/GJ)]]*3.6/1000</f>
        <v>0</v>
      </c>
      <c r="I823">
        <f>Tableau4[[#This Row],[GHG (kgCO2eq/GJ)]]*3.6/1000</f>
        <v>0</v>
      </c>
      <c r="J823" t="s">
        <v>104</v>
      </c>
      <c r="K823" t="s">
        <v>108</v>
      </c>
    </row>
    <row r="824" spans="1:11" hidden="1" x14ac:dyDescent="0.3">
      <c r="A824" t="s">
        <v>43</v>
      </c>
      <c r="B824" t="s">
        <v>49</v>
      </c>
      <c r="C824" t="s">
        <v>72</v>
      </c>
      <c r="D824">
        <v>67.400000000000006</v>
      </c>
      <c r="E824">
        <f>Tableau4[[#This Row],[Potential (PJ)]]*1000/3.6</f>
        <v>18722.222222222223</v>
      </c>
      <c r="F824">
        <v>0</v>
      </c>
      <c r="G824">
        <f>Tableau4[[#This Row],[Cost (€/GJ)]]*3.6/1000</f>
        <v>0</v>
      </c>
      <c r="I824">
        <f>Tableau4[[#This Row],[GHG (kgCO2eq/GJ)]]*3.6/1000</f>
        <v>0</v>
      </c>
      <c r="J824" t="s">
        <v>104</v>
      </c>
      <c r="K824" t="s">
        <v>108</v>
      </c>
    </row>
    <row r="825" spans="1:11" hidden="1" x14ac:dyDescent="0.3">
      <c r="A825" t="s">
        <v>43</v>
      </c>
      <c r="B825" t="s">
        <v>53</v>
      </c>
      <c r="C825" t="s">
        <v>77</v>
      </c>
      <c r="D825">
        <v>28.5</v>
      </c>
      <c r="E825">
        <f>Tableau4[[#This Row],[Potential (PJ)]]*1000/3.6</f>
        <v>7916.6666666666661</v>
      </c>
      <c r="F825">
        <v>0</v>
      </c>
      <c r="G825">
        <f>Tableau4[[#This Row],[Cost (€/GJ)]]*3.6/1000</f>
        <v>0</v>
      </c>
      <c r="I825">
        <f>Tableau4[[#This Row],[GHG (kgCO2eq/GJ)]]*3.6/1000</f>
        <v>0</v>
      </c>
      <c r="J825" t="s">
        <v>104</v>
      </c>
      <c r="K825" t="s">
        <v>108</v>
      </c>
    </row>
    <row r="826" spans="1:11" hidden="1" x14ac:dyDescent="0.3">
      <c r="A826" t="s">
        <v>43</v>
      </c>
      <c r="B826" t="s">
        <v>54</v>
      </c>
      <c r="C826" t="s">
        <v>78</v>
      </c>
      <c r="D826">
        <v>156.30000000000001</v>
      </c>
      <c r="E826">
        <f>Tableau4[[#This Row],[Potential (PJ)]]*1000/3.6</f>
        <v>43416.666666666664</v>
      </c>
      <c r="F826">
        <v>0</v>
      </c>
      <c r="G826">
        <f>Tableau4[[#This Row],[Cost (€/GJ)]]*3.6/1000</f>
        <v>0</v>
      </c>
      <c r="I826">
        <f>Tableau4[[#This Row],[GHG (kgCO2eq/GJ)]]*3.6/1000</f>
        <v>0</v>
      </c>
      <c r="J826" t="s">
        <v>104</v>
      </c>
      <c r="K826" t="s">
        <v>108</v>
      </c>
    </row>
    <row r="827" spans="1:11" hidden="1" x14ac:dyDescent="0.3">
      <c r="A827" t="s">
        <v>44</v>
      </c>
      <c r="B827" t="s">
        <v>46</v>
      </c>
      <c r="C827" t="s">
        <v>64</v>
      </c>
      <c r="D827">
        <v>0.1303</v>
      </c>
      <c r="E827">
        <f>Tableau4[[#This Row],[Potential (PJ)]]*1000/3.6</f>
        <v>36.19444444444445</v>
      </c>
      <c r="F827">
        <v>3.891496776669225</v>
      </c>
      <c r="G827">
        <f>Tableau4[[#This Row],[Cost (€/GJ)]]*3.6/1000</f>
        <v>1.4009388396009211E-2</v>
      </c>
      <c r="H827">
        <v>2.9521711768407801</v>
      </c>
      <c r="I827">
        <f>Tableau4[[#This Row],[GHG (kgCO2eq/GJ)]]*3.6/1000</f>
        <v>1.0627816236626808E-2</v>
      </c>
      <c r="J827" t="s">
        <v>104</v>
      </c>
      <c r="K827" t="s">
        <v>108</v>
      </c>
    </row>
    <row r="828" spans="1:11" hidden="1" x14ac:dyDescent="0.3">
      <c r="A828" t="s">
        <v>44</v>
      </c>
      <c r="B828" t="s">
        <v>46</v>
      </c>
      <c r="C828" t="s">
        <v>79</v>
      </c>
      <c r="D828">
        <v>78.099999999999994</v>
      </c>
      <c r="E828">
        <f>Tableau4[[#This Row],[Potential (PJ)]]*1000/3.6</f>
        <v>21694.444444444445</v>
      </c>
      <c r="F828">
        <v>3.4581690140845081</v>
      </c>
      <c r="G828">
        <f>Tableau4[[#This Row],[Cost (€/GJ)]]*3.6/1000</f>
        <v>1.2449408450704229E-2</v>
      </c>
      <c r="H828">
        <v>6.8428961748633883</v>
      </c>
      <c r="I828">
        <f>Tableau4[[#This Row],[GHG (kgCO2eq/GJ)]]*3.6/1000</f>
        <v>2.4634426229508198E-2</v>
      </c>
      <c r="J828" t="s">
        <v>104</v>
      </c>
      <c r="K828" t="s">
        <v>108</v>
      </c>
    </row>
    <row r="829" spans="1:11" hidden="1" x14ac:dyDescent="0.3">
      <c r="A829" t="s">
        <v>44</v>
      </c>
      <c r="B829" t="s">
        <v>46</v>
      </c>
      <c r="C829" t="s">
        <v>65</v>
      </c>
      <c r="D829">
        <v>0.2</v>
      </c>
      <c r="E829">
        <f>Tableau4[[#This Row],[Potential (PJ)]]*1000/3.6</f>
        <v>55.555555555555557</v>
      </c>
      <c r="F829">
        <v>5.4515000000000002</v>
      </c>
      <c r="G829">
        <f>Tableau4[[#This Row],[Cost (€/GJ)]]*3.6/1000</f>
        <v>1.9625400000000001E-2</v>
      </c>
      <c r="H829">
        <v>2.9521711768407801</v>
      </c>
      <c r="I829">
        <f>Tableau4[[#This Row],[GHG (kgCO2eq/GJ)]]*3.6/1000</f>
        <v>1.0627816236626808E-2</v>
      </c>
      <c r="J829" t="s">
        <v>104</v>
      </c>
      <c r="K829" t="s">
        <v>108</v>
      </c>
    </row>
    <row r="830" spans="1:11" hidden="1" x14ac:dyDescent="0.3">
      <c r="A830" t="s">
        <v>44</v>
      </c>
      <c r="B830" t="s">
        <v>46</v>
      </c>
      <c r="C830" t="s">
        <v>80</v>
      </c>
      <c r="D830">
        <v>3.3449</v>
      </c>
      <c r="E830">
        <f>Tableau4[[#This Row],[Potential (PJ)]]*1000/3.6</f>
        <v>929.13888888888891</v>
      </c>
      <c r="F830">
        <v>4.7201618341200263E-2</v>
      </c>
      <c r="G830">
        <f>Tableau4[[#This Row],[Cost (€/GJ)]]*3.6/1000</f>
        <v>1.6992582602832096E-4</v>
      </c>
      <c r="H830">
        <v>28.139870918023309</v>
      </c>
      <c r="I830">
        <f>Tableau4[[#This Row],[GHG (kgCO2eq/GJ)]]*3.6/1000</f>
        <v>0.10130353530488391</v>
      </c>
      <c r="J830" t="s">
        <v>105</v>
      </c>
      <c r="K830" t="s">
        <v>108</v>
      </c>
    </row>
    <row r="831" spans="1:11" hidden="1" x14ac:dyDescent="0.3">
      <c r="A831" t="s">
        <v>44</v>
      </c>
      <c r="B831" t="s">
        <v>46</v>
      </c>
      <c r="C831" t="s">
        <v>81</v>
      </c>
      <c r="D831">
        <v>0.4002</v>
      </c>
      <c r="E831">
        <f>Tableau4[[#This Row],[Potential (PJ)]]*1000/3.6</f>
        <v>111.16666666666666</v>
      </c>
      <c r="F831">
        <v>0.69388954171562867</v>
      </c>
      <c r="G831">
        <f>Tableau4[[#This Row],[Cost (€/GJ)]]*3.6/1000</f>
        <v>2.498002350176263E-3</v>
      </c>
      <c r="H831">
        <v>8.9647473560517046</v>
      </c>
      <c r="I831">
        <f>Tableau4[[#This Row],[GHG (kgCO2eq/GJ)]]*3.6/1000</f>
        <v>3.2273090481786136E-2</v>
      </c>
      <c r="J831" t="s">
        <v>105</v>
      </c>
      <c r="K831" t="s">
        <v>108</v>
      </c>
    </row>
    <row r="832" spans="1:11" hidden="1" x14ac:dyDescent="0.3">
      <c r="A832" t="s">
        <v>44</v>
      </c>
      <c r="B832" t="s">
        <v>46</v>
      </c>
      <c r="C832" t="s">
        <v>82</v>
      </c>
      <c r="D832">
        <v>14.2</v>
      </c>
      <c r="E832">
        <f>Tableau4[[#This Row],[Potential (PJ)]]*1000/3.6</f>
        <v>3944.4444444444443</v>
      </c>
      <c r="F832">
        <v>2.2010985915492962</v>
      </c>
      <c r="G832">
        <f>Tableau4[[#This Row],[Cost (€/GJ)]]*3.6/1000</f>
        <v>7.9239549295774675E-3</v>
      </c>
      <c r="H832">
        <v>6.8428961748633883</v>
      </c>
      <c r="I832">
        <f>Tableau4[[#This Row],[GHG (kgCO2eq/GJ)]]*3.6/1000</f>
        <v>2.4634426229508198E-2</v>
      </c>
      <c r="J832" t="s">
        <v>104</v>
      </c>
      <c r="K832" t="s">
        <v>108</v>
      </c>
    </row>
    <row r="833" spans="1:11" hidden="1" x14ac:dyDescent="0.3">
      <c r="A833" t="s">
        <v>44</v>
      </c>
      <c r="B833" t="s">
        <v>46</v>
      </c>
      <c r="C833" t="s">
        <v>84</v>
      </c>
      <c r="D833">
        <v>1.6</v>
      </c>
      <c r="E833">
        <f>Tableau4[[#This Row],[Potential (PJ)]]*1000/3.6</f>
        <v>444.44444444444446</v>
      </c>
      <c r="F833">
        <v>2.4077500000000001</v>
      </c>
      <c r="G833">
        <f>Tableau4[[#This Row],[Cost (€/GJ)]]*3.6/1000</f>
        <v>8.667900000000001E-3</v>
      </c>
      <c r="H833">
        <v>28.139870918023309</v>
      </c>
      <c r="I833">
        <f>Tableau4[[#This Row],[GHG (kgCO2eq/GJ)]]*3.6/1000</f>
        <v>0.10130353530488391</v>
      </c>
      <c r="J833" t="s">
        <v>105</v>
      </c>
      <c r="K833" t="s">
        <v>108</v>
      </c>
    </row>
    <row r="834" spans="1:11" hidden="1" x14ac:dyDescent="0.3">
      <c r="A834" t="s">
        <v>44</v>
      </c>
      <c r="B834" t="s">
        <v>55</v>
      </c>
      <c r="C834" t="s">
        <v>86</v>
      </c>
      <c r="D834">
        <v>3.4171</v>
      </c>
      <c r="E834">
        <f>Tableau4[[#This Row],[Potential (PJ)]]*1000/3.6</f>
        <v>949.19444444444434</v>
      </c>
      <c r="F834">
        <v>18.461000000000009</v>
      </c>
      <c r="G834">
        <f>Tableau4[[#This Row],[Cost (€/GJ)]]*3.6/1000</f>
        <v>6.6459600000000035E-2</v>
      </c>
      <c r="H834">
        <v>11.6</v>
      </c>
      <c r="I834">
        <f>Tableau4[[#This Row],[GHG (kgCO2eq/GJ)]]*3.6/1000</f>
        <v>4.1759999999999999E-2</v>
      </c>
      <c r="J834" t="s">
        <v>106</v>
      </c>
      <c r="K834" t="s">
        <v>109</v>
      </c>
    </row>
    <row r="835" spans="1:11" hidden="1" x14ac:dyDescent="0.3">
      <c r="A835" t="s">
        <v>44</v>
      </c>
      <c r="B835" t="s">
        <v>55</v>
      </c>
      <c r="C835" t="s">
        <v>89</v>
      </c>
      <c r="D835">
        <v>4.3154000000000003</v>
      </c>
      <c r="E835">
        <f>Tableau4[[#This Row],[Potential (PJ)]]*1000/3.6</f>
        <v>1198.7222222222224</v>
      </c>
      <c r="F835">
        <v>0</v>
      </c>
      <c r="G835">
        <f>Tableau4[[#This Row],[Cost (€/GJ)]]*3.6/1000</f>
        <v>0</v>
      </c>
      <c r="H835">
        <v>11.6</v>
      </c>
      <c r="I835">
        <f>Tableau4[[#This Row],[GHG (kgCO2eq/GJ)]]*3.6/1000</f>
        <v>4.1759999999999999E-2</v>
      </c>
      <c r="J835" t="s">
        <v>106</v>
      </c>
      <c r="K835" t="s">
        <v>109</v>
      </c>
    </row>
    <row r="836" spans="1:11" hidden="1" x14ac:dyDescent="0.3">
      <c r="A836" t="s">
        <v>44</v>
      </c>
      <c r="B836" t="s">
        <v>55</v>
      </c>
      <c r="C836" t="s">
        <v>92</v>
      </c>
      <c r="D836">
        <v>16.754750000000001</v>
      </c>
      <c r="E836">
        <f>Tableau4[[#This Row],[Potential (PJ)]]*1000/3.6</f>
        <v>4654.0972222222217</v>
      </c>
      <c r="F836">
        <v>18.32500000000001</v>
      </c>
      <c r="G836">
        <f>Tableau4[[#This Row],[Cost (€/GJ)]]*3.6/1000</f>
        <v>6.5970000000000042E-2</v>
      </c>
      <c r="H836">
        <v>11.6</v>
      </c>
      <c r="I836">
        <f>Tableau4[[#This Row],[GHG (kgCO2eq/GJ)]]*3.6/1000</f>
        <v>4.1759999999999999E-2</v>
      </c>
      <c r="J836" t="s">
        <v>106</v>
      </c>
      <c r="K836" t="s">
        <v>109</v>
      </c>
    </row>
    <row r="837" spans="1:11" hidden="1" x14ac:dyDescent="0.3">
      <c r="A837" t="s">
        <v>44</v>
      </c>
      <c r="B837" t="s">
        <v>56</v>
      </c>
      <c r="C837" t="s">
        <v>93</v>
      </c>
      <c r="D837">
        <v>74.7774</v>
      </c>
      <c r="E837">
        <f>Tableau4[[#This Row],[Potential (PJ)]]*1000/3.6</f>
        <v>20771.499999999996</v>
      </c>
      <c r="F837">
        <v>2.939759036144578</v>
      </c>
      <c r="G837">
        <f>Tableau4[[#This Row],[Cost (€/GJ)]]*3.6/1000</f>
        <v>1.0583132530120483E-2</v>
      </c>
      <c r="H837">
        <v>28.8</v>
      </c>
      <c r="I837">
        <f>Tableau4[[#This Row],[GHG (kgCO2eq/GJ)]]*3.6/1000</f>
        <v>0.10368000000000001</v>
      </c>
      <c r="J837" t="s">
        <v>106</v>
      </c>
      <c r="K837" t="s">
        <v>109</v>
      </c>
    </row>
    <row r="838" spans="1:11" hidden="1" x14ac:dyDescent="0.3">
      <c r="A838" t="s">
        <v>44</v>
      </c>
      <c r="B838" t="s">
        <v>47</v>
      </c>
      <c r="C838" t="s">
        <v>68</v>
      </c>
      <c r="D838">
        <v>22.9</v>
      </c>
      <c r="E838">
        <f>Tableau4[[#This Row],[Potential (PJ)]]*1000/3.6</f>
        <v>6361.1111111111113</v>
      </c>
      <c r="F838">
        <v>5.8673275109170318</v>
      </c>
      <c r="G838">
        <f>Tableau4[[#This Row],[Cost (€/GJ)]]*3.6/1000</f>
        <v>2.1122379039301316E-2</v>
      </c>
      <c r="H838">
        <v>15.6</v>
      </c>
      <c r="I838">
        <f>Tableau4[[#This Row],[GHG (kgCO2eq/GJ)]]*3.6/1000</f>
        <v>5.6159999999999995E-2</v>
      </c>
      <c r="J838" t="s">
        <v>104</v>
      </c>
      <c r="K838" t="s">
        <v>109</v>
      </c>
    </row>
    <row r="839" spans="1:11" hidden="1" x14ac:dyDescent="0.3">
      <c r="A839" t="s">
        <v>44</v>
      </c>
      <c r="B839" t="s">
        <v>47</v>
      </c>
      <c r="C839" t="s">
        <v>69</v>
      </c>
      <c r="D839">
        <v>15.6</v>
      </c>
      <c r="E839">
        <f>Tableau4[[#This Row],[Potential (PJ)]]*1000/3.6</f>
        <v>4333.333333333333</v>
      </c>
      <c r="F839">
        <v>6.0016987179487176</v>
      </c>
      <c r="G839">
        <f>Tableau4[[#This Row],[Cost (€/GJ)]]*3.6/1000</f>
        <v>2.1606115384615383E-2</v>
      </c>
      <c r="H839">
        <v>15.6</v>
      </c>
      <c r="I839">
        <f>Tableau4[[#This Row],[GHG (kgCO2eq/GJ)]]*3.6/1000</f>
        <v>5.6159999999999995E-2</v>
      </c>
      <c r="J839" t="s">
        <v>104</v>
      </c>
      <c r="K839" t="s">
        <v>109</v>
      </c>
    </row>
    <row r="840" spans="1:11" hidden="1" x14ac:dyDescent="0.3">
      <c r="A840" t="s">
        <v>44</v>
      </c>
      <c r="B840" t="s">
        <v>57</v>
      </c>
      <c r="C840" t="s">
        <v>94</v>
      </c>
      <c r="D840">
        <v>38.700000000000003</v>
      </c>
      <c r="E840">
        <f>Tableau4[[#This Row],[Potential (PJ)]]*1000/3.6</f>
        <v>10750</v>
      </c>
      <c r="F840">
        <v>8.7312713178294565</v>
      </c>
      <c r="G840">
        <f>Tableau4[[#This Row],[Cost (€/GJ)]]*3.6/1000</f>
        <v>3.1432576744186043E-2</v>
      </c>
      <c r="H840">
        <v>24.4</v>
      </c>
      <c r="I840">
        <f>Tableau4[[#This Row],[GHG (kgCO2eq/GJ)]]*3.6/1000</f>
        <v>8.7840000000000001E-2</v>
      </c>
      <c r="J840" t="s">
        <v>104</v>
      </c>
      <c r="K840" t="s">
        <v>109</v>
      </c>
    </row>
    <row r="841" spans="1:11" hidden="1" x14ac:dyDescent="0.3">
      <c r="A841" t="s">
        <v>44</v>
      </c>
      <c r="B841" t="s">
        <v>49</v>
      </c>
      <c r="C841" t="s">
        <v>71</v>
      </c>
      <c r="D841">
        <v>116.74066000000001</v>
      </c>
      <c r="E841">
        <f>Tableau4[[#This Row],[Potential (PJ)]]*1000/3.6</f>
        <v>32427.961111111112</v>
      </c>
      <c r="F841">
        <v>2.5157310172822389</v>
      </c>
      <c r="G841">
        <f>Tableau4[[#This Row],[Cost (€/GJ)]]*3.6/1000</f>
        <v>9.0566316622160605E-3</v>
      </c>
      <c r="H841">
        <v>3.86607608129234</v>
      </c>
      <c r="I841">
        <f>Tableau4[[#This Row],[GHG (kgCO2eq/GJ)]]*3.6/1000</f>
        <v>1.3917873892652425E-2</v>
      </c>
      <c r="J841" t="s">
        <v>104</v>
      </c>
      <c r="K841" t="s">
        <v>108</v>
      </c>
    </row>
    <row r="842" spans="1:11" hidden="1" x14ac:dyDescent="0.3">
      <c r="A842" t="s">
        <v>44</v>
      </c>
      <c r="B842" t="s">
        <v>49</v>
      </c>
      <c r="C842" t="s">
        <v>72</v>
      </c>
      <c r="D842">
        <v>8.4</v>
      </c>
      <c r="E842">
        <f>Tableau4[[#This Row],[Potential (PJ)]]*1000/3.6</f>
        <v>2333.3333333333335</v>
      </c>
      <c r="F842">
        <v>2.0059404761904762</v>
      </c>
      <c r="G842">
        <f>Tableau4[[#This Row],[Cost (€/GJ)]]*3.6/1000</f>
        <v>7.2213857142857151E-3</v>
      </c>
      <c r="H842">
        <v>3.86607608129234</v>
      </c>
      <c r="I842">
        <f>Tableau4[[#This Row],[GHG (kgCO2eq/GJ)]]*3.6/1000</f>
        <v>1.3917873892652425E-2</v>
      </c>
      <c r="J842" t="s">
        <v>104</v>
      </c>
      <c r="K842" t="s">
        <v>108</v>
      </c>
    </row>
    <row r="843" spans="1:11" hidden="1" x14ac:dyDescent="0.3">
      <c r="A843" t="s">
        <v>44</v>
      </c>
      <c r="B843" t="s">
        <v>58</v>
      </c>
      <c r="C843" t="s">
        <v>95</v>
      </c>
      <c r="D843">
        <v>36.194310000000002</v>
      </c>
      <c r="E843">
        <f>Tableau4[[#This Row],[Potential (PJ)]]*1000/3.6</f>
        <v>10053.975</v>
      </c>
      <c r="F843">
        <v>0.28333709469803398</v>
      </c>
      <c r="G843">
        <f>Tableau4[[#This Row],[Cost (€/GJ)]]*3.6/1000</f>
        <v>1.0200135409129223E-3</v>
      </c>
      <c r="H843">
        <v>2.9521711768407801</v>
      </c>
      <c r="I843">
        <f>Tableau4[[#This Row],[GHG (kgCO2eq/GJ)]]*3.6/1000</f>
        <v>1.0627816236626808E-2</v>
      </c>
      <c r="J843" t="s">
        <v>104</v>
      </c>
      <c r="K843" t="s">
        <v>108</v>
      </c>
    </row>
    <row r="844" spans="1:11" hidden="1" x14ac:dyDescent="0.3">
      <c r="A844" t="s">
        <v>44</v>
      </c>
      <c r="B844" t="s">
        <v>50</v>
      </c>
      <c r="C844" t="s">
        <v>73</v>
      </c>
      <c r="D844">
        <v>20.2</v>
      </c>
      <c r="E844">
        <f>Tableau4[[#This Row],[Potential (PJ)]]*1000/3.6</f>
        <v>5611.1111111111113</v>
      </c>
      <c r="F844">
        <v>5.9723514851485149</v>
      </c>
      <c r="G844">
        <f>Tableau4[[#This Row],[Cost (€/GJ)]]*3.6/1000</f>
        <v>2.1500465346534655E-2</v>
      </c>
      <c r="H844">
        <v>20.723404255319149</v>
      </c>
      <c r="I844">
        <f>Tableau4[[#This Row],[GHG (kgCO2eq/GJ)]]*3.6/1000</f>
        <v>7.4604255319148938E-2</v>
      </c>
      <c r="J844" t="s">
        <v>105</v>
      </c>
      <c r="K844" t="s">
        <v>108</v>
      </c>
    </row>
    <row r="845" spans="1:11" hidden="1" x14ac:dyDescent="0.3">
      <c r="A845" t="s">
        <v>44</v>
      </c>
      <c r="B845" t="s">
        <v>50</v>
      </c>
      <c r="C845" t="s">
        <v>74</v>
      </c>
      <c r="D845">
        <v>231.9</v>
      </c>
      <c r="E845">
        <f>Tableau4[[#This Row],[Potential (PJ)]]*1000/3.6</f>
        <v>64416.666666666664</v>
      </c>
      <c r="F845">
        <v>6.5946860715825792</v>
      </c>
      <c r="G845">
        <f>Tableau4[[#This Row],[Cost (€/GJ)]]*3.6/1000</f>
        <v>2.3740869857697286E-2</v>
      </c>
      <c r="H845">
        <v>2.0635593220338988</v>
      </c>
      <c r="I845">
        <f>Tableau4[[#This Row],[GHG (kgCO2eq/GJ)]]*3.6/1000</f>
        <v>7.428813559322036E-3</v>
      </c>
      <c r="J845" t="s">
        <v>105</v>
      </c>
      <c r="K845" t="s">
        <v>108</v>
      </c>
    </row>
    <row r="846" spans="1:11" hidden="1" x14ac:dyDescent="0.3">
      <c r="A846" t="s">
        <v>44</v>
      </c>
      <c r="B846" t="s">
        <v>51</v>
      </c>
      <c r="C846" t="s">
        <v>75</v>
      </c>
      <c r="D846">
        <v>26.52779</v>
      </c>
      <c r="E846">
        <f>Tableau4[[#This Row],[Potential (PJ)]]*1000/3.6</f>
        <v>7368.8305555555553</v>
      </c>
      <c r="F846">
        <v>2.9006945344545801E-2</v>
      </c>
      <c r="G846">
        <f>Tableau4[[#This Row],[Cost (€/GJ)]]*3.6/1000</f>
        <v>1.0442500324036489E-4</v>
      </c>
      <c r="H846">
        <v>11.74</v>
      </c>
      <c r="I846">
        <f>Tableau4[[#This Row],[GHG (kgCO2eq/GJ)]]*3.6/1000</f>
        <v>4.2264000000000003E-2</v>
      </c>
      <c r="J846" t="s">
        <v>104</v>
      </c>
      <c r="K846" t="s">
        <v>108</v>
      </c>
    </row>
    <row r="847" spans="1:11" hidden="1" x14ac:dyDescent="0.3">
      <c r="A847" t="s">
        <v>44</v>
      </c>
      <c r="B847" t="s">
        <v>60</v>
      </c>
      <c r="C847" t="s">
        <v>98</v>
      </c>
      <c r="D847">
        <v>9.8786000000000005</v>
      </c>
      <c r="E847">
        <f>Tableau4[[#This Row],[Potential (PJ)]]*1000/3.6</f>
        <v>2744.0555555555557</v>
      </c>
      <c r="F847">
        <v>19.60257787325456</v>
      </c>
      <c r="G847">
        <f>Tableau4[[#This Row],[Cost (€/GJ)]]*3.6/1000</f>
        <v>7.0569280343716415E-2</v>
      </c>
      <c r="H847">
        <v>20.6</v>
      </c>
      <c r="I847">
        <f>Tableau4[[#This Row],[GHG (kgCO2eq/GJ)]]*3.6/1000</f>
        <v>7.4160000000000018E-2</v>
      </c>
      <c r="J847" t="s">
        <v>107</v>
      </c>
      <c r="K847" t="s">
        <v>109</v>
      </c>
    </row>
    <row r="848" spans="1:11" hidden="1" x14ac:dyDescent="0.3">
      <c r="A848" t="s">
        <v>44</v>
      </c>
      <c r="B848" t="s">
        <v>52</v>
      </c>
      <c r="C848" t="s">
        <v>76</v>
      </c>
      <c r="D848">
        <v>0.29099999999999998</v>
      </c>
      <c r="E848">
        <f>Tableau4[[#This Row],[Potential (PJ)]]*1000/3.6</f>
        <v>80.833333333333329</v>
      </c>
      <c r="F848">
        <v>4.7567250000000003</v>
      </c>
      <c r="G848">
        <f>Tableau4[[#This Row],[Cost (€/GJ)]]*3.6/1000</f>
        <v>1.7124210000000001E-2</v>
      </c>
      <c r="H848">
        <v>12.68872359754714</v>
      </c>
      <c r="I848">
        <f>Tableau4[[#This Row],[GHG (kgCO2eq/GJ)]]*3.6/1000</f>
        <v>4.5679404951169705E-2</v>
      </c>
      <c r="J848" t="s">
        <v>105</v>
      </c>
      <c r="K848" t="s">
        <v>108</v>
      </c>
    </row>
    <row r="849" spans="1:11" hidden="1" x14ac:dyDescent="0.3">
      <c r="A849" t="s">
        <v>44</v>
      </c>
      <c r="B849" t="s">
        <v>53</v>
      </c>
      <c r="C849" t="s">
        <v>77</v>
      </c>
      <c r="D849">
        <v>5</v>
      </c>
      <c r="E849">
        <f>Tableau4[[#This Row],[Potential (PJ)]]*1000/3.6</f>
        <v>1388.8888888888889</v>
      </c>
      <c r="F849">
        <v>1.92334</v>
      </c>
      <c r="G849">
        <f>Tableau4[[#This Row],[Cost (€/GJ)]]*3.6/1000</f>
        <v>6.924024E-3</v>
      </c>
      <c r="H849">
        <v>3.86607608129234</v>
      </c>
      <c r="I849">
        <f>Tableau4[[#This Row],[GHG (kgCO2eq/GJ)]]*3.6/1000</f>
        <v>1.3917873892652425E-2</v>
      </c>
      <c r="J849" t="s">
        <v>104</v>
      </c>
      <c r="K849" t="s">
        <v>108</v>
      </c>
    </row>
    <row r="850" spans="1:11" hidden="1" x14ac:dyDescent="0.3">
      <c r="A850" t="s">
        <v>44</v>
      </c>
      <c r="B850" t="s">
        <v>61</v>
      </c>
      <c r="C850" t="s">
        <v>99</v>
      </c>
      <c r="D850">
        <v>21.5</v>
      </c>
      <c r="E850">
        <f>Tableau4[[#This Row],[Potential (PJ)]]*1000/3.6</f>
        <v>5972.2222222222217</v>
      </c>
      <c r="F850">
        <v>1.3588</v>
      </c>
      <c r="G850">
        <f>Tableau4[[#This Row],[Cost (€/GJ)]]*3.6/1000</f>
        <v>4.8916799999999998E-3</v>
      </c>
      <c r="H850">
        <v>2.9245635910224439</v>
      </c>
      <c r="I850">
        <f>Tableau4[[#This Row],[GHG (kgCO2eq/GJ)]]*3.6/1000</f>
        <v>1.0528428927680798E-2</v>
      </c>
      <c r="J850" t="s">
        <v>104</v>
      </c>
      <c r="K850" t="s">
        <v>108</v>
      </c>
    </row>
    <row r="851" spans="1:11" hidden="1" x14ac:dyDescent="0.3">
      <c r="A851" t="s">
        <v>44</v>
      </c>
      <c r="B851" t="s">
        <v>62</v>
      </c>
      <c r="C851" t="s">
        <v>100</v>
      </c>
      <c r="D851">
        <v>6.8</v>
      </c>
      <c r="E851">
        <f>Tableau4[[#This Row],[Potential (PJ)]]*1000/3.6</f>
        <v>1888.8888888888889</v>
      </c>
      <c r="F851">
        <v>8.0882352941176475E-2</v>
      </c>
      <c r="G851">
        <f>Tableau4[[#This Row],[Cost (€/GJ)]]*3.6/1000</f>
        <v>2.911764705882353E-4</v>
      </c>
      <c r="H851">
        <v>2.6764106050305911</v>
      </c>
      <c r="I851">
        <f>Tableau4[[#This Row],[GHG (kgCO2eq/GJ)]]*3.6/1000</f>
        <v>9.6350781781101274E-3</v>
      </c>
      <c r="J851" t="s">
        <v>104</v>
      </c>
      <c r="K851" t="s">
        <v>108</v>
      </c>
    </row>
    <row r="852" spans="1:11" hidden="1" x14ac:dyDescent="0.3">
      <c r="A852" t="s">
        <v>44</v>
      </c>
      <c r="B852" t="s">
        <v>54</v>
      </c>
      <c r="C852" t="s">
        <v>78</v>
      </c>
      <c r="D852">
        <v>74.099999999999994</v>
      </c>
      <c r="E852">
        <f>Tableau4[[#This Row],[Potential (PJ)]]*1000/3.6</f>
        <v>20583.333333333332</v>
      </c>
      <c r="F852">
        <v>4.005445344129555</v>
      </c>
      <c r="G852">
        <f>Tableau4[[#This Row],[Cost (€/GJ)]]*3.6/1000</f>
        <v>1.4419603238866398E-2</v>
      </c>
      <c r="H852">
        <v>3.86607608129234</v>
      </c>
      <c r="I852">
        <f>Tableau4[[#This Row],[GHG (kgCO2eq/GJ)]]*3.6/1000</f>
        <v>1.3917873892652425E-2</v>
      </c>
      <c r="J852" t="s">
        <v>104</v>
      </c>
      <c r="K852" t="s">
        <v>108</v>
      </c>
    </row>
    <row r="853" spans="1:11" hidden="1" x14ac:dyDescent="0.3">
      <c r="A853" t="s">
        <v>45</v>
      </c>
      <c r="B853" t="s">
        <v>46</v>
      </c>
      <c r="C853" t="s">
        <v>64</v>
      </c>
      <c r="D853">
        <v>2.8639999999999999E-2</v>
      </c>
      <c r="E853">
        <f>Tableau4[[#This Row],[Potential (PJ)]]*1000/3.6</f>
        <v>7.9555555555555557</v>
      </c>
      <c r="F853">
        <v>0</v>
      </c>
      <c r="G853">
        <f>Tableau4[[#This Row],[Cost (€/GJ)]]*3.6/1000</f>
        <v>0</v>
      </c>
      <c r="H853">
        <v>2.9521711768407801</v>
      </c>
      <c r="I853">
        <f>Tableau4[[#This Row],[GHG (kgCO2eq/GJ)]]*3.6/1000</f>
        <v>1.0627816236626808E-2</v>
      </c>
      <c r="J853" t="s">
        <v>104</v>
      </c>
      <c r="K853" t="s">
        <v>108</v>
      </c>
    </row>
    <row r="854" spans="1:11" hidden="1" x14ac:dyDescent="0.3">
      <c r="A854" t="s">
        <v>45</v>
      </c>
      <c r="B854" t="s">
        <v>46</v>
      </c>
      <c r="C854" t="s">
        <v>79</v>
      </c>
      <c r="D854">
        <v>2.6</v>
      </c>
      <c r="E854">
        <f>Tableau4[[#This Row],[Potential (PJ)]]*1000/3.6</f>
        <v>722.22222222222217</v>
      </c>
      <c r="F854">
        <v>0</v>
      </c>
      <c r="G854">
        <f>Tableau4[[#This Row],[Cost (€/GJ)]]*3.6/1000</f>
        <v>0</v>
      </c>
      <c r="H854">
        <v>6.8428961748633883</v>
      </c>
      <c r="I854">
        <f>Tableau4[[#This Row],[GHG (kgCO2eq/GJ)]]*3.6/1000</f>
        <v>2.4634426229508198E-2</v>
      </c>
      <c r="J854" t="s">
        <v>104</v>
      </c>
      <c r="K854" t="s">
        <v>108</v>
      </c>
    </row>
    <row r="855" spans="1:11" hidden="1" x14ac:dyDescent="0.3">
      <c r="A855" t="s">
        <v>45</v>
      </c>
      <c r="B855" t="s">
        <v>46</v>
      </c>
      <c r="C855" t="s">
        <v>66</v>
      </c>
      <c r="D855">
        <v>0.3</v>
      </c>
      <c r="E855">
        <f>Tableau4[[#This Row],[Potential (PJ)]]*1000/3.6</f>
        <v>83.333333333333329</v>
      </c>
      <c r="F855">
        <v>2.4049999999999998</v>
      </c>
      <c r="G855">
        <f>Tableau4[[#This Row],[Cost (€/GJ)]]*3.6/1000</f>
        <v>8.657999999999999E-3</v>
      </c>
      <c r="H855">
        <v>6.8428961748633883</v>
      </c>
      <c r="I855">
        <f>Tableau4[[#This Row],[GHG (kgCO2eq/GJ)]]*3.6/1000</f>
        <v>2.4634426229508198E-2</v>
      </c>
      <c r="J855" t="s">
        <v>104</v>
      </c>
      <c r="K855" t="s">
        <v>108</v>
      </c>
    </row>
    <row r="856" spans="1:11" hidden="1" x14ac:dyDescent="0.3">
      <c r="A856" t="s">
        <v>45</v>
      </c>
      <c r="B856" t="s">
        <v>47</v>
      </c>
      <c r="C856" t="s">
        <v>68</v>
      </c>
      <c r="D856">
        <v>34</v>
      </c>
      <c r="E856">
        <f>Tableau4[[#This Row],[Potential (PJ)]]*1000/3.6</f>
        <v>9444.4444444444434</v>
      </c>
      <c r="F856">
        <v>3.96</v>
      </c>
      <c r="G856">
        <f>Tableau4[[#This Row],[Cost (€/GJ)]]*3.6/1000</f>
        <v>1.4256E-2</v>
      </c>
      <c r="I856">
        <f>Tableau4[[#This Row],[GHG (kgCO2eq/GJ)]]*3.6/1000</f>
        <v>0</v>
      </c>
      <c r="J856" t="s">
        <v>104</v>
      </c>
      <c r="K856" t="s">
        <v>109</v>
      </c>
    </row>
    <row r="857" spans="1:11" hidden="1" x14ac:dyDescent="0.3">
      <c r="A857" t="s">
        <v>45</v>
      </c>
      <c r="B857" t="s">
        <v>47</v>
      </c>
      <c r="C857" t="s">
        <v>69</v>
      </c>
      <c r="D857">
        <v>23.8</v>
      </c>
      <c r="E857">
        <f>Tableau4[[#This Row],[Potential (PJ)]]*1000/3.6</f>
        <v>6611.1111111111113</v>
      </c>
      <c r="F857">
        <v>3.972</v>
      </c>
      <c r="G857">
        <f>Tableau4[[#This Row],[Cost (€/GJ)]]*3.6/1000</f>
        <v>1.4299200000000001E-2</v>
      </c>
      <c r="I857">
        <f>Tableau4[[#This Row],[GHG (kgCO2eq/GJ)]]*3.6/1000</f>
        <v>0</v>
      </c>
      <c r="J857" t="s">
        <v>104</v>
      </c>
      <c r="K857" t="s">
        <v>109</v>
      </c>
    </row>
    <row r="858" spans="1:11" hidden="1" x14ac:dyDescent="0.3">
      <c r="A858" t="s">
        <v>45</v>
      </c>
      <c r="B858" t="s">
        <v>48</v>
      </c>
      <c r="C858" t="s">
        <v>70</v>
      </c>
      <c r="D858">
        <v>12.6</v>
      </c>
      <c r="E858">
        <f>Tableau4[[#This Row],[Potential (PJ)]]*1000/3.6</f>
        <v>3500</v>
      </c>
      <c r="F858">
        <v>10.204000000000001</v>
      </c>
      <c r="G858">
        <f>Tableau4[[#This Row],[Cost (€/GJ)]]*3.6/1000</f>
        <v>3.67344E-2</v>
      </c>
      <c r="I858">
        <f>Tableau4[[#This Row],[GHG (kgCO2eq/GJ)]]*3.6/1000</f>
        <v>0</v>
      </c>
      <c r="J858" t="s">
        <v>104</v>
      </c>
      <c r="K858" t="s">
        <v>109</v>
      </c>
    </row>
    <row r="859" spans="1:11" hidden="1" x14ac:dyDescent="0.3">
      <c r="A859" t="s">
        <v>45</v>
      </c>
      <c r="B859" t="s">
        <v>49</v>
      </c>
      <c r="C859" t="s">
        <v>71</v>
      </c>
      <c r="D859">
        <v>2.7724700000000002</v>
      </c>
      <c r="E859">
        <f>Tableau4[[#This Row],[Potential (PJ)]]*1000/3.6</f>
        <v>770.13055555555559</v>
      </c>
      <c r="F859">
        <v>0</v>
      </c>
      <c r="G859">
        <f>Tableau4[[#This Row],[Cost (€/GJ)]]*3.6/1000</f>
        <v>0</v>
      </c>
      <c r="H859">
        <v>3.86607608129234</v>
      </c>
      <c r="I859">
        <f>Tableau4[[#This Row],[GHG (kgCO2eq/GJ)]]*3.6/1000</f>
        <v>1.3917873892652425E-2</v>
      </c>
      <c r="J859" t="s">
        <v>104</v>
      </c>
      <c r="K859" t="s">
        <v>108</v>
      </c>
    </row>
    <row r="860" spans="1:11" hidden="1" x14ac:dyDescent="0.3">
      <c r="A860" t="s">
        <v>45</v>
      </c>
      <c r="B860" t="s">
        <v>50</v>
      </c>
      <c r="C860" t="s">
        <v>73</v>
      </c>
      <c r="D860">
        <v>0.2</v>
      </c>
      <c r="E860">
        <f>Tableau4[[#This Row],[Potential (PJ)]]*1000/3.6</f>
        <v>55.555555555555557</v>
      </c>
      <c r="F860">
        <v>5.4240000000000004</v>
      </c>
      <c r="G860">
        <f>Tableau4[[#This Row],[Cost (€/GJ)]]*3.6/1000</f>
        <v>1.9526400000000003E-2</v>
      </c>
      <c r="H860">
        <v>20.723404255319149</v>
      </c>
      <c r="I860">
        <f>Tableau4[[#This Row],[GHG (kgCO2eq/GJ)]]*3.6/1000</f>
        <v>7.4604255319148938E-2</v>
      </c>
      <c r="J860" t="s">
        <v>105</v>
      </c>
      <c r="K860" t="s">
        <v>108</v>
      </c>
    </row>
    <row r="861" spans="1:11" hidden="1" x14ac:dyDescent="0.3">
      <c r="A861" t="s">
        <v>45</v>
      </c>
      <c r="B861" t="s">
        <v>50</v>
      </c>
      <c r="C861" t="s">
        <v>74</v>
      </c>
      <c r="D861">
        <v>0.1</v>
      </c>
      <c r="E861">
        <f>Tableau4[[#This Row],[Potential (PJ)]]*1000/3.6</f>
        <v>27.777777777777779</v>
      </c>
      <c r="F861">
        <v>3.484</v>
      </c>
      <c r="G861">
        <f>Tableau4[[#This Row],[Cost (€/GJ)]]*3.6/1000</f>
        <v>1.25424E-2</v>
      </c>
      <c r="H861">
        <v>2.0635593220338988</v>
      </c>
      <c r="I861">
        <f>Tableau4[[#This Row],[GHG (kgCO2eq/GJ)]]*3.6/1000</f>
        <v>7.428813559322036E-3</v>
      </c>
      <c r="J861" t="s">
        <v>105</v>
      </c>
      <c r="K861" t="s">
        <v>108</v>
      </c>
    </row>
    <row r="862" spans="1:11" hidden="1" x14ac:dyDescent="0.3">
      <c r="A862" t="s">
        <v>45</v>
      </c>
      <c r="B862" t="s">
        <v>52</v>
      </c>
      <c r="C862" t="s">
        <v>76</v>
      </c>
      <c r="D862">
        <v>7.8E-2</v>
      </c>
      <c r="E862">
        <f>Tableau4[[#This Row],[Potential (PJ)]]*1000/3.6</f>
        <v>21.666666666666668</v>
      </c>
      <c r="F862">
        <v>0</v>
      </c>
      <c r="G862">
        <f>Tableau4[[#This Row],[Cost (€/GJ)]]*3.6/1000</f>
        <v>0</v>
      </c>
      <c r="H862">
        <v>12.68872359754714</v>
      </c>
      <c r="I862">
        <f>Tableau4[[#This Row],[GHG (kgCO2eq/GJ)]]*3.6/1000</f>
        <v>4.5679404951169705E-2</v>
      </c>
      <c r="J862" t="s">
        <v>105</v>
      </c>
      <c r="K862" t="s">
        <v>108</v>
      </c>
    </row>
    <row r="863" spans="1:11" hidden="1" x14ac:dyDescent="0.3">
      <c r="A863" t="s">
        <v>45</v>
      </c>
      <c r="B863" t="s">
        <v>54</v>
      </c>
      <c r="C863" t="s">
        <v>78</v>
      </c>
      <c r="D863">
        <v>2.7</v>
      </c>
      <c r="E863">
        <f>Tableau4[[#This Row],[Potential (PJ)]]*1000/3.6</f>
        <v>750</v>
      </c>
      <c r="F863">
        <v>0</v>
      </c>
      <c r="G863">
        <f>Tableau4[[#This Row],[Cost (€/GJ)]]*3.6/1000</f>
        <v>0</v>
      </c>
      <c r="H863">
        <v>3.86607608129234</v>
      </c>
      <c r="I863">
        <f>Tableau4[[#This Row],[GHG (kgCO2eq/GJ)]]*3.6/1000</f>
        <v>1.3917873892652425E-2</v>
      </c>
      <c r="J863" t="s">
        <v>104</v>
      </c>
      <c r="K863" t="s">
        <v>108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52"/>
  <sheetViews>
    <sheetView workbookViewId="0">
      <selection activeCell="G1" sqref="G1"/>
    </sheetView>
  </sheetViews>
  <sheetFormatPr baseColWidth="10" defaultColWidth="8.88671875" defaultRowHeight="14.4" x14ac:dyDescent="0.3"/>
  <cols>
    <col min="2" max="2" width="10.109375" customWidth="1"/>
    <col min="4" max="4" width="14" customWidth="1"/>
    <col min="6" max="6" width="18.6640625" customWidth="1"/>
    <col min="7" max="7" width="10.44140625" customWidth="1"/>
    <col min="8" max="8" width="15.109375" style="3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1" t="s">
        <v>112</v>
      </c>
      <c r="F1" s="2" t="s">
        <v>4</v>
      </c>
      <c r="G1" s="2" t="s">
        <v>5</v>
      </c>
      <c r="H1" s="2" t="s">
        <v>6</v>
      </c>
    </row>
    <row r="2" spans="1:8" hidden="1" x14ac:dyDescent="0.3">
      <c r="A2" t="s">
        <v>7</v>
      </c>
      <c r="B2" t="s">
        <v>46</v>
      </c>
      <c r="C2" t="s">
        <v>63</v>
      </c>
      <c r="D2">
        <v>9.3399999999999997E-2</v>
      </c>
      <c r="E2">
        <v>2.9286474973375931</v>
      </c>
      <c r="F2">
        <v>3.950479233226837</v>
      </c>
      <c r="G2" t="s">
        <v>104</v>
      </c>
      <c r="H2" t="s">
        <v>108</v>
      </c>
    </row>
    <row r="3" spans="1:8" hidden="1" x14ac:dyDescent="0.3">
      <c r="A3" t="s">
        <v>7</v>
      </c>
      <c r="B3" t="s">
        <v>46</v>
      </c>
      <c r="C3" t="s">
        <v>64</v>
      </c>
      <c r="D3">
        <v>0.13916000000000001</v>
      </c>
      <c r="E3">
        <v>6.4809999999999999</v>
      </c>
      <c r="F3">
        <v>2.9521711768407801</v>
      </c>
      <c r="G3" t="s">
        <v>104</v>
      </c>
      <c r="H3" t="s">
        <v>108</v>
      </c>
    </row>
    <row r="4" spans="1:8" hidden="1" x14ac:dyDescent="0.3">
      <c r="A4" t="s">
        <v>7</v>
      </c>
      <c r="B4" t="s">
        <v>46</v>
      </c>
      <c r="C4" t="s">
        <v>65</v>
      </c>
      <c r="D4">
        <v>0.3</v>
      </c>
      <c r="E4">
        <v>4.4379999999999997</v>
      </c>
      <c r="F4">
        <v>2.9521711768407801</v>
      </c>
      <c r="G4" t="s">
        <v>104</v>
      </c>
      <c r="H4" t="s">
        <v>108</v>
      </c>
    </row>
    <row r="5" spans="1:8" hidden="1" x14ac:dyDescent="0.3">
      <c r="A5" t="s">
        <v>7</v>
      </c>
      <c r="B5" t="s">
        <v>46</v>
      </c>
      <c r="C5" t="s">
        <v>66</v>
      </c>
      <c r="D5">
        <v>0.5</v>
      </c>
      <c r="E5">
        <v>1.96</v>
      </c>
      <c r="F5">
        <v>6.8428961748633883</v>
      </c>
      <c r="G5" t="s">
        <v>104</v>
      </c>
      <c r="H5" t="s">
        <v>108</v>
      </c>
    </row>
    <row r="6" spans="1:8" hidden="1" x14ac:dyDescent="0.3">
      <c r="A6" t="s">
        <v>7</v>
      </c>
      <c r="B6" t="s">
        <v>46</v>
      </c>
      <c r="C6" t="s">
        <v>67</v>
      </c>
      <c r="D6">
        <v>0.2</v>
      </c>
      <c r="E6">
        <v>4.992</v>
      </c>
      <c r="F6">
        <v>2.9521711768407801</v>
      </c>
      <c r="G6" t="s">
        <v>104</v>
      </c>
      <c r="H6" t="s">
        <v>108</v>
      </c>
    </row>
    <row r="7" spans="1:8" hidden="1" x14ac:dyDescent="0.3">
      <c r="A7" t="s">
        <v>7</v>
      </c>
      <c r="B7" t="s">
        <v>46</v>
      </c>
      <c r="C7" t="s">
        <v>85</v>
      </c>
      <c r="D7">
        <v>0.1</v>
      </c>
      <c r="E7">
        <v>4.0999999999999996</v>
      </c>
      <c r="F7">
        <v>2.9521711768407801</v>
      </c>
      <c r="G7" t="s">
        <v>104</v>
      </c>
      <c r="H7" t="s">
        <v>108</v>
      </c>
    </row>
    <row r="8" spans="1:8" hidden="1" x14ac:dyDescent="0.3">
      <c r="A8" t="s">
        <v>7</v>
      </c>
      <c r="B8" t="s">
        <v>47</v>
      </c>
      <c r="C8" t="s">
        <v>68</v>
      </c>
      <c r="D8">
        <v>14.5</v>
      </c>
      <c r="E8">
        <v>3.048</v>
      </c>
      <c r="F8">
        <v>14.5</v>
      </c>
      <c r="G8" t="s">
        <v>104</v>
      </c>
      <c r="H8" t="s">
        <v>109</v>
      </c>
    </row>
    <row r="9" spans="1:8" hidden="1" x14ac:dyDescent="0.3">
      <c r="A9" t="s">
        <v>7</v>
      </c>
      <c r="B9" t="s">
        <v>47</v>
      </c>
      <c r="C9" t="s">
        <v>69</v>
      </c>
      <c r="D9">
        <v>10.199999999999999</v>
      </c>
      <c r="E9">
        <v>3.0339999999999998</v>
      </c>
      <c r="F9">
        <v>14.5</v>
      </c>
      <c r="G9" t="s">
        <v>104</v>
      </c>
      <c r="H9" t="s">
        <v>109</v>
      </c>
    </row>
    <row r="10" spans="1:8" hidden="1" x14ac:dyDescent="0.3">
      <c r="A10" t="s">
        <v>7</v>
      </c>
      <c r="B10" t="s">
        <v>48</v>
      </c>
      <c r="C10" t="s">
        <v>70</v>
      </c>
      <c r="D10">
        <v>5.4</v>
      </c>
      <c r="E10">
        <v>7.9149999999999991</v>
      </c>
      <c r="F10">
        <v>0</v>
      </c>
      <c r="G10" t="s">
        <v>104</v>
      </c>
      <c r="H10" t="s">
        <v>109</v>
      </c>
    </row>
    <row r="11" spans="1:8" hidden="1" x14ac:dyDescent="0.3">
      <c r="A11" t="s">
        <v>7</v>
      </c>
      <c r="B11" t="s">
        <v>49</v>
      </c>
      <c r="C11" t="s">
        <v>71</v>
      </c>
      <c r="D11">
        <v>4.7249800000000004</v>
      </c>
      <c r="E11">
        <v>0</v>
      </c>
      <c r="F11">
        <v>3.86607608129234</v>
      </c>
      <c r="G11" t="s">
        <v>104</v>
      </c>
      <c r="H11" t="s">
        <v>108</v>
      </c>
    </row>
    <row r="12" spans="1:8" hidden="1" x14ac:dyDescent="0.3">
      <c r="A12" t="s">
        <v>7</v>
      </c>
      <c r="B12" t="s">
        <v>49</v>
      </c>
      <c r="C12" t="s">
        <v>72</v>
      </c>
      <c r="D12">
        <v>1.3</v>
      </c>
      <c r="E12">
        <v>0</v>
      </c>
      <c r="F12">
        <v>3.86607608129234</v>
      </c>
      <c r="G12" t="s">
        <v>104</v>
      </c>
      <c r="H12" t="s">
        <v>108</v>
      </c>
    </row>
    <row r="13" spans="1:8" hidden="1" x14ac:dyDescent="0.3">
      <c r="A13" t="s">
        <v>7</v>
      </c>
      <c r="B13" t="s">
        <v>50</v>
      </c>
      <c r="C13" t="s">
        <v>73</v>
      </c>
      <c r="D13">
        <v>0.4</v>
      </c>
      <c r="E13">
        <v>5.4240000000000004</v>
      </c>
      <c r="F13">
        <v>20.723404255319149</v>
      </c>
      <c r="G13" t="s">
        <v>105</v>
      </c>
      <c r="H13" t="s">
        <v>108</v>
      </c>
    </row>
    <row r="14" spans="1:8" hidden="1" x14ac:dyDescent="0.3">
      <c r="A14" t="s">
        <v>7</v>
      </c>
      <c r="B14" t="s">
        <v>50</v>
      </c>
      <c r="C14" t="s">
        <v>74</v>
      </c>
      <c r="D14">
        <v>1.4</v>
      </c>
      <c r="E14">
        <v>3.484</v>
      </c>
      <c r="F14">
        <v>2.0635593220338988</v>
      </c>
      <c r="G14" t="s">
        <v>105</v>
      </c>
      <c r="H14" t="s">
        <v>108</v>
      </c>
    </row>
    <row r="15" spans="1:8" hidden="1" x14ac:dyDescent="0.3">
      <c r="A15" t="s">
        <v>7</v>
      </c>
      <c r="B15" t="s">
        <v>51</v>
      </c>
      <c r="C15" t="s">
        <v>75</v>
      </c>
      <c r="D15">
        <v>1.2341759999999999</v>
      </c>
      <c r="E15">
        <v>0.151238492415432</v>
      </c>
      <c r="F15">
        <v>11.74</v>
      </c>
      <c r="G15" t="s">
        <v>104</v>
      </c>
      <c r="H15" t="s">
        <v>108</v>
      </c>
    </row>
    <row r="16" spans="1:8" hidden="1" x14ac:dyDescent="0.3">
      <c r="A16" t="s">
        <v>7</v>
      </c>
      <c r="B16" t="s">
        <v>52</v>
      </c>
      <c r="C16" t="s">
        <v>76</v>
      </c>
      <c r="D16">
        <v>2.1999999999999999E-2</v>
      </c>
      <c r="E16">
        <v>7.5037500000000001</v>
      </c>
      <c r="F16">
        <v>12.68872359754714</v>
      </c>
      <c r="G16" t="s">
        <v>105</v>
      </c>
      <c r="H16" t="s">
        <v>108</v>
      </c>
    </row>
    <row r="17" spans="1:8" hidden="1" x14ac:dyDescent="0.3">
      <c r="A17" t="s">
        <v>7</v>
      </c>
      <c r="B17" t="s">
        <v>53</v>
      </c>
      <c r="C17" t="s">
        <v>77</v>
      </c>
      <c r="D17">
        <v>1.2</v>
      </c>
      <c r="E17">
        <v>0</v>
      </c>
      <c r="F17">
        <v>3.86607608129234</v>
      </c>
      <c r="G17" t="s">
        <v>104</v>
      </c>
      <c r="H17" t="s">
        <v>108</v>
      </c>
    </row>
    <row r="18" spans="1:8" hidden="1" x14ac:dyDescent="0.3">
      <c r="A18" t="s">
        <v>7</v>
      </c>
      <c r="B18" t="s">
        <v>54</v>
      </c>
      <c r="C18" t="s">
        <v>78</v>
      </c>
      <c r="D18">
        <v>4.5</v>
      </c>
      <c r="E18">
        <v>0</v>
      </c>
      <c r="F18">
        <v>3.86607608129234</v>
      </c>
      <c r="G18" t="s">
        <v>104</v>
      </c>
      <c r="H18" t="s">
        <v>108</v>
      </c>
    </row>
    <row r="19" spans="1:8" hidden="1" x14ac:dyDescent="0.3">
      <c r="A19" t="s">
        <v>8</v>
      </c>
      <c r="B19" t="s">
        <v>46</v>
      </c>
      <c r="C19" t="s">
        <v>79</v>
      </c>
      <c r="D19">
        <v>7.3</v>
      </c>
      <c r="E19">
        <v>11.580123287671229</v>
      </c>
      <c r="F19">
        <v>6.8428961748633883</v>
      </c>
      <c r="G19" t="s">
        <v>104</v>
      </c>
      <c r="H19" t="s">
        <v>108</v>
      </c>
    </row>
    <row r="20" spans="1:8" hidden="1" x14ac:dyDescent="0.3">
      <c r="A20" t="s">
        <v>8</v>
      </c>
      <c r="B20" t="s">
        <v>46</v>
      </c>
      <c r="C20" t="s">
        <v>80</v>
      </c>
      <c r="D20">
        <v>6.62508975252985</v>
      </c>
      <c r="E20">
        <v>0.71274443695212408</v>
      </c>
      <c r="F20">
        <v>28.139870918023309</v>
      </c>
      <c r="G20" t="s">
        <v>105</v>
      </c>
      <c r="H20" t="s">
        <v>108</v>
      </c>
    </row>
    <row r="21" spans="1:8" hidden="1" x14ac:dyDescent="0.3">
      <c r="A21" t="s">
        <v>8</v>
      </c>
      <c r="B21" t="s">
        <v>46</v>
      </c>
      <c r="C21" t="s">
        <v>81</v>
      </c>
      <c r="D21">
        <v>2.4226410259685829</v>
      </c>
      <c r="E21">
        <v>1.242655699177438</v>
      </c>
      <c r="F21">
        <v>8.9647473560517046</v>
      </c>
      <c r="G21" t="s">
        <v>105</v>
      </c>
      <c r="H21" t="s">
        <v>108</v>
      </c>
    </row>
    <row r="22" spans="1:8" hidden="1" x14ac:dyDescent="0.3">
      <c r="A22" t="s">
        <v>8</v>
      </c>
      <c r="B22" t="s">
        <v>46</v>
      </c>
      <c r="C22" t="s">
        <v>66</v>
      </c>
      <c r="D22">
        <v>3.8</v>
      </c>
      <c r="E22">
        <v>11.98302631578947</v>
      </c>
      <c r="F22">
        <v>6.8428961748633883</v>
      </c>
      <c r="G22" t="s">
        <v>104</v>
      </c>
      <c r="H22" t="s">
        <v>108</v>
      </c>
    </row>
    <row r="23" spans="1:8" hidden="1" x14ac:dyDescent="0.3">
      <c r="A23" t="s">
        <v>8</v>
      </c>
      <c r="B23" t="s">
        <v>46</v>
      </c>
      <c r="C23" t="s">
        <v>82</v>
      </c>
      <c r="D23">
        <v>0.6</v>
      </c>
      <c r="E23">
        <v>7.063833333333335</v>
      </c>
      <c r="F23">
        <v>6.8428961748633883</v>
      </c>
      <c r="G23" t="s">
        <v>104</v>
      </c>
      <c r="H23" t="s">
        <v>108</v>
      </c>
    </row>
    <row r="24" spans="1:8" hidden="1" x14ac:dyDescent="0.3">
      <c r="A24" t="s">
        <v>8</v>
      </c>
      <c r="B24" t="s">
        <v>46</v>
      </c>
      <c r="C24" t="s">
        <v>83</v>
      </c>
      <c r="D24">
        <v>0.2</v>
      </c>
      <c r="E24">
        <v>0</v>
      </c>
      <c r="F24">
        <v>6.8428961748633883</v>
      </c>
      <c r="G24" t="s">
        <v>104</v>
      </c>
      <c r="H24" t="s">
        <v>108</v>
      </c>
    </row>
    <row r="25" spans="1:8" hidden="1" x14ac:dyDescent="0.3">
      <c r="A25" t="s">
        <v>8</v>
      </c>
      <c r="B25" t="s">
        <v>46</v>
      </c>
      <c r="C25" t="s">
        <v>84</v>
      </c>
      <c r="D25">
        <v>0.2</v>
      </c>
      <c r="E25">
        <v>4.9660000000000002</v>
      </c>
      <c r="F25">
        <v>28.139870918023309</v>
      </c>
      <c r="G25" t="s">
        <v>105</v>
      </c>
      <c r="H25" t="s">
        <v>108</v>
      </c>
    </row>
    <row r="26" spans="1:8" hidden="1" x14ac:dyDescent="0.3">
      <c r="A26" t="s">
        <v>8</v>
      </c>
      <c r="B26" t="s">
        <v>46</v>
      </c>
      <c r="C26" t="s">
        <v>85</v>
      </c>
      <c r="D26">
        <v>0.3</v>
      </c>
      <c r="E26">
        <v>4.6839999999999993</v>
      </c>
      <c r="F26">
        <v>2.9521711768407801</v>
      </c>
      <c r="G26" t="s">
        <v>104</v>
      </c>
      <c r="H26" t="s">
        <v>108</v>
      </c>
    </row>
    <row r="27" spans="1:8" hidden="1" x14ac:dyDescent="0.3">
      <c r="A27" t="s">
        <v>8</v>
      </c>
      <c r="B27" t="s">
        <v>55</v>
      </c>
      <c r="C27" t="s">
        <v>86</v>
      </c>
      <c r="D27">
        <v>5.8599999999999999E-2</v>
      </c>
      <c r="E27">
        <v>10.414</v>
      </c>
      <c r="F27">
        <v>9.3000000000000007</v>
      </c>
      <c r="G27" t="s">
        <v>106</v>
      </c>
      <c r="H27" t="s">
        <v>109</v>
      </c>
    </row>
    <row r="28" spans="1:8" hidden="1" x14ac:dyDescent="0.3">
      <c r="A28" t="s">
        <v>8</v>
      </c>
      <c r="B28" t="s">
        <v>55</v>
      </c>
      <c r="C28" t="s">
        <v>87</v>
      </c>
      <c r="D28">
        <v>0.23180000000000001</v>
      </c>
      <c r="E28">
        <v>11.951000000000001</v>
      </c>
      <c r="F28">
        <v>9.3000000000000007</v>
      </c>
      <c r="G28" t="s">
        <v>106</v>
      </c>
      <c r="H28" t="s">
        <v>109</v>
      </c>
    </row>
    <row r="29" spans="1:8" hidden="1" x14ac:dyDescent="0.3">
      <c r="A29" t="s">
        <v>8</v>
      </c>
      <c r="B29" t="s">
        <v>55</v>
      </c>
      <c r="C29" t="s">
        <v>88</v>
      </c>
      <c r="D29">
        <v>0.32500000000000001</v>
      </c>
      <c r="E29">
        <v>10.555</v>
      </c>
      <c r="F29">
        <v>9.3000000000000007</v>
      </c>
      <c r="G29" t="s">
        <v>106</v>
      </c>
      <c r="H29" t="s">
        <v>109</v>
      </c>
    </row>
    <row r="30" spans="1:8" hidden="1" x14ac:dyDescent="0.3">
      <c r="A30" t="s">
        <v>8</v>
      </c>
      <c r="B30" t="s">
        <v>55</v>
      </c>
      <c r="C30" t="s">
        <v>89</v>
      </c>
      <c r="D30">
        <v>7.1499999999999994E-2</v>
      </c>
      <c r="E30">
        <v>0</v>
      </c>
      <c r="F30">
        <v>9.3000000000000007</v>
      </c>
      <c r="G30" t="s">
        <v>106</v>
      </c>
      <c r="H30" t="s">
        <v>109</v>
      </c>
    </row>
    <row r="31" spans="1:8" hidden="1" x14ac:dyDescent="0.3">
      <c r="A31" t="s">
        <v>8</v>
      </c>
      <c r="B31" t="s">
        <v>55</v>
      </c>
      <c r="C31" t="s">
        <v>90</v>
      </c>
      <c r="D31">
        <v>1.7899999999999999E-2</v>
      </c>
      <c r="E31">
        <v>12.005000000000001</v>
      </c>
      <c r="F31">
        <v>9.3000000000000007</v>
      </c>
      <c r="G31" t="s">
        <v>106</v>
      </c>
      <c r="H31" t="s">
        <v>109</v>
      </c>
    </row>
    <row r="32" spans="1:8" hidden="1" x14ac:dyDescent="0.3">
      <c r="A32" t="s">
        <v>8</v>
      </c>
      <c r="B32" t="s">
        <v>55</v>
      </c>
      <c r="C32" t="s">
        <v>91</v>
      </c>
      <c r="D32">
        <v>6.1499999999999999E-2</v>
      </c>
      <c r="E32">
        <v>10.369</v>
      </c>
      <c r="F32">
        <v>9.3000000000000007</v>
      </c>
      <c r="G32" t="s">
        <v>106</v>
      </c>
      <c r="H32" t="s">
        <v>109</v>
      </c>
    </row>
    <row r="33" spans="1:8" hidden="1" x14ac:dyDescent="0.3">
      <c r="A33" t="s">
        <v>8</v>
      </c>
      <c r="B33" t="s">
        <v>55</v>
      </c>
      <c r="C33" t="s">
        <v>92</v>
      </c>
      <c r="D33">
        <v>0.30335000000000001</v>
      </c>
      <c r="E33">
        <v>11.951000000000001</v>
      </c>
      <c r="F33">
        <v>9.3000000000000007</v>
      </c>
      <c r="G33" t="s">
        <v>106</v>
      </c>
      <c r="H33" t="s">
        <v>109</v>
      </c>
    </row>
    <row r="34" spans="1:8" hidden="1" x14ac:dyDescent="0.3">
      <c r="A34" t="s">
        <v>8</v>
      </c>
      <c r="B34" t="s">
        <v>56</v>
      </c>
      <c r="C34" t="s">
        <v>93</v>
      </c>
      <c r="D34">
        <v>13.7636</v>
      </c>
      <c r="E34">
        <v>2.939759036144578</v>
      </c>
      <c r="F34">
        <v>16.899999999999999</v>
      </c>
      <c r="G34" t="s">
        <v>106</v>
      </c>
      <c r="H34" t="s">
        <v>109</v>
      </c>
    </row>
    <row r="35" spans="1:8" hidden="1" x14ac:dyDescent="0.3">
      <c r="A35" t="s">
        <v>8</v>
      </c>
      <c r="B35" t="s">
        <v>47</v>
      </c>
      <c r="C35" t="s">
        <v>68</v>
      </c>
      <c r="D35">
        <v>4.8</v>
      </c>
      <c r="E35">
        <v>5.3142708333333326</v>
      </c>
      <c r="F35">
        <v>21.3</v>
      </c>
      <c r="G35" t="s">
        <v>104</v>
      </c>
      <c r="H35" t="s">
        <v>109</v>
      </c>
    </row>
    <row r="36" spans="1:8" hidden="1" x14ac:dyDescent="0.3">
      <c r="A36" t="s">
        <v>8</v>
      </c>
      <c r="B36" t="s">
        <v>47</v>
      </c>
      <c r="C36" t="s">
        <v>69</v>
      </c>
      <c r="D36">
        <v>9.6999999999999993</v>
      </c>
      <c r="E36">
        <v>4.6721237113402063</v>
      </c>
      <c r="F36">
        <v>21.3</v>
      </c>
      <c r="G36" t="s">
        <v>104</v>
      </c>
      <c r="H36" t="s">
        <v>109</v>
      </c>
    </row>
    <row r="37" spans="1:8" hidden="1" x14ac:dyDescent="0.3">
      <c r="A37" t="s">
        <v>8</v>
      </c>
      <c r="B37" t="s">
        <v>57</v>
      </c>
      <c r="C37" t="s">
        <v>94</v>
      </c>
      <c r="D37">
        <v>2.2999999999999998</v>
      </c>
      <c r="E37">
        <v>9.7586521739130436</v>
      </c>
      <c r="F37">
        <v>15</v>
      </c>
      <c r="G37" t="s">
        <v>104</v>
      </c>
      <c r="H37" t="s">
        <v>109</v>
      </c>
    </row>
    <row r="38" spans="1:8" hidden="1" x14ac:dyDescent="0.3">
      <c r="A38" t="s">
        <v>8</v>
      </c>
      <c r="B38" t="s">
        <v>49</v>
      </c>
      <c r="C38" t="s">
        <v>71</v>
      </c>
      <c r="D38">
        <v>84.916510000000002</v>
      </c>
      <c r="E38">
        <v>5.7470876778850188</v>
      </c>
      <c r="F38">
        <v>3.86607608129234</v>
      </c>
      <c r="G38" t="s">
        <v>104</v>
      </c>
      <c r="H38" t="s">
        <v>108</v>
      </c>
    </row>
    <row r="39" spans="1:8" hidden="1" x14ac:dyDescent="0.3">
      <c r="A39" t="s">
        <v>8</v>
      </c>
      <c r="B39" t="s">
        <v>49</v>
      </c>
      <c r="C39" t="s">
        <v>72</v>
      </c>
      <c r="D39">
        <v>10.199999999999999</v>
      </c>
      <c r="E39">
        <v>4.5994019607843137</v>
      </c>
      <c r="F39">
        <v>3.86607608129234</v>
      </c>
      <c r="G39" t="s">
        <v>104</v>
      </c>
      <c r="H39" t="s">
        <v>108</v>
      </c>
    </row>
    <row r="40" spans="1:8" hidden="1" x14ac:dyDescent="0.3">
      <c r="A40" t="s">
        <v>8</v>
      </c>
      <c r="B40" t="s">
        <v>58</v>
      </c>
      <c r="C40" t="s">
        <v>95</v>
      </c>
      <c r="D40">
        <v>4.4412500000000001</v>
      </c>
      <c r="E40">
        <v>3.0472222369828308</v>
      </c>
      <c r="F40">
        <v>2.9521711768407801</v>
      </c>
      <c r="G40" t="s">
        <v>104</v>
      </c>
      <c r="H40" t="s">
        <v>108</v>
      </c>
    </row>
    <row r="41" spans="1:8" hidden="1" x14ac:dyDescent="0.3">
      <c r="A41" t="s">
        <v>8</v>
      </c>
      <c r="B41" t="s">
        <v>50</v>
      </c>
      <c r="C41" t="s">
        <v>73</v>
      </c>
      <c r="D41">
        <v>1</v>
      </c>
      <c r="E41">
        <v>5.5198999999999998</v>
      </c>
      <c r="F41">
        <v>20.723404255319149</v>
      </c>
      <c r="G41" t="s">
        <v>105</v>
      </c>
      <c r="H41" t="s">
        <v>108</v>
      </c>
    </row>
    <row r="42" spans="1:8" hidden="1" x14ac:dyDescent="0.3">
      <c r="A42" t="s">
        <v>8</v>
      </c>
      <c r="B42" t="s">
        <v>50</v>
      </c>
      <c r="C42" t="s">
        <v>74</v>
      </c>
      <c r="D42">
        <v>3.9</v>
      </c>
      <c r="E42">
        <v>6.2526666666666673</v>
      </c>
      <c r="F42">
        <v>2.0635593220338988</v>
      </c>
      <c r="G42" t="s">
        <v>105</v>
      </c>
      <c r="H42" t="s">
        <v>108</v>
      </c>
    </row>
    <row r="43" spans="1:8" hidden="1" x14ac:dyDescent="0.3">
      <c r="A43" t="s">
        <v>8</v>
      </c>
      <c r="B43" t="s">
        <v>59</v>
      </c>
      <c r="C43" t="s">
        <v>96</v>
      </c>
      <c r="D43">
        <v>0.1792</v>
      </c>
      <c r="E43">
        <v>17.393000000000001</v>
      </c>
      <c r="F43">
        <v>13.9</v>
      </c>
      <c r="G43" t="s">
        <v>107</v>
      </c>
      <c r="H43" t="s">
        <v>109</v>
      </c>
    </row>
    <row r="44" spans="1:8" hidden="1" x14ac:dyDescent="0.3">
      <c r="A44" t="s">
        <v>8</v>
      </c>
      <c r="B44" t="s">
        <v>59</v>
      </c>
      <c r="C44" t="s">
        <v>97</v>
      </c>
      <c r="D44">
        <v>0.62469999999999992</v>
      </c>
      <c r="E44">
        <v>16.657623440043409</v>
      </c>
      <c r="F44">
        <v>13.9</v>
      </c>
      <c r="G44" t="s">
        <v>107</v>
      </c>
      <c r="H44" t="s">
        <v>109</v>
      </c>
    </row>
    <row r="45" spans="1:8" hidden="1" x14ac:dyDescent="0.3">
      <c r="A45" t="s">
        <v>8</v>
      </c>
      <c r="B45" t="s">
        <v>51</v>
      </c>
      <c r="C45" t="s">
        <v>75</v>
      </c>
      <c r="D45">
        <v>6.163252</v>
      </c>
      <c r="E45">
        <v>0.18374550615216301</v>
      </c>
      <c r="F45">
        <v>11.74</v>
      </c>
      <c r="G45" t="s">
        <v>104</v>
      </c>
      <c r="H45" t="s">
        <v>108</v>
      </c>
    </row>
    <row r="46" spans="1:8" hidden="1" x14ac:dyDescent="0.3">
      <c r="A46" t="s">
        <v>8</v>
      </c>
      <c r="B46" t="s">
        <v>60</v>
      </c>
      <c r="C46" t="s">
        <v>98</v>
      </c>
      <c r="D46">
        <v>1.6944999999999999</v>
      </c>
      <c r="E46">
        <v>20.300751879699249</v>
      </c>
      <c r="F46">
        <v>21</v>
      </c>
      <c r="G46" t="s">
        <v>107</v>
      </c>
      <c r="H46" t="s">
        <v>109</v>
      </c>
    </row>
    <row r="47" spans="1:8" hidden="1" x14ac:dyDescent="0.3">
      <c r="A47" t="s">
        <v>8</v>
      </c>
      <c r="B47" t="s">
        <v>52</v>
      </c>
      <c r="C47" t="s">
        <v>76</v>
      </c>
      <c r="D47">
        <v>2.8210000000000002</v>
      </c>
      <c r="E47">
        <v>7.5037500000000001</v>
      </c>
      <c r="F47">
        <v>12.68872359754714</v>
      </c>
      <c r="G47" t="s">
        <v>105</v>
      </c>
      <c r="H47" t="s">
        <v>108</v>
      </c>
    </row>
    <row r="48" spans="1:8" hidden="1" x14ac:dyDescent="0.3">
      <c r="A48" t="s">
        <v>8</v>
      </c>
      <c r="B48" t="s">
        <v>53</v>
      </c>
      <c r="C48" t="s">
        <v>77</v>
      </c>
      <c r="D48">
        <v>11.4</v>
      </c>
      <c r="E48">
        <v>4.5984561403508772</v>
      </c>
      <c r="F48">
        <v>3.86607608129234</v>
      </c>
      <c r="G48" t="s">
        <v>104</v>
      </c>
      <c r="H48" t="s">
        <v>108</v>
      </c>
    </row>
    <row r="49" spans="1:8" hidden="1" x14ac:dyDescent="0.3">
      <c r="A49" t="s">
        <v>8</v>
      </c>
      <c r="B49" t="s">
        <v>61</v>
      </c>
      <c r="C49" t="s">
        <v>99</v>
      </c>
      <c r="D49">
        <v>23.5</v>
      </c>
      <c r="E49">
        <v>2.3436170212765961</v>
      </c>
      <c r="F49">
        <v>2.9245635910224439</v>
      </c>
      <c r="G49" t="s">
        <v>104</v>
      </c>
      <c r="H49" t="s">
        <v>108</v>
      </c>
    </row>
    <row r="50" spans="1:8" hidden="1" x14ac:dyDescent="0.3">
      <c r="A50" t="s">
        <v>8</v>
      </c>
      <c r="B50" t="s">
        <v>62</v>
      </c>
      <c r="C50" t="s">
        <v>100</v>
      </c>
      <c r="D50">
        <v>8.5</v>
      </c>
      <c r="E50">
        <v>0.4105882352941177</v>
      </c>
      <c r="F50">
        <v>2.6764106050305911</v>
      </c>
      <c r="G50" t="s">
        <v>104</v>
      </c>
      <c r="H50" t="s">
        <v>108</v>
      </c>
    </row>
    <row r="51" spans="1:8" hidden="1" x14ac:dyDescent="0.3">
      <c r="A51" t="s">
        <v>8</v>
      </c>
      <c r="B51" t="s">
        <v>54</v>
      </c>
      <c r="C51" t="s">
        <v>78</v>
      </c>
      <c r="D51">
        <v>94.8</v>
      </c>
      <c r="E51">
        <v>9.6058301687763716</v>
      </c>
      <c r="F51">
        <v>3.86607608129234</v>
      </c>
      <c r="G51" t="s">
        <v>104</v>
      </c>
      <c r="H51" t="s">
        <v>108</v>
      </c>
    </row>
    <row r="52" spans="1:8" hidden="1" x14ac:dyDescent="0.3">
      <c r="A52" t="s">
        <v>9</v>
      </c>
      <c r="B52" t="s">
        <v>46</v>
      </c>
      <c r="C52" t="s">
        <v>64</v>
      </c>
      <c r="D52">
        <v>0.35864000000000001</v>
      </c>
      <c r="E52">
        <v>6.1420000000000012</v>
      </c>
      <c r="F52">
        <v>2.9521711768407801</v>
      </c>
      <c r="G52" t="s">
        <v>104</v>
      </c>
      <c r="H52" t="s">
        <v>108</v>
      </c>
    </row>
    <row r="53" spans="1:8" hidden="1" x14ac:dyDescent="0.3">
      <c r="A53" t="s">
        <v>9</v>
      </c>
      <c r="B53" t="s">
        <v>46</v>
      </c>
      <c r="C53" t="s">
        <v>65</v>
      </c>
      <c r="D53">
        <v>0.5</v>
      </c>
      <c r="E53">
        <v>4.508</v>
      </c>
      <c r="F53">
        <v>2.9521711768407801</v>
      </c>
      <c r="G53" t="s">
        <v>104</v>
      </c>
      <c r="H53" t="s">
        <v>108</v>
      </c>
    </row>
    <row r="54" spans="1:8" hidden="1" x14ac:dyDescent="0.3">
      <c r="A54" t="s">
        <v>9</v>
      </c>
      <c r="B54" t="s">
        <v>46</v>
      </c>
      <c r="C54" t="s">
        <v>66</v>
      </c>
      <c r="D54">
        <v>1.8</v>
      </c>
      <c r="E54">
        <v>2.851</v>
      </c>
      <c r="F54">
        <v>6.8428961748633883</v>
      </c>
      <c r="G54" t="s">
        <v>104</v>
      </c>
      <c r="H54" t="s">
        <v>108</v>
      </c>
    </row>
    <row r="55" spans="1:8" hidden="1" x14ac:dyDescent="0.3">
      <c r="A55" t="s">
        <v>9</v>
      </c>
      <c r="B55" t="s">
        <v>46</v>
      </c>
      <c r="C55" t="s">
        <v>85</v>
      </c>
      <c r="D55">
        <v>0.1</v>
      </c>
      <c r="E55">
        <v>4.117</v>
      </c>
      <c r="F55">
        <v>2.9521711768407801</v>
      </c>
      <c r="G55" t="s">
        <v>104</v>
      </c>
      <c r="H55" t="s">
        <v>108</v>
      </c>
    </row>
    <row r="56" spans="1:8" hidden="1" x14ac:dyDescent="0.3">
      <c r="A56" t="s">
        <v>9</v>
      </c>
      <c r="B56" t="s">
        <v>47</v>
      </c>
      <c r="C56" t="s">
        <v>68</v>
      </c>
      <c r="D56">
        <v>35.700000000000003</v>
      </c>
      <c r="E56">
        <v>3.59</v>
      </c>
      <c r="G56" t="s">
        <v>104</v>
      </c>
      <c r="H56" t="s">
        <v>109</v>
      </c>
    </row>
    <row r="57" spans="1:8" hidden="1" x14ac:dyDescent="0.3">
      <c r="A57" t="s">
        <v>9</v>
      </c>
      <c r="B57" t="s">
        <v>47</v>
      </c>
      <c r="C57" t="s">
        <v>69</v>
      </c>
      <c r="D57">
        <v>25</v>
      </c>
      <c r="E57">
        <v>3.5659999999999998</v>
      </c>
      <c r="G57" t="s">
        <v>104</v>
      </c>
      <c r="H57" t="s">
        <v>109</v>
      </c>
    </row>
    <row r="58" spans="1:8" hidden="1" x14ac:dyDescent="0.3">
      <c r="A58" t="s">
        <v>9</v>
      </c>
      <c r="B58" t="s">
        <v>48</v>
      </c>
      <c r="C58" t="s">
        <v>70</v>
      </c>
      <c r="D58">
        <v>13.2</v>
      </c>
      <c r="E58">
        <v>9.0820000000000007</v>
      </c>
      <c r="G58" t="s">
        <v>104</v>
      </c>
      <c r="H58" t="s">
        <v>109</v>
      </c>
    </row>
    <row r="59" spans="1:8" hidden="1" x14ac:dyDescent="0.3">
      <c r="A59" t="s">
        <v>9</v>
      </c>
      <c r="B59" t="s">
        <v>49</v>
      </c>
      <c r="C59" t="s">
        <v>71</v>
      </c>
      <c r="D59">
        <v>5.2941200000000004</v>
      </c>
      <c r="E59">
        <v>0</v>
      </c>
      <c r="F59">
        <v>3.86607608129234</v>
      </c>
      <c r="G59" t="s">
        <v>104</v>
      </c>
      <c r="H59" t="s">
        <v>108</v>
      </c>
    </row>
    <row r="60" spans="1:8" hidden="1" x14ac:dyDescent="0.3">
      <c r="A60" t="s">
        <v>9</v>
      </c>
      <c r="B60" t="s">
        <v>49</v>
      </c>
      <c r="C60" t="s">
        <v>72</v>
      </c>
      <c r="D60">
        <v>2.2000000000000002</v>
      </c>
      <c r="E60">
        <v>0</v>
      </c>
      <c r="F60">
        <v>3.86607608129234</v>
      </c>
      <c r="G60" t="s">
        <v>104</v>
      </c>
      <c r="H60" t="s">
        <v>108</v>
      </c>
    </row>
    <row r="61" spans="1:8" hidden="1" x14ac:dyDescent="0.3">
      <c r="A61" t="s">
        <v>9</v>
      </c>
      <c r="B61" t="s">
        <v>50</v>
      </c>
      <c r="C61" t="s">
        <v>73</v>
      </c>
      <c r="D61">
        <v>0.4</v>
      </c>
      <c r="E61">
        <v>5.4240000000000004</v>
      </c>
      <c r="F61">
        <v>20.723404255319149</v>
      </c>
      <c r="G61" t="s">
        <v>105</v>
      </c>
      <c r="H61" t="s">
        <v>108</v>
      </c>
    </row>
    <row r="62" spans="1:8" hidden="1" x14ac:dyDescent="0.3">
      <c r="A62" t="s">
        <v>9</v>
      </c>
      <c r="B62" t="s">
        <v>50</v>
      </c>
      <c r="C62" t="s">
        <v>74</v>
      </c>
      <c r="D62">
        <v>1.2</v>
      </c>
      <c r="E62">
        <v>3.484</v>
      </c>
      <c r="F62">
        <v>2.0635593220338988</v>
      </c>
      <c r="G62" t="s">
        <v>105</v>
      </c>
      <c r="H62" t="s">
        <v>108</v>
      </c>
    </row>
    <row r="63" spans="1:8" hidden="1" x14ac:dyDescent="0.3">
      <c r="A63" t="s">
        <v>9</v>
      </c>
      <c r="B63" t="s">
        <v>51</v>
      </c>
      <c r="C63" t="s">
        <v>75</v>
      </c>
      <c r="D63">
        <v>0</v>
      </c>
      <c r="E63">
        <v>0</v>
      </c>
      <c r="F63">
        <v>11.74</v>
      </c>
      <c r="G63" t="s">
        <v>104</v>
      </c>
      <c r="H63" t="s">
        <v>108</v>
      </c>
    </row>
    <row r="64" spans="1:8" hidden="1" x14ac:dyDescent="0.3">
      <c r="A64" t="s">
        <v>9</v>
      </c>
      <c r="B64" t="s">
        <v>52</v>
      </c>
      <c r="C64" t="s">
        <v>76</v>
      </c>
      <c r="D64">
        <v>4.1000000000000002E-2</v>
      </c>
      <c r="E64">
        <v>0</v>
      </c>
      <c r="F64">
        <v>12.68872359754714</v>
      </c>
      <c r="G64" t="s">
        <v>105</v>
      </c>
      <c r="H64" t="s">
        <v>108</v>
      </c>
    </row>
    <row r="65" spans="1:8" hidden="1" x14ac:dyDescent="0.3">
      <c r="A65" t="s">
        <v>9</v>
      </c>
      <c r="B65" t="s">
        <v>53</v>
      </c>
      <c r="C65" t="s">
        <v>77</v>
      </c>
      <c r="D65">
        <v>5.0999999999999996</v>
      </c>
      <c r="E65">
        <v>0</v>
      </c>
      <c r="F65">
        <v>3.86607608129234</v>
      </c>
      <c r="G65" t="s">
        <v>104</v>
      </c>
      <c r="H65" t="s">
        <v>108</v>
      </c>
    </row>
    <row r="66" spans="1:8" hidden="1" x14ac:dyDescent="0.3">
      <c r="A66" t="s">
        <v>9</v>
      </c>
      <c r="B66" t="s">
        <v>54</v>
      </c>
      <c r="C66" t="s">
        <v>78</v>
      </c>
      <c r="D66">
        <v>12.5</v>
      </c>
      <c r="E66">
        <v>0</v>
      </c>
      <c r="F66">
        <v>3.86607608129234</v>
      </c>
      <c r="G66" t="s">
        <v>104</v>
      </c>
      <c r="H66" t="s">
        <v>108</v>
      </c>
    </row>
    <row r="67" spans="1:8" hidden="1" x14ac:dyDescent="0.3">
      <c r="A67" t="s">
        <v>10</v>
      </c>
      <c r="B67" t="s">
        <v>46</v>
      </c>
      <c r="C67" t="s">
        <v>64</v>
      </c>
      <c r="D67">
        <v>0.1</v>
      </c>
      <c r="E67">
        <v>6.4230000000000009</v>
      </c>
      <c r="F67">
        <v>2.9521711768407801</v>
      </c>
      <c r="G67" t="s">
        <v>104</v>
      </c>
      <c r="H67" t="s">
        <v>108</v>
      </c>
    </row>
    <row r="68" spans="1:8" hidden="1" x14ac:dyDescent="0.3">
      <c r="A68" t="s">
        <v>10</v>
      </c>
      <c r="B68" t="s">
        <v>46</v>
      </c>
      <c r="C68" t="s">
        <v>79</v>
      </c>
      <c r="D68">
        <v>2.6</v>
      </c>
      <c r="E68">
        <v>5.4625000000000004</v>
      </c>
      <c r="F68">
        <v>6.8428961748633883</v>
      </c>
      <c r="G68" t="s">
        <v>104</v>
      </c>
      <c r="H68" t="s">
        <v>108</v>
      </c>
    </row>
    <row r="69" spans="1:8" hidden="1" x14ac:dyDescent="0.3">
      <c r="A69" t="s">
        <v>10</v>
      </c>
      <c r="B69" t="s">
        <v>46</v>
      </c>
      <c r="C69" t="s">
        <v>80</v>
      </c>
      <c r="D69">
        <v>0.47118453656671461</v>
      </c>
      <c r="E69">
        <v>1.026972353337829</v>
      </c>
      <c r="F69">
        <v>28.139870918023309</v>
      </c>
      <c r="G69" t="s">
        <v>105</v>
      </c>
      <c r="H69" t="s">
        <v>108</v>
      </c>
    </row>
    <row r="70" spans="1:8" hidden="1" x14ac:dyDescent="0.3">
      <c r="A70" t="s">
        <v>10</v>
      </c>
      <c r="B70" t="s">
        <v>46</v>
      </c>
      <c r="C70" t="s">
        <v>81</v>
      </c>
      <c r="D70">
        <v>1.2382380203047649</v>
      </c>
      <c r="E70">
        <v>1.078730904817861</v>
      </c>
      <c r="F70">
        <v>8.9647473560517046</v>
      </c>
      <c r="G70" t="s">
        <v>105</v>
      </c>
      <c r="H70" t="s">
        <v>108</v>
      </c>
    </row>
    <row r="71" spans="1:8" hidden="1" x14ac:dyDescent="0.3">
      <c r="A71" t="s">
        <v>10</v>
      </c>
      <c r="B71" t="s">
        <v>46</v>
      </c>
      <c r="C71" t="s">
        <v>66</v>
      </c>
      <c r="D71">
        <v>1.5</v>
      </c>
      <c r="E71">
        <v>5.6512666666666673</v>
      </c>
      <c r="F71">
        <v>6.8428961748633883</v>
      </c>
      <c r="G71" t="s">
        <v>104</v>
      </c>
      <c r="H71" t="s">
        <v>108</v>
      </c>
    </row>
    <row r="72" spans="1:8" hidden="1" x14ac:dyDescent="0.3">
      <c r="A72" t="s">
        <v>10</v>
      </c>
      <c r="B72" t="s">
        <v>46</v>
      </c>
      <c r="C72" t="s">
        <v>82</v>
      </c>
      <c r="D72">
        <v>0.3</v>
      </c>
      <c r="E72">
        <v>3.4283333333333341</v>
      </c>
      <c r="F72">
        <v>6.8428961748633883</v>
      </c>
      <c r="G72" t="s">
        <v>104</v>
      </c>
      <c r="H72" t="s">
        <v>108</v>
      </c>
    </row>
    <row r="73" spans="1:8" hidden="1" x14ac:dyDescent="0.3">
      <c r="A73" t="s">
        <v>10</v>
      </c>
      <c r="B73" t="s">
        <v>46</v>
      </c>
      <c r="C73" t="s">
        <v>83</v>
      </c>
      <c r="D73">
        <v>0.60000000000000009</v>
      </c>
      <c r="E73">
        <v>0</v>
      </c>
      <c r="F73">
        <v>6.8428961748633883</v>
      </c>
      <c r="G73" t="s">
        <v>104</v>
      </c>
      <c r="H73" t="s">
        <v>108</v>
      </c>
    </row>
    <row r="74" spans="1:8" hidden="1" x14ac:dyDescent="0.3">
      <c r="A74" t="s">
        <v>10</v>
      </c>
      <c r="B74" t="s">
        <v>46</v>
      </c>
      <c r="C74" t="s">
        <v>84</v>
      </c>
      <c r="D74">
        <v>0.60000000000000009</v>
      </c>
      <c r="E74">
        <v>3.0043333333333329</v>
      </c>
      <c r="F74">
        <v>28.139870918023309</v>
      </c>
      <c r="G74" t="s">
        <v>105</v>
      </c>
      <c r="H74" t="s">
        <v>108</v>
      </c>
    </row>
    <row r="75" spans="1:8" hidden="1" x14ac:dyDescent="0.3">
      <c r="A75" t="s">
        <v>10</v>
      </c>
      <c r="B75" t="s">
        <v>55</v>
      </c>
      <c r="C75" t="s">
        <v>86</v>
      </c>
      <c r="D75">
        <v>1.0524</v>
      </c>
      <c r="E75">
        <v>10.996</v>
      </c>
      <c r="F75">
        <v>26.8</v>
      </c>
      <c r="G75" t="s">
        <v>106</v>
      </c>
      <c r="H75" t="s">
        <v>109</v>
      </c>
    </row>
    <row r="76" spans="1:8" hidden="1" x14ac:dyDescent="0.3">
      <c r="A76" t="s">
        <v>10</v>
      </c>
      <c r="B76" t="s">
        <v>55</v>
      </c>
      <c r="C76" t="s">
        <v>88</v>
      </c>
      <c r="D76">
        <v>1.3568</v>
      </c>
      <c r="E76">
        <v>6.9740000000000029</v>
      </c>
      <c r="F76">
        <v>26.8</v>
      </c>
      <c r="G76" t="s">
        <v>106</v>
      </c>
      <c r="H76" t="s">
        <v>109</v>
      </c>
    </row>
    <row r="77" spans="1:8" hidden="1" x14ac:dyDescent="0.3">
      <c r="A77" t="s">
        <v>10</v>
      </c>
      <c r="B77" t="s">
        <v>55</v>
      </c>
      <c r="C77" t="s">
        <v>92</v>
      </c>
      <c r="D77">
        <v>2.3259300000000001</v>
      </c>
      <c r="E77">
        <v>12.066000000000001</v>
      </c>
      <c r="F77">
        <v>26.8</v>
      </c>
      <c r="G77" t="s">
        <v>106</v>
      </c>
      <c r="H77" t="s">
        <v>109</v>
      </c>
    </row>
    <row r="78" spans="1:8" hidden="1" x14ac:dyDescent="0.3">
      <c r="A78" t="s">
        <v>10</v>
      </c>
      <c r="B78" t="s">
        <v>56</v>
      </c>
      <c r="C78" t="s">
        <v>93</v>
      </c>
      <c r="D78">
        <v>17.3691</v>
      </c>
      <c r="E78">
        <v>2.939759036144578</v>
      </c>
      <c r="F78">
        <v>31.2</v>
      </c>
      <c r="G78" t="s">
        <v>106</v>
      </c>
      <c r="H78" t="s">
        <v>109</v>
      </c>
    </row>
    <row r="79" spans="1:8" hidden="1" x14ac:dyDescent="0.3">
      <c r="A79" t="s">
        <v>10</v>
      </c>
      <c r="B79" t="s">
        <v>47</v>
      </c>
      <c r="C79" t="s">
        <v>68</v>
      </c>
      <c r="D79">
        <v>3.9</v>
      </c>
      <c r="E79">
        <v>6.3704871794871787</v>
      </c>
      <c r="F79">
        <v>20.5</v>
      </c>
      <c r="G79" t="s">
        <v>104</v>
      </c>
      <c r="H79" t="s">
        <v>109</v>
      </c>
    </row>
    <row r="80" spans="1:8" hidden="1" x14ac:dyDescent="0.3">
      <c r="A80" t="s">
        <v>10</v>
      </c>
      <c r="B80" t="s">
        <v>47</v>
      </c>
      <c r="C80" t="s">
        <v>69</v>
      </c>
      <c r="D80">
        <v>10.3</v>
      </c>
      <c r="E80">
        <v>5.3940679611650477</v>
      </c>
      <c r="F80">
        <v>20.5</v>
      </c>
      <c r="G80" t="s">
        <v>104</v>
      </c>
      <c r="H80" t="s">
        <v>109</v>
      </c>
    </row>
    <row r="81" spans="1:8" hidden="1" x14ac:dyDescent="0.3">
      <c r="A81" t="s">
        <v>10</v>
      </c>
      <c r="B81" t="s">
        <v>57</v>
      </c>
      <c r="C81" t="s">
        <v>94</v>
      </c>
      <c r="D81">
        <v>3.6</v>
      </c>
      <c r="E81">
        <v>9.7309166666666673</v>
      </c>
      <c r="F81">
        <v>16.399999999999999</v>
      </c>
      <c r="G81" t="s">
        <v>104</v>
      </c>
      <c r="H81" t="s">
        <v>109</v>
      </c>
    </row>
    <row r="82" spans="1:8" hidden="1" x14ac:dyDescent="0.3">
      <c r="A82" t="s">
        <v>10</v>
      </c>
      <c r="B82" t="s">
        <v>49</v>
      </c>
      <c r="C82" t="s">
        <v>71</v>
      </c>
      <c r="D82">
        <v>16.731459999999998</v>
      </c>
      <c r="E82">
        <v>5.8573401908739591</v>
      </c>
      <c r="F82">
        <v>3.86607608129234</v>
      </c>
      <c r="G82" t="s">
        <v>104</v>
      </c>
      <c r="H82" t="s">
        <v>108</v>
      </c>
    </row>
    <row r="83" spans="1:8" hidden="1" x14ac:dyDescent="0.3">
      <c r="A83" t="s">
        <v>10</v>
      </c>
      <c r="B83" t="s">
        <v>49</v>
      </c>
      <c r="C83" t="s">
        <v>72</v>
      </c>
      <c r="D83">
        <v>1.8</v>
      </c>
      <c r="E83">
        <v>4.6934444444444443</v>
      </c>
      <c r="F83">
        <v>3.86607608129234</v>
      </c>
      <c r="G83" t="s">
        <v>104</v>
      </c>
      <c r="H83" t="s">
        <v>108</v>
      </c>
    </row>
    <row r="84" spans="1:8" hidden="1" x14ac:dyDescent="0.3">
      <c r="A84" t="s">
        <v>10</v>
      </c>
      <c r="B84" t="s">
        <v>58</v>
      </c>
      <c r="C84" t="s">
        <v>95</v>
      </c>
      <c r="D84">
        <v>7.1680900000000003</v>
      </c>
      <c r="E84">
        <v>3.2983057355585661</v>
      </c>
      <c r="F84">
        <v>2.9521711768407801</v>
      </c>
      <c r="G84" t="s">
        <v>104</v>
      </c>
      <c r="H84" t="s">
        <v>108</v>
      </c>
    </row>
    <row r="85" spans="1:8" hidden="1" x14ac:dyDescent="0.3">
      <c r="A85" t="s">
        <v>10</v>
      </c>
      <c r="B85" t="s">
        <v>50</v>
      </c>
      <c r="C85" t="s">
        <v>73</v>
      </c>
      <c r="D85">
        <v>8.1999999999999993</v>
      </c>
      <c r="E85">
        <v>5.6698414634146346</v>
      </c>
      <c r="F85">
        <v>20.723404255319149</v>
      </c>
      <c r="G85" t="s">
        <v>105</v>
      </c>
      <c r="H85" t="s">
        <v>108</v>
      </c>
    </row>
    <row r="86" spans="1:8" hidden="1" x14ac:dyDescent="0.3">
      <c r="A86" t="s">
        <v>10</v>
      </c>
      <c r="B86" t="s">
        <v>50</v>
      </c>
      <c r="C86" t="s">
        <v>74</v>
      </c>
      <c r="D86">
        <v>30.2</v>
      </c>
      <c r="E86">
        <v>6.3180529801324514</v>
      </c>
      <c r="F86">
        <v>2.0635593220338988</v>
      </c>
      <c r="G86" t="s">
        <v>105</v>
      </c>
      <c r="H86" t="s">
        <v>108</v>
      </c>
    </row>
    <row r="87" spans="1:8" hidden="1" x14ac:dyDescent="0.3">
      <c r="A87" t="s">
        <v>10</v>
      </c>
      <c r="B87" t="s">
        <v>51</v>
      </c>
      <c r="C87" t="s">
        <v>75</v>
      </c>
      <c r="D87">
        <v>26.714980000000001</v>
      </c>
      <c r="E87">
        <v>6.2304223706776199E-2</v>
      </c>
      <c r="F87">
        <v>11.74</v>
      </c>
      <c r="G87" t="s">
        <v>104</v>
      </c>
      <c r="H87" t="s">
        <v>108</v>
      </c>
    </row>
    <row r="88" spans="1:8" hidden="1" x14ac:dyDescent="0.3">
      <c r="A88" t="s">
        <v>10</v>
      </c>
      <c r="B88" t="s">
        <v>60</v>
      </c>
      <c r="C88" t="s">
        <v>98</v>
      </c>
      <c r="D88">
        <v>2.2595000000000001</v>
      </c>
      <c r="E88">
        <v>24.86573576799141</v>
      </c>
      <c r="F88">
        <v>37.799999999999997</v>
      </c>
      <c r="G88" t="s">
        <v>107</v>
      </c>
      <c r="H88" t="s">
        <v>109</v>
      </c>
    </row>
    <row r="89" spans="1:8" hidden="1" x14ac:dyDescent="0.3">
      <c r="A89" t="s">
        <v>10</v>
      </c>
      <c r="B89" t="s">
        <v>52</v>
      </c>
      <c r="C89" t="s">
        <v>76</v>
      </c>
      <c r="D89">
        <v>9.2119999999999997</v>
      </c>
      <c r="E89">
        <v>7.5037500000000001</v>
      </c>
      <c r="F89">
        <v>12.68872359754714</v>
      </c>
      <c r="G89" t="s">
        <v>105</v>
      </c>
      <c r="H89" t="s">
        <v>108</v>
      </c>
    </row>
    <row r="90" spans="1:8" hidden="1" x14ac:dyDescent="0.3">
      <c r="A90" t="s">
        <v>10</v>
      </c>
      <c r="B90" t="s">
        <v>53</v>
      </c>
      <c r="C90" t="s">
        <v>77</v>
      </c>
      <c r="D90">
        <v>1.5</v>
      </c>
      <c r="E90">
        <v>4.6926666666666668</v>
      </c>
      <c r="F90">
        <v>3.86607608129234</v>
      </c>
      <c r="G90" t="s">
        <v>104</v>
      </c>
      <c r="H90" t="s">
        <v>108</v>
      </c>
    </row>
    <row r="91" spans="1:8" hidden="1" x14ac:dyDescent="0.3">
      <c r="A91" t="s">
        <v>10</v>
      </c>
      <c r="B91" t="s">
        <v>61</v>
      </c>
      <c r="C91" t="s">
        <v>99</v>
      </c>
      <c r="D91">
        <v>13.3</v>
      </c>
      <c r="E91">
        <v>2.366954887218045</v>
      </c>
      <c r="F91">
        <v>2.9245635910224439</v>
      </c>
      <c r="G91" t="s">
        <v>104</v>
      </c>
      <c r="H91" t="s">
        <v>108</v>
      </c>
    </row>
    <row r="92" spans="1:8" hidden="1" x14ac:dyDescent="0.3">
      <c r="A92" t="s">
        <v>10</v>
      </c>
      <c r="B92" t="s">
        <v>62</v>
      </c>
      <c r="C92" t="s">
        <v>100</v>
      </c>
      <c r="D92">
        <v>6.6</v>
      </c>
      <c r="E92">
        <v>0.56666666666666665</v>
      </c>
      <c r="F92">
        <v>2.6764106050305911</v>
      </c>
      <c r="G92" t="s">
        <v>104</v>
      </c>
      <c r="H92" t="s">
        <v>108</v>
      </c>
    </row>
    <row r="93" spans="1:8" hidden="1" x14ac:dyDescent="0.3">
      <c r="A93" t="s">
        <v>10</v>
      </c>
      <c r="B93" t="s">
        <v>54</v>
      </c>
      <c r="C93" t="s">
        <v>78</v>
      </c>
      <c r="D93">
        <v>14.6</v>
      </c>
      <c r="E93">
        <v>9.8009452054794526</v>
      </c>
      <c r="F93">
        <v>3.86607608129234</v>
      </c>
      <c r="G93" t="s">
        <v>104</v>
      </c>
      <c r="H93" t="s">
        <v>108</v>
      </c>
    </row>
    <row r="94" spans="1:8" hidden="1" x14ac:dyDescent="0.3">
      <c r="A94" t="s">
        <v>11</v>
      </c>
      <c r="B94" t="s">
        <v>46</v>
      </c>
      <c r="C94" t="s">
        <v>64</v>
      </c>
      <c r="D94">
        <v>4.3540000000000002E-2</v>
      </c>
      <c r="E94">
        <v>5.9837767570050531</v>
      </c>
      <c r="F94">
        <v>2.9521711768407801</v>
      </c>
      <c r="G94" t="s">
        <v>104</v>
      </c>
      <c r="H94" t="s">
        <v>108</v>
      </c>
    </row>
    <row r="95" spans="1:8" hidden="1" x14ac:dyDescent="0.3">
      <c r="A95" t="s">
        <v>11</v>
      </c>
      <c r="B95" t="s">
        <v>46</v>
      </c>
      <c r="C95" t="s">
        <v>79</v>
      </c>
      <c r="D95">
        <v>19.5</v>
      </c>
      <c r="E95">
        <v>3.0977025641025642</v>
      </c>
      <c r="F95">
        <v>6.8428961748633883</v>
      </c>
      <c r="G95" t="s">
        <v>104</v>
      </c>
      <c r="H95" t="s">
        <v>108</v>
      </c>
    </row>
    <row r="96" spans="1:8" hidden="1" x14ac:dyDescent="0.3">
      <c r="A96" t="s">
        <v>11</v>
      </c>
      <c r="B96" t="s">
        <v>46</v>
      </c>
      <c r="C96" t="s">
        <v>65</v>
      </c>
      <c r="D96">
        <v>0.4</v>
      </c>
      <c r="E96">
        <v>4.5065</v>
      </c>
      <c r="F96">
        <v>2.9521711768407801</v>
      </c>
      <c r="G96" t="s">
        <v>104</v>
      </c>
      <c r="H96" t="s">
        <v>108</v>
      </c>
    </row>
    <row r="97" spans="1:8" hidden="1" x14ac:dyDescent="0.3">
      <c r="A97" t="s">
        <v>11</v>
      </c>
      <c r="B97" t="s">
        <v>46</v>
      </c>
      <c r="C97" t="s">
        <v>80</v>
      </c>
      <c r="D97">
        <v>0.32428000000000001</v>
      </c>
      <c r="E97">
        <v>0.44234659474039112</v>
      </c>
      <c r="F97">
        <v>28.139870918023309</v>
      </c>
      <c r="G97" t="s">
        <v>105</v>
      </c>
      <c r="H97" t="s">
        <v>108</v>
      </c>
    </row>
    <row r="98" spans="1:8" hidden="1" x14ac:dyDescent="0.3">
      <c r="A98" t="s">
        <v>11</v>
      </c>
      <c r="B98" t="s">
        <v>46</v>
      </c>
      <c r="C98" t="s">
        <v>81</v>
      </c>
      <c r="D98">
        <v>6.5399999999999998E-3</v>
      </c>
      <c r="E98">
        <v>2.839600470035252</v>
      </c>
      <c r="F98">
        <v>8.9647473560517046</v>
      </c>
      <c r="G98" t="s">
        <v>105</v>
      </c>
      <c r="H98" t="s">
        <v>108</v>
      </c>
    </row>
    <row r="99" spans="1:8" hidden="1" x14ac:dyDescent="0.3">
      <c r="A99" t="s">
        <v>11</v>
      </c>
      <c r="B99" t="s">
        <v>46</v>
      </c>
      <c r="C99" t="s">
        <v>66</v>
      </c>
      <c r="D99">
        <v>3.6</v>
      </c>
      <c r="E99">
        <v>3.1963333333333339</v>
      </c>
      <c r="F99">
        <v>6.8428961748633883</v>
      </c>
      <c r="G99" t="s">
        <v>104</v>
      </c>
      <c r="H99" t="s">
        <v>108</v>
      </c>
    </row>
    <row r="100" spans="1:8" hidden="1" x14ac:dyDescent="0.3">
      <c r="A100" t="s">
        <v>11</v>
      </c>
      <c r="B100" t="s">
        <v>46</v>
      </c>
      <c r="C100" t="s">
        <v>82</v>
      </c>
      <c r="D100">
        <v>6.7</v>
      </c>
      <c r="E100">
        <v>1.964955223880597</v>
      </c>
      <c r="F100">
        <v>6.8428961748633883</v>
      </c>
      <c r="G100" t="s">
        <v>104</v>
      </c>
      <c r="H100" t="s">
        <v>108</v>
      </c>
    </row>
    <row r="101" spans="1:8" hidden="1" x14ac:dyDescent="0.3">
      <c r="A101" t="s">
        <v>11</v>
      </c>
      <c r="B101" t="s">
        <v>46</v>
      </c>
      <c r="C101" t="s">
        <v>83</v>
      </c>
      <c r="D101">
        <v>0.23699000000000001</v>
      </c>
      <c r="E101">
        <v>2.9689999999999999</v>
      </c>
      <c r="F101">
        <v>6.8428961748633883</v>
      </c>
      <c r="G101" t="s">
        <v>104</v>
      </c>
      <c r="H101" t="s">
        <v>108</v>
      </c>
    </row>
    <row r="102" spans="1:8" hidden="1" x14ac:dyDescent="0.3">
      <c r="A102" t="s">
        <v>11</v>
      </c>
      <c r="B102" t="s">
        <v>46</v>
      </c>
      <c r="C102" t="s">
        <v>85</v>
      </c>
      <c r="D102">
        <v>0.5</v>
      </c>
      <c r="E102">
        <v>3.6648000000000001</v>
      </c>
      <c r="F102">
        <v>2.9521711768407801</v>
      </c>
      <c r="G102" t="s">
        <v>104</v>
      </c>
      <c r="H102" t="s">
        <v>108</v>
      </c>
    </row>
    <row r="103" spans="1:8" hidden="1" x14ac:dyDescent="0.3">
      <c r="A103" t="s">
        <v>11</v>
      </c>
      <c r="B103" t="s">
        <v>55</v>
      </c>
      <c r="C103" t="s">
        <v>86</v>
      </c>
      <c r="D103">
        <v>2.1966999999999999</v>
      </c>
      <c r="E103">
        <v>10.028</v>
      </c>
      <c r="F103">
        <v>9.1</v>
      </c>
      <c r="G103" t="s">
        <v>106</v>
      </c>
      <c r="H103" t="s">
        <v>109</v>
      </c>
    </row>
    <row r="104" spans="1:8" hidden="1" x14ac:dyDescent="0.3">
      <c r="A104" t="s">
        <v>11</v>
      </c>
      <c r="B104" t="s">
        <v>55</v>
      </c>
      <c r="C104" t="s">
        <v>87</v>
      </c>
      <c r="D104">
        <v>1.9383999999999999</v>
      </c>
      <c r="E104">
        <v>10.538</v>
      </c>
      <c r="F104">
        <v>9.1</v>
      </c>
      <c r="G104" t="s">
        <v>106</v>
      </c>
      <c r="H104" t="s">
        <v>109</v>
      </c>
    </row>
    <row r="105" spans="1:8" hidden="1" x14ac:dyDescent="0.3">
      <c r="A105" t="s">
        <v>11</v>
      </c>
      <c r="B105" t="s">
        <v>55</v>
      </c>
      <c r="C105" t="s">
        <v>88</v>
      </c>
      <c r="D105">
        <v>2.3174999999999999</v>
      </c>
      <c r="E105">
        <v>11.048999999999999</v>
      </c>
      <c r="F105">
        <v>9.1</v>
      </c>
      <c r="G105" t="s">
        <v>106</v>
      </c>
      <c r="H105" t="s">
        <v>109</v>
      </c>
    </row>
    <row r="106" spans="1:8" hidden="1" x14ac:dyDescent="0.3">
      <c r="A106" t="s">
        <v>11</v>
      </c>
      <c r="B106" t="s">
        <v>55</v>
      </c>
      <c r="C106" t="s">
        <v>92</v>
      </c>
      <c r="D106">
        <v>2.10982</v>
      </c>
      <c r="E106">
        <v>10.538</v>
      </c>
      <c r="F106">
        <v>9.1</v>
      </c>
      <c r="G106" t="s">
        <v>106</v>
      </c>
      <c r="H106" t="s">
        <v>109</v>
      </c>
    </row>
    <row r="107" spans="1:8" hidden="1" x14ac:dyDescent="0.3">
      <c r="A107" t="s">
        <v>11</v>
      </c>
      <c r="B107" t="s">
        <v>56</v>
      </c>
      <c r="C107" t="s">
        <v>93</v>
      </c>
      <c r="D107">
        <v>8.5778999999999996</v>
      </c>
      <c r="E107">
        <v>6.7759036144578308</v>
      </c>
      <c r="F107">
        <v>22.9</v>
      </c>
      <c r="G107" t="s">
        <v>106</v>
      </c>
      <c r="H107" t="s">
        <v>109</v>
      </c>
    </row>
    <row r="108" spans="1:8" hidden="1" x14ac:dyDescent="0.3">
      <c r="A108" t="s">
        <v>11</v>
      </c>
      <c r="B108" t="s">
        <v>47</v>
      </c>
      <c r="C108" t="s">
        <v>68</v>
      </c>
      <c r="D108">
        <v>30.1</v>
      </c>
      <c r="E108">
        <v>2.9729700996677741</v>
      </c>
      <c r="F108">
        <v>15</v>
      </c>
      <c r="G108" t="s">
        <v>104</v>
      </c>
      <c r="H108" t="s">
        <v>109</v>
      </c>
    </row>
    <row r="109" spans="1:8" hidden="1" x14ac:dyDescent="0.3">
      <c r="A109" t="s">
        <v>11</v>
      </c>
      <c r="B109" t="s">
        <v>47</v>
      </c>
      <c r="C109" t="s">
        <v>69</v>
      </c>
      <c r="D109">
        <v>21.4</v>
      </c>
      <c r="E109">
        <v>2.8913037383177569</v>
      </c>
      <c r="F109">
        <v>15</v>
      </c>
      <c r="G109" t="s">
        <v>104</v>
      </c>
      <c r="H109" t="s">
        <v>109</v>
      </c>
    </row>
    <row r="110" spans="1:8" hidden="1" x14ac:dyDescent="0.3">
      <c r="A110" t="s">
        <v>11</v>
      </c>
      <c r="B110" t="s">
        <v>57</v>
      </c>
      <c r="C110" t="s">
        <v>94</v>
      </c>
      <c r="D110">
        <v>6.6</v>
      </c>
      <c r="E110">
        <v>7.6086363636363634</v>
      </c>
      <c r="F110">
        <v>15.5</v>
      </c>
      <c r="G110" t="s">
        <v>104</v>
      </c>
      <c r="H110" t="s">
        <v>109</v>
      </c>
    </row>
    <row r="111" spans="1:8" hidden="1" x14ac:dyDescent="0.3">
      <c r="A111" t="s">
        <v>11</v>
      </c>
      <c r="B111" t="s">
        <v>49</v>
      </c>
      <c r="C111" t="s">
        <v>71</v>
      </c>
      <c r="D111">
        <v>74.47775</v>
      </c>
      <c r="E111">
        <v>2.8348316604623531</v>
      </c>
      <c r="F111">
        <v>3.86607608129234</v>
      </c>
      <c r="G111" t="s">
        <v>104</v>
      </c>
      <c r="H111" t="s">
        <v>108</v>
      </c>
    </row>
    <row r="112" spans="1:8" hidden="1" x14ac:dyDescent="0.3">
      <c r="A112" t="s">
        <v>11</v>
      </c>
      <c r="B112" t="s">
        <v>49</v>
      </c>
      <c r="C112" t="s">
        <v>72</v>
      </c>
      <c r="D112">
        <v>10.4</v>
      </c>
      <c r="E112">
        <v>3.8782692307692308</v>
      </c>
      <c r="F112">
        <v>3.86607608129234</v>
      </c>
      <c r="G112" t="s">
        <v>104</v>
      </c>
      <c r="H112" t="s">
        <v>108</v>
      </c>
    </row>
    <row r="113" spans="1:8" hidden="1" x14ac:dyDescent="0.3">
      <c r="A113" t="s">
        <v>11</v>
      </c>
      <c r="B113" t="s">
        <v>58</v>
      </c>
      <c r="C113" t="s">
        <v>95</v>
      </c>
      <c r="D113">
        <v>4.7828999999999997</v>
      </c>
      <c r="E113">
        <v>3.3079999999999998</v>
      </c>
      <c r="F113">
        <v>2.9521711768407801</v>
      </c>
      <c r="G113" t="s">
        <v>104</v>
      </c>
      <c r="H113" t="s">
        <v>108</v>
      </c>
    </row>
    <row r="114" spans="1:8" hidden="1" x14ac:dyDescent="0.3">
      <c r="A114" t="s">
        <v>11</v>
      </c>
      <c r="B114" t="s">
        <v>50</v>
      </c>
      <c r="C114" t="s">
        <v>73</v>
      </c>
      <c r="D114">
        <v>0.1</v>
      </c>
      <c r="E114">
        <v>5.101</v>
      </c>
      <c r="F114">
        <v>20.723404255319149</v>
      </c>
      <c r="G114" t="s">
        <v>105</v>
      </c>
      <c r="H114" t="s">
        <v>108</v>
      </c>
    </row>
    <row r="115" spans="1:8" hidden="1" x14ac:dyDescent="0.3">
      <c r="A115" t="s">
        <v>11</v>
      </c>
      <c r="B115" t="s">
        <v>50</v>
      </c>
      <c r="C115" t="s">
        <v>74</v>
      </c>
      <c r="D115">
        <v>5.4</v>
      </c>
      <c r="E115">
        <v>3.3223703703703702</v>
      </c>
      <c r="F115">
        <v>2.0635593220338988</v>
      </c>
      <c r="G115" t="s">
        <v>105</v>
      </c>
      <c r="H115" t="s">
        <v>108</v>
      </c>
    </row>
    <row r="116" spans="1:8" hidden="1" x14ac:dyDescent="0.3">
      <c r="A116" t="s">
        <v>11</v>
      </c>
      <c r="B116" t="s">
        <v>59</v>
      </c>
      <c r="C116" t="s">
        <v>96</v>
      </c>
      <c r="D116">
        <v>0.2102</v>
      </c>
      <c r="E116">
        <v>19.167000000000002</v>
      </c>
      <c r="F116">
        <v>15.2</v>
      </c>
      <c r="G116" t="s">
        <v>107</v>
      </c>
      <c r="H116" t="s">
        <v>109</v>
      </c>
    </row>
    <row r="117" spans="1:8" hidden="1" x14ac:dyDescent="0.3">
      <c r="A117" t="s">
        <v>11</v>
      </c>
      <c r="B117" t="s">
        <v>59</v>
      </c>
      <c r="C117" t="s">
        <v>97</v>
      </c>
      <c r="D117">
        <v>5.5411000000000001</v>
      </c>
      <c r="E117">
        <v>13.4020618556701</v>
      </c>
      <c r="F117">
        <v>15.2</v>
      </c>
      <c r="G117" t="s">
        <v>107</v>
      </c>
      <c r="H117" t="s">
        <v>109</v>
      </c>
    </row>
    <row r="118" spans="1:8" hidden="1" x14ac:dyDescent="0.3">
      <c r="A118" t="s">
        <v>11</v>
      </c>
      <c r="B118" t="s">
        <v>51</v>
      </c>
      <c r="C118" t="s">
        <v>75</v>
      </c>
      <c r="D118">
        <v>2.5202580000000001</v>
      </c>
      <c r="E118">
        <v>5.61157953439136E-5</v>
      </c>
      <c r="F118">
        <v>11.74</v>
      </c>
      <c r="G118" t="s">
        <v>104</v>
      </c>
      <c r="H118" t="s">
        <v>108</v>
      </c>
    </row>
    <row r="119" spans="1:8" hidden="1" x14ac:dyDescent="0.3">
      <c r="A119" t="s">
        <v>11</v>
      </c>
      <c r="B119" t="s">
        <v>60</v>
      </c>
      <c r="C119" t="s">
        <v>98</v>
      </c>
      <c r="D119">
        <v>3.7305100000000002</v>
      </c>
      <c r="E119">
        <v>15.789473684210529</v>
      </c>
      <c r="F119">
        <v>1.5</v>
      </c>
      <c r="G119" t="s">
        <v>107</v>
      </c>
      <c r="H119" t="s">
        <v>109</v>
      </c>
    </row>
    <row r="120" spans="1:8" hidden="1" x14ac:dyDescent="0.3">
      <c r="A120" t="s">
        <v>11</v>
      </c>
      <c r="B120" t="s">
        <v>53</v>
      </c>
      <c r="C120" t="s">
        <v>77</v>
      </c>
      <c r="D120">
        <v>3.2</v>
      </c>
      <c r="E120">
        <v>3.8784062499999998</v>
      </c>
      <c r="F120">
        <v>3.86607608129234</v>
      </c>
      <c r="G120" t="s">
        <v>104</v>
      </c>
      <c r="H120" t="s">
        <v>108</v>
      </c>
    </row>
    <row r="121" spans="1:8" hidden="1" x14ac:dyDescent="0.3">
      <c r="A121" t="s">
        <v>11</v>
      </c>
      <c r="B121" t="s">
        <v>61</v>
      </c>
      <c r="C121" t="s">
        <v>99</v>
      </c>
      <c r="D121">
        <v>2.5</v>
      </c>
      <c r="E121">
        <v>1.7036</v>
      </c>
      <c r="F121">
        <v>2.9245635910224439</v>
      </c>
      <c r="G121" t="s">
        <v>104</v>
      </c>
      <c r="H121" t="s">
        <v>108</v>
      </c>
    </row>
    <row r="122" spans="1:8" hidden="1" x14ac:dyDescent="0.3">
      <c r="A122" t="s">
        <v>11</v>
      </c>
      <c r="B122" t="s">
        <v>62</v>
      </c>
      <c r="C122" t="s">
        <v>100</v>
      </c>
      <c r="D122">
        <v>0.5</v>
      </c>
      <c r="E122">
        <v>0.4</v>
      </c>
      <c r="F122">
        <v>2.6764106050305911</v>
      </c>
      <c r="G122" t="s">
        <v>104</v>
      </c>
      <c r="H122" t="s">
        <v>108</v>
      </c>
    </row>
    <row r="123" spans="1:8" hidden="1" x14ac:dyDescent="0.3">
      <c r="A123" t="s">
        <v>11</v>
      </c>
      <c r="B123" t="s">
        <v>54</v>
      </c>
      <c r="C123" t="s">
        <v>78</v>
      </c>
      <c r="D123">
        <v>23.5</v>
      </c>
      <c r="E123">
        <v>3.8086297872340431</v>
      </c>
      <c r="F123">
        <v>3.86607608129234</v>
      </c>
      <c r="G123" t="s">
        <v>104</v>
      </c>
      <c r="H123" t="s">
        <v>108</v>
      </c>
    </row>
    <row r="124" spans="1:8" hidden="1" x14ac:dyDescent="0.3">
      <c r="A124" t="s">
        <v>12</v>
      </c>
      <c r="B124" t="s">
        <v>49</v>
      </c>
      <c r="C124" t="s">
        <v>71</v>
      </c>
      <c r="D124">
        <v>51.634149999999998</v>
      </c>
      <c r="E124">
        <v>0</v>
      </c>
      <c r="F124">
        <v>3.86607608129234</v>
      </c>
      <c r="G124" t="s">
        <v>104</v>
      </c>
      <c r="H124" t="s">
        <v>108</v>
      </c>
    </row>
    <row r="125" spans="1:8" hidden="1" x14ac:dyDescent="0.3">
      <c r="A125" t="s">
        <v>12</v>
      </c>
      <c r="B125" t="s">
        <v>49</v>
      </c>
      <c r="C125" t="s">
        <v>72</v>
      </c>
      <c r="D125">
        <v>4.2</v>
      </c>
      <c r="E125">
        <v>0</v>
      </c>
      <c r="F125">
        <v>3.86607608129234</v>
      </c>
      <c r="G125" t="s">
        <v>104</v>
      </c>
      <c r="H125" t="s">
        <v>108</v>
      </c>
    </row>
    <row r="126" spans="1:8" hidden="1" x14ac:dyDescent="0.3">
      <c r="A126" t="s">
        <v>12</v>
      </c>
      <c r="B126" t="s">
        <v>51</v>
      </c>
      <c r="C126" t="s">
        <v>75</v>
      </c>
      <c r="D126">
        <v>20.18919</v>
      </c>
      <c r="E126">
        <v>0.18374550615216301</v>
      </c>
      <c r="F126">
        <v>11.74</v>
      </c>
      <c r="G126" t="s">
        <v>104</v>
      </c>
      <c r="H126" t="s">
        <v>108</v>
      </c>
    </row>
    <row r="127" spans="1:8" hidden="1" x14ac:dyDescent="0.3">
      <c r="A127" t="s">
        <v>12</v>
      </c>
      <c r="B127" t="s">
        <v>53</v>
      </c>
      <c r="C127" t="s">
        <v>77</v>
      </c>
      <c r="D127">
        <v>2.5</v>
      </c>
      <c r="E127">
        <v>0</v>
      </c>
      <c r="F127">
        <v>3.86607608129234</v>
      </c>
      <c r="G127" t="s">
        <v>104</v>
      </c>
      <c r="H127" t="s">
        <v>108</v>
      </c>
    </row>
    <row r="128" spans="1:8" hidden="1" x14ac:dyDescent="0.3">
      <c r="A128" t="s">
        <v>12</v>
      </c>
      <c r="B128" t="s">
        <v>54</v>
      </c>
      <c r="C128" t="s">
        <v>78</v>
      </c>
      <c r="D128">
        <v>31.5</v>
      </c>
      <c r="E128">
        <v>0</v>
      </c>
      <c r="F128">
        <v>3.86607608129234</v>
      </c>
      <c r="G128" t="s">
        <v>104</v>
      </c>
      <c r="H128" t="s">
        <v>108</v>
      </c>
    </row>
    <row r="129" spans="1:8" hidden="1" x14ac:dyDescent="0.3">
      <c r="A129" t="s">
        <v>13</v>
      </c>
      <c r="B129" t="s">
        <v>46</v>
      </c>
      <c r="C129" t="s">
        <v>63</v>
      </c>
      <c r="D129">
        <v>2.92E-2</v>
      </c>
      <c r="E129">
        <v>2.9286474973375931</v>
      </c>
      <c r="F129">
        <v>3.950479233226837</v>
      </c>
      <c r="G129" t="s">
        <v>104</v>
      </c>
      <c r="H129" t="s">
        <v>108</v>
      </c>
    </row>
    <row r="130" spans="1:8" hidden="1" x14ac:dyDescent="0.3">
      <c r="A130" t="s">
        <v>13</v>
      </c>
      <c r="B130" t="s">
        <v>46</v>
      </c>
      <c r="C130" t="s">
        <v>64</v>
      </c>
      <c r="D130">
        <v>1.175E-2</v>
      </c>
      <c r="E130">
        <v>7.15</v>
      </c>
      <c r="F130">
        <v>2.9521711768407801</v>
      </c>
      <c r="G130" t="s">
        <v>104</v>
      </c>
      <c r="H130" t="s">
        <v>108</v>
      </c>
    </row>
    <row r="131" spans="1:8" hidden="1" x14ac:dyDescent="0.3">
      <c r="A131" t="s">
        <v>13</v>
      </c>
      <c r="B131" t="s">
        <v>46</v>
      </c>
      <c r="C131" t="s">
        <v>65</v>
      </c>
      <c r="D131">
        <v>0.1</v>
      </c>
      <c r="E131">
        <v>5.7569999999999997</v>
      </c>
      <c r="F131">
        <v>2.9521711768407801</v>
      </c>
      <c r="G131" t="s">
        <v>104</v>
      </c>
      <c r="H131" t="s">
        <v>108</v>
      </c>
    </row>
    <row r="132" spans="1:8" hidden="1" x14ac:dyDescent="0.3">
      <c r="A132" t="s">
        <v>13</v>
      </c>
      <c r="B132" t="s">
        <v>46</v>
      </c>
      <c r="C132" t="s">
        <v>102</v>
      </c>
      <c r="D132">
        <v>0.1</v>
      </c>
      <c r="E132">
        <v>5.0270000000000001</v>
      </c>
      <c r="F132">
        <v>2.9521711768407801</v>
      </c>
      <c r="G132" t="s">
        <v>104</v>
      </c>
      <c r="H132" t="s">
        <v>108</v>
      </c>
    </row>
    <row r="133" spans="1:8" hidden="1" x14ac:dyDescent="0.3">
      <c r="A133" t="s">
        <v>13</v>
      </c>
      <c r="B133" t="s">
        <v>46</v>
      </c>
      <c r="C133" t="s">
        <v>80</v>
      </c>
      <c r="D133">
        <v>0.10376000000000001</v>
      </c>
      <c r="E133">
        <v>1.2157788267026299</v>
      </c>
      <c r="F133">
        <v>28.139870918023309</v>
      </c>
      <c r="G133" t="s">
        <v>105</v>
      </c>
      <c r="H133" t="s">
        <v>108</v>
      </c>
    </row>
    <row r="134" spans="1:8" hidden="1" x14ac:dyDescent="0.3">
      <c r="A134" t="s">
        <v>13</v>
      </c>
      <c r="B134" t="s">
        <v>46</v>
      </c>
      <c r="C134" t="s">
        <v>81</v>
      </c>
      <c r="D134">
        <v>1.2800000000000001E-3</v>
      </c>
      <c r="E134">
        <v>3.252643948296122</v>
      </c>
      <c r="F134">
        <v>8.9647473560517046</v>
      </c>
      <c r="G134" t="s">
        <v>105</v>
      </c>
      <c r="H134" t="s">
        <v>108</v>
      </c>
    </row>
    <row r="135" spans="1:8" hidden="1" x14ac:dyDescent="0.3">
      <c r="A135" t="s">
        <v>13</v>
      </c>
      <c r="B135" t="s">
        <v>46</v>
      </c>
      <c r="C135" t="s">
        <v>67</v>
      </c>
      <c r="D135">
        <v>0.1</v>
      </c>
      <c r="E135">
        <v>8.1489999999999991</v>
      </c>
      <c r="F135">
        <v>2.9521711768407801</v>
      </c>
      <c r="G135" t="s">
        <v>104</v>
      </c>
      <c r="H135" t="s">
        <v>108</v>
      </c>
    </row>
    <row r="136" spans="1:8" hidden="1" x14ac:dyDescent="0.3">
      <c r="A136" t="s">
        <v>13</v>
      </c>
      <c r="B136" t="s">
        <v>47</v>
      </c>
      <c r="C136" t="s">
        <v>68</v>
      </c>
      <c r="D136">
        <v>0.6</v>
      </c>
      <c r="E136">
        <v>5.51</v>
      </c>
      <c r="F136">
        <v>13.8</v>
      </c>
      <c r="G136" t="s">
        <v>104</v>
      </c>
      <c r="H136" t="s">
        <v>109</v>
      </c>
    </row>
    <row r="137" spans="1:8" hidden="1" x14ac:dyDescent="0.3">
      <c r="A137" t="s">
        <v>13</v>
      </c>
      <c r="B137" t="s">
        <v>48</v>
      </c>
      <c r="C137" t="s">
        <v>70</v>
      </c>
      <c r="D137">
        <v>0.3</v>
      </c>
      <c r="E137">
        <v>13.013</v>
      </c>
      <c r="F137">
        <v>0</v>
      </c>
      <c r="G137" t="s">
        <v>104</v>
      </c>
      <c r="H137" t="s">
        <v>109</v>
      </c>
    </row>
    <row r="138" spans="1:8" hidden="1" x14ac:dyDescent="0.3">
      <c r="A138" t="s">
        <v>13</v>
      </c>
      <c r="B138" t="s">
        <v>50</v>
      </c>
      <c r="C138" t="s">
        <v>73</v>
      </c>
      <c r="D138">
        <v>0.6</v>
      </c>
      <c r="E138">
        <v>5.37</v>
      </c>
      <c r="F138">
        <v>20.723404255319149</v>
      </c>
      <c r="G138" t="s">
        <v>105</v>
      </c>
      <c r="H138" t="s">
        <v>108</v>
      </c>
    </row>
    <row r="139" spans="1:8" hidden="1" x14ac:dyDescent="0.3">
      <c r="A139" t="s">
        <v>13</v>
      </c>
      <c r="B139" t="s">
        <v>50</v>
      </c>
      <c r="C139" t="s">
        <v>74</v>
      </c>
      <c r="D139">
        <v>3.4</v>
      </c>
      <c r="E139">
        <v>4.0579999999999998</v>
      </c>
      <c r="F139">
        <v>2.0635593220338988</v>
      </c>
      <c r="G139" t="s">
        <v>105</v>
      </c>
      <c r="H139" t="s">
        <v>108</v>
      </c>
    </row>
    <row r="140" spans="1:8" hidden="1" x14ac:dyDescent="0.3">
      <c r="A140" t="s">
        <v>13</v>
      </c>
      <c r="B140" t="s">
        <v>51</v>
      </c>
      <c r="C140" t="s">
        <v>75</v>
      </c>
      <c r="D140">
        <v>1.479293</v>
      </c>
      <c r="E140">
        <v>6.1605493783340303E-3</v>
      </c>
      <c r="F140">
        <v>11.74</v>
      </c>
      <c r="G140" t="s">
        <v>104</v>
      </c>
      <c r="H140" t="s">
        <v>108</v>
      </c>
    </row>
    <row r="141" spans="1:8" hidden="1" x14ac:dyDescent="0.3">
      <c r="A141" t="s">
        <v>13</v>
      </c>
      <c r="B141" t="s">
        <v>52</v>
      </c>
      <c r="C141" t="s">
        <v>76</v>
      </c>
      <c r="D141">
        <v>1E-3</v>
      </c>
      <c r="E141">
        <v>7.5037500000000001</v>
      </c>
      <c r="F141">
        <v>12.68872359754714</v>
      </c>
      <c r="G141" t="s">
        <v>105</v>
      </c>
      <c r="H141" t="s">
        <v>108</v>
      </c>
    </row>
    <row r="142" spans="1:8" hidden="1" x14ac:dyDescent="0.3">
      <c r="A142" t="s">
        <v>14</v>
      </c>
      <c r="B142" t="s">
        <v>46</v>
      </c>
      <c r="C142" t="s">
        <v>64</v>
      </c>
      <c r="D142">
        <v>0.11401</v>
      </c>
      <c r="E142">
        <v>5.7473107622138402</v>
      </c>
      <c r="F142">
        <v>2.9521711768407801</v>
      </c>
      <c r="G142" t="s">
        <v>104</v>
      </c>
      <c r="H142" t="s">
        <v>108</v>
      </c>
    </row>
    <row r="143" spans="1:8" hidden="1" x14ac:dyDescent="0.3">
      <c r="A143" t="s">
        <v>14</v>
      </c>
      <c r="B143" t="s">
        <v>46</v>
      </c>
      <c r="C143" t="s">
        <v>79</v>
      </c>
      <c r="D143">
        <v>29.5</v>
      </c>
      <c r="E143">
        <v>4.7757864406779653</v>
      </c>
      <c r="F143">
        <v>6.8428961748633883</v>
      </c>
      <c r="G143" t="s">
        <v>104</v>
      </c>
      <c r="H143" t="s">
        <v>108</v>
      </c>
    </row>
    <row r="144" spans="1:8" hidden="1" x14ac:dyDescent="0.3">
      <c r="A144" t="s">
        <v>14</v>
      </c>
      <c r="B144" t="s">
        <v>46</v>
      </c>
      <c r="C144" t="s">
        <v>80</v>
      </c>
      <c r="D144">
        <v>0.36912</v>
      </c>
      <c r="E144">
        <v>0.48482805124747141</v>
      </c>
      <c r="F144">
        <v>28.139870918023309</v>
      </c>
      <c r="G144" t="s">
        <v>105</v>
      </c>
      <c r="H144" t="s">
        <v>108</v>
      </c>
    </row>
    <row r="145" spans="1:8" hidden="1" x14ac:dyDescent="0.3">
      <c r="A145" t="s">
        <v>14</v>
      </c>
      <c r="B145" t="s">
        <v>46</v>
      </c>
      <c r="C145" t="s">
        <v>81</v>
      </c>
      <c r="D145">
        <v>0.88139000000000001</v>
      </c>
      <c r="E145">
        <v>1.2338425381903639</v>
      </c>
      <c r="F145">
        <v>8.9647473560517046</v>
      </c>
      <c r="G145" t="s">
        <v>105</v>
      </c>
      <c r="H145" t="s">
        <v>108</v>
      </c>
    </row>
    <row r="146" spans="1:8" hidden="1" x14ac:dyDescent="0.3">
      <c r="A146" t="s">
        <v>14</v>
      </c>
      <c r="B146" t="s">
        <v>46</v>
      </c>
      <c r="C146" t="s">
        <v>66</v>
      </c>
      <c r="D146">
        <v>2.7</v>
      </c>
      <c r="E146">
        <v>4.9334814814814818</v>
      </c>
      <c r="F146">
        <v>6.8428961748633883</v>
      </c>
      <c r="G146" t="s">
        <v>104</v>
      </c>
      <c r="H146" t="s">
        <v>108</v>
      </c>
    </row>
    <row r="147" spans="1:8" hidden="1" x14ac:dyDescent="0.3">
      <c r="A147" t="s">
        <v>14</v>
      </c>
      <c r="B147" t="s">
        <v>46</v>
      </c>
      <c r="C147" t="s">
        <v>82</v>
      </c>
      <c r="D147">
        <v>3</v>
      </c>
      <c r="E147">
        <v>2.973533333333334</v>
      </c>
      <c r="F147">
        <v>6.8428961748633883</v>
      </c>
      <c r="G147" t="s">
        <v>104</v>
      </c>
      <c r="H147" t="s">
        <v>108</v>
      </c>
    </row>
    <row r="148" spans="1:8" hidden="1" x14ac:dyDescent="0.3">
      <c r="A148" t="s">
        <v>14</v>
      </c>
      <c r="B148" t="s">
        <v>46</v>
      </c>
      <c r="C148" t="s">
        <v>84</v>
      </c>
      <c r="D148">
        <v>0.5</v>
      </c>
      <c r="E148">
        <v>2.4651999999999998</v>
      </c>
      <c r="F148">
        <v>28.139870918023309</v>
      </c>
      <c r="G148" t="s">
        <v>105</v>
      </c>
      <c r="H148" t="s">
        <v>108</v>
      </c>
    </row>
    <row r="149" spans="1:8" hidden="1" x14ac:dyDescent="0.3">
      <c r="A149" t="s">
        <v>14</v>
      </c>
      <c r="B149" t="s">
        <v>46</v>
      </c>
      <c r="C149" t="s">
        <v>85</v>
      </c>
      <c r="D149">
        <v>0.2</v>
      </c>
      <c r="E149">
        <v>3.8889999999999998</v>
      </c>
      <c r="F149">
        <v>2.9521711768407801</v>
      </c>
      <c r="G149" t="s">
        <v>104</v>
      </c>
      <c r="H149" t="s">
        <v>108</v>
      </c>
    </row>
    <row r="150" spans="1:8" hidden="1" x14ac:dyDescent="0.3">
      <c r="A150" t="s">
        <v>14</v>
      </c>
      <c r="B150" t="s">
        <v>55</v>
      </c>
      <c r="C150" t="s">
        <v>86</v>
      </c>
      <c r="D150">
        <v>0.41870000000000002</v>
      </c>
      <c r="E150">
        <v>10.548</v>
      </c>
      <c r="F150">
        <v>11.9</v>
      </c>
      <c r="G150" t="s">
        <v>106</v>
      </c>
      <c r="H150" t="s">
        <v>109</v>
      </c>
    </row>
    <row r="151" spans="1:8" hidden="1" x14ac:dyDescent="0.3">
      <c r="A151" t="s">
        <v>14</v>
      </c>
      <c r="B151" t="s">
        <v>55</v>
      </c>
      <c r="C151" t="s">
        <v>88</v>
      </c>
      <c r="D151">
        <v>1.7263999999999999</v>
      </c>
      <c r="E151">
        <v>10.798999999999999</v>
      </c>
      <c r="F151">
        <v>11.9</v>
      </c>
      <c r="G151" t="s">
        <v>106</v>
      </c>
      <c r="H151" t="s">
        <v>109</v>
      </c>
    </row>
    <row r="152" spans="1:8" hidden="1" x14ac:dyDescent="0.3">
      <c r="A152" t="s">
        <v>14</v>
      </c>
      <c r="B152" t="s">
        <v>55</v>
      </c>
      <c r="C152" t="s">
        <v>89</v>
      </c>
      <c r="D152">
        <v>0.1186</v>
      </c>
      <c r="E152">
        <v>0</v>
      </c>
      <c r="F152">
        <v>11.9</v>
      </c>
      <c r="G152" t="s">
        <v>106</v>
      </c>
      <c r="H152" t="s">
        <v>109</v>
      </c>
    </row>
    <row r="153" spans="1:8" hidden="1" x14ac:dyDescent="0.3">
      <c r="A153" t="s">
        <v>14</v>
      </c>
      <c r="B153" t="s">
        <v>55</v>
      </c>
      <c r="C153" t="s">
        <v>90</v>
      </c>
      <c r="D153">
        <v>5.7999999999999996E-3</v>
      </c>
      <c r="E153">
        <v>9.3460000000000019</v>
      </c>
      <c r="F153">
        <v>11.9</v>
      </c>
      <c r="G153" t="s">
        <v>106</v>
      </c>
      <c r="H153" t="s">
        <v>109</v>
      </c>
    </row>
    <row r="154" spans="1:8" hidden="1" x14ac:dyDescent="0.3">
      <c r="A154" t="s">
        <v>14</v>
      </c>
      <c r="B154" t="s">
        <v>55</v>
      </c>
      <c r="C154" t="s">
        <v>91</v>
      </c>
      <c r="D154">
        <v>0.13</v>
      </c>
      <c r="E154">
        <v>10.103999999999999</v>
      </c>
      <c r="F154">
        <v>11.9</v>
      </c>
      <c r="G154" t="s">
        <v>106</v>
      </c>
      <c r="H154" t="s">
        <v>109</v>
      </c>
    </row>
    <row r="155" spans="1:8" hidden="1" x14ac:dyDescent="0.3">
      <c r="A155" t="s">
        <v>14</v>
      </c>
      <c r="B155" t="s">
        <v>55</v>
      </c>
      <c r="C155" t="s">
        <v>92</v>
      </c>
      <c r="D155">
        <v>0.91498000000000002</v>
      </c>
      <c r="E155">
        <v>9.7859999999999996</v>
      </c>
      <c r="F155">
        <v>11.9</v>
      </c>
      <c r="G155" t="s">
        <v>106</v>
      </c>
      <c r="H155" t="s">
        <v>109</v>
      </c>
    </row>
    <row r="156" spans="1:8" hidden="1" x14ac:dyDescent="0.3">
      <c r="A156" t="s">
        <v>14</v>
      </c>
      <c r="B156" t="s">
        <v>56</v>
      </c>
      <c r="C156" t="s">
        <v>93</v>
      </c>
      <c r="D156">
        <v>14.6416</v>
      </c>
      <c r="E156">
        <v>2.9493975903614462</v>
      </c>
      <c r="F156">
        <v>20.3</v>
      </c>
      <c r="G156" t="s">
        <v>106</v>
      </c>
      <c r="H156" t="s">
        <v>109</v>
      </c>
    </row>
    <row r="157" spans="1:8" hidden="1" x14ac:dyDescent="0.3">
      <c r="A157" t="s">
        <v>14</v>
      </c>
      <c r="B157" t="s">
        <v>47</v>
      </c>
      <c r="C157" t="s">
        <v>68</v>
      </c>
      <c r="D157">
        <v>9.6</v>
      </c>
      <c r="E157">
        <v>3.4316458333333331</v>
      </c>
      <c r="F157">
        <v>18.5</v>
      </c>
      <c r="G157" t="s">
        <v>104</v>
      </c>
      <c r="H157" t="s">
        <v>109</v>
      </c>
    </row>
    <row r="158" spans="1:8" hidden="1" x14ac:dyDescent="0.3">
      <c r="A158" t="s">
        <v>14</v>
      </c>
      <c r="B158" t="s">
        <v>47</v>
      </c>
      <c r="C158" t="s">
        <v>69</v>
      </c>
      <c r="D158">
        <v>12.8</v>
      </c>
      <c r="E158">
        <v>3.0228906250000001</v>
      </c>
      <c r="F158">
        <v>18.5</v>
      </c>
      <c r="G158" t="s">
        <v>104</v>
      </c>
      <c r="H158" t="s">
        <v>109</v>
      </c>
    </row>
    <row r="159" spans="1:8" hidden="1" x14ac:dyDescent="0.3">
      <c r="A159" t="s">
        <v>14</v>
      </c>
      <c r="B159" t="s">
        <v>57</v>
      </c>
      <c r="C159" t="s">
        <v>94</v>
      </c>
      <c r="D159">
        <v>4</v>
      </c>
      <c r="E159">
        <v>7.6265999999999998</v>
      </c>
      <c r="F159">
        <v>14.4</v>
      </c>
      <c r="G159" t="s">
        <v>104</v>
      </c>
      <c r="H159" t="s">
        <v>109</v>
      </c>
    </row>
    <row r="160" spans="1:8" hidden="1" x14ac:dyDescent="0.3">
      <c r="A160" t="s">
        <v>14</v>
      </c>
      <c r="B160" t="s">
        <v>49</v>
      </c>
      <c r="C160" t="s">
        <v>71</v>
      </c>
      <c r="D160">
        <v>66.466920000000002</v>
      </c>
      <c r="E160">
        <v>5.4816902820229956</v>
      </c>
      <c r="F160">
        <v>3.86607608129234</v>
      </c>
      <c r="G160" t="s">
        <v>104</v>
      </c>
      <c r="H160" t="s">
        <v>108</v>
      </c>
    </row>
    <row r="161" spans="1:8" hidden="1" x14ac:dyDescent="0.3">
      <c r="A161" t="s">
        <v>14</v>
      </c>
      <c r="B161" t="s">
        <v>49</v>
      </c>
      <c r="C161" t="s">
        <v>72</v>
      </c>
      <c r="D161">
        <v>4.5999999999999996</v>
      </c>
      <c r="E161">
        <v>4.3965652173913048</v>
      </c>
      <c r="F161">
        <v>3.86607608129234</v>
      </c>
      <c r="G161" t="s">
        <v>104</v>
      </c>
      <c r="H161" t="s">
        <v>108</v>
      </c>
    </row>
    <row r="162" spans="1:8" hidden="1" x14ac:dyDescent="0.3">
      <c r="A162" t="s">
        <v>14</v>
      </c>
      <c r="B162" t="s">
        <v>58</v>
      </c>
      <c r="C162" t="s">
        <v>95</v>
      </c>
      <c r="D162">
        <v>10.23626</v>
      </c>
      <c r="E162">
        <v>3.3079999999999998</v>
      </c>
      <c r="F162">
        <v>2.9521711768407801</v>
      </c>
      <c r="G162" t="s">
        <v>104</v>
      </c>
      <c r="H162" t="s">
        <v>108</v>
      </c>
    </row>
    <row r="163" spans="1:8" hidden="1" x14ac:dyDescent="0.3">
      <c r="A163" t="s">
        <v>14</v>
      </c>
      <c r="B163" t="s">
        <v>50</v>
      </c>
      <c r="C163" t="s">
        <v>73</v>
      </c>
      <c r="D163">
        <v>4</v>
      </c>
      <c r="E163">
        <v>5.095275</v>
      </c>
      <c r="F163">
        <v>20.723404255319149</v>
      </c>
      <c r="G163" t="s">
        <v>105</v>
      </c>
      <c r="H163" t="s">
        <v>108</v>
      </c>
    </row>
    <row r="164" spans="1:8" hidden="1" x14ac:dyDescent="0.3">
      <c r="A164" t="s">
        <v>14</v>
      </c>
      <c r="B164" t="s">
        <v>50</v>
      </c>
      <c r="C164" t="s">
        <v>74</v>
      </c>
      <c r="D164">
        <v>45.3</v>
      </c>
      <c r="E164">
        <v>3.6196622516556292</v>
      </c>
      <c r="F164">
        <v>2.0635593220338988</v>
      </c>
      <c r="G164" t="s">
        <v>105</v>
      </c>
      <c r="H164" t="s">
        <v>108</v>
      </c>
    </row>
    <row r="165" spans="1:8" hidden="1" x14ac:dyDescent="0.3">
      <c r="A165" t="s">
        <v>14</v>
      </c>
      <c r="B165" t="s">
        <v>59</v>
      </c>
      <c r="C165" t="s">
        <v>96</v>
      </c>
      <c r="D165">
        <v>0.43809999999999999</v>
      </c>
      <c r="E165">
        <v>18.337</v>
      </c>
      <c r="F165">
        <v>5.5</v>
      </c>
      <c r="G165" t="s">
        <v>107</v>
      </c>
      <c r="H165" t="s">
        <v>109</v>
      </c>
    </row>
    <row r="166" spans="1:8" hidden="1" x14ac:dyDescent="0.3">
      <c r="A166" t="s">
        <v>14</v>
      </c>
      <c r="B166" t="s">
        <v>59</v>
      </c>
      <c r="C166" t="s">
        <v>97</v>
      </c>
      <c r="D166">
        <v>0.2029</v>
      </c>
      <c r="E166">
        <v>14.81280520889853</v>
      </c>
      <c r="F166">
        <v>5.5</v>
      </c>
      <c r="G166" t="s">
        <v>107</v>
      </c>
      <c r="H166" t="s">
        <v>109</v>
      </c>
    </row>
    <row r="167" spans="1:8" hidden="1" x14ac:dyDescent="0.3">
      <c r="A167" t="s">
        <v>14</v>
      </c>
      <c r="B167" t="s">
        <v>51</v>
      </c>
      <c r="C167" t="s">
        <v>75</v>
      </c>
      <c r="D167">
        <v>2.5947369999999998</v>
      </c>
      <c r="E167">
        <v>3.1034481417860799E-4</v>
      </c>
      <c r="F167">
        <v>11.74</v>
      </c>
      <c r="G167" t="s">
        <v>104</v>
      </c>
      <c r="H167" t="s">
        <v>108</v>
      </c>
    </row>
    <row r="168" spans="1:8" hidden="1" x14ac:dyDescent="0.3">
      <c r="A168" t="s">
        <v>14</v>
      </c>
      <c r="B168" t="s">
        <v>60</v>
      </c>
      <c r="C168" t="s">
        <v>98</v>
      </c>
      <c r="D168">
        <v>6.1114100000000002</v>
      </c>
      <c r="E168">
        <v>16.380236305048339</v>
      </c>
      <c r="F168">
        <v>27.8</v>
      </c>
      <c r="G168" t="s">
        <v>107</v>
      </c>
      <c r="H168" t="s">
        <v>109</v>
      </c>
    </row>
    <row r="169" spans="1:8" hidden="1" x14ac:dyDescent="0.3">
      <c r="A169" t="s">
        <v>14</v>
      </c>
      <c r="B169" t="s">
        <v>52</v>
      </c>
      <c r="C169" t="s">
        <v>76</v>
      </c>
      <c r="D169">
        <v>0.309</v>
      </c>
      <c r="E169">
        <v>7.5037500000000001</v>
      </c>
      <c r="F169">
        <v>12.68872359754714</v>
      </c>
      <c r="G169" t="s">
        <v>105</v>
      </c>
      <c r="H169" t="s">
        <v>108</v>
      </c>
    </row>
    <row r="170" spans="1:8" hidden="1" x14ac:dyDescent="0.3">
      <c r="A170" t="s">
        <v>14</v>
      </c>
      <c r="B170" t="s">
        <v>53</v>
      </c>
      <c r="C170" t="s">
        <v>77</v>
      </c>
      <c r="D170">
        <v>4.4000000000000004</v>
      </c>
      <c r="E170">
        <v>4.3965227272727274</v>
      </c>
      <c r="F170">
        <v>3.86607608129234</v>
      </c>
      <c r="G170" t="s">
        <v>104</v>
      </c>
      <c r="H170" t="s">
        <v>108</v>
      </c>
    </row>
    <row r="171" spans="1:8" hidden="1" x14ac:dyDescent="0.3">
      <c r="A171" t="s">
        <v>14</v>
      </c>
      <c r="B171" t="s">
        <v>61</v>
      </c>
      <c r="C171" t="s">
        <v>99</v>
      </c>
      <c r="D171">
        <v>20.2</v>
      </c>
      <c r="E171">
        <v>1.8474653465346531</v>
      </c>
      <c r="F171">
        <v>2.9245635910224439</v>
      </c>
      <c r="G171" t="s">
        <v>104</v>
      </c>
      <c r="H171" t="s">
        <v>108</v>
      </c>
    </row>
    <row r="172" spans="1:8" hidden="1" x14ac:dyDescent="0.3">
      <c r="A172" t="s">
        <v>14</v>
      </c>
      <c r="B172" t="s">
        <v>62</v>
      </c>
      <c r="C172" t="s">
        <v>100</v>
      </c>
      <c r="D172">
        <v>7.1</v>
      </c>
      <c r="E172">
        <v>0.53380281690140852</v>
      </c>
      <c r="F172">
        <v>2.6764106050305911</v>
      </c>
      <c r="G172" t="s">
        <v>104</v>
      </c>
      <c r="H172" t="s">
        <v>108</v>
      </c>
    </row>
    <row r="173" spans="1:8" hidden="1" x14ac:dyDescent="0.3">
      <c r="A173" t="s">
        <v>14</v>
      </c>
      <c r="B173" t="s">
        <v>54</v>
      </c>
      <c r="C173" t="s">
        <v>78</v>
      </c>
      <c r="D173">
        <v>64.900000000000006</v>
      </c>
      <c r="E173">
        <v>9.2584637904468394</v>
      </c>
      <c r="F173">
        <v>3.86607608129234</v>
      </c>
      <c r="G173" t="s">
        <v>104</v>
      </c>
      <c r="H173" t="s">
        <v>108</v>
      </c>
    </row>
    <row r="174" spans="1:8" hidden="1" x14ac:dyDescent="0.3">
      <c r="A174" t="s">
        <v>15</v>
      </c>
      <c r="B174" t="s">
        <v>46</v>
      </c>
      <c r="C174" t="s">
        <v>64</v>
      </c>
      <c r="D174">
        <v>0.25435999999999998</v>
      </c>
      <c r="E174">
        <v>5.2371034360748538</v>
      </c>
      <c r="F174">
        <v>2.9521711768407801</v>
      </c>
      <c r="G174" t="s">
        <v>104</v>
      </c>
      <c r="H174" t="s">
        <v>108</v>
      </c>
    </row>
    <row r="175" spans="1:8" hidden="1" x14ac:dyDescent="0.3">
      <c r="A175" t="s">
        <v>15</v>
      </c>
      <c r="B175" t="s">
        <v>46</v>
      </c>
      <c r="C175" t="s">
        <v>79</v>
      </c>
      <c r="D175">
        <v>104.4</v>
      </c>
      <c r="E175">
        <v>6.2129454022988497</v>
      </c>
      <c r="F175">
        <v>6.8428961748633883</v>
      </c>
      <c r="G175" t="s">
        <v>104</v>
      </c>
      <c r="H175" t="s">
        <v>108</v>
      </c>
    </row>
    <row r="176" spans="1:8" hidden="1" x14ac:dyDescent="0.3">
      <c r="A176" t="s">
        <v>15</v>
      </c>
      <c r="B176" t="s">
        <v>46</v>
      </c>
      <c r="C176" t="s">
        <v>65</v>
      </c>
      <c r="D176">
        <v>0.1</v>
      </c>
      <c r="E176">
        <v>7.0430000000000001</v>
      </c>
      <c r="F176">
        <v>2.9521711768407801</v>
      </c>
      <c r="G176" t="s">
        <v>104</v>
      </c>
      <c r="H176" t="s">
        <v>108</v>
      </c>
    </row>
    <row r="177" spans="1:8" hidden="1" x14ac:dyDescent="0.3">
      <c r="A177" t="s">
        <v>15</v>
      </c>
      <c r="B177" t="s">
        <v>46</v>
      </c>
      <c r="C177" t="s">
        <v>80</v>
      </c>
      <c r="D177">
        <v>27.203690000000002</v>
      </c>
      <c r="E177">
        <v>1.21105866486851</v>
      </c>
      <c r="F177">
        <v>28.139870918023309</v>
      </c>
      <c r="G177" t="s">
        <v>105</v>
      </c>
      <c r="H177" t="s">
        <v>108</v>
      </c>
    </row>
    <row r="178" spans="1:8" hidden="1" x14ac:dyDescent="0.3">
      <c r="A178" t="s">
        <v>15</v>
      </c>
      <c r="B178" t="s">
        <v>46</v>
      </c>
      <c r="C178" t="s">
        <v>81</v>
      </c>
      <c r="D178">
        <v>57.534190000000002</v>
      </c>
      <c r="E178">
        <v>1.7549941245593419</v>
      </c>
      <c r="F178">
        <v>8.9647473560517046</v>
      </c>
      <c r="G178" t="s">
        <v>105</v>
      </c>
      <c r="H178" t="s">
        <v>108</v>
      </c>
    </row>
    <row r="179" spans="1:8" hidden="1" x14ac:dyDescent="0.3">
      <c r="A179" t="s">
        <v>15</v>
      </c>
      <c r="B179" t="s">
        <v>46</v>
      </c>
      <c r="C179" t="s">
        <v>66</v>
      </c>
      <c r="D179">
        <v>9.3000000000000007</v>
      </c>
      <c r="E179">
        <v>6.418268817204301</v>
      </c>
      <c r="F179">
        <v>6.8428961748633883</v>
      </c>
      <c r="G179" t="s">
        <v>104</v>
      </c>
      <c r="H179" t="s">
        <v>108</v>
      </c>
    </row>
    <row r="180" spans="1:8" hidden="1" x14ac:dyDescent="0.3">
      <c r="A180" t="s">
        <v>15</v>
      </c>
      <c r="B180" t="s">
        <v>46</v>
      </c>
      <c r="C180" t="s">
        <v>82</v>
      </c>
      <c r="D180">
        <v>10.9</v>
      </c>
      <c r="E180">
        <v>3.86656880733945</v>
      </c>
      <c r="F180">
        <v>6.8428961748633883</v>
      </c>
      <c r="G180" t="s">
        <v>104</v>
      </c>
      <c r="H180" t="s">
        <v>108</v>
      </c>
    </row>
    <row r="181" spans="1:8" hidden="1" x14ac:dyDescent="0.3">
      <c r="A181" t="s">
        <v>15</v>
      </c>
      <c r="B181" t="s">
        <v>46</v>
      </c>
      <c r="C181" t="s">
        <v>84</v>
      </c>
      <c r="D181">
        <v>1.5</v>
      </c>
      <c r="E181">
        <v>3.2128666666666672</v>
      </c>
      <c r="F181">
        <v>28.139870918023309</v>
      </c>
      <c r="G181" t="s">
        <v>105</v>
      </c>
      <c r="H181" t="s">
        <v>108</v>
      </c>
    </row>
    <row r="182" spans="1:8" hidden="1" x14ac:dyDescent="0.3">
      <c r="A182" t="s">
        <v>15</v>
      </c>
      <c r="B182" t="s">
        <v>46</v>
      </c>
      <c r="C182" t="s">
        <v>85</v>
      </c>
      <c r="D182">
        <v>0.60000000000000009</v>
      </c>
      <c r="E182">
        <v>4.7954999999999997</v>
      </c>
      <c r="F182">
        <v>2.9521711768407801</v>
      </c>
      <c r="G182" t="s">
        <v>104</v>
      </c>
      <c r="H182" t="s">
        <v>108</v>
      </c>
    </row>
    <row r="183" spans="1:8" hidden="1" x14ac:dyDescent="0.3">
      <c r="A183" t="s">
        <v>15</v>
      </c>
      <c r="B183" t="s">
        <v>55</v>
      </c>
      <c r="C183" t="s">
        <v>86</v>
      </c>
      <c r="D183">
        <v>0.13639999999999999</v>
      </c>
      <c r="E183">
        <v>11.824000000000011</v>
      </c>
      <c r="F183">
        <v>7.7</v>
      </c>
      <c r="G183" t="s">
        <v>106</v>
      </c>
      <c r="H183" t="s">
        <v>109</v>
      </c>
    </row>
    <row r="184" spans="1:8" hidden="1" x14ac:dyDescent="0.3">
      <c r="A184" t="s">
        <v>15</v>
      </c>
      <c r="B184" t="s">
        <v>55</v>
      </c>
      <c r="C184" t="s">
        <v>89</v>
      </c>
      <c r="D184">
        <v>2.98E-2</v>
      </c>
      <c r="E184">
        <v>0</v>
      </c>
      <c r="F184">
        <v>7.7</v>
      </c>
      <c r="G184" t="s">
        <v>106</v>
      </c>
      <c r="H184" t="s">
        <v>109</v>
      </c>
    </row>
    <row r="185" spans="1:8" hidden="1" x14ac:dyDescent="0.3">
      <c r="A185" t="s">
        <v>15</v>
      </c>
      <c r="B185" t="s">
        <v>55</v>
      </c>
      <c r="C185" t="s">
        <v>91</v>
      </c>
      <c r="D185">
        <v>0.4264</v>
      </c>
      <c r="E185">
        <v>11.48199999999999</v>
      </c>
      <c r="F185">
        <v>7.7</v>
      </c>
      <c r="G185" t="s">
        <v>106</v>
      </c>
      <c r="H185" t="s">
        <v>109</v>
      </c>
    </row>
    <row r="186" spans="1:8" hidden="1" x14ac:dyDescent="0.3">
      <c r="A186" t="s">
        <v>15</v>
      </c>
      <c r="B186" t="s">
        <v>55</v>
      </c>
      <c r="C186" t="s">
        <v>92</v>
      </c>
      <c r="D186">
        <v>1.925</v>
      </c>
      <c r="E186">
        <v>12.74599999999999</v>
      </c>
      <c r="F186">
        <v>7.7</v>
      </c>
      <c r="G186" t="s">
        <v>106</v>
      </c>
      <c r="H186" t="s">
        <v>109</v>
      </c>
    </row>
    <row r="187" spans="1:8" hidden="1" x14ac:dyDescent="0.3">
      <c r="A187" t="s">
        <v>15</v>
      </c>
      <c r="B187" t="s">
        <v>56</v>
      </c>
      <c r="C187" t="s">
        <v>93</v>
      </c>
      <c r="D187">
        <v>48.939900000000002</v>
      </c>
      <c r="E187">
        <v>2.939759036144578</v>
      </c>
      <c r="F187">
        <v>22.3</v>
      </c>
      <c r="G187" t="s">
        <v>106</v>
      </c>
      <c r="H187" t="s">
        <v>109</v>
      </c>
    </row>
    <row r="188" spans="1:8" hidden="1" x14ac:dyDescent="0.3">
      <c r="A188" t="s">
        <v>15</v>
      </c>
      <c r="B188" t="s">
        <v>47</v>
      </c>
      <c r="C188" t="s">
        <v>68</v>
      </c>
      <c r="D188">
        <v>28.9</v>
      </c>
      <c r="E188">
        <v>6.5024878892733566</v>
      </c>
      <c r="F188">
        <v>25.4</v>
      </c>
      <c r="G188" t="s">
        <v>104</v>
      </c>
      <c r="H188" t="s">
        <v>109</v>
      </c>
    </row>
    <row r="189" spans="1:8" hidden="1" x14ac:dyDescent="0.3">
      <c r="A189" t="s">
        <v>15</v>
      </c>
      <c r="B189" t="s">
        <v>47</v>
      </c>
      <c r="C189" t="s">
        <v>69</v>
      </c>
      <c r="D189">
        <v>51.3</v>
      </c>
      <c r="E189">
        <v>5.6711890838206633</v>
      </c>
      <c r="F189">
        <v>25.4</v>
      </c>
      <c r="G189" t="s">
        <v>104</v>
      </c>
      <c r="H189" t="s">
        <v>109</v>
      </c>
    </row>
    <row r="190" spans="1:8" hidden="1" x14ac:dyDescent="0.3">
      <c r="A190" t="s">
        <v>15</v>
      </c>
      <c r="B190" t="s">
        <v>57</v>
      </c>
      <c r="C190" t="s">
        <v>94</v>
      </c>
      <c r="D190">
        <v>9.9</v>
      </c>
      <c r="E190">
        <v>11.77420202020202</v>
      </c>
      <c r="F190">
        <v>23.7</v>
      </c>
      <c r="G190" t="s">
        <v>104</v>
      </c>
      <c r="H190" t="s">
        <v>109</v>
      </c>
    </row>
    <row r="191" spans="1:8" hidden="1" x14ac:dyDescent="0.3">
      <c r="A191" t="s">
        <v>15</v>
      </c>
      <c r="B191" t="s">
        <v>49</v>
      </c>
      <c r="C191" t="s">
        <v>71</v>
      </c>
      <c r="D191">
        <v>371.95209</v>
      </c>
      <c r="E191">
        <v>5.8229246903546086</v>
      </c>
      <c r="F191">
        <v>3.86607608129234</v>
      </c>
      <c r="G191" t="s">
        <v>104</v>
      </c>
      <c r="H191" t="s">
        <v>108</v>
      </c>
    </row>
    <row r="192" spans="1:8" hidden="1" x14ac:dyDescent="0.3">
      <c r="A192" t="s">
        <v>15</v>
      </c>
      <c r="B192" t="s">
        <v>49</v>
      </c>
      <c r="C192" t="s">
        <v>72</v>
      </c>
      <c r="D192">
        <v>23.4</v>
      </c>
      <c r="E192">
        <v>4.6666495726495727</v>
      </c>
      <c r="F192">
        <v>3.86607608129234</v>
      </c>
      <c r="G192" t="s">
        <v>104</v>
      </c>
      <c r="H192" t="s">
        <v>108</v>
      </c>
    </row>
    <row r="193" spans="1:8" hidden="1" x14ac:dyDescent="0.3">
      <c r="A193" t="s">
        <v>15</v>
      </c>
      <c r="B193" t="s">
        <v>58</v>
      </c>
      <c r="C193" t="s">
        <v>95</v>
      </c>
      <c r="D193">
        <v>18.789909999999999</v>
      </c>
      <c r="E193">
        <v>3.1372876543847199</v>
      </c>
      <c r="F193">
        <v>2.9521711768407801</v>
      </c>
      <c r="G193" t="s">
        <v>104</v>
      </c>
      <c r="H193" t="s">
        <v>108</v>
      </c>
    </row>
    <row r="194" spans="1:8" hidden="1" x14ac:dyDescent="0.3">
      <c r="A194" t="s">
        <v>15</v>
      </c>
      <c r="B194" t="s">
        <v>50</v>
      </c>
      <c r="C194" t="s">
        <v>73</v>
      </c>
      <c r="D194">
        <v>51.7</v>
      </c>
      <c r="E194">
        <v>5.6658916827852996</v>
      </c>
      <c r="F194">
        <v>20.723404255319149</v>
      </c>
      <c r="G194" t="s">
        <v>105</v>
      </c>
      <c r="H194" t="s">
        <v>108</v>
      </c>
    </row>
    <row r="195" spans="1:8" hidden="1" x14ac:dyDescent="0.3">
      <c r="A195" t="s">
        <v>15</v>
      </c>
      <c r="B195" t="s">
        <v>50</v>
      </c>
      <c r="C195" t="s">
        <v>74</v>
      </c>
      <c r="D195">
        <v>50.6</v>
      </c>
      <c r="E195">
        <v>6.1163280632411068</v>
      </c>
      <c r="F195">
        <v>2.0635593220338988</v>
      </c>
      <c r="G195" t="s">
        <v>105</v>
      </c>
      <c r="H195" t="s">
        <v>108</v>
      </c>
    </row>
    <row r="196" spans="1:8" hidden="1" x14ac:dyDescent="0.3">
      <c r="A196" t="s">
        <v>15</v>
      </c>
      <c r="B196" t="s">
        <v>51</v>
      </c>
      <c r="C196" t="s">
        <v>75</v>
      </c>
      <c r="D196">
        <v>104.9422</v>
      </c>
      <c r="E196">
        <v>7.4649804875309603E-2</v>
      </c>
      <c r="F196">
        <v>11.74</v>
      </c>
      <c r="G196" t="s">
        <v>104</v>
      </c>
      <c r="H196" t="s">
        <v>108</v>
      </c>
    </row>
    <row r="197" spans="1:8" hidden="1" x14ac:dyDescent="0.3">
      <c r="A197" t="s">
        <v>15</v>
      </c>
      <c r="B197" t="s">
        <v>60</v>
      </c>
      <c r="C197" t="s">
        <v>98</v>
      </c>
      <c r="D197">
        <v>73.611180000000004</v>
      </c>
      <c r="E197">
        <v>18.259935553168631</v>
      </c>
      <c r="F197">
        <v>19.399999999999999</v>
      </c>
      <c r="G197" t="s">
        <v>107</v>
      </c>
      <c r="H197" t="s">
        <v>109</v>
      </c>
    </row>
    <row r="198" spans="1:8" hidden="1" x14ac:dyDescent="0.3">
      <c r="A198" t="s">
        <v>15</v>
      </c>
      <c r="B198" t="s">
        <v>52</v>
      </c>
      <c r="C198" t="s">
        <v>76</v>
      </c>
      <c r="D198">
        <v>7.01</v>
      </c>
      <c r="E198">
        <v>7.5037500000000001</v>
      </c>
      <c r="F198">
        <v>12.68872359754714</v>
      </c>
      <c r="G198" t="s">
        <v>105</v>
      </c>
      <c r="H198" t="s">
        <v>108</v>
      </c>
    </row>
    <row r="199" spans="1:8" hidden="1" x14ac:dyDescent="0.3">
      <c r="A199" t="s">
        <v>15</v>
      </c>
      <c r="B199" t="s">
        <v>53</v>
      </c>
      <c r="C199" t="s">
        <v>77</v>
      </c>
      <c r="D199">
        <v>17.899999999999999</v>
      </c>
      <c r="E199">
        <v>4.6666648044692751</v>
      </c>
      <c r="F199">
        <v>3.86607608129234</v>
      </c>
      <c r="G199" t="s">
        <v>104</v>
      </c>
      <c r="H199" t="s">
        <v>108</v>
      </c>
    </row>
    <row r="200" spans="1:8" hidden="1" x14ac:dyDescent="0.3">
      <c r="A200" t="s">
        <v>15</v>
      </c>
      <c r="B200" t="s">
        <v>61</v>
      </c>
      <c r="C200" t="s">
        <v>99</v>
      </c>
      <c r="D200">
        <v>58.400000000000013</v>
      </c>
      <c r="E200">
        <v>2.3519041095890412</v>
      </c>
      <c r="F200">
        <v>2.9245635910224439</v>
      </c>
      <c r="G200" t="s">
        <v>104</v>
      </c>
      <c r="H200" t="s">
        <v>108</v>
      </c>
    </row>
    <row r="201" spans="1:8" hidden="1" x14ac:dyDescent="0.3">
      <c r="A201" t="s">
        <v>15</v>
      </c>
      <c r="B201" t="s">
        <v>62</v>
      </c>
      <c r="C201" t="s">
        <v>100</v>
      </c>
      <c r="D201">
        <v>16.2</v>
      </c>
      <c r="E201">
        <v>9.4444444444444456E-2</v>
      </c>
      <c r="F201">
        <v>2.6764106050305911</v>
      </c>
      <c r="G201" t="s">
        <v>104</v>
      </c>
      <c r="H201" t="s">
        <v>108</v>
      </c>
    </row>
    <row r="202" spans="1:8" hidden="1" x14ac:dyDescent="0.3">
      <c r="A202" t="s">
        <v>15</v>
      </c>
      <c r="B202" t="s">
        <v>54</v>
      </c>
      <c r="C202" t="s">
        <v>78</v>
      </c>
      <c r="D202">
        <v>281.60000000000002</v>
      </c>
      <c r="E202">
        <v>9.1940330255681815</v>
      </c>
      <c r="F202">
        <v>3.86607608129234</v>
      </c>
      <c r="G202" t="s">
        <v>104</v>
      </c>
      <c r="H202" t="s">
        <v>108</v>
      </c>
    </row>
    <row r="203" spans="1:8" hidden="1" x14ac:dyDescent="0.3">
      <c r="A203" t="s">
        <v>16</v>
      </c>
      <c r="B203" t="s">
        <v>46</v>
      </c>
      <c r="C203" t="s">
        <v>64</v>
      </c>
      <c r="D203">
        <v>1.187E-2</v>
      </c>
      <c r="E203">
        <v>6.9407657961246843</v>
      </c>
      <c r="F203">
        <v>2.9521711768407801</v>
      </c>
      <c r="G203" t="s">
        <v>104</v>
      </c>
      <c r="H203" t="s">
        <v>108</v>
      </c>
    </row>
    <row r="204" spans="1:8" hidden="1" x14ac:dyDescent="0.3">
      <c r="A204" t="s">
        <v>16</v>
      </c>
      <c r="B204" t="s">
        <v>46</v>
      </c>
      <c r="C204" t="s">
        <v>79</v>
      </c>
      <c r="D204">
        <v>24.4</v>
      </c>
      <c r="E204">
        <v>5.1309549180327876</v>
      </c>
      <c r="F204">
        <v>6.8428961748633883</v>
      </c>
      <c r="G204" t="s">
        <v>104</v>
      </c>
      <c r="H204" t="s">
        <v>108</v>
      </c>
    </row>
    <row r="205" spans="1:8" hidden="1" x14ac:dyDescent="0.3">
      <c r="A205" t="s">
        <v>16</v>
      </c>
      <c r="B205" t="s">
        <v>46</v>
      </c>
      <c r="C205" t="s">
        <v>80</v>
      </c>
      <c r="D205">
        <v>0.17885000000000001</v>
      </c>
      <c r="E205">
        <v>0.58125421443020897</v>
      </c>
      <c r="F205">
        <v>28.139870918023309</v>
      </c>
      <c r="G205" t="s">
        <v>105</v>
      </c>
      <c r="H205" t="s">
        <v>108</v>
      </c>
    </row>
    <row r="206" spans="1:8" hidden="1" x14ac:dyDescent="0.3">
      <c r="A206" t="s">
        <v>16</v>
      </c>
      <c r="B206" t="s">
        <v>46</v>
      </c>
      <c r="C206" t="s">
        <v>81</v>
      </c>
      <c r="D206">
        <v>1.13174</v>
      </c>
      <c r="E206">
        <v>1.7121034077555819</v>
      </c>
      <c r="F206">
        <v>8.9647473560517046</v>
      </c>
      <c r="G206" t="s">
        <v>105</v>
      </c>
      <c r="H206" t="s">
        <v>108</v>
      </c>
    </row>
    <row r="207" spans="1:8" hidden="1" x14ac:dyDescent="0.3">
      <c r="A207" t="s">
        <v>16</v>
      </c>
      <c r="B207" t="s">
        <v>46</v>
      </c>
      <c r="C207" t="s">
        <v>82</v>
      </c>
      <c r="D207">
        <v>1.2</v>
      </c>
      <c r="E207">
        <v>3.2805</v>
      </c>
      <c r="F207">
        <v>6.8428961748633883</v>
      </c>
      <c r="G207" t="s">
        <v>104</v>
      </c>
      <c r="H207" t="s">
        <v>108</v>
      </c>
    </row>
    <row r="208" spans="1:8" hidden="1" x14ac:dyDescent="0.3">
      <c r="A208" t="s">
        <v>16</v>
      </c>
      <c r="B208" t="s">
        <v>46</v>
      </c>
      <c r="C208" t="s">
        <v>84</v>
      </c>
      <c r="D208">
        <v>0.4</v>
      </c>
      <c r="E208">
        <v>3.2742499999999999</v>
      </c>
      <c r="F208">
        <v>28.139870918023309</v>
      </c>
      <c r="G208" t="s">
        <v>105</v>
      </c>
      <c r="H208" t="s">
        <v>108</v>
      </c>
    </row>
    <row r="209" spans="1:8" hidden="1" x14ac:dyDescent="0.3">
      <c r="A209" t="s">
        <v>16</v>
      </c>
      <c r="B209" t="s">
        <v>55</v>
      </c>
      <c r="C209" t="s">
        <v>86</v>
      </c>
      <c r="D209">
        <v>0.5071</v>
      </c>
      <c r="E209">
        <v>12.321999999999999</v>
      </c>
      <c r="F209">
        <v>20.7</v>
      </c>
      <c r="G209" t="s">
        <v>106</v>
      </c>
      <c r="H209" t="s">
        <v>109</v>
      </c>
    </row>
    <row r="210" spans="1:8" hidden="1" x14ac:dyDescent="0.3">
      <c r="A210" t="s">
        <v>16</v>
      </c>
      <c r="B210" t="s">
        <v>55</v>
      </c>
      <c r="C210" t="s">
        <v>91</v>
      </c>
      <c r="D210">
        <v>0.43559999999999999</v>
      </c>
      <c r="E210">
        <v>11.154999999999999</v>
      </c>
      <c r="F210">
        <v>20.7</v>
      </c>
      <c r="G210" t="s">
        <v>106</v>
      </c>
      <c r="H210" t="s">
        <v>109</v>
      </c>
    </row>
    <row r="211" spans="1:8" hidden="1" x14ac:dyDescent="0.3">
      <c r="A211" t="s">
        <v>16</v>
      </c>
      <c r="B211" t="s">
        <v>55</v>
      </c>
      <c r="C211" t="s">
        <v>92</v>
      </c>
      <c r="D211">
        <v>0.66549999999999998</v>
      </c>
      <c r="E211">
        <v>12.113</v>
      </c>
      <c r="F211">
        <v>20.7</v>
      </c>
      <c r="G211" t="s">
        <v>106</v>
      </c>
      <c r="H211" t="s">
        <v>109</v>
      </c>
    </row>
    <row r="212" spans="1:8" hidden="1" x14ac:dyDescent="0.3">
      <c r="A212" t="s">
        <v>16</v>
      </c>
      <c r="B212" t="s">
        <v>56</v>
      </c>
      <c r="C212" t="s">
        <v>93</v>
      </c>
      <c r="D212">
        <v>0.6714</v>
      </c>
      <c r="E212">
        <v>4.3084337349397588</v>
      </c>
      <c r="F212">
        <v>29.8</v>
      </c>
      <c r="G212" t="s">
        <v>106</v>
      </c>
      <c r="H212" t="s">
        <v>109</v>
      </c>
    </row>
    <row r="213" spans="1:8" hidden="1" x14ac:dyDescent="0.3">
      <c r="A213" t="s">
        <v>16</v>
      </c>
      <c r="B213" t="s">
        <v>49</v>
      </c>
      <c r="C213" t="s">
        <v>71</v>
      </c>
      <c r="D213">
        <v>15.284549999999999</v>
      </c>
      <c r="E213">
        <v>4.9772734951307047</v>
      </c>
      <c r="F213">
        <v>3.86607608129234</v>
      </c>
      <c r="G213" t="s">
        <v>104</v>
      </c>
      <c r="H213" t="s">
        <v>108</v>
      </c>
    </row>
    <row r="214" spans="1:8" hidden="1" x14ac:dyDescent="0.3">
      <c r="A214" t="s">
        <v>16</v>
      </c>
      <c r="B214" t="s">
        <v>49</v>
      </c>
      <c r="C214" t="s">
        <v>72</v>
      </c>
      <c r="D214">
        <v>4</v>
      </c>
      <c r="E214">
        <v>4.0006250000000003</v>
      </c>
      <c r="F214">
        <v>3.86607608129234</v>
      </c>
      <c r="G214" t="s">
        <v>104</v>
      </c>
      <c r="H214" t="s">
        <v>108</v>
      </c>
    </row>
    <row r="215" spans="1:8" hidden="1" x14ac:dyDescent="0.3">
      <c r="A215" t="s">
        <v>16</v>
      </c>
      <c r="B215" t="s">
        <v>58</v>
      </c>
      <c r="C215" t="s">
        <v>95</v>
      </c>
      <c r="D215">
        <v>2.7330700000000001</v>
      </c>
      <c r="E215">
        <v>3.4329999999999989</v>
      </c>
      <c r="F215">
        <v>2.9521711768407801</v>
      </c>
      <c r="G215" t="s">
        <v>104</v>
      </c>
      <c r="H215" t="s">
        <v>108</v>
      </c>
    </row>
    <row r="216" spans="1:8" hidden="1" x14ac:dyDescent="0.3">
      <c r="A216" t="s">
        <v>16</v>
      </c>
      <c r="B216" t="s">
        <v>50</v>
      </c>
      <c r="C216" t="s">
        <v>73</v>
      </c>
      <c r="D216">
        <v>17.5</v>
      </c>
      <c r="E216">
        <v>6.6303142857142863</v>
      </c>
      <c r="F216">
        <v>20.723404255319149</v>
      </c>
      <c r="G216" t="s">
        <v>105</v>
      </c>
      <c r="H216" t="s">
        <v>108</v>
      </c>
    </row>
    <row r="217" spans="1:8" hidden="1" x14ac:dyDescent="0.3">
      <c r="A217" t="s">
        <v>16</v>
      </c>
      <c r="B217" t="s">
        <v>50</v>
      </c>
      <c r="C217" t="s">
        <v>74</v>
      </c>
      <c r="D217">
        <v>25.9</v>
      </c>
      <c r="E217">
        <v>7.248857142857144</v>
      </c>
      <c r="F217">
        <v>2.0635593220338988</v>
      </c>
      <c r="G217" t="s">
        <v>105</v>
      </c>
      <c r="H217" t="s">
        <v>108</v>
      </c>
    </row>
    <row r="218" spans="1:8" hidden="1" x14ac:dyDescent="0.3">
      <c r="A218" t="s">
        <v>16</v>
      </c>
      <c r="B218" t="s">
        <v>51</v>
      </c>
      <c r="C218" t="s">
        <v>75</v>
      </c>
      <c r="D218">
        <v>19.401319999999998</v>
      </c>
      <c r="E218">
        <v>4.04169188314787E-3</v>
      </c>
      <c r="F218">
        <v>11.74</v>
      </c>
      <c r="G218" t="s">
        <v>104</v>
      </c>
      <c r="H218" t="s">
        <v>108</v>
      </c>
    </row>
    <row r="219" spans="1:8" hidden="1" x14ac:dyDescent="0.3">
      <c r="A219" t="s">
        <v>16</v>
      </c>
      <c r="B219" t="s">
        <v>60</v>
      </c>
      <c r="C219" t="s">
        <v>98</v>
      </c>
      <c r="D219">
        <v>2.90537</v>
      </c>
      <c r="E219">
        <v>18.421052631578949</v>
      </c>
      <c r="F219">
        <v>32.6</v>
      </c>
      <c r="G219" t="s">
        <v>107</v>
      </c>
      <c r="H219" t="s">
        <v>109</v>
      </c>
    </row>
    <row r="220" spans="1:8" hidden="1" x14ac:dyDescent="0.3">
      <c r="A220" t="s">
        <v>16</v>
      </c>
      <c r="B220" t="s">
        <v>52</v>
      </c>
      <c r="C220" t="s">
        <v>76</v>
      </c>
      <c r="D220">
        <v>0.17899999999999999</v>
      </c>
      <c r="E220">
        <v>7.5037500000000001</v>
      </c>
      <c r="F220">
        <v>12.68872359754714</v>
      </c>
      <c r="G220" t="s">
        <v>105</v>
      </c>
      <c r="H220" t="s">
        <v>108</v>
      </c>
    </row>
    <row r="221" spans="1:8" hidden="1" x14ac:dyDescent="0.3">
      <c r="A221" t="s">
        <v>16</v>
      </c>
      <c r="B221" t="s">
        <v>53</v>
      </c>
      <c r="C221" t="s">
        <v>77</v>
      </c>
      <c r="D221">
        <v>2</v>
      </c>
      <c r="E221">
        <v>4.0003000000000002</v>
      </c>
      <c r="F221">
        <v>3.86607608129234</v>
      </c>
      <c r="G221" t="s">
        <v>104</v>
      </c>
      <c r="H221" t="s">
        <v>108</v>
      </c>
    </row>
    <row r="222" spans="1:8" hidden="1" x14ac:dyDescent="0.3">
      <c r="A222" t="s">
        <v>16</v>
      </c>
      <c r="B222" t="s">
        <v>61</v>
      </c>
      <c r="C222" t="s">
        <v>99</v>
      </c>
      <c r="D222">
        <v>0.8</v>
      </c>
      <c r="E222">
        <v>2.3443749999999999</v>
      </c>
      <c r="F222">
        <v>2.9245635910224439</v>
      </c>
      <c r="G222" t="s">
        <v>104</v>
      </c>
      <c r="H222" t="s">
        <v>108</v>
      </c>
    </row>
    <row r="223" spans="1:8" hidden="1" x14ac:dyDescent="0.3">
      <c r="A223" t="s">
        <v>16</v>
      </c>
      <c r="B223" t="s">
        <v>62</v>
      </c>
      <c r="C223" t="s">
        <v>100</v>
      </c>
      <c r="D223">
        <v>0.2</v>
      </c>
      <c r="E223">
        <v>0.70000000000000007</v>
      </c>
      <c r="F223">
        <v>2.6764106050305911</v>
      </c>
      <c r="G223" t="s">
        <v>104</v>
      </c>
      <c r="H223" t="s">
        <v>108</v>
      </c>
    </row>
    <row r="224" spans="1:8" hidden="1" x14ac:dyDescent="0.3">
      <c r="A224" t="s">
        <v>16</v>
      </c>
      <c r="B224" t="s">
        <v>54</v>
      </c>
      <c r="C224" t="s">
        <v>78</v>
      </c>
      <c r="D224">
        <v>8</v>
      </c>
      <c r="E224">
        <v>7.7063625</v>
      </c>
      <c r="F224">
        <v>3.86607608129234</v>
      </c>
      <c r="G224" t="s">
        <v>104</v>
      </c>
      <c r="H224" t="s">
        <v>108</v>
      </c>
    </row>
    <row r="225" spans="1:8" hidden="1" x14ac:dyDescent="0.3">
      <c r="A225" t="s">
        <v>17</v>
      </c>
      <c r="B225" t="s">
        <v>46</v>
      </c>
      <c r="C225" t="s">
        <v>64</v>
      </c>
      <c r="D225">
        <v>1.1610000000000001E-2</v>
      </c>
      <c r="E225">
        <v>6.1560000000000006</v>
      </c>
      <c r="F225">
        <v>2.9521711768407801</v>
      </c>
      <c r="G225" t="s">
        <v>104</v>
      </c>
      <c r="H225" t="s">
        <v>108</v>
      </c>
    </row>
    <row r="226" spans="1:8" hidden="1" x14ac:dyDescent="0.3">
      <c r="A226" t="s">
        <v>17</v>
      </c>
      <c r="B226" t="s">
        <v>46</v>
      </c>
      <c r="C226" t="s">
        <v>79</v>
      </c>
      <c r="D226">
        <v>2.8</v>
      </c>
      <c r="E226">
        <v>3.020999999999999</v>
      </c>
      <c r="F226">
        <v>6.8428961748633883</v>
      </c>
      <c r="G226" t="s">
        <v>104</v>
      </c>
      <c r="H226" t="s">
        <v>108</v>
      </c>
    </row>
    <row r="227" spans="1:8" hidden="1" x14ac:dyDescent="0.3">
      <c r="A227" t="s">
        <v>17</v>
      </c>
      <c r="B227" t="s">
        <v>46</v>
      </c>
      <c r="C227" t="s">
        <v>80</v>
      </c>
      <c r="D227">
        <v>3.058E-2</v>
      </c>
      <c r="E227">
        <v>0.28186109238031021</v>
      </c>
      <c r="F227">
        <v>28.139870918023309</v>
      </c>
      <c r="G227" t="s">
        <v>105</v>
      </c>
      <c r="H227" t="s">
        <v>108</v>
      </c>
    </row>
    <row r="228" spans="1:8" hidden="1" x14ac:dyDescent="0.3">
      <c r="A228" t="s">
        <v>17</v>
      </c>
      <c r="B228" t="s">
        <v>46</v>
      </c>
      <c r="C228" t="s">
        <v>81</v>
      </c>
      <c r="D228">
        <v>0.25056</v>
      </c>
      <c r="E228">
        <v>2.0681551116333732</v>
      </c>
      <c r="F228">
        <v>8.9647473560517046</v>
      </c>
      <c r="G228" t="s">
        <v>105</v>
      </c>
      <c r="H228" t="s">
        <v>108</v>
      </c>
    </row>
    <row r="229" spans="1:8" hidden="1" x14ac:dyDescent="0.3">
      <c r="A229" t="s">
        <v>17</v>
      </c>
      <c r="B229" t="s">
        <v>46</v>
      </c>
      <c r="C229" t="s">
        <v>82</v>
      </c>
      <c r="D229">
        <v>0.5</v>
      </c>
      <c r="E229">
        <v>1.9279999999999999</v>
      </c>
      <c r="F229">
        <v>6.8428961748633883</v>
      </c>
      <c r="G229" t="s">
        <v>104</v>
      </c>
      <c r="H229" t="s">
        <v>108</v>
      </c>
    </row>
    <row r="230" spans="1:8" hidden="1" x14ac:dyDescent="0.3">
      <c r="A230" t="s">
        <v>17</v>
      </c>
      <c r="B230" t="s">
        <v>55</v>
      </c>
      <c r="C230" t="s">
        <v>86</v>
      </c>
      <c r="D230">
        <v>0.1321</v>
      </c>
      <c r="E230">
        <v>8.9179999999999993</v>
      </c>
      <c r="F230">
        <v>27.4</v>
      </c>
      <c r="G230" t="s">
        <v>106</v>
      </c>
      <c r="H230" t="s">
        <v>109</v>
      </c>
    </row>
    <row r="231" spans="1:8" hidden="1" x14ac:dyDescent="0.3">
      <c r="A231" t="s">
        <v>17</v>
      </c>
      <c r="B231" t="s">
        <v>55</v>
      </c>
      <c r="C231" t="s">
        <v>89</v>
      </c>
      <c r="D231">
        <v>3.8999999999999998E-3</v>
      </c>
      <c r="E231">
        <v>0</v>
      </c>
      <c r="F231">
        <v>27.4</v>
      </c>
      <c r="G231" t="s">
        <v>106</v>
      </c>
      <c r="H231" t="s">
        <v>109</v>
      </c>
    </row>
    <row r="232" spans="1:8" hidden="1" x14ac:dyDescent="0.3">
      <c r="A232" t="s">
        <v>17</v>
      </c>
      <c r="B232" t="s">
        <v>55</v>
      </c>
      <c r="C232" t="s">
        <v>91</v>
      </c>
      <c r="D232">
        <v>9.2200000000000004E-2</v>
      </c>
      <c r="E232">
        <v>10.147</v>
      </c>
      <c r="F232">
        <v>27.4</v>
      </c>
      <c r="G232" t="s">
        <v>106</v>
      </c>
      <c r="H232" t="s">
        <v>109</v>
      </c>
    </row>
    <row r="233" spans="1:8" hidden="1" x14ac:dyDescent="0.3">
      <c r="A233" t="s">
        <v>17</v>
      </c>
      <c r="B233" t="s">
        <v>55</v>
      </c>
      <c r="C233" t="s">
        <v>92</v>
      </c>
      <c r="D233">
        <v>0.13063</v>
      </c>
      <c r="E233">
        <v>10.837999999999999</v>
      </c>
      <c r="F233">
        <v>27.4</v>
      </c>
      <c r="G233" t="s">
        <v>106</v>
      </c>
      <c r="H233" t="s">
        <v>109</v>
      </c>
    </row>
    <row r="234" spans="1:8" hidden="1" x14ac:dyDescent="0.3">
      <c r="A234" t="s">
        <v>17</v>
      </c>
      <c r="B234" t="s">
        <v>47</v>
      </c>
      <c r="C234" t="s">
        <v>101</v>
      </c>
      <c r="D234">
        <v>5.8</v>
      </c>
      <c r="E234">
        <v>2.979000000000001</v>
      </c>
      <c r="F234">
        <v>43.8</v>
      </c>
      <c r="G234" t="s">
        <v>104</v>
      </c>
      <c r="H234" t="s">
        <v>109</v>
      </c>
    </row>
    <row r="235" spans="1:8" hidden="1" x14ac:dyDescent="0.3">
      <c r="A235" t="s">
        <v>17</v>
      </c>
      <c r="B235" t="s">
        <v>57</v>
      </c>
      <c r="C235" t="s">
        <v>94</v>
      </c>
      <c r="D235">
        <v>3</v>
      </c>
      <c r="E235">
        <v>7.8890000000000002</v>
      </c>
      <c r="F235">
        <v>19.8</v>
      </c>
      <c r="G235" t="s">
        <v>104</v>
      </c>
      <c r="H235" t="s">
        <v>109</v>
      </c>
    </row>
    <row r="236" spans="1:8" hidden="1" x14ac:dyDescent="0.3">
      <c r="A236" t="s">
        <v>17</v>
      </c>
      <c r="B236" t="s">
        <v>49</v>
      </c>
      <c r="C236" t="s">
        <v>71</v>
      </c>
      <c r="D236">
        <v>37.016300000000001</v>
      </c>
      <c r="E236">
        <v>2.9529999999999998</v>
      </c>
      <c r="F236">
        <v>3.86607608129234</v>
      </c>
      <c r="G236" t="s">
        <v>104</v>
      </c>
      <c r="H236" t="s">
        <v>108</v>
      </c>
    </row>
    <row r="237" spans="1:8" hidden="1" x14ac:dyDescent="0.3">
      <c r="A237" t="s">
        <v>17</v>
      </c>
      <c r="B237" t="s">
        <v>49</v>
      </c>
      <c r="C237" t="s">
        <v>72</v>
      </c>
      <c r="D237">
        <v>4.4000000000000004</v>
      </c>
      <c r="E237">
        <v>4.0030000000000001</v>
      </c>
      <c r="F237">
        <v>3.86607608129234</v>
      </c>
      <c r="G237" t="s">
        <v>104</v>
      </c>
      <c r="H237" t="s">
        <v>108</v>
      </c>
    </row>
    <row r="238" spans="1:8" hidden="1" x14ac:dyDescent="0.3">
      <c r="A238" t="s">
        <v>17</v>
      </c>
      <c r="B238" t="s">
        <v>58</v>
      </c>
      <c r="C238" t="s">
        <v>95</v>
      </c>
      <c r="D238">
        <v>4.8699399999999997</v>
      </c>
      <c r="E238">
        <v>3.4329999999999998</v>
      </c>
      <c r="F238">
        <v>2.9521711768407801</v>
      </c>
      <c r="G238" t="s">
        <v>104</v>
      </c>
      <c r="H238" t="s">
        <v>108</v>
      </c>
    </row>
    <row r="239" spans="1:8" hidden="1" x14ac:dyDescent="0.3">
      <c r="A239" t="s">
        <v>17</v>
      </c>
      <c r="B239" t="s">
        <v>50</v>
      </c>
      <c r="C239" t="s">
        <v>73</v>
      </c>
      <c r="D239">
        <v>0.9</v>
      </c>
      <c r="E239">
        <v>5.0869999999999997</v>
      </c>
      <c r="F239">
        <v>20.723404255319149</v>
      </c>
      <c r="G239" t="s">
        <v>105</v>
      </c>
      <c r="H239" t="s">
        <v>108</v>
      </c>
    </row>
    <row r="240" spans="1:8" hidden="1" x14ac:dyDescent="0.3">
      <c r="A240" t="s">
        <v>17</v>
      </c>
      <c r="B240" t="s">
        <v>50</v>
      </c>
      <c r="C240" t="s">
        <v>74</v>
      </c>
      <c r="D240">
        <v>7.2</v>
      </c>
      <c r="E240">
        <v>3.625</v>
      </c>
      <c r="F240">
        <v>2.0635593220338988</v>
      </c>
      <c r="G240" t="s">
        <v>105</v>
      </c>
      <c r="H240" t="s">
        <v>108</v>
      </c>
    </row>
    <row r="241" spans="1:8" hidden="1" x14ac:dyDescent="0.3">
      <c r="A241" t="s">
        <v>17</v>
      </c>
      <c r="B241" t="s">
        <v>51</v>
      </c>
      <c r="C241" t="s">
        <v>75</v>
      </c>
      <c r="D241">
        <v>2.157429</v>
      </c>
      <c r="E241">
        <v>5.6062942203958096E-3</v>
      </c>
      <c r="F241">
        <v>11.74</v>
      </c>
      <c r="G241" t="s">
        <v>104</v>
      </c>
      <c r="H241" t="s">
        <v>108</v>
      </c>
    </row>
    <row r="242" spans="1:8" hidden="1" x14ac:dyDescent="0.3">
      <c r="A242" t="s">
        <v>17</v>
      </c>
      <c r="B242" t="s">
        <v>60</v>
      </c>
      <c r="C242" t="s">
        <v>98</v>
      </c>
      <c r="D242">
        <v>1.53975</v>
      </c>
      <c r="E242">
        <v>18.045112781954892</v>
      </c>
      <c r="F242">
        <v>41.8</v>
      </c>
      <c r="G242" t="s">
        <v>107</v>
      </c>
      <c r="H242" t="s">
        <v>109</v>
      </c>
    </row>
    <row r="243" spans="1:8" hidden="1" x14ac:dyDescent="0.3">
      <c r="A243" t="s">
        <v>17</v>
      </c>
      <c r="B243" t="s">
        <v>53</v>
      </c>
      <c r="C243" t="s">
        <v>77</v>
      </c>
      <c r="D243">
        <v>4.2</v>
      </c>
      <c r="E243">
        <v>4.0030000000000001</v>
      </c>
      <c r="F243">
        <v>3.86607608129234</v>
      </c>
      <c r="G243" t="s">
        <v>104</v>
      </c>
      <c r="H243" t="s">
        <v>108</v>
      </c>
    </row>
    <row r="244" spans="1:8" hidden="1" x14ac:dyDescent="0.3">
      <c r="A244" t="s">
        <v>17</v>
      </c>
      <c r="B244" t="s">
        <v>61</v>
      </c>
      <c r="C244" t="s">
        <v>99</v>
      </c>
      <c r="D244">
        <v>3</v>
      </c>
      <c r="E244">
        <v>1.8120000000000001</v>
      </c>
      <c r="F244">
        <v>2.9245635910224439</v>
      </c>
      <c r="G244" t="s">
        <v>104</v>
      </c>
      <c r="H244" t="s">
        <v>108</v>
      </c>
    </row>
    <row r="245" spans="1:8" hidden="1" x14ac:dyDescent="0.3">
      <c r="A245" t="s">
        <v>17</v>
      </c>
      <c r="B245" t="s">
        <v>62</v>
      </c>
      <c r="C245" t="s">
        <v>100</v>
      </c>
      <c r="D245">
        <v>1.3</v>
      </c>
      <c r="E245">
        <v>1.8</v>
      </c>
      <c r="F245">
        <v>2.6764106050305911</v>
      </c>
      <c r="G245" t="s">
        <v>104</v>
      </c>
      <c r="H245" t="s">
        <v>108</v>
      </c>
    </row>
    <row r="246" spans="1:8" hidden="1" x14ac:dyDescent="0.3">
      <c r="A246" t="s">
        <v>17</v>
      </c>
      <c r="B246" t="s">
        <v>54</v>
      </c>
      <c r="C246" t="s">
        <v>78</v>
      </c>
      <c r="D246">
        <v>35.299999999999997</v>
      </c>
      <c r="E246">
        <v>3.9550000000000001</v>
      </c>
      <c r="F246">
        <v>3.86607608129234</v>
      </c>
      <c r="G246" t="s">
        <v>104</v>
      </c>
      <c r="H246" t="s">
        <v>108</v>
      </c>
    </row>
    <row r="247" spans="1:8" hidden="1" x14ac:dyDescent="0.3">
      <c r="A247" t="s">
        <v>18</v>
      </c>
      <c r="B247" t="s">
        <v>46</v>
      </c>
      <c r="C247" t="s">
        <v>63</v>
      </c>
      <c r="D247">
        <v>2.2599</v>
      </c>
      <c r="E247">
        <v>2.9286474973375931</v>
      </c>
      <c r="F247">
        <v>3.950479233226837</v>
      </c>
      <c r="G247" t="s">
        <v>104</v>
      </c>
      <c r="H247" t="s">
        <v>108</v>
      </c>
    </row>
    <row r="248" spans="1:8" hidden="1" x14ac:dyDescent="0.3">
      <c r="A248" t="s">
        <v>18</v>
      </c>
      <c r="B248" t="s">
        <v>46</v>
      </c>
      <c r="C248" t="s">
        <v>64</v>
      </c>
      <c r="D248">
        <v>0.46328999999999998</v>
      </c>
      <c r="E248">
        <v>5.6642746659759551</v>
      </c>
      <c r="F248">
        <v>2.9521711768407801</v>
      </c>
      <c r="G248" t="s">
        <v>104</v>
      </c>
      <c r="H248" t="s">
        <v>108</v>
      </c>
    </row>
    <row r="249" spans="1:8" hidden="1" x14ac:dyDescent="0.3">
      <c r="A249" t="s">
        <v>18</v>
      </c>
      <c r="B249" t="s">
        <v>46</v>
      </c>
      <c r="C249" t="s">
        <v>79</v>
      </c>
      <c r="D249">
        <v>4.0999999999999996</v>
      </c>
      <c r="E249">
        <v>4.057317073170732</v>
      </c>
      <c r="F249">
        <v>6.8428961748633883</v>
      </c>
      <c r="G249" t="s">
        <v>104</v>
      </c>
      <c r="H249" t="s">
        <v>108</v>
      </c>
    </row>
    <row r="250" spans="1:8" hidden="1" x14ac:dyDescent="0.3">
      <c r="A250" t="s">
        <v>18</v>
      </c>
      <c r="B250" t="s">
        <v>46</v>
      </c>
      <c r="C250" t="s">
        <v>65</v>
      </c>
      <c r="D250">
        <v>0.5</v>
      </c>
      <c r="E250">
        <v>5.7793999999999999</v>
      </c>
      <c r="F250">
        <v>2.9521711768407801</v>
      </c>
      <c r="G250" t="s">
        <v>104</v>
      </c>
      <c r="H250" t="s">
        <v>108</v>
      </c>
    </row>
    <row r="251" spans="1:8" hidden="1" x14ac:dyDescent="0.3">
      <c r="A251" t="s">
        <v>18</v>
      </c>
      <c r="B251" t="s">
        <v>46</v>
      </c>
      <c r="C251" t="s">
        <v>102</v>
      </c>
      <c r="D251">
        <v>0.4</v>
      </c>
      <c r="E251">
        <v>5.0519999999999996</v>
      </c>
      <c r="F251">
        <v>2.9521711768407801</v>
      </c>
      <c r="G251" t="s">
        <v>104</v>
      </c>
      <c r="H251" t="s">
        <v>108</v>
      </c>
    </row>
    <row r="252" spans="1:8" hidden="1" x14ac:dyDescent="0.3">
      <c r="A252" t="s">
        <v>18</v>
      </c>
      <c r="B252" t="s">
        <v>46</v>
      </c>
      <c r="C252" t="s">
        <v>80</v>
      </c>
      <c r="D252">
        <v>0.32128000000000001</v>
      </c>
      <c r="E252">
        <v>1.2016183412002699</v>
      </c>
      <c r="F252">
        <v>28.139870918023309</v>
      </c>
      <c r="G252" t="s">
        <v>105</v>
      </c>
      <c r="H252" t="s">
        <v>108</v>
      </c>
    </row>
    <row r="253" spans="1:8" hidden="1" x14ac:dyDescent="0.3">
      <c r="A253" t="s">
        <v>18</v>
      </c>
      <c r="B253" t="s">
        <v>46</v>
      </c>
      <c r="C253" t="s">
        <v>81</v>
      </c>
      <c r="D253">
        <v>0.10154000000000001</v>
      </c>
      <c r="E253">
        <v>2.6686251468860172</v>
      </c>
      <c r="F253">
        <v>8.9647473560517046</v>
      </c>
      <c r="G253" t="s">
        <v>105</v>
      </c>
      <c r="H253" t="s">
        <v>108</v>
      </c>
    </row>
    <row r="254" spans="1:8" hidden="1" x14ac:dyDescent="0.3">
      <c r="A254" t="s">
        <v>18</v>
      </c>
      <c r="B254" t="s">
        <v>46</v>
      </c>
      <c r="C254" t="s">
        <v>66</v>
      </c>
      <c r="D254">
        <v>3.6</v>
      </c>
      <c r="E254">
        <v>4.1883333333333326</v>
      </c>
      <c r="F254">
        <v>6.8428961748633883</v>
      </c>
      <c r="G254" t="s">
        <v>104</v>
      </c>
      <c r="H254" t="s">
        <v>108</v>
      </c>
    </row>
    <row r="255" spans="1:8" hidden="1" x14ac:dyDescent="0.3">
      <c r="A255" t="s">
        <v>18</v>
      </c>
      <c r="B255" t="s">
        <v>46</v>
      </c>
      <c r="C255" t="s">
        <v>67</v>
      </c>
      <c r="D255">
        <v>5.0999999999999996</v>
      </c>
      <c r="E255">
        <v>8.083803921568629</v>
      </c>
      <c r="F255">
        <v>2.9521711768407801</v>
      </c>
      <c r="G255" t="s">
        <v>104</v>
      </c>
      <c r="H255" t="s">
        <v>108</v>
      </c>
    </row>
    <row r="256" spans="1:8" hidden="1" x14ac:dyDescent="0.3">
      <c r="A256" t="s">
        <v>18</v>
      </c>
      <c r="B256" t="s">
        <v>46</v>
      </c>
      <c r="C256" t="s">
        <v>82</v>
      </c>
      <c r="D256">
        <v>0.5</v>
      </c>
      <c r="E256">
        <v>2.5655999999999999</v>
      </c>
      <c r="F256">
        <v>6.8428961748633883</v>
      </c>
      <c r="G256" t="s">
        <v>104</v>
      </c>
      <c r="H256" t="s">
        <v>108</v>
      </c>
    </row>
    <row r="257" spans="1:8" hidden="1" x14ac:dyDescent="0.3">
      <c r="A257" t="s">
        <v>18</v>
      </c>
      <c r="B257" t="s">
        <v>46</v>
      </c>
      <c r="C257" t="s">
        <v>83</v>
      </c>
      <c r="D257">
        <v>0.75970999999999989</v>
      </c>
      <c r="E257">
        <v>3.883211106869727</v>
      </c>
      <c r="F257">
        <v>6.8428961748633883</v>
      </c>
      <c r="G257" t="s">
        <v>104</v>
      </c>
      <c r="H257" t="s">
        <v>108</v>
      </c>
    </row>
    <row r="258" spans="1:8" hidden="1" x14ac:dyDescent="0.3">
      <c r="A258" t="s">
        <v>18</v>
      </c>
      <c r="B258" t="s">
        <v>46</v>
      </c>
      <c r="C258" t="s">
        <v>84</v>
      </c>
      <c r="D258">
        <v>0.3</v>
      </c>
      <c r="E258">
        <v>2.4086666666666661</v>
      </c>
      <c r="F258">
        <v>28.139870918023309</v>
      </c>
      <c r="G258" t="s">
        <v>105</v>
      </c>
      <c r="H258" t="s">
        <v>108</v>
      </c>
    </row>
    <row r="259" spans="1:8" hidden="1" x14ac:dyDescent="0.3">
      <c r="A259" t="s">
        <v>18</v>
      </c>
      <c r="B259" t="s">
        <v>46</v>
      </c>
      <c r="C259" t="s">
        <v>85</v>
      </c>
      <c r="D259">
        <v>0.5</v>
      </c>
      <c r="E259">
        <v>4.2939999999999996</v>
      </c>
      <c r="F259">
        <v>2.9521711768407801</v>
      </c>
      <c r="G259" t="s">
        <v>104</v>
      </c>
      <c r="H259" t="s">
        <v>108</v>
      </c>
    </row>
    <row r="260" spans="1:8" hidden="1" x14ac:dyDescent="0.3">
      <c r="A260" t="s">
        <v>18</v>
      </c>
      <c r="B260" t="s">
        <v>55</v>
      </c>
      <c r="C260" t="s">
        <v>86</v>
      </c>
      <c r="D260">
        <v>0.92080000000000006</v>
      </c>
      <c r="E260">
        <v>14.109</v>
      </c>
      <c r="G260" t="s">
        <v>106</v>
      </c>
      <c r="H260" t="s">
        <v>109</v>
      </c>
    </row>
    <row r="261" spans="1:8" hidden="1" x14ac:dyDescent="0.3">
      <c r="A261" t="s">
        <v>18</v>
      </c>
      <c r="B261" t="s">
        <v>55</v>
      </c>
      <c r="C261" t="s">
        <v>87</v>
      </c>
      <c r="D261">
        <v>3.4325999999999999</v>
      </c>
      <c r="E261">
        <v>19.335000000000001</v>
      </c>
      <c r="G261" t="s">
        <v>106</v>
      </c>
      <c r="H261" t="s">
        <v>109</v>
      </c>
    </row>
    <row r="262" spans="1:8" hidden="1" x14ac:dyDescent="0.3">
      <c r="A262" t="s">
        <v>18</v>
      </c>
      <c r="B262" t="s">
        <v>55</v>
      </c>
      <c r="C262" t="s">
        <v>88</v>
      </c>
      <c r="D262">
        <v>1.3866000000000001</v>
      </c>
      <c r="E262">
        <v>16.361999999999998</v>
      </c>
      <c r="G262" t="s">
        <v>106</v>
      </c>
      <c r="H262" t="s">
        <v>109</v>
      </c>
    </row>
    <row r="263" spans="1:8" hidden="1" x14ac:dyDescent="0.3">
      <c r="A263" t="s">
        <v>18</v>
      </c>
      <c r="B263" t="s">
        <v>55</v>
      </c>
      <c r="C263" t="s">
        <v>91</v>
      </c>
      <c r="D263">
        <v>1.8E-3</v>
      </c>
      <c r="E263">
        <v>13.2</v>
      </c>
      <c r="G263" t="s">
        <v>106</v>
      </c>
      <c r="H263" t="s">
        <v>109</v>
      </c>
    </row>
    <row r="264" spans="1:8" hidden="1" x14ac:dyDescent="0.3">
      <c r="A264" t="s">
        <v>18</v>
      </c>
      <c r="B264" t="s">
        <v>56</v>
      </c>
      <c r="C264" t="s">
        <v>93</v>
      </c>
      <c r="D264">
        <v>14.722899999999999</v>
      </c>
      <c r="E264">
        <v>2.939759036144578</v>
      </c>
      <c r="G264" t="s">
        <v>106</v>
      </c>
      <c r="H264" t="s">
        <v>109</v>
      </c>
    </row>
    <row r="265" spans="1:8" hidden="1" x14ac:dyDescent="0.3">
      <c r="A265" t="s">
        <v>18</v>
      </c>
      <c r="B265" t="s">
        <v>47</v>
      </c>
      <c r="C265" t="s">
        <v>68</v>
      </c>
      <c r="D265">
        <v>11.4</v>
      </c>
      <c r="E265">
        <v>6.3350964912280698</v>
      </c>
      <c r="G265" t="s">
        <v>104</v>
      </c>
      <c r="H265" t="s">
        <v>109</v>
      </c>
    </row>
    <row r="266" spans="1:8" hidden="1" x14ac:dyDescent="0.3">
      <c r="A266" t="s">
        <v>18</v>
      </c>
      <c r="B266" t="s">
        <v>47</v>
      </c>
      <c r="C266" t="s">
        <v>69</v>
      </c>
      <c r="D266">
        <v>5</v>
      </c>
      <c r="E266">
        <v>10.04354</v>
      </c>
      <c r="G266" t="s">
        <v>104</v>
      </c>
      <c r="H266" t="s">
        <v>109</v>
      </c>
    </row>
    <row r="267" spans="1:8" hidden="1" x14ac:dyDescent="0.3">
      <c r="A267" t="s">
        <v>18</v>
      </c>
      <c r="B267" t="s">
        <v>48</v>
      </c>
      <c r="C267" t="s">
        <v>70</v>
      </c>
      <c r="D267">
        <v>3.3</v>
      </c>
      <c r="E267">
        <v>16.97818181818182</v>
      </c>
      <c r="G267" t="s">
        <v>104</v>
      </c>
      <c r="H267" t="s">
        <v>109</v>
      </c>
    </row>
    <row r="268" spans="1:8" hidden="1" x14ac:dyDescent="0.3">
      <c r="A268" t="s">
        <v>18</v>
      </c>
      <c r="B268" t="s">
        <v>49</v>
      </c>
      <c r="C268" t="s">
        <v>71</v>
      </c>
      <c r="D268">
        <v>7.3425200000000004</v>
      </c>
      <c r="E268">
        <v>5.3241218668794907</v>
      </c>
      <c r="F268">
        <v>3.86607608129234</v>
      </c>
      <c r="G268" t="s">
        <v>104</v>
      </c>
      <c r="H268" t="s">
        <v>108</v>
      </c>
    </row>
    <row r="269" spans="1:8" hidden="1" x14ac:dyDescent="0.3">
      <c r="A269" t="s">
        <v>18</v>
      </c>
      <c r="B269" t="s">
        <v>49</v>
      </c>
      <c r="C269" t="s">
        <v>72</v>
      </c>
      <c r="D269">
        <v>1.7</v>
      </c>
      <c r="E269">
        <v>4.2687647058823526</v>
      </c>
      <c r="F269">
        <v>3.86607608129234</v>
      </c>
      <c r="G269" t="s">
        <v>104</v>
      </c>
      <c r="H269" t="s">
        <v>108</v>
      </c>
    </row>
    <row r="270" spans="1:8" hidden="1" x14ac:dyDescent="0.3">
      <c r="A270" t="s">
        <v>18</v>
      </c>
      <c r="B270" t="s">
        <v>58</v>
      </c>
      <c r="C270" t="s">
        <v>95</v>
      </c>
      <c r="D270">
        <v>5.8078000000000003</v>
      </c>
      <c r="E270">
        <v>3.495031393987396</v>
      </c>
      <c r="F270">
        <v>2.9521711768407801</v>
      </c>
      <c r="G270" t="s">
        <v>104</v>
      </c>
      <c r="H270" t="s">
        <v>108</v>
      </c>
    </row>
    <row r="271" spans="1:8" hidden="1" x14ac:dyDescent="0.3">
      <c r="A271" t="s">
        <v>18</v>
      </c>
      <c r="B271" t="s">
        <v>50</v>
      </c>
      <c r="C271" t="s">
        <v>73</v>
      </c>
      <c r="D271">
        <v>0.70000000000000007</v>
      </c>
      <c r="E271">
        <v>5.3448571428571423</v>
      </c>
      <c r="F271">
        <v>20.723404255319149</v>
      </c>
      <c r="G271" t="s">
        <v>105</v>
      </c>
      <c r="H271" t="s">
        <v>108</v>
      </c>
    </row>
    <row r="272" spans="1:8" hidden="1" x14ac:dyDescent="0.3">
      <c r="A272" t="s">
        <v>18</v>
      </c>
      <c r="B272" t="s">
        <v>50</v>
      </c>
      <c r="C272" t="s">
        <v>74</v>
      </c>
      <c r="D272">
        <v>6.3</v>
      </c>
      <c r="E272">
        <v>4.1219682539682543</v>
      </c>
      <c r="F272">
        <v>2.0635593220338988</v>
      </c>
      <c r="G272" t="s">
        <v>105</v>
      </c>
      <c r="H272" t="s">
        <v>108</v>
      </c>
    </row>
    <row r="273" spans="1:8" hidden="1" x14ac:dyDescent="0.3">
      <c r="A273" t="s">
        <v>18</v>
      </c>
      <c r="B273" t="s">
        <v>59</v>
      </c>
      <c r="C273" t="s">
        <v>96</v>
      </c>
      <c r="D273">
        <v>0.23580000000000001</v>
      </c>
      <c r="E273">
        <v>17.279</v>
      </c>
      <c r="G273" t="s">
        <v>107</v>
      </c>
      <c r="H273" t="s">
        <v>109</v>
      </c>
    </row>
    <row r="274" spans="1:8" hidden="1" x14ac:dyDescent="0.3">
      <c r="A274" t="s">
        <v>18</v>
      </c>
      <c r="B274" t="s">
        <v>59</v>
      </c>
      <c r="C274" t="s">
        <v>97</v>
      </c>
      <c r="D274">
        <v>0.34429999999999999</v>
      </c>
      <c r="E274">
        <v>19.96744438415627</v>
      </c>
      <c r="G274" t="s">
        <v>107</v>
      </c>
      <c r="H274" t="s">
        <v>109</v>
      </c>
    </row>
    <row r="275" spans="1:8" hidden="1" x14ac:dyDescent="0.3">
      <c r="A275" t="s">
        <v>18</v>
      </c>
      <c r="B275" t="s">
        <v>51</v>
      </c>
      <c r="C275" t="s">
        <v>75</v>
      </c>
      <c r="D275">
        <v>2.3129919999999999</v>
      </c>
      <c r="E275">
        <v>9.3881235149403899E-2</v>
      </c>
      <c r="F275">
        <v>11.74</v>
      </c>
      <c r="G275" t="s">
        <v>104</v>
      </c>
      <c r="H275" t="s">
        <v>108</v>
      </c>
    </row>
    <row r="276" spans="1:8" hidden="1" x14ac:dyDescent="0.3">
      <c r="A276" t="s">
        <v>18</v>
      </c>
      <c r="B276" t="s">
        <v>52</v>
      </c>
      <c r="C276" t="s">
        <v>76</v>
      </c>
      <c r="D276">
        <v>0.39300000000000002</v>
      </c>
      <c r="E276">
        <v>0</v>
      </c>
      <c r="F276">
        <v>12.68872359754714</v>
      </c>
      <c r="G276" t="s">
        <v>105</v>
      </c>
      <c r="H276" t="s">
        <v>108</v>
      </c>
    </row>
    <row r="277" spans="1:8" hidden="1" x14ac:dyDescent="0.3">
      <c r="A277" t="s">
        <v>18</v>
      </c>
      <c r="B277" t="s">
        <v>53</v>
      </c>
      <c r="C277" t="s">
        <v>77</v>
      </c>
      <c r="D277">
        <v>2.4</v>
      </c>
      <c r="E277">
        <v>4.2692083333333333</v>
      </c>
      <c r="F277">
        <v>3.86607608129234</v>
      </c>
      <c r="G277" t="s">
        <v>104</v>
      </c>
      <c r="H277" t="s">
        <v>108</v>
      </c>
    </row>
    <row r="278" spans="1:8" hidden="1" x14ac:dyDescent="0.3">
      <c r="A278" t="s">
        <v>18</v>
      </c>
      <c r="B278" t="s">
        <v>61</v>
      </c>
      <c r="C278" t="s">
        <v>99</v>
      </c>
      <c r="D278">
        <v>1.4</v>
      </c>
      <c r="E278">
        <v>2.0257142857142849</v>
      </c>
      <c r="F278">
        <v>2.9245635910224439</v>
      </c>
      <c r="G278" t="s">
        <v>104</v>
      </c>
      <c r="H278" t="s">
        <v>108</v>
      </c>
    </row>
    <row r="279" spans="1:8" hidden="1" x14ac:dyDescent="0.3">
      <c r="A279" t="s">
        <v>18</v>
      </c>
      <c r="B279" t="s">
        <v>54</v>
      </c>
      <c r="C279" t="s">
        <v>78</v>
      </c>
      <c r="D279">
        <v>10.6</v>
      </c>
      <c r="E279">
        <v>8.9306603773584907</v>
      </c>
      <c r="F279">
        <v>3.86607608129234</v>
      </c>
      <c r="G279" t="s">
        <v>104</v>
      </c>
      <c r="H279" t="s">
        <v>108</v>
      </c>
    </row>
    <row r="280" spans="1:8" hidden="1" x14ac:dyDescent="0.3">
      <c r="A280" t="s">
        <v>19</v>
      </c>
      <c r="B280" t="s">
        <v>46</v>
      </c>
      <c r="C280" t="s">
        <v>63</v>
      </c>
      <c r="D280">
        <v>6.0467000000000004</v>
      </c>
      <c r="E280">
        <v>2.9286474973375931</v>
      </c>
      <c r="F280">
        <v>3.950479233226837</v>
      </c>
      <c r="G280" t="s">
        <v>104</v>
      </c>
      <c r="H280" t="s">
        <v>108</v>
      </c>
    </row>
    <row r="281" spans="1:8" hidden="1" x14ac:dyDescent="0.3">
      <c r="A281" t="s">
        <v>19</v>
      </c>
      <c r="B281" t="s">
        <v>46</v>
      </c>
      <c r="C281" t="s">
        <v>64</v>
      </c>
      <c r="D281">
        <v>0.78149999999999997</v>
      </c>
      <c r="E281">
        <v>6.5775847728726813</v>
      </c>
      <c r="F281">
        <v>2.9521711768407801</v>
      </c>
      <c r="G281" t="s">
        <v>104</v>
      </c>
      <c r="H281" t="s">
        <v>108</v>
      </c>
    </row>
    <row r="282" spans="1:8" hidden="1" x14ac:dyDescent="0.3">
      <c r="A282" t="s">
        <v>19</v>
      </c>
      <c r="B282" t="s">
        <v>46</v>
      </c>
      <c r="C282" t="s">
        <v>79</v>
      </c>
      <c r="D282">
        <v>38.700000000000003</v>
      </c>
      <c r="E282">
        <v>2.7265090439276478</v>
      </c>
      <c r="F282">
        <v>6.8428961748633883</v>
      </c>
      <c r="G282" t="s">
        <v>104</v>
      </c>
      <c r="H282" t="s">
        <v>108</v>
      </c>
    </row>
    <row r="283" spans="1:8" hidden="1" x14ac:dyDescent="0.3">
      <c r="A283" t="s">
        <v>19</v>
      </c>
      <c r="B283" t="s">
        <v>46</v>
      </c>
      <c r="C283" t="s">
        <v>65</v>
      </c>
      <c r="D283">
        <v>6</v>
      </c>
      <c r="E283">
        <v>6.3805499999999986</v>
      </c>
      <c r="F283">
        <v>2.9521711768407801</v>
      </c>
      <c r="G283" t="s">
        <v>104</v>
      </c>
      <c r="H283" t="s">
        <v>108</v>
      </c>
    </row>
    <row r="284" spans="1:8" hidden="1" x14ac:dyDescent="0.3">
      <c r="A284" t="s">
        <v>19</v>
      </c>
      <c r="B284" t="s">
        <v>46</v>
      </c>
      <c r="C284" t="s">
        <v>102</v>
      </c>
      <c r="D284">
        <v>2.8</v>
      </c>
      <c r="E284">
        <v>5.4518571428571434</v>
      </c>
      <c r="F284">
        <v>2.9521711768407801</v>
      </c>
      <c r="G284" t="s">
        <v>104</v>
      </c>
      <c r="H284" t="s">
        <v>108</v>
      </c>
    </row>
    <row r="285" spans="1:8" hidden="1" x14ac:dyDescent="0.3">
      <c r="A285" t="s">
        <v>19</v>
      </c>
      <c r="B285" t="s">
        <v>46</v>
      </c>
      <c r="C285" t="s">
        <v>80</v>
      </c>
      <c r="D285">
        <v>2.5103399999999998</v>
      </c>
      <c r="E285">
        <v>0.53674983142279165</v>
      </c>
      <c r="F285">
        <v>28.139870918023309</v>
      </c>
      <c r="G285" t="s">
        <v>105</v>
      </c>
      <c r="H285" t="s">
        <v>108</v>
      </c>
    </row>
    <row r="286" spans="1:8" hidden="1" x14ac:dyDescent="0.3">
      <c r="A286" t="s">
        <v>19</v>
      </c>
      <c r="B286" t="s">
        <v>46</v>
      </c>
      <c r="C286" t="s">
        <v>81</v>
      </c>
      <c r="D286">
        <v>0.57340000000000002</v>
      </c>
      <c r="E286">
        <v>1.0987074030552291</v>
      </c>
      <c r="F286">
        <v>8.9647473560517046</v>
      </c>
      <c r="G286" t="s">
        <v>105</v>
      </c>
      <c r="H286" t="s">
        <v>108</v>
      </c>
    </row>
    <row r="287" spans="1:8" hidden="1" x14ac:dyDescent="0.3">
      <c r="A287" t="s">
        <v>19</v>
      </c>
      <c r="B287" t="s">
        <v>46</v>
      </c>
      <c r="C287" t="s">
        <v>66</v>
      </c>
      <c r="D287">
        <v>4.5999999999999996</v>
      </c>
      <c r="E287">
        <v>2.810260869565218</v>
      </c>
      <c r="F287">
        <v>6.8428961748633883</v>
      </c>
      <c r="G287" t="s">
        <v>104</v>
      </c>
      <c r="H287" t="s">
        <v>108</v>
      </c>
    </row>
    <row r="288" spans="1:8" hidden="1" x14ac:dyDescent="0.3">
      <c r="A288" t="s">
        <v>19</v>
      </c>
      <c r="B288" t="s">
        <v>46</v>
      </c>
      <c r="C288" t="s">
        <v>67</v>
      </c>
      <c r="D288">
        <v>13</v>
      </c>
      <c r="E288">
        <v>9.4311692307692301</v>
      </c>
      <c r="F288">
        <v>2.9521711768407801</v>
      </c>
      <c r="G288" t="s">
        <v>104</v>
      </c>
      <c r="H288" t="s">
        <v>108</v>
      </c>
    </row>
    <row r="289" spans="1:8" hidden="1" x14ac:dyDescent="0.3">
      <c r="A289" t="s">
        <v>19</v>
      </c>
      <c r="B289" t="s">
        <v>46</v>
      </c>
      <c r="C289" t="s">
        <v>82</v>
      </c>
      <c r="D289">
        <v>5</v>
      </c>
      <c r="E289">
        <v>1.7821199999999999</v>
      </c>
      <c r="F289">
        <v>6.8428961748633883</v>
      </c>
      <c r="G289" t="s">
        <v>104</v>
      </c>
      <c r="H289" t="s">
        <v>108</v>
      </c>
    </row>
    <row r="290" spans="1:8" hidden="1" x14ac:dyDescent="0.3">
      <c r="A290" t="s">
        <v>19</v>
      </c>
      <c r="B290" t="s">
        <v>46</v>
      </c>
      <c r="C290" t="s">
        <v>83</v>
      </c>
      <c r="D290">
        <v>2.5337000000000001</v>
      </c>
      <c r="E290">
        <v>2.6192875557485098</v>
      </c>
      <c r="F290">
        <v>6.8428961748633883</v>
      </c>
      <c r="G290" t="s">
        <v>104</v>
      </c>
      <c r="H290" t="s">
        <v>108</v>
      </c>
    </row>
    <row r="291" spans="1:8" hidden="1" x14ac:dyDescent="0.3">
      <c r="A291" t="s">
        <v>19</v>
      </c>
      <c r="B291" t="s">
        <v>46</v>
      </c>
      <c r="C291" t="s">
        <v>84</v>
      </c>
      <c r="D291">
        <v>1</v>
      </c>
      <c r="E291">
        <v>2.0184000000000002</v>
      </c>
      <c r="F291">
        <v>28.139870918023309</v>
      </c>
      <c r="G291" t="s">
        <v>105</v>
      </c>
      <c r="H291" t="s">
        <v>108</v>
      </c>
    </row>
    <row r="292" spans="1:8" hidden="1" x14ac:dyDescent="0.3">
      <c r="A292" t="s">
        <v>19</v>
      </c>
      <c r="B292" t="s">
        <v>46</v>
      </c>
      <c r="C292" t="s">
        <v>85</v>
      </c>
      <c r="D292">
        <v>7.1</v>
      </c>
      <c r="E292">
        <v>4.5374507042253533</v>
      </c>
      <c r="F292">
        <v>2.9521711768407801</v>
      </c>
      <c r="G292" t="s">
        <v>104</v>
      </c>
      <c r="H292" t="s">
        <v>108</v>
      </c>
    </row>
    <row r="293" spans="1:8" hidden="1" x14ac:dyDescent="0.3">
      <c r="A293" t="s">
        <v>19</v>
      </c>
      <c r="B293" t="s">
        <v>55</v>
      </c>
      <c r="C293" t="s">
        <v>86</v>
      </c>
      <c r="D293">
        <v>13.4686</v>
      </c>
      <c r="E293">
        <v>12.451000000000001</v>
      </c>
      <c r="F293">
        <v>11.3</v>
      </c>
      <c r="G293" t="s">
        <v>106</v>
      </c>
      <c r="H293" t="s">
        <v>109</v>
      </c>
    </row>
    <row r="294" spans="1:8" hidden="1" x14ac:dyDescent="0.3">
      <c r="A294" t="s">
        <v>19</v>
      </c>
      <c r="B294" t="s">
        <v>55</v>
      </c>
      <c r="C294" t="s">
        <v>87</v>
      </c>
      <c r="D294">
        <v>1.5038</v>
      </c>
      <c r="E294">
        <v>14.749000000000001</v>
      </c>
      <c r="F294">
        <v>11.3</v>
      </c>
      <c r="G294" t="s">
        <v>106</v>
      </c>
      <c r="H294" t="s">
        <v>109</v>
      </c>
    </row>
    <row r="295" spans="1:8" hidden="1" x14ac:dyDescent="0.3">
      <c r="A295" t="s">
        <v>19</v>
      </c>
      <c r="B295" t="s">
        <v>55</v>
      </c>
      <c r="C295" t="s">
        <v>88</v>
      </c>
      <c r="D295">
        <v>3.5546000000000002</v>
      </c>
      <c r="E295">
        <v>14.413999999999991</v>
      </c>
      <c r="F295">
        <v>11.3</v>
      </c>
      <c r="G295" t="s">
        <v>106</v>
      </c>
      <c r="H295" t="s">
        <v>109</v>
      </c>
    </row>
    <row r="296" spans="1:8" hidden="1" x14ac:dyDescent="0.3">
      <c r="A296" t="s">
        <v>19</v>
      </c>
      <c r="B296" t="s">
        <v>55</v>
      </c>
      <c r="C296" t="s">
        <v>89</v>
      </c>
      <c r="D296">
        <v>3.1576</v>
      </c>
      <c r="E296">
        <v>0</v>
      </c>
      <c r="F296">
        <v>11.3</v>
      </c>
      <c r="G296" t="s">
        <v>106</v>
      </c>
      <c r="H296" t="s">
        <v>109</v>
      </c>
    </row>
    <row r="297" spans="1:8" hidden="1" x14ac:dyDescent="0.3">
      <c r="A297" t="s">
        <v>19</v>
      </c>
      <c r="B297" t="s">
        <v>55</v>
      </c>
      <c r="C297" t="s">
        <v>90</v>
      </c>
      <c r="D297">
        <v>0.105</v>
      </c>
      <c r="E297">
        <v>15.036</v>
      </c>
      <c r="F297">
        <v>11.3</v>
      </c>
      <c r="G297" t="s">
        <v>106</v>
      </c>
      <c r="H297" t="s">
        <v>109</v>
      </c>
    </row>
    <row r="298" spans="1:8" hidden="1" x14ac:dyDescent="0.3">
      <c r="A298" t="s">
        <v>19</v>
      </c>
      <c r="B298" t="s">
        <v>55</v>
      </c>
      <c r="C298" t="s">
        <v>91</v>
      </c>
      <c r="D298">
        <v>3.1450999999999998</v>
      </c>
      <c r="E298">
        <v>13.113</v>
      </c>
      <c r="F298">
        <v>11.3</v>
      </c>
      <c r="G298" t="s">
        <v>106</v>
      </c>
      <c r="H298" t="s">
        <v>109</v>
      </c>
    </row>
    <row r="299" spans="1:8" hidden="1" x14ac:dyDescent="0.3">
      <c r="A299" t="s">
        <v>19</v>
      </c>
      <c r="B299" t="s">
        <v>55</v>
      </c>
      <c r="C299" t="s">
        <v>92</v>
      </c>
      <c r="D299">
        <v>0.93060999999999994</v>
      </c>
      <c r="E299">
        <v>14.749000000000001</v>
      </c>
      <c r="F299">
        <v>11.3</v>
      </c>
      <c r="G299" t="s">
        <v>106</v>
      </c>
      <c r="H299" t="s">
        <v>109</v>
      </c>
    </row>
    <row r="300" spans="1:8" hidden="1" x14ac:dyDescent="0.3">
      <c r="A300" t="s">
        <v>19</v>
      </c>
      <c r="B300" t="s">
        <v>56</v>
      </c>
      <c r="C300" t="s">
        <v>93</v>
      </c>
      <c r="D300">
        <v>106.0793</v>
      </c>
      <c r="E300">
        <v>2.939759036144578</v>
      </c>
      <c r="F300">
        <v>23.6</v>
      </c>
      <c r="G300" t="s">
        <v>106</v>
      </c>
      <c r="H300" t="s">
        <v>109</v>
      </c>
    </row>
    <row r="301" spans="1:8" hidden="1" x14ac:dyDescent="0.3">
      <c r="A301" t="s">
        <v>19</v>
      </c>
      <c r="B301" t="s">
        <v>47</v>
      </c>
      <c r="C301" t="s">
        <v>68</v>
      </c>
      <c r="D301">
        <v>154.5</v>
      </c>
      <c r="E301">
        <v>6.2148252427184456</v>
      </c>
      <c r="F301">
        <v>14.9</v>
      </c>
      <c r="G301" t="s">
        <v>104</v>
      </c>
      <c r="H301" t="s">
        <v>109</v>
      </c>
    </row>
    <row r="302" spans="1:8" hidden="1" x14ac:dyDescent="0.3">
      <c r="A302" t="s">
        <v>19</v>
      </c>
      <c r="B302" t="s">
        <v>47</v>
      </c>
      <c r="C302" t="s">
        <v>69</v>
      </c>
      <c r="D302">
        <v>54.2</v>
      </c>
      <c r="E302">
        <v>10.58018819188192</v>
      </c>
      <c r="F302">
        <v>14.9</v>
      </c>
      <c r="G302" t="s">
        <v>104</v>
      </c>
      <c r="H302" t="s">
        <v>109</v>
      </c>
    </row>
    <row r="303" spans="1:8" hidden="1" x14ac:dyDescent="0.3">
      <c r="A303" t="s">
        <v>19</v>
      </c>
      <c r="B303" t="s">
        <v>48</v>
      </c>
      <c r="C303" t="s">
        <v>70</v>
      </c>
      <c r="D303">
        <v>40.5</v>
      </c>
      <c r="E303">
        <v>16.769409876543211</v>
      </c>
      <c r="F303">
        <v>16.8</v>
      </c>
      <c r="G303" t="s">
        <v>104</v>
      </c>
      <c r="H303" t="s">
        <v>109</v>
      </c>
    </row>
    <row r="304" spans="1:8" hidden="1" x14ac:dyDescent="0.3">
      <c r="A304" t="s">
        <v>19</v>
      </c>
      <c r="B304" t="s">
        <v>49</v>
      </c>
      <c r="C304" t="s">
        <v>71</v>
      </c>
      <c r="D304">
        <v>128.98053999999999</v>
      </c>
      <c r="E304">
        <v>6.1037021716609354</v>
      </c>
      <c r="F304">
        <v>3.86607608129234</v>
      </c>
      <c r="G304" t="s">
        <v>104</v>
      </c>
      <c r="H304" t="s">
        <v>108</v>
      </c>
    </row>
    <row r="305" spans="1:8" hidden="1" x14ac:dyDescent="0.3">
      <c r="A305" t="s">
        <v>19</v>
      </c>
      <c r="B305" t="s">
        <v>49</v>
      </c>
      <c r="C305" t="s">
        <v>72</v>
      </c>
      <c r="D305">
        <v>15.4</v>
      </c>
      <c r="E305">
        <v>4.8959999999999999</v>
      </c>
      <c r="F305">
        <v>3.86607608129234</v>
      </c>
      <c r="G305" t="s">
        <v>104</v>
      </c>
      <c r="H305" t="s">
        <v>108</v>
      </c>
    </row>
    <row r="306" spans="1:8" hidden="1" x14ac:dyDescent="0.3">
      <c r="A306" t="s">
        <v>19</v>
      </c>
      <c r="B306" t="s">
        <v>58</v>
      </c>
      <c r="C306" t="s">
        <v>95</v>
      </c>
      <c r="D306">
        <v>24.256080000000001</v>
      </c>
      <c r="E306">
        <v>3.145</v>
      </c>
      <c r="F306">
        <v>2.9521711768407801</v>
      </c>
      <c r="G306" t="s">
        <v>104</v>
      </c>
      <c r="H306" t="s">
        <v>108</v>
      </c>
    </row>
    <row r="307" spans="1:8" hidden="1" x14ac:dyDescent="0.3">
      <c r="A307" t="s">
        <v>19</v>
      </c>
      <c r="B307" t="s">
        <v>50</v>
      </c>
      <c r="C307" t="s">
        <v>73</v>
      </c>
      <c r="D307">
        <v>26.7</v>
      </c>
      <c r="E307">
        <v>5.4884606741573032</v>
      </c>
      <c r="F307">
        <v>20.723404255319149</v>
      </c>
      <c r="G307" t="s">
        <v>105</v>
      </c>
      <c r="H307" t="s">
        <v>108</v>
      </c>
    </row>
    <row r="308" spans="1:8" hidden="1" x14ac:dyDescent="0.3">
      <c r="A308" t="s">
        <v>19</v>
      </c>
      <c r="B308" t="s">
        <v>50</v>
      </c>
      <c r="C308" t="s">
        <v>74</v>
      </c>
      <c r="D308">
        <v>73</v>
      </c>
      <c r="E308">
        <v>4.2152397260273977</v>
      </c>
      <c r="F308">
        <v>2.0635593220338988</v>
      </c>
      <c r="G308" t="s">
        <v>105</v>
      </c>
      <c r="H308" t="s">
        <v>108</v>
      </c>
    </row>
    <row r="309" spans="1:8" hidden="1" x14ac:dyDescent="0.3">
      <c r="A309" t="s">
        <v>19</v>
      </c>
      <c r="B309" t="s">
        <v>59</v>
      </c>
      <c r="C309" t="s">
        <v>96</v>
      </c>
      <c r="D309">
        <v>1.7427999999999999</v>
      </c>
      <c r="E309">
        <v>17.309999999999999</v>
      </c>
      <c r="F309">
        <v>33.700000000000003</v>
      </c>
      <c r="G309" t="s">
        <v>107</v>
      </c>
      <c r="H309" t="s">
        <v>109</v>
      </c>
    </row>
    <row r="310" spans="1:8" hidden="1" x14ac:dyDescent="0.3">
      <c r="A310" t="s">
        <v>19</v>
      </c>
      <c r="B310" t="s">
        <v>59</v>
      </c>
      <c r="C310" t="s">
        <v>97</v>
      </c>
      <c r="D310">
        <v>7.5465</v>
      </c>
      <c r="E310">
        <v>20.835594139989151</v>
      </c>
      <c r="F310">
        <v>33.700000000000003</v>
      </c>
      <c r="G310" t="s">
        <v>107</v>
      </c>
      <c r="H310" t="s">
        <v>109</v>
      </c>
    </row>
    <row r="311" spans="1:8" hidden="1" x14ac:dyDescent="0.3">
      <c r="A311" t="s">
        <v>19</v>
      </c>
      <c r="B311" t="s">
        <v>51</v>
      </c>
      <c r="C311" t="s">
        <v>75</v>
      </c>
      <c r="D311">
        <v>22.8796</v>
      </c>
      <c r="E311">
        <v>2.3357936992981999E-4</v>
      </c>
      <c r="F311">
        <v>11.74</v>
      </c>
      <c r="G311" t="s">
        <v>104</v>
      </c>
      <c r="H311" t="s">
        <v>108</v>
      </c>
    </row>
    <row r="312" spans="1:8" hidden="1" x14ac:dyDescent="0.3">
      <c r="A312" t="s">
        <v>19</v>
      </c>
      <c r="B312" t="s">
        <v>60</v>
      </c>
      <c r="C312" t="s">
        <v>98</v>
      </c>
      <c r="D312">
        <v>1.5189600000000001</v>
      </c>
      <c r="E312">
        <v>25.563909774436091</v>
      </c>
      <c r="F312">
        <v>19.899999999999999</v>
      </c>
      <c r="G312" t="s">
        <v>107</v>
      </c>
      <c r="H312" t="s">
        <v>109</v>
      </c>
    </row>
    <row r="313" spans="1:8" hidden="1" x14ac:dyDescent="0.3">
      <c r="A313" t="s">
        <v>19</v>
      </c>
      <c r="B313" t="s">
        <v>52</v>
      </c>
      <c r="C313" t="s">
        <v>76</v>
      </c>
      <c r="D313">
        <v>0.88</v>
      </c>
      <c r="E313">
        <v>7.5037500000000001</v>
      </c>
      <c r="F313">
        <v>12.68872359754714</v>
      </c>
      <c r="G313" t="s">
        <v>105</v>
      </c>
      <c r="H313" t="s">
        <v>108</v>
      </c>
    </row>
    <row r="314" spans="1:8" hidden="1" x14ac:dyDescent="0.3">
      <c r="A314" t="s">
        <v>19</v>
      </c>
      <c r="B314" t="s">
        <v>53</v>
      </c>
      <c r="C314" t="s">
        <v>77</v>
      </c>
      <c r="D314">
        <v>8.1999999999999993</v>
      </c>
      <c r="E314">
        <v>4.8959146341463411</v>
      </c>
      <c r="F314">
        <v>3.86607608129234</v>
      </c>
      <c r="G314" t="s">
        <v>104</v>
      </c>
      <c r="H314" t="s">
        <v>108</v>
      </c>
    </row>
    <row r="315" spans="1:8" hidden="1" x14ac:dyDescent="0.3">
      <c r="A315" t="s">
        <v>19</v>
      </c>
      <c r="B315" t="s">
        <v>61</v>
      </c>
      <c r="C315" t="s">
        <v>99</v>
      </c>
      <c r="D315">
        <v>14</v>
      </c>
      <c r="E315">
        <v>2.5040428571428568</v>
      </c>
      <c r="F315">
        <v>2.9245635910224439</v>
      </c>
      <c r="G315" t="s">
        <v>104</v>
      </c>
      <c r="H315" t="s">
        <v>108</v>
      </c>
    </row>
    <row r="316" spans="1:8" hidden="1" x14ac:dyDescent="0.3">
      <c r="A316" t="s">
        <v>19</v>
      </c>
      <c r="B316" t="s">
        <v>62</v>
      </c>
      <c r="C316" t="s">
        <v>100</v>
      </c>
      <c r="D316">
        <v>2.8</v>
      </c>
      <c r="E316">
        <v>0.2821428571428572</v>
      </c>
      <c r="F316">
        <v>2.6764106050305911</v>
      </c>
      <c r="G316" t="s">
        <v>104</v>
      </c>
      <c r="H316" t="s">
        <v>108</v>
      </c>
    </row>
    <row r="317" spans="1:8" hidden="1" x14ac:dyDescent="0.3">
      <c r="A317" t="s">
        <v>19</v>
      </c>
      <c r="B317" t="s">
        <v>54</v>
      </c>
      <c r="C317" t="s">
        <v>78</v>
      </c>
      <c r="D317">
        <v>66.8</v>
      </c>
      <c r="E317">
        <v>10.27123652694611</v>
      </c>
      <c r="F317">
        <v>3.86607608129234</v>
      </c>
      <c r="G317" t="s">
        <v>104</v>
      </c>
      <c r="H317" t="s">
        <v>108</v>
      </c>
    </row>
    <row r="318" spans="1:8" hidden="1" x14ac:dyDescent="0.3">
      <c r="A318" t="s">
        <v>20</v>
      </c>
      <c r="B318" t="s">
        <v>46</v>
      </c>
      <c r="C318" t="s">
        <v>64</v>
      </c>
      <c r="D318">
        <v>9.3100000000000006E-3</v>
      </c>
      <c r="E318">
        <v>5.8035392051557464</v>
      </c>
      <c r="F318">
        <v>2.9521711768407801</v>
      </c>
      <c r="G318" t="s">
        <v>104</v>
      </c>
      <c r="H318" t="s">
        <v>108</v>
      </c>
    </row>
    <row r="319" spans="1:8" hidden="1" x14ac:dyDescent="0.3">
      <c r="A319" t="s">
        <v>20</v>
      </c>
      <c r="B319" t="s">
        <v>46</v>
      </c>
      <c r="C319" t="s">
        <v>79</v>
      </c>
      <c r="D319">
        <v>16.5</v>
      </c>
      <c r="E319">
        <v>5.0163454545454549</v>
      </c>
      <c r="F319">
        <v>6.8428961748633883</v>
      </c>
      <c r="G319" t="s">
        <v>104</v>
      </c>
      <c r="H319" t="s">
        <v>108</v>
      </c>
    </row>
    <row r="320" spans="1:8" hidden="1" x14ac:dyDescent="0.3">
      <c r="A320" t="s">
        <v>20</v>
      </c>
      <c r="B320" t="s">
        <v>46</v>
      </c>
      <c r="C320" t="s">
        <v>82</v>
      </c>
      <c r="D320">
        <v>0.2</v>
      </c>
      <c r="E320">
        <v>3.1659999999999999</v>
      </c>
      <c r="F320">
        <v>6.8428961748633883</v>
      </c>
      <c r="G320" t="s">
        <v>104</v>
      </c>
      <c r="H320" t="s">
        <v>108</v>
      </c>
    </row>
    <row r="321" spans="1:8" hidden="1" x14ac:dyDescent="0.3">
      <c r="A321" t="s">
        <v>20</v>
      </c>
      <c r="B321" t="s">
        <v>55</v>
      </c>
      <c r="C321" t="s">
        <v>86</v>
      </c>
      <c r="D321">
        <v>0.27760000000000001</v>
      </c>
      <c r="E321">
        <v>11.166</v>
      </c>
      <c r="F321">
        <v>40.299999999999997</v>
      </c>
      <c r="G321" t="s">
        <v>106</v>
      </c>
      <c r="H321" t="s">
        <v>109</v>
      </c>
    </row>
    <row r="322" spans="1:8" hidden="1" x14ac:dyDescent="0.3">
      <c r="A322" t="s">
        <v>20</v>
      </c>
      <c r="B322" t="s">
        <v>55</v>
      </c>
      <c r="C322" t="s">
        <v>89</v>
      </c>
      <c r="D322">
        <v>0.1338</v>
      </c>
      <c r="E322">
        <v>0</v>
      </c>
      <c r="F322">
        <v>40.299999999999997</v>
      </c>
      <c r="G322" t="s">
        <v>106</v>
      </c>
      <c r="H322" t="s">
        <v>109</v>
      </c>
    </row>
    <row r="323" spans="1:8" hidden="1" x14ac:dyDescent="0.3">
      <c r="A323" t="s">
        <v>20</v>
      </c>
      <c r="B323" t="s">
        <v>55</v>
      </c>
      <c r="C323" t="s">
        <v>91</v>
      </c>
      <c r="D323">
        <v>4.2099999999999999E-2</v>
      </c>
      <c r="E323">
        <v>13.903</v>
      </c>
      <c r="F323">
        <v>40.299999999999997</v>
      </c>
      <c r="G323" t="s">
        <v>106</v>
      </c>
      <c r="H323" t="s">
        <v>109</v>
      </c>
    </row>
    <row r="324" spans="1:8" hidden="1" x14ac:dyDescent="0.3">
      <c r="A324" t="s">
        <v>20</v>
      </c>
      <c r="B324" t="s">
        <v>55</v>
      </c>
      <c r="C324" t="s">
        <v>92</v>
      </c>
      <c r="D324">
        <v>0.25703999999999999</v>
      </c>
      <c r="E324">
        <v>11.269</v>
      </c>
      <c r="F324">
        <v>40.299999999999997</v>
      </c>
      <c r="G324" t="s">
        <v>106</v>
      </c>
      <c r="H324" t="s">
        <v>109</v>
      </c>
    </row>
    <row r="325" spans="1:8" hidden="1" x14ac:dyDescent="0.3">
      <c r="A325" t="s">
        <v>20</v>
      </c>
      <c r="B325" t="s">
        <v>47</v>
      </c>
      <c r="C325" t="s">
        <v>101</v>
      </c>
      <c r="D325">
        <v>11</v>
      </c>
      <c r="E325">
        <v>5.3702090909090909</v>
      </c>
      <c r="F325">
        <v>42</v>
      </c>
      <c r="G325" t="s">
        <v>104</v>
      </c>
      <c r="H325" t="s">
        <v>109</v>
      </c>
    </row>
    <row r="326" spans="1:8" hidden="1" x14ac:dyDescent="0.3">
      <c r="A326" t="s">
        <v>20</v>
      </c>
      <c r="B326" t="s">
        <v>57</v>
      </c>
      <c r="C326" t="s">
        <v>94</v>
      </c>
      <c r="D326">
        <v>3.5</v>
      </c>
      <c r="E326">
        <v>13.48605714285714</v>
      </c>
      <c r="F326">
        <v>24.6</v>
      </c>
      <c r="G326" t="s">
        <v>104</v>
      </c>
      <c r="H326" t="s">
        <v>109</v>
      </c>
    </row>
    <row r="327" spans="1:8" hidden="1" x14ac:dyDescent="0.3">
      <c r="A327" t="s">
        <v>20</v>
      </c>
      <c r="B327" t="s">
        <v>49</v>
      </c>
      <c r="C327" t="s">
        <v>71</v>
      </c>
      <c r="D327">
        <v>180.62753000000001</v>
      </c>
      <c r="E327">
        <v>6.6597373595818956</v>
      </c>
      <c r="F327">
        <v>3.86607608129234</v>
      </c>
      <c r="G327" t="s">
        <v>104</v>
      </c>
      <c r="H327" t="s">
        <v>108</v>
      </c>
    </row>
    <row r="328" spans="1:8" hidden="1" x14ac:dyDescent="0.3">
      <c r="A328" t="s">
        <v>20</v>
      </c>
      <c r="B328" t="s">
        <v>49</v>
      </c>
      <c r="C328" t="s">
        <v>72</v>
      </c>
      <c r="D328">
        <v>12</v>
      </c>
      <c r="E328">
        <v>5.3291833333333329</v>
      </c>
      <c r="F328">
        <v>3.86607608129234</v>
      </c>
      <c r="G328" t="s">
        <v>104</v>
      </c>
      <c r="H328" t="s">
        <v>108</v>
      </c>
    </row>
    <row r="329" spans="1:8" hidden="1" x14ac:dyDescent="0.3">
      <c r="A329" t="s">
        <v>20</v>
      </c>
      <c r="B329" t="s">
        <v>58</v>
      </c>
      <c r="C329" t="s">
        <v>95</v>
      </c>
      <c r="D329">
        <v>8.1992399999999996</v>
      </c>
      <c r="E329">
        <v>2.815292363682488</v>
      </c>
      <c r="F329">
        <v>2.9521711768407801</v>
      </c>
      <c r="G329" t="s">
        <v>104</v>
      </c>
      <c r="H329" t="s">
        <v>108</v>
      </c>
    </row>
    <row r="330" spans="1:8" hidden="1" x14ac:dyDescent="0.3">
      <c r="A330" t="s">
        <v>20</v>
      </c>
      <c r="B330" t="s">
        <v>50</v>
      </c>
      <c r="C330" t="s">
        <v>73</v>
      </c>
      <c r="D330">
        <v>1.3</v>
      </c>
      <c r="E330">
        <v>5.6762307692307683</v>
      </c>
      <c r="F330">
        <v>20.723404255319149</v>
      </c>
      <c r="G330" t="s">
        <v>105</v>
      </c>
      <c r="H330" t="s">
        <v>108</v>
      </c>
    </row>
    <row r="331" spans="1:8" hidden="1" x14ac:dyDescent="0.3">
      <c r="A331" t="s">
        <v>20</v>
      </c>
      <c r="B331" t="s">
        <v>50</v>
      </c>
      <c r="C331" t="s">
        <v>74</v>
      </c>
      <c r="D331">
        <v>2.5</v>
      </c>
      <c r="E331">
        <v>6.4279200000000003</v>
      </c>
      <c r="F331">
        <v>2.0635593220338988</v>
      </c>
      <c r="G331" t="s">
        <v>105</v>
      </c>
      <c r="H331" t="s">
        <v>108</v>
      </c>
    </row>
    <row r="332" spans="1:8" hidden="1" x14ac:dyDescent="0.3">
      <c r="A332" t="s">
        <v>20</v>
      </c>
      <c r="B332" t="s">
        <v>51</v>
      </c>
      <c r="C332" t="s">
        <v>75</v>
      </c>
      <c r="D332">
        <v>9.3824690000000004</v>
      </c>
      <c r="E332">
        <v>5.7009650964802198E-2</v>
      </c>
      <c r="F332">
        <v>11.74</v>
      </c>
      <c r="G332" t="s">
        <v>104</v>
      </c>
      <c r="H332" t="s">
        <v>108</v>
      </c>
    </row>
    <row r="333" spans="1:8" hidden="1" x14ac:dyDescent="0.3">
      <c r="A333" t="s">
        <v>20</v>
      </c>
      <c r="B333" t="s">
        <v>60</v>
      </c>
      <c r="C333" t="s">
        <v>98</v>
      </c>
      <c r="D333">
        <v>1.0769500000000001</v>
      </c>
      <c r="E333">
        <v>19.01181525241676</v>
      </c>
      <c r="F333">
        <v>98.1</v>
      </c>
      <c r="G333" t="s">
        <v>107</v>
      </c>
      <c r="H333" t="s">
        <v>109</v>
      </c>
    </row>
    <row r="334" spans="1:8" hidden="1" x14ac:dyDescent="0.3">
      <c r="A334" t="s">
        <v>20</v>
      </c>
      <c r="B334" t="s">
        <v>52</v>
      </c>
      <c r="C334" t="s">
        <v>76</v>
      </c>
      <c r="D334">
        <v>2.4729999999999999</v>
      </c>
      <c r="E334">
        <v>7.5037500000000001</v>
      </c>
      <c r="F334">
        <v>12.68872359754714</v>
      </c>
      <c r="G334" t="s">
        <v>105</v>
      </c>
      <c r="H334" t="s">
        <v>108</v>
      </c>
    </row>
    <row r="335" spans="1:8" hidden="1" x14ac:dyDescent="0.3">
      <c r="A335" t="s">
        <v>20</v>
      </c>
      <c r="B335" t="s">
        <v>53</v>
      </c>
      <c r="C335" t="s">
        <v>77</v>
      </c>
      <c r="D335">
        <v>10.9</v>
      </c>
      <c r="E335">
        <v>5.3291834862385317</v>
      </c>
      <c r="F335">
        <v>3.86607608129234</v>
      </c>
      <c r="G335" t="s">
        <v>104</v>
      </c>
      <c r="H335" t="s">
        <v>108</v>
      </c>
    </row>
    <row r="336" spans="1:8" hidden="1" x14ac:dyDescent="0.3">
      <c r="A336" t="s">
        <v>20</v>
      </c>
      <c r="B336" t="s">
        <v>61</v>
      </c>
      <c r="C336" t="s">
        <v>99</v>
      </c>
      <c r="D336">
        <v>36.5</v>
      </c>
      <c r="E336">
        <v>1.885027397260274</v>
      </c>
      <c r="F336">
        <v>2.9245635910224439</v>
      </c>
      <c r="G336" t="s">
        <v>104</v>
      </c>
      <c r="H336" t="s">
        <v>108</v>
      </c>
    </row>
    <row r="337" spans="1:8" hidden="1" x14ac:dyDescent="0.3">
      <c r="A337" t="s">
        <v>20</v>
      </c>
      <c r="B337" t="s">
        <v>62</v>
      </c>
      <c r="C337" t="s">
        <v>100</v>
      </c>
      <c r="D337">
        <v>15.4</v>
      </c>
      <c r="E337">
        <v>0.69675324675324679</v>
      </c>
      <c r="F337">
        <v>2.6764106050305911</v>
      </c>
      <c r="G337" t="s">
        <v>104</v>
      </c>
      <c r="H337" t="s">
        <v>108</v>
      </c>
    </row>
    <row r="338" spans="1:8" hidden="1" x14ac:dyDescent="0.3">
      <c r="A338" t="s">
        <v>20</v>
      </c>
      <c r="B338" t="s">
        <v>54</v>
      </c>
      <c r="C338" t="s">
        <v>78</v>
      </c>
      <c r="D338">
        <v>163.80000000000001</v>
      </c>
      <c r="E338">
        <v>11.182003052503051</v>
      </c>
      <c r="F338">
        <v>3.86607608129234</v>
      </c>
      <c r="G338" t="s">
        <v>104</v>
      </c>
      <c r="H338" t="s">
        <v>108</v>
      </c>
    </row>
    <row r="339" spans="1:8" x14ac:dyDescent="0.3">
      <c r="A339" t="s">
        <v>21</v>
      </c>
      <c r="B339" t="s">
        <v>46</v>
      </c>
      <c r="C339" t="s">
        <v>63</v>
      </c>
      <c r="D339">
        <v>9.2999999999999999E-2</v>
      </c>
      <c r="E339">
        <v>2.9286474973375931</v>
      </c>
      <c r="F339">
        <v>3.950479233226837</v>
      </c>
      <c r="G339" t="s">
        <v>104</v>
      </c>
      <c r="H339" s="3" t="s">
        <v>108</v>
      </c>
    </row>
    <row r="340" spans="1:8" x14ac:dyDescent="0.3">
      <c r="A340" t="s">
        <v>21</v>
      </c>
      <c r="B340" t="s">
        <v>46</v>
      </c>
      <c r="C340" t="s">
        <v>64</v>
      </c>
      <c r="D340">
        <v>0.34860999999999998</v>
      </c>
      <c r="E340">
        <v>5.6672279624795614</v>
      </c>
      <c r="F340">
        <v>2.9521711768407801</v>
      </c>
      <c r="G340" t="s">
        <v>104</v>
      </c>
      <c r="H340" s="3" t="s">
        <v>108</v>
      </c>
    </row>
    <row r="341" spans="1:8" x14ac:dyDescent="0.3">
      <c r="A341" t="s">
        <v>21</v>
      </c>
      <c r="B341" t="s">
        <v>46</v>
      </c>
      <c r="C341" t="s">
        <v>79</v>
      </c>
      <c r="D341">
        <v>154.5</v>
      </c>
      <c r="E341">
        <v>2.93982718446602</v>
      </c>
      <c r="F341">
        <v>6.8428961748633883</v>
      </c>
      <c r="G341" t="s">
        <v>104</v>
      </c>
      <c r="H341" s="3" t="s">
        <v>108</v>
      </c>
    </row>
    <row r="342" spans="1:8" x14ac:dyDescent="0.3">
      <c r="A342" t="s">
        <v>21</v>
      </c>
      <c r="B342" t="s">
        <v>46</v>
      </c>
      <c r="C342" t="s">
        <v>65</v>
      </c>
      <c r="D342">
        <v>0.60000000000000009</v>
      </c>
      <c r="E342">
        <v>6.9894999999999996</v>
      </c>
      <c r="F342">
        <v>2.9521711768407801</v>
      </c>
      <c r="G342" t="s">
        <v>104</v>
      </c>
      <c r="H342" s="3" t="s">
        <v>108</v>
      </c>
    </row>
    <row r="343" spans="1:8" x14ac:dyDescent="0.3">
      <c r="A343" t="s">
        <v>21</v>
      </c>
      <c r="B343" t="s">
        <v>46</v>
      </c>
      <c r="C343" t="s">
        <v>80</v>
      </c>
      <c r="D343">
        <v>2.7307199999999998</v>
      </c>
      <c r="E343">
        <v>0.72016183412002699</v>
      </c>
      <c r="F343">
        <v>28.139870918023309</v>
      </c>
      <c r="G343" t="s">
        <v>105</v>
      </c>
      <c r="H343" s="3" t="s">
        <v>108</v>
      </c>
    </row>
    <row r="344" spans="1:8" x14ac:dyDescent="0.3">
      <c r="A344" t="s">
        <v>21</v>
      </c>
      <c r="B344" t="s">
        <v>46</v>
      </c>
      <c r="C344" t="s">
        <v>81</v>
      </c>
      <c r="D344">
        <v>7.8512899999999997</v>
      </c>
      <c r="E344">
        <v>0.98883666274970616</v>
      </c>
      <c r="F344">
        <v>8.9647473560517046</v>
      </c>
      <c r="G344" t="s">
        <v>105</v>
      </c>
      <c r="H344" s="3" t="s">
        <v>108</v>
      </c>
    </row>
    <row r="345" spans="1:8" x14ac:dyDescent="0.3">
      <c r="A345" t="s">
        <v>21</v>
      </c>
      <c r="B345" t="s">
        <v>46</v>
      </c>
      <c r="C345" t="s">
        <v>66</v>
      </c>
      <c r="D345">
        <v>26.5</v>
      </c>
      <c r="E345">
        <v>3.0306679245283021</v>
      </c>
      <c r="F345">
        <v>6.8428961748633883</v>
      </c>
      <c r="G345" t="s">
        <v>104</v>
      </c>
      <c r="H345" s="3" t="s">
        <v>108</v>
      </c>
    </row>
    <row r="346" spans="1:8" x14ac:dyDescent="0.3">
      <c r="A346" t="s">
        <v>21</v>
      </c>
      <c r="B346" t="s">
        <v>46</v>
      </c>
      <c r="C346" t="s">
        <v>67</v>
      </c>
      <c r="D346">
        <v>0.1</v>
      </c>
      <c r="E346">
        <v>10.445</v>
      </c>
      <c r="F346">
        <v>2.9521711768407801</v>
      </c>
      <c r="G346" t="s">
        <v>104</v>
      </c>
      <c r="H346" s="3" t="s">
        <v>108</v>
      </c>
    </row>
    <row r="347" spans="1:8" x14ac:dyDescent="0.3">
      <c r="A347" t="s">
        <v>21</v>
      </c>
      <c r="B347" t="s">
        <v>46</v>
      </c>
      <c r="C347" t="s">
        <v>82</v>
      </c>
      <c r="D347">
        <v>22.9</v>
      </c>
      <c r="E347">
        <v>1.9205109170305681</v>
      </c>
      <c r="F347">
        <v>6.8428961748633883</v>
      </c>
      <c r="G347" t="s">
        <v>104</v>
      </c>
      <c r="H347" s="3" t="s">
        <v>108</v>
      </c>
    </row>
    <row r="348" spans="1:8" x14ac:dyDescent="0.3">
      <c r="A348" t="s">
        <v>21</v>
      </c>
      <c r="B348" t="s">
        <v>46</v>
      </c>
      <c r="C348" t="s">
        <v>83</v>
      </c>
      <c r="D348">
        <v>0.45226</v>
      </c>
      <c r="E348">
        <v>2.8340889974793262</v>
      </c>
      <c r="F348">
        <v>6.8428961748633883</v>
      </c>
      <c r="G348" t="s">
        <v>104</v>
      </c>
      <c r="H348" s="3" t="s">
        <v>108</v>
      </c>
    </row>
    <row r="349" spans="1:8" x14ac:dyDescent="0.3">
      <c r="A349" t="s">
        <v>21</v>
      </c>
      <c r="B349" t="s">
        <v>46</v>
      </c>
      <c r="C349" t="s">
        <v>84</v>
      </c>
      <c r="D349">
        <v>2.4</v>
      </c>
      <c r="E349">
        <v>2.1967500000000002</v>
      </c>
      <c r="F349">
        <v>28.139870918023309</v>
      </c>
      <c r="G349" t="s">
        <v>105</v>
      </c>
      <c r="H349" s="3" t="s">
        <v>108</v>
      </c>
    </row>
    <row r="350" spans="1:8" x14ac:dyDescent="0.3">
      <c r="A350" t="s">
        <v>21</v>
      </c>
      <c r="B350" t="s">
        <v>46</v>
      </c>
      <c r="C350" t="s">
        <v>85</v>
      </c>
      <c r="D350">
        <v>6.2</v>
      </c>
      <c r="E350">
        <v>4.8302580645161282</v>
      </c>
      <c r="F350">
        <v>2.9521711768407801</v>
      </c>
      <c r="G350" t="s">
        <v>104</v>
      </c>
      <c r="H350" s="3" t="s">
        <v>108</v>
      </c>
    </row>
    <row r="351" spans="1:8" x14ac:dyDescent="0.3">
      <c r="A351" t="s">
        <v>21</v>
      </c>
      <c r="B351" t="s">
        <v>55</v>
      </c>
      <c r="C351" t="s">
        <v>86</v>
      </c>
      <c r="D351">
        <v>3.2273000000000001</v>
      </c>
      <c r="E351">
        <v>11.15</v>
      </c>
      <c r="F351">
        <v>19.100000000000001</v>
      </c>
      <c r="G351" t="s">
        <v>106</v>
      </c>
      <c r="H351" s="3" t="s">
        <v>109</v>
      </c>
    </row>
    <row r="352" spans="1:8" x14ac:dyDescent="0.3">
      <c r="A352" t="s">
        <v>21</v>
      </c>
      <c r="B352" t="s">
        <v>55</v>
      </c>
      <c r="C352" t="s">
        <v>87</v>
      </c>
      <c r="D352">
        <v>11.291600000000001</v>
      </c>
      <c r="E352">
        <v>12.73199999999999</v>
      </c>
      <c r="F352">
        <v>19.100000000000001</v>
      </c>
      <c r="G352" t="s">
        <v>106</v>
      </c>
      <c r="H352" s="3" t="s">
        <v>109</v>
      </c>
    </row>
    <row r="353" spans="1:8" x14ac:dyDescent="0.3">
      <c r="A353" t="s">
        <v>21</v>
      </c>
      <c r="B353" t="s">
        <v>55</v>
      </c>
      <c r="C353" t="s">
        <v>88</v>
      </c>
      <c r="D353">
        <v>8.475200000000001</v>
      </c>
      <c r="E353">
        <v>12.164999999999999</v>
      </c>
      <c r="F353">
        <v>19.100000000000001</v>
      </c>
      <c r="G353" t="s">
        <v>106</v>
      </c>
      <c r="H353" s="3" t="s">
        <v>109</v>
      </c>
    </row>
    <row r="354" spans="1:8" x14ac:dyDescent="0.3">
      <c r="A354" t="s">
        <v>21</v>
      </c>
      <c r="B354" t="s">
        <v>55</v>
      </c>
      <c r="C354" t="s">
        <v>90</v>
      </c>
      <c r="D354">
        <v>3.4799999999999998E-2</v>
      </c>
      <c r="E354">
        <v>10.86000000000001</v>
      </c>
      <c r="F354">
        <v>19.100000000000001</v>
      </c>
      <c r="G354" t="s">
        <v>106</v>
      </c>
      <c r="H354" s="3" t="s">
        <v>109</v>
      </c>
    </row>
    <row r="355" spans="1:8" x14ac:dyDescent="0.3">
      <c r="A355" t="s">
        <v>21</v>
      </c>
      <c r="B355" t="s">
        <v>55</v>
      </c>
      <c r="C355" t="s">
        <v>91</v>
      </c>
      <c r="D355">
        <v>9.1000000000000004E-3</v>
      </c>
      <c r="E355">
        <v>12.561999999999999</v>
      </c>
      <c r="F355">
        <v>19.100000000000001</v>
      </c>
      <c r="G355" t="s">
        <v>106</v>
      </c>
      <c r="H355" s="3" t="s">
        <v>109</v>
      </c>
    </row>
    <row r="356" spans="1:8" x14ac:dyDescent="0.3">
      <c r="A356" t="s">
        <v>21</v>
      </c>
      <c r="B356" t="s">
        <v>55</v>
      </c>
      <c r="C356" t="s">
        <v>92</v>
      </c>
      <c r="D356">
        <v>4.0243200000000003</v>
      </c>
      <c r="E356">
        <v>12.73199999999999</v>
      </c>
      <c r="F356">
        <v>19.100000000000001</v>
      </c>
      <c r="G356" t="s">
        <v>106</v>
      </c>
      <c r="H356" s="3" t="s">
        <v>109</v>
      </c>
    </row>
    <row r="357" spans="1:8" x14ac:dyDescent="0.3">
      <c r="A357" t="s">
        <v>21</v>
      </c>
      <c r="B357" t="s">
        <v>56</v>
      </c>
      <c r="C357" t="s">
        <v>93</v>
      </c>
      <c r="D357">
        <v>228.25909999999999</v>
      </c>
      <c r="E357">
        <v>2.939759036144578</v>
      </c>
      <c r="F357">
        <v>25.9</v>
      </c>
      <c r="G357" t="s">
        <v>106</v>
      </c>
      <c r="H357" s="3" t="s">
        <v>109</v>
      </c>
    </row>
    <row r="358" spans="1:8" x14ac:dyDescent="0.3">
      <c r="A358" t="s">
        <v>21</v>
      </c>
      <c r="B358" t="s">
        <v>47</v>
      </c>
      <c r="C358" t="s">
        <v>68</v>
      </c>
      <c r="D358">
        <v>81.600000000000009</v>
      </c>
      <c r="E358">
        <v>5.7885906862745093</v>
      </c>
      <c r="F358">
        <v>18.5</v>
      </c>
      <c r="G358" t="s">
        <v>104</v>
      </c>
      <c r="H358" s="3" t="s">
        <v>109</v>
      </c>
    </row>
    <row r="359" spans="1:8" x14ac:dyDescent="0.3">
      <c r="A359" t="s">
        <v>21</v>
      </c>
      <c r="B359" t="s">
        <v>47</v>
      </c>
      <c r="C359" t="s">
        <v>69</v>
      </c>
      <c r="D359">
        <v>85.6</v>
      </c>
      <c r="E359">
        <v>5.5007943925233649</v>
      </c>
      <c r="F359">
        <v>18.5</v>
      </c>
      <c r="G359" t="s">
        <v>104</v>
      </c>
      <c r="H359" s="3" t="s">
        <v>109</v>
      </c>
    </row>
    <row r="360" spans="1:8" x14ac:dyDescent="0.3">
      <c r="A360" t="s">
        <v>21</v>
      </c>
      <c r="B360" t="s">
        <v>57</v>
      </c>
      <c r="C360" t="s">
        <v>94</v>
      </c>
      <c r="D360">
        <v>25.5</v>
      </c>
      <c r="E360">
        <v>10.5643568627451</v>
      </c>
      <c r="F360">
        <v>15</v>
      </c>
      <c r="G360" t="s">
        <v>104</v>
      </c>
      <c r="H360" s="3" t="s">
        <v>109</v>
      </c>
    </row>
    <row r="361" spans="1:8" x14ac:dyDescent="0.3">
      <c r="A361" t="s">
        <v>21</v>
      </c>
      <c r="B361" t="s">
        <v>48</v>
      </c>
      <c r="C361" t="s">
        <v>70</v>
      </c>
      <c r="D361">
        <v>2.7</v>
      </c>
      <c r="E361">
        <v>13.19962962962963</v>
      </c>
      <c r="F361">
        <v>15</v>
      </c>
      <c r="G361" t="s">
        <v>104</v>
      </c>
      <c r="H361" s="3" t="s">
        <v>109</v>
      </c>
    </row>
    <row r="362" spans="1:8" x14ac:dyDescent="0.3">
      <c r="A362" t="s">
        <v>21</v>
      </c>
      <c r="B362" t="s">
        <v>49</v>
      </c>
      <c r="C362" t="s">
        <v>71</v>
      </c>
      <c r="D362">
        <v>141.63987</v>
      </c>
      <c r="E362">
        <v>5.4810411999107309</v>
      </c>
      <c r="F362">
        <v>3.86607608129234</v>
      </c>
      <c r="G362" t="s">
        <v>104</v>
      </c>
      <c r="H362" s="3" t="s">
        <v>108</v>
      </c>
    </row>
    <row r="363" spans="1:8" x14ac:dyDescent="0.3">
      <c r="A363" t="s">
        <v>21</v>
      </c>
      <c r="B363" t="s">
        <v>49</v>
      </c>
      <c r="C363" t="s">
        <v>72</v>
      </c>
      <c r="D363">
        <v>51.9</v>
      </c>
      <c r="E363">
        <v>4.3886416184971102</v>
      </c>
      <c r="F363">
        <v>3.86607608129234</v>
      </c>
      <c r="G363" t="s">
        <v>104</v>
      </c>
      <c r="H363" s="3" t="s">
        <v>108</v>
      </c>
    </row>
    <row r="364" spans="1:8" x14ac:dyDescent="0.3">
      <c r="A364" t="s">
        <v>21</v>
      </c>
      <c r="B364" t="s">
        <v>58</v>
      </c>
      <c r="C364" t="s">
        <v>95</v>
      </c>
      <c r="D364">
        <v>48.5122</v>
      </c>
      <c r="E364">
        <v>3.030899208858802</v>
      </c>
      <c r="F364">
        <v>2.9521711768407801</v>
      </c>
      <c r="G364" t="s">
        <v>104</v>
      </c>
      <c r="H364" s="3" t="s">
        <v>108</v>
      </c>
    </row>
    <row r="365" spans="1:8" x14ac:dyDescent="0.3">
      <c r="A365" t="s">
        <v>21</v>
      </c>
      <c r="B365" t="s">
        <v>50</v>
      </c>
      <c r="C365" t="s">
        <v>73</v>
      </c>
      <c r="D365">
        <v>23.2</v>
      </c>
      <c r="E365">
        <v>5.5667801724137922</v>
      </c>
      <c r="F365">
        <v>20.723404255319149</v>
      </c>
      <c r="G365" t="s">
        <v>105</v>
      </c>
      <c r="H365" s="3" t="s">
        <v>108</v>
      </c>
    </row>
    <row r="366" spans="1:8" x14ac:dyDescent="0.3">
      <c r="A366" t="s">
        <v>21</v>
      </c>
      <c r="B366" t="s">
        <v>50</v>
      </c>
      <c r="C366" t="s">
        <v>74</v>
      </c>
      <c r="D366">
        <v>235.5</v>
      </c>
      <c r="E366">
        <v>6.3717711252653926</v>
      </c>
      <c r="F366">
        <v>2.0635593220338988</v>
      </c>
      <c r="G366" t="s">
        <v>105</v>
      </c>
      <c r="H366" s="3" t="s">
        <v>108</v>
      </c>
    </row>
    <row r="367" spans="1:8" x14ac:dyDescent="0.3">
      <c r="A367" t="s">
        <v>21</v>
      </c>
      <c r="B367" t="s">
        <v>59</v>
      </c>
      <c r="C367" t="s">
        <v>96</v>
      </c>
      <c r="D367">
        <v>12.4503</v>
      </c>
      <c r="E367">
        <v>17.413</v>
      </c>
      <c r="F367">
        <v>20</v>
      </c>
      <c r="G367" t="s">
        <v>107</v>
      </c>
      <c r="H367" s="3" t="s">
        <v>109</v>
      </c>
    </row>
    <row r="368" spans="1:8" x14ac:dyDescent="0.3">
      <c r="A368" t="s">
        <v>21</v>
      </c>
      <c r="B368" t="s">
        <v>59</v>
      </c>
      <c r="C368" t="s">
        <v>97</v>
      </c>
      <c r="D368">
        <v>19.6188</v>
      </c>
      <c r="E368">
        <v>18.393922951709168</v>
      </c>
      <c r="F368">
        <v>20</v>
      </c>
      <c r="G368" t="s">
        <v>107</v>
      </c>
      <c r="H368" s="3" t="s">
        <v>109</v>
      </c>
    </row>
    <row r="369" spans="1:8" x14ac:dyDescent="0.3">
      <c r="A369" t="s">
        <v>21</v>
      </c>
      <c r="B369" t="s">
        <v>51</v>
      </c>
      <c r="C369" t="s">
        <v>75</v>
      </c>
      <c r="D369">
        <v>68.264250000000004</v>
      </c>
      <c r="E369">
        <v>8.6239052614247594E-2</v>
      </c>
      <c r="F369">
        <v>11.74</v>
      </c>
      <c r="G369" t="s">
        <v>104</v>
      </c>
      <c r="H369" s="3" t="s">
        <v>108</v>
      </c>
    </row>
    <row r="370" spans="1:8" x14ac:dyDescent="0.3">
      <c r="A370" t="s">
        <v>21</v>
      </c>
      <c r="B370" t="s">
        <v>60</v>
      </c>
      <c r="C370" t="s">
        <v>98</v>
      </c>
      <c r="D370">
        <v>79.589129999999997</v>
      </c>
      <c r="E370">
        <v>17.3469387755102</v>
      </c>
      <c r="F370">
        <v>26.3</v>
      </c>
      <c r="G370" t="s">
        <v>107</v>
      </c>
      <c r="H370" s="3" t="s">
        <v>109</v>
      </c>
    </row>
    <row r="371" spans="1:8" x14ac:dyDescent="0.3">
      <c r="A371" t="s">
        <v>21</v>
      </c>
      <c r="B371" t="s">
        <v>52</v>
      </c>
      <c r="C371" t="s">
        <v>76</v>
      </c>
      <c r="D371">
        <v>5.0000000000000001E-3</v>
      </c>
      <c r="E371">
        <v>7.5037500000000001</v>
      </c>
      <c r="F371">
        <v>12.68872359754714</v>
      </c>
      <c r="G371" t="s">
        <v>105</v>
      </c>
      <c r="H371" s="3" t="s">
        <v>108</v>
      </c>
    </row>
    <row r="372" spans="1:8" x14ac:dyDescent="0.3">
      <c r="A372" t="s">
        <v>21</v>
      </c>
      <c r="B372" t="s">
        <v>53</v>
      </c>
      <c r="C372" t="s">
        <v>77</v>
      </c>
      <c r="D372">
        <v>78.5</v>
      </c>
      <c r="E372">
        <v>4.3886471337579618</v>
      </c>
      <c r="F372">
        <v>3.86607608129234</v>
      </c>
      <c r="G372" t="s">
        <v>104</v>
      </c>
      <c r="H372" s="3" t="s">
        <v>108</v>
      </c>
    </row>
    <row r="373" spans="1:8" x14ac:dyDescent="0.3">
      <c r="A373" t="s">
        <v>21</v>
      </c>
      <c r="B373" t="s">
        <v>61</v>
      </c>
      <c r="C373" t="s">
        <v>99</v>
      </c>
      <c r="D373">
        <v>25.2</v>
      </c>
      <c r="E373">
        <v>2.2079404761904771</v>
      </c>
      <c r="F373">
        <v>2.9245635910224439</v>
      </c>
      <c r="G373" t="s">
        <v>104</v>
      </c>
      <c r="H373" s="3" t="s">
        <v>108</v>
      </c>
    </row>
    <row r="374" spans="1:8" x14ac:dyDescent="0.3">
      <c r="A374" t="s">
        <v>21</v>
      </c>
      <c r="B374" t="s">
        <v>62</v>
      </c>
      <c r="C374" t="s">
        <v>100</v>
      </c>
      <c r="D374">
        <v>7.6</v>
      </c>
      <c r="E374">
        <v>0.15657894736842101</v>
      </c>
      <c r="F374">
        <v>2.6764106050305911</v>
      </c>
      <c r="G374" t="s">
        <v>104</v>
      </c>
      <c r="H374" s="3" t="s">
        <v>108</v>
      </c>
    </row>
    <row r="375" spans="1:8" x14ac:dyDescent="0.3">
      <c r="A375" t="s">
        <v>21</v>
      </c>
      <c r="B375" t="s">
        <v>54</v>
      </c>
      <c r="C375" t="s">
        <v>78</v>
      </c>
      <c r="D375">
        <v>213.5</v>
      </c>
      <c r="E375">
        <v>9.1536121779859485</v>
      </c>
      <c r="F375">
        <v>3.86607608129234</v>
      </c>
      <c r="G375" t="s">
        <v>104</v>
      </c>
      <c r="H375" s="3" t="s">
        <v>108</v>
      </c>
    </row>
    <row r="376" spans="1:8" hidden="1" x14ac:dyDescent="0.3">
      <c r="A376" t="s">
        <v>22</v>
      </c>
      <c r="B376" t="s">
        <v>46</v>
      </c>
      <c r="C376" t="s">
        <v>103</v>
      </c>
      <c r="D376">
        <v>9.6737680000000008</v>
      </c>
      <c r="E376">
        <v>0</v>
      </c>
      <c r="H376"/>
    </row>
    <row r="377" spans="1:8" hidden="1" x14ac:dyDescent="0.3">
      <c r="A377" t="s">
        <v>22</v>
      </c>
      <c r="B377" t="s">
        <v>46</v>
      </c>
      <c r="C377" t="s">
        <v>63</v>
      </c>
      <c r="D377">
        <v>4.7600000000000003E-2</v>
      </c>
      <c r="E377">
        <v>2.9286474973375931</v>
      </c>
      <c r="F377">
        <v>3.950479233226837</v>
      </c>
      <c r="G377" t="s">
        <v>104</v>
      </c>
      <c r="H377" t="s">
        <v>108</v>
      </c>
    </row>
    <row r="378" spans="1:8" hidden="1" x14ac:dyDescent="0.3">
      <c r="A378" t="s">
        <v>22</v>
      </c>
      <c r="B378" t="s">
        <v>46</v>
      </c>
      <c r="C378" t="s">
        <v>80</v>
      </c>
      <c r="D378">
        <v>0.53729000000000005</v>
      </c>
      <c r="E378">
        <v>0.91773432231962238</v>
      </c>
      <c r="F378">
        <v>28.139870918023309</v>
      </c>
      <c r="G378" t="s">
        <v>105</v>
      </c>
      <c r="H378" t="s">
        <v>108</v>
      </c>
    </row>
    <row r="379" spans="1:8" hidden="1" x14ac:dyDescent="0.3">
      <c r="A379" t="s">
        <v>22</v>
      </c>
      <c r="B379" t="s">
        <v>46</v>
      </c>
      <c r="C379" t="s">
        <v>81</v>
      </c>
      <c r="D379">
        <v>0.43811</v>
      </c>
      <c r="E379">
        <v>3.6856639247943601</v>
      </c>
      <c r="F379">
        <v>8.9647473560517046</v>
      </c>
      <c r="G379" t="s">
        <v>105</v>
      </c>
      <c r="H379" t="s">
        <v>108</v>
      </c>
    </row>
    <row r="380" spans="1:8" hidden="1" x14ac:dyDescent="0.3">
      <c r="A380" t="s">
        <v>22</v>
      </c>
      <c r="B380" t="s">
        <v>55</v>
      </c>
      <c r="C380" t="s">
        <v>87</v>
      </c>
      <c r="D380">
        <v>25.9925</v>
      </c>
      <c r="E380">
        <v>12.648999999999999</v>
      </c>
      <c r="F380">
        <v>11.5</v>
      </c>
      <c r="G380" t="s">
        <v>106</v>
      </c>
      <c r="H380" t="s">
        <v>109</v>
      </c>
    </row>
    <row r="381" spans="1:8" hidden="1" x14ac:dyDescent="0.3">
      <c r="A381" t="s">
        <v>22</v>
      </c>
      <c r="B381" t="s">
        <v>55</v>
      </c>
      <c r="C381" t="s">
        <v>88</v>
      </c>
      <c r="D381">
        <v>0.47310000000000002</v>
      </c>
      <c r="E381">
        <v>8.6709999999999994</v>
      </c>
      <c r="F381">
        <v>11.5</v>
      </c>
      <c r="G381" t="s">
        <v>106</v>
      </c>
      <c r="H381" t="s">
        <v>109</v>
      </c>
    </row>
    <row r="382" spans="1:8" hidden="1" x14ac:dyDescent="0.3">
      <c r="A382" t="s">
        <v>22</v>
      </c>
      <c r="B382" t="s">
        <v>55</v>
      </c>
      <c r="C382" t="s">
        <v>89</v>
      </c>
      <c r="D382">
        <v>8.0000000000000004E-4</v>
      </c>
      <c r="E382">
        <v>0</v>
      </c>
      <c r="F382">
        <v>11.5</v>
      </c>
      <c r="G382" t="s">
        <v>106</v>
      </c>
      <c r="H382" t="s">
        <v>109</v>
      </c>
    </row>
    <row r="383" spans="1:8" hidden="1" x14ac:dyDescent="0.3">
      <c r="A383" t="s">
        <v>22</v>
      </c>
      <c r="B383" t="s">
        <v>55</v>
      </c>
      <c r="C383" t="s">
        <v>92</v>
      </c>
      <c r="D383">
        <v>4.9500000000000002E-2</v>
      </c>
      <c r="E383">
        <v>12.648999999999999</v>
      </c>
      <c r="F383">
        <v>11.5</v>
      </c>
      <c r="G383" t="s">
        <v>106</v>
      </c>
      <c r="H383" t="s">
        <v>109</v>
      </c>
    </row>
    <row r="384" spans="1:8" hidden="1" x14ac:dyDescent="0.3">
      <c r="A384" t="s">
        <v>22</v>
      </c>
      <c r="B384" t="s">
        <v>49</v>
      </c>
      <c r="C384" t="s">
        <v>71</v>
      </c>
      <c r="D384">
        <v>18.45262</v>
      </c>
      <c r="E384">
        <v>2.9470000000000001</v>
      </c>
      <c r="F384">
        <v>3.86607608129234</v>
      </c>
      <c r="G384" t="s">
        <v>104</v>
      </c>
      <c r="H384" t="s">
        <v>108</v>
      </c>
    </row>
    <row r="385" spans="1:8" hidden="1" x14ac:dyDescent="0.3">
      <c r="A385" t="s">
        <v>22</v>
      </c>
      <c r="B385" t="s">
        <v>49</v>
      </c>
      <c r="C385" t="s">
        <v>72</v>
      </c>
      <c r="D385">
        <v>3.4</v>
      </c>
      <c r="E385">
        <v>2.0110000000000001</v>
      </c>
      <c r="F385">
        <v>3.86607608129234</v>
      </c>
      <c r="G385" t="s">
        <v>104</v>
      </c>
      <c r="H385" t="s">
        <v>108</v>
      </c>
    </row>
    <row r="386" spans="1:8" hidden="1" x14ac:dyDescent="0.3">
      <c r="A386" t="s">
        <v>22</v>
      </c>
      <c r="B386" t="s">
        <v>58</v>
      </c>
      <c r="C386" t="s">
        <v>103</v>
      </c>
      <c r="D386">
        <v>1.8063020000000001</v>
      </c>
      <c r="E386">
        <v>0</v>
      </c>
      <c r="H386"/>
    </row>
    <row r="387" spans="1:8" hidden="1" x14ac:dyDescent="0.3">
      <c r="A387" t="s">
        <v>22</v>
      </c>
      <c r="B387" t="s">
        <v>50</v>
      </c>
      <c r="C387" t="s">
        <v>103</v>
      </c>
      <c r="D387">
        <v>3.2519339999999999</v>
      </c>
      <c r="E387">
        <v>0</v>
      </c>
      <c r="H387"/>
    </row>
    <row r="388" spans="1:8" hidden="1" x14ac:dyDescent="0.3">
      <c r="A388" t="s">
        <v>22</v>
      </c>
      <c r="B388" t="s">
        <v>51</v>
      </c>
      <c r="C388" t="s">
        <v>75</v>
      </c>
      <c r="D388">
        <v>6.0519000000000003E-2</v>
      </c>
      <c r="E388">
        <v>3.5791574813733198E-2</v>
      </c>
      <c r="F388">
        <v>11.74</v>
      </c>
      <c r="G388" t="s">
        <v>104</v>
      </c>
      <c r="H388" t="s">
        <v>108</v>
      </c>
    </row>
    <row r="389" spans="1:8" hidden="1" x14ac:dyDescent="0.3">
      <c r="A389" t="s">
        <v>22</v>
      </c>
      <c r="B389" t="s">
        <v>52</v>
      </c>
      <c r="C389" t="s">
        <v>76</v>
      </c>
      <c r="D389">
        <v>2.5000000000000001E-2</v>
      </c>
      <c r="E389">
        <v>7.5037500000000001</v>
      </c>
      <c r="F389">
        <v>12.68872359754714</v>
      </c>
      <c r="G389" t="s">
        <v>105</v>
      </c>
      <c r="H389" t="s">
        <v>108</v>
      </c>
    </row>
    <row r="390" spans="1:8" hidden="1" x14ac:dyDescent="0.3">
      <c r="A390" t="s">
        <v>22</v>
      </c>
      <c r="B390" t="s">
        <v>53</v>
      </c>
      <c r="C390" t="s">
        <v>77</v>
      </c>
      <c r="D390">
        <v>3.7</v>
      </c>
      <c r="E390">
        <v>2.0110000000000001</v>
      </c>
      <c r="F390">
        <v>3.86607608129234</v>
      </c>
      <c r="G390" t="s">
        <v>104</v>
      </c>
      <c r="H390" t="s">
        <v>108</v>
      </c>
    </row>
    <row r="391" spans="1:8" hidden="1" x14ac:dyDescent="0.3">
      <c r="A391" t="s">
        <v>22</v>
      </c>
      <c r="B391" t="s">
        <v>61</v>
      </c>
      <c r="C391" t="s">
        <v>103</v>
      </c>
      <c r="D391">
        <v>0.488037</v>
      </c>
      <c r="E391">
        <v>0</v>
      </c>
      <c r="H391"/>
    </row>
    <row r="392" spans="1:8" hidden="1" x14ac:dyDescent="0.3">
      <c r="A392" t="s">
        <v>22</v>
      </c>
      <c r="B392" t="s">
        <v>62</v>
      </c>
      <c r="C392" t="s">
        <v>103</v>
      </c>
      <c r="D392">
        <v>0.152253</v>
      </c>
      <c r="E392">
        <v>0</v>
      </c>
      <c r="H392"/>
    </row>
    <row r="393" spans="1:8" hidden="1" x14ac:dyDescent="0.3">
      <c r="A393" t="s">
        <v>22</v>
      </c>
      <c r="B393" t="s">
        <v>54</v>
      </c>
      <c r="C393" t="s">
        <v>78</v>
      </c>
      <c r="D393">
        <v>20.3</v>
      </c>
      <c r="E393">
        <v>3.6789999999999998</v>
      </c>
      <c r="F393">
        <v>3.86607608129234</v>
      </c>
      <c r="G393" t="s">
        <v>104</v>
      </c>
      <c r="H393" t="s">
        <v>108</v>
      </c>
    </row>
    <row r="394" spans="1:8" hidden="1" x14ac:dyDescent="0.3">
      <c r="A394" t="s">
        <v>23</v>
      </c>
      <c r="B394" t="s">
        <v>46</v>
      </c>
      <c r="C394" t="s">
        <v>64</v>
      </c>
      <c r="D394">
        <v>0.43168000000000001</v>
      </c>
      <c r="E394">
        <v>6.1235181384358777</v>
      </c>
      <c r="F394">
        <v>2.9521711768407801</v>
      </c>
      <c r="G394" t="s">
        <v>104</v>
      </c>
      <c r="H394" t="s">
        <v>108</v>
      </c>
    </row>
    <row r="395" spans="1:8" hidden="1" x14ac:dyDescent="0.3">
      <c r="A395" t="s">
        <v>23</v>
      </c>
      <c r="B395" t="s">
        <v>46</v>
      </c>
      <c r="C395" t="s">
        <v>79</v>
      </c>
      <c r="D395">
        <v>24</v>
      </c>
      <c r="E395">
        <v>3.881391666666667</v>
      </c>
      <c r="F395">
        <v>6.8428961748633883</v>
      </c>
      <c r="G395" t="s">
        <v>104</v>
      </c>
      <c r="H395" t="s">
        <v>108</v>
      </c>
    </row>
    <row r="396" spans="1:8" hidden="1" x14ac:dyDescent="0.3">
      <c r="A396" t="s">
        <v>23</v>
      </c>
      <c r="B396" t="s">
        <v>46</v>
      </c>
      <c r="C396" t="s">
        <v>65</v>
      </c>
      <c r="D396">
        <v>0.2</v>
      </c>
      <c r="E396">
        <v>4.4464999999999986</v>
      </c>
      <c r="F396">
        <v>2.9521711768407801</v>
      </c>
      <c r="G396" t="s">
        <v>104</v>
      </c>
      <c r="H396" t="s">
        <v>108</v>
      </c>
    </row>
    <row r="397" spans="1:8" hidden="1" x14ac:dyDescent="0.3">
      <c r="A397" t="s">
        <v>23</v>
      </c>
      <c r="B397" t="s">
        <v>46</v>
      </c>
      <c r="C397" t="s">
        <v>80</v>
      </c>
      <c r="D397">
        <v>0.69879999999999998</v>
      </c>
      <c r="E397">
        <v>0.26432906271072149</v>
      </c>
      <c r="F397">
        <v>28.139870918023309</v>
      </c>
      <c r="G397" t="s">
        <v>105</v>
      </c>
      <c r="H397" t="s">
        <v>108</v>
      </c>
    </row>
    <row r="398" spans="1:8" hidden="1" x14ac:dyDescent="0.3">
      <c r="A398" t="s">
        <v>23</v>
      </c>
      <c r="B398" t="s">
        <v>46</v>
      </c>
      <c r="C398" t="s">
        <v>81</v>
      </c>
      <c r="D398">
        <v>0.37370999999999999</v>
      </c>
      <c r="E398">
        <v>1.533490011750881</v>
      </c>
      <c r="F398">
        <v>8.9647473560517046</v>
      </c>
      <c r="G398" t="s">
        <v>105</v>
      </c>
      <c r="H398" t="s">
        <v>108</v>
      </c>
    </row>
    <row r="399" spans="1:8" hidden="1" x14ac:dyDescent="0.3">
      <c r="A399" t="s">
        <v>23</v>
      </c>
      <c r="B399" t="s">
        <v>46</v>
      </c>
      <c r="C399" t="s">
        <v>66</v>
      </c>
      <c r="D399">
        <v>16.399999999999999</v>
      </c>
      <c r="E399">
        <v>4.007579268292683</v>
      </c>
      <c r="F399">
        <v>6.8428961748633883</v>
      </c>
      <c r="G399" t="s">
        <v>104</v>
      </c>
      <c r="H399" t="s">
        <v>108</v>
      </c>
    </row>
    <row r="400" spans="1:8" hidden="1" x14ac:dyDescent="0.3">
      <c r="A400" t="s">
        <v>23</v>
      </c>
      <c r="B400" t="s">
        <v>46</v>
      </c>
      <c r="C400" t="s">
        <v>82</v>
      </c>
      <c r="D400">
        <v>7.2</v>
      </c>
      <c r="E400">
        <v>2.438819444444444</v>
      </c>
      <c r="F400">
        <v>6.8428961748633883</v>
      </c>
      <c r="G400" t="s">
        <v>104</v>
      </c>
      <c r="H400" t="s">
        <v>108</v>
      </c>
    </row>
    <row r="401" spans="1:8" hidden="1" x14ac:dyDescent="0.3">
      <c r="A401" t="s">
        <v>23</v>
      </c>
      <c r="B401" t="s">
        <v>46</v>
      </c>
      <c r="C401" t="s">
        <v>83</v>
      </c>
      <c r="D401">
        <v>3.4689999999999999E-2</v>
      </c>
      <c r="E401">
        <v>0</v>
      </c>
      <c r="F401">
        <v>6.8428961748633883</v>
      </c>
      <c r="G401" t="s">
        <v>104</v>
      </c>
      <c r="H401" t="s">
        <v>108</v>
      </c>
    </row>
    <row r="402" spans="1:8" hidden="1" x14ac:dyDescent="0.3">
      <c r="A402" t="s">
        <v>23</v>
      </c>
      <c r="B402" t="s">
        <v>46</v>
      </c>
      <c r="C402" t="s">
        <v>85</v>
      </c>
      <c r="D402">
        <v>0.4</v>
      </c>
      <c r="E402">
        <v>3.7327499999999998</v>
      </c>
      <c r="F402">
        <v>2.9521711768407801</v>
      </c>
      <c r="G402" t="s">
        <v>104</v>
      </c>
      <c r="H402" t="s">
        <v>108</v>
      </c>
    </row>
    <row r="403" spans="1:8" hidden="1" x14ac:dyDescent="0.3">
      <c r="A403" t="s">
        <v>23</v>
      </c>
      <c r="B403" t="s">
        <v>55</v>
      </c>
      <c r="C403" t="s">
        <v>86</v>
      </c>
      <c r="D403">
        <v>0.83260000000000001</v>
      </c>
      <c r="E403">
        <v>10.669</v>
      </c>
      <c r="F403">
        <v>22.1</v>
      </c>
      <c r="G403" t="s">
        <v>106</v>
      </c>
      <c r="H403" t="s">
        <v>109</v>
      </c>
    </row>
    <row r="404" spans="1:8" hidden="1" x14ac:dyDescent="0.3">
      <c r="A404" t="s">
        <v>23</v>
      </c>
      <c r="B404" t="s">
        <v>55</v>
      </c>
      <c r="C404" t="s">
        <v>87</v>
      </c>
      <c r="D404">
        <v>0.443</v>
      </c>
      <c r="E404">
        <v>11.878</v>
      </c>
      <c r="F404">
        <v>22.1</v>
      </c>
      <c r="G404" t="s">
        <v>106</v>
      </c>
      <c r="H404" t="s">
        <v>109</v>
      </c>
    </row>
    <row r="405" spans="1:8" hidden="1" x14ac:dyDescent="0.3">
      <c r="A405" t="s">
        <v>23</v>
      </c>
      <c r="B405" t="s">
        <v>55</v>
      </c>
      <c r="C405" t="s">
        <v>88</v>
      </c>
      <c r="D405">
        <v>12.5617</v>
      </c>
      <c r="E405">
        <v>10.557</v>
      </c>
      <c r="F405">
        <v>22.1</v>
      </c>
      <c r="G405" t="s">
        <v>106</v>
      </c>
      <c r="H405" t="s">
        <v>109</v>
      </c>
    </row>
    <row r="406" spans="1:8" hidden="1" x14ac:dyDescent="0.3">
      <c r="A406" t="s">
        <v>23</v>
      </c>
      <c r="B406" t="s">
        <v>55</v>
      </c>
      <c r="C406" t="s">
        <v>90</v>
      </c>
      <c r="D406">
        <v>0.2727</v>
      </c>
      <c r="E406">
        <v>11.625999999999999</v>
      </c>
      <c r="F406">
        <v>22.1</v>
      </c>
      <c r="G406" t="s">
        <v>106</v>
      </c>
      <c r="H406" t="s">
        <v>109</v>
      </c>
    </row>
    <row r="407" spans="1:8" hidden="1" x14ac:dyDescent="0.3">
      <c r="A407" t="s">
        <v>23</v>
      </c>
      <c r="B407" t="s">
        <v>55</v>
      </c>
      <c r="C407" t="s">
        <v>92</v>
      </c>
      <c r="D407">
        <v>0.99047000000000007</v>
      </c>
      <c r="E407">
        <v>11.878</v>
      </c>
      <c r="F407">
        <v>22.1</v>
      </c>
      <c r="G407" t="s">
        <v>106</v>
      </c>
      <c r="H407" t="s">
        <v>109</v>
      </c>
    </row>
    <row r="408" spans="1:8" hidden="1" x14ac:dyDescent="0.3">
      <c r="A408" t="s">
        <v>23</v>
      </c>
      <c r="B408" t="s">
        <v>56</v>
      </c>
      <c r="C408" t="s">
        <v>93</v>
      </c>
      <c r="D408">
        <v>4.2585999999999986</v>
      </c>
      <c r="E408">
        <v>2.9493975903614462</v>
      </c>
      <c r="F408">
        <v>26.1</v>
      </c>
      <c r="G408" t="s">
        <v>106</v>
      </c>
      <c r="H408" t="s">
        <v>109</v>
      </c>
    </row>
    <row r="409" spans="1:8" hidden="1" x14ac:dyDescent="0.3">
      <c r="A409" t="s">
        <v>23</v>
      </c>
      <c r="B409" t="s">
        <v>47</v>
      </c>
      <c r="C409" t="s">
        <v>68</v>
      </c>
      <c r="D409">
        <v>45.5</v>
      </c>
      <c r="E409">
        <v>3.039973626373627</v>
      </c>
      <c r="F409">
        <v>41.3</v>
      </c>
      <c r="G409" t="s">
        <v>104</v>
      </c>
      <c r="H409" t="s">
        <v>109</v>
      </c>
    </row>
    <row r="410" spans="1:8" hidden="1" x14ac:dyDescent="0.3">
      <c r="A410" t="s">
        <v>23</v>
      </c>
      <c r="B410" t="s">
        <v>47</v>
      </c>
      <c r="C410" t="s">
        <v>69</v>
      </c>
      <c r="D410">
        <v>41.8</v>
      </c>
      <c r="E410">
        <v>2.821791866028708</v>
      </c>
      <c r="F410">
        <v>41.3</v>
      </c>
      <c r="G410" t="s">
        <v>104</v>
      </c>
      <c r="H410" t="s">
        <v>109</v>
      </c>
    </row>
    <row r="411" spans="1:8" hidden="1" x14ac:dyDescent="0.3">
      <c r="A411" t="s">
        <v>23</v>
      </c>
      <c r="B411" t="s">
        <v>57</v>
      </c>
      <c r="C411" t="s">
        <v>94</v>
      </c>
      <c r="D411">
        <v>15.3</v>
      </c>
      <c r="E411">
        <v>7.5135490196078427</v>
      </c>
      <c r="F411">
        <v>46.8</v>
      </c>
      <c r="G411" t="s">
        <v>104</v>
      </c>
      <c r="H411" t="s">
        <v>109</v>
      </c>
    </row>
    <row r="412" spans="1:8" hidden="1" x14ac:dyDescent="0.3">
      <c r="A412" t="s">
        <v>23</v>
      </c>
      <c r="B412" t="s">
        <v>49</v>
      </c>
      <c r="C412" t="s">
        <v>71</v>
      </c>
      <c r="D412">
        <v>45.162640000000003</v>
      </c>
      <c r="E412">
        <v>2.4741501854187451</v>
      </c>
      <c r="F412">
        <v>3.86607608129234</v>
      </c>
      <c r="G412" t="s">
        <v>104</v>
      </c>
      <c r="H412" t="s">
        <v>108</v>
      </c>
    </row>
    <row r="413" spans="1:8" hidden="1" x14ac:dyDescent="0.3">
      <c r="A413" t="s">
        <v>23</v>
      </c>
      <c r="B413" t="s">
        <v>49</v>
      </c>
      <c r="C413" t="s">
        <v>72</v>
      </c>
      <c r="D413">
        <v>10.6</v>
      </c>
      <c r="E413">
        <v>3.3385660377358501</v>
      </c>
      <c r="F413">
        <v>3.86607608129234</v>
      </c>
      <c r="G413" t="s">
        <v>104</v>
      </c>
      <c r="H413" t="s">
        <v>108</v>
      </c>
    </row>
    <row r="414" spans="1:8" hidden="1" x14ac:dyDescent="0.3">
      <c r="A414" t="s">
        <v>23</v>
      </c>
      <c r="B414" t="s">
        <v>58</v>
      </c>
      <c r="C414" t="s">
        <v>95</v>
      </c>
      <c r="D414">
        <v>5.4661499999999998</v>
      </c>
      <c r="E414">
        <v>3.1332165820550109</v>
      </c>
      <c r="F414">
        <v>2.9521711768407801</v>
      </c>
      <c r="G414" t="s">
        <v>104</v>
      </c>
      <c r="H414" t="s">
        <v>108</v>
      </c>
    </row>
    <row r="415" spans="1:8" hidden="1" x14ac:dyDescent="0.3">
      <c r="A415" t="s">
        <v>23</v>
      </c>
      <c r="B415" t="s">
        <v>50</v>
      </c>
      <c r="C415" t="s">
        <v>73</v>
      </c>
      <c r="D415">
        <v>1.7</v>
      </c>
      <c r="E415">
        <v>5.1371176470588233</v>
      </c>
      <c r="F415">
        <v>20.723404255319149</v>
      </c>
      <c r="G415" t="s">
        <v>105</v>
      </c>
      <c r="H415" t="s">
        <v>108</v>
      </c>
    </row>
    <row r="416" spans="1:8" hidden="1" x14ac:dyDescent="0.3">
      <c r="A416" t="s">
        <v>23</v>
      </c>
      <c r="B416" t="s">
        <v>50</v>
      </c>
      <c r="C416" t="s">
        <v>74</v>
      </c>
      <c r="D416">
        <v>60.9</v>
      </c>
      <c r="E416">
        <v>3.5094646962233171</v>
      </c>
      <c r="F416">
        <v>2.0635593220338988</v>
      </c>
      <c r="G416" t="s">
        <v>105</v>
      </c>
      <c r="H416" t="s">
        <v>108</v>
      </c>
    </row>
    <row r="417" spans="1:8" hidden="1" x14ac:dyDescent="0.3">
      <c r="A417" t="s">
        <v>23</v>
      </c>
      <c r="B417" t="s">
        <v>59</v>
      </c>
      <c r="C417" t="s">
        <v>96</v>
      </c>
      <c r="D417">
        <v>1.2579</v>
      </c>
      <c r="E417">
        <v>18.27</v>
      </c>
      <c r="F417">
        <v>28.2</v>
      </c>
      <c r="G417" t="s">
        <v>107</v>
      </c>
      <c r="H417" t="s">
        <v>109</v>
      </c>
    </row>
    <row r="418" spans="1:8" hidden="1" x14ac:dyDescent="0.3">
      <c r="A418" t="s">
        <v>23</v>
      </c>
      <c r="B418" t="s">
        <v>59</v>
      </c>
      <c r="C418" t="s">
        <v>97</v>
      </c>
      <c r="D418">
        <v>6.2286999999999999</v>
      </c>
      <c r="E418">
        <v>18.55670103092784</v>
      </c>
      <c r="F418">
        <v>28.2</v>
      </c>
      <c r="G418" t="s">
        <v>107</v>
      </c>
      <c r="H418" t="s">
        <v>109</v>
      </c>
    </row>
    <row r="419" spans="1:8" hidden="1" x14ac:dyDescent="0.3">
      <c r="A419" t="s">
        <v>23</v>
      </c>
      <c r="B419" t="s">
        <v>51</v>
      </c>
      <c r="C419" t="s">
        <v>75</v>
      </c>
      <c r="D419">
        <v>7.1558710000000003</v>
      </c>
      <c r="E419">
        <v>4.1933314191247798E-3</v>
      </c>
      <c r="F419">
        <v>11.74</v>
      </c>
      <c r="G419" t="s">
        <v>104</v>
      </c>
      <c r="H419" t="s">
        <v>108</v>
      </c>
    </row>
    <row r="420" spans="1:8" hidden="1" x14ac:dyDescent="0.3">
      <c r="A420" t="s">
        <v>23</v>
      </c>
      <c r="B420" t="s">
        <v>60</v>
      </c>
      <c r="C420" t="s">
        <v>98</v>
      </c>
      <c r="D420">
        <v>2.5007100000000002</v>
      </c>
      <c r="E420">
        <v>18.582169709989259</v>
      </c>
      <c r="F420">
        <v>47.4</v>
      </c>
      <c r="G420" t="s">
        <v>107</v>
      </c>
      <c r="H420" t="s">
        <v>109</v>
      </c>
    </row>
    <row r="421" spans="1:8" hidden="1" x14ac:dyDescent="0.3">
      <c r="A421" t="s">
        <v>23</v>
      </c>
      <c r="B421" t="s">
        <v>52</v>
      </c>
      <c r="C421" t="s">
        <v>76</v>
      </c>
      <c r="D421">
        <v>0.192</v>
      </c>
      <c r="E421">
        <v>7.5037500000000001</v>
      </c>
      <c r="F421">
        <v>12.68872359754714</v>
      </c>
      <c r="G421" t="s">
        <v>105</v>
      </c>
      <c r="H421" t="s">
        <v>108</v>
      </c>
    </row>
    <row r="422" spans="1:8" hidden="1" x14ac:dyDescent="0.3">
      <c r="A422" t="s">
        <v>23</v>
      </c>
      <c r="B422" t="s">
        <v>53</v>
      </c>
      <c r="C422" t="s">
        <v>77</v>
      </c>
      <c r="D422">
        <v>7.4</v>
      </c>
      <c r="E422">
        <v>3.338594594594595</v>
      </c>
      <c r="F422">
        <v>3.86607608129234</v>
      </c>
      <c r="G422" t="s">
        <v>104</v>
      </c>
      <c r="H422" t="s">
        <v>108</v>
      </c>
    </row>
    <row r="423" spans="1:8" hidden="1" x14ac:dyDescent="0.3">
      <c r="A423" t="s">
        <v>23</v>
      </c>
      <c r="B423" t="s">
        <v>61</v>
      </c>
      <c r="C423" t="s">
        <v>99</v>
      </c>
      <c r="D423">
        <v>1.6</v>
      </c>
      <c r="E423">
        <v>2.2838124999999998</v>
      </c>
      <c r="F423">
        <v>2.9245635910224439</v>
      </c>
      <c r="G423" t="s">
        <v>104</v>
      </c>
      <c r="H423" t="s">
        <v>108</v>
      </c>
    </row>
    <row r="424" spans="1:8" hidden="1" x14ac:dyDescent="0.3">
      <c r="A424" t="s">
        <v>23</v>
      </c>
      <c r="B424" t="s">
        <v>62</v>
      </c>
      <c r="C424" t="s">
        <v>100</v>
      </c>
      <c r="D424">
        <v>0.3</v>
      </c>
      <c r="E424">
        <v>0.46666666666666662</v>
      </c>
      <c r="F424">
        <v>2.6764106050305911</v>
      </c>
      <c r="G424" t="s">
        <v>104</v>
      </c>
      <c r="H424" t="s">
        <v>108</v>
      </c>
    </row>
    <row r="425" spans="1:8" hidden="1" x14ac:dyDescent="0.3">
      <c r="A425" t="s">
        <v>23</v>
      </c>
      <c r="B425" t="s">
        <v>54</v>
      </c>
      <c r="C425" t="s">
        <v>78</v>
      </c>
      <c r="D425">
        <v>31.4</v>
      </c>
      <c r="E425">
        <v>3.2975955414012739</v>
      </c>
      <c r="F425">
        <v>3.86607608129234</v>
      </c>
      <c r="G425" t="s">
        <v>104</v>
      </c>
      <c r="H425" t="s">
        <v>108</v>
      </c>
    </row>
    <row r="426" spans="1:8" hidden="1" x14ac:dyDescent="0.3">
      <c r="A426" t="s">
        <v>24</v>
      </c>
      <c r="B426" t="s">
        <v>46</v>
      </c>
      <c r="C426" t="s">
        <v>64</v>
      </c>
      <c r="D426">
        <v>2.4399999999999999E-3</v>
      </c>
      <c r="E426">
        <v>5.3397008196721307</v>
      </c>
      <c r="F426">
        <v>2.9521711768407801</v>
      </c>
      <c r="G426" t="s">
        <v>104</v>
      </c>
      <c r="H426" t="s">
        <v>108</v>
      </c>
    </row>
    <row r="427" spans="1:8" hidden="1" x14ac:dyDescent="0.3">
      <c r="A427" t="s">
        <v>24</v>
      </c>
      <c r="B427" t="s">
        <v>46</v>
      </c>
      <c r="C427" t="s">
        <v>80</v>
      </c>
      <c r="D427">
        <v>6.7780000000000007E-2</v>
      </c>
      <c r="E427">
        <v>0.33378287255563049</v>
      </c>
      <c r="F427">
        <v>28.139870918023309</v>
      </c>
      <c r="G427" t="s">
        <v>105</v>
      </c>
      <c r="H427" t="s">
        <v>108</v>
      </c>
    </row>
    <row r="428" spans="1:8" hidden="1" x14ac:dyDescent="0.3">
      <c r="A428" t="s">
        <v>24</v>
      </c>
      <c r="B428" t="s">
        <v>46</v>
      </c>
      <c r="C428" t="s">
        <v>81</v>
      </c>
      <c r="D428">
        <v>9.9629999999999996E-2</v>
      </c>
      <c r="E428">
        <v>2.6022326674500591</v>
      </c>
      <c r="F428">
        <v>8.9647473560517046</v>
      </c>
      <c r="G428" t="s">
        <v>105</v>
      </c>
      <c r="H428" t="s">
        <v>108</v>
      </c>
    </row>
    <row r="429" spans="1:8" hidden="1" x14ac:dyDescent="0.3">
      <c r="A429" t="s">
        <v>24</v>
      </c>
      <c r="B429" t="s">
        <v>46</v>
      </c>
      <c r="C429" t="s">
        <v>82</v>
      </c>
      <c r="D429">
        <v>0.1</v>
      </c>
      <c r="E429">
        <v>1.3779999999999999</v>
      </c>
      <c r="F429">
        <v>6.8428961748633883</v>
      </c>
      <c r="G429" t="s">
        <v>104</v>
      </c>
      <c r="H429" t="s">
        <v>108</v>
      </c>
    </row>
    <row r="430" spans="1:8" hidden="1" x14ac:dyDescent="0.3">
      <c r="A430" t="s">
        <v>24</v>
      </c>
      <c r="B430" t="s">
        <v>55</v>
      </c>
      <c r="C430" t="s">
        <v>86</v>
      </c>
      <c r="D430">
        <v>6.5099999999999991E-2</v>
      </c>
      <c r="E430">
        <v>10.17</v>
      </c>
      <c r="F430">
        <v>10.199999999999999</v>
      </c>
      <c r="G430" t="s">
        <v>106</v>
      </c>
      <c r="H430" t="s">
        <v>109</v>
      </c>
    </row>
    <row r="431" spans="1:8" hidden="1" x14ac:dyDescent="0.3">
      <c r="A431" t="s">
        <v>24</v>
      </c>
      <c r="B431" t="s">
        <v>55</v>
      </c>
      <c r="C431" t="s">
        <v>89</v>
      </c>
      <c r="D431">
        <v>7.6899999999999996E-2</v>
      </c>
      <c r="E431">
        <v>0</v>
      </c>
      <c r="F431">
        <v>10.199999999999999</v>
      </c>
      <c r="G431" t="s">
        <v>106</v>
      </c>
      <c r="H431" t="s">
        <v>109</v>
      </c>
    </row>
    <row r="432" spans="1:8" hidden="1" x14ac:dyDescent="0.3">
      <c r="A432" t="s">
        <v>24</v>
      </c>
      <c r="B432" t="s">
        <v>55</v>
      </c>
      <c r="C432" t="s">
        <v>92</v>
      </c>
      <c r="D432">
        <v>9.0179999999999996E-2</v>
      </c>
      <c r="E432">
        <v>9.58</v>
      </c>
      <c r="F432">
        <v>10.199999999999999</v>
      </c>
      <c r="G432" t="s">
        <v>106</v>
      </c>
      <c r="H432" t="s">
        <v>109</v>
      </c>
    </row>
    <row r="433" spans="1:8" hidden="1" x14ac:dyDescent="0.3">
      <c r="A433" t="s">
        <v>24</v>
      </c>
      <c r="B433" t="s">
        <v>47</v>
      </c>
      <c r="C433" t="s">
        <v>101</v>
      </c>
      <c r="D433">
        <v>12.3</v>
      </c>
      <c r="E433">
        <v>4.9283089430894309</v>
      </c>
      <c r="F433">
        <v>61.2</v>
      </c>
      <c r="G433" t="s">
        <v>104</v>
      </c>
      <c r="H433" t="s">
        <v>109</v>
      </c>
    </row>
    <row r="434" spans="1:8" hidden="1" x14ac:dyDescent="0.3">
      <c r="A434" t="s">
        <v>24</v>
      </c>
      <c r="B434" t="s">
        <v>57</v>
      </c>
      <c r="C434" t="s">
        <v>94</v>
      </c>
      <c r="D434">
        <v>6.6</v>
      </c>
      <c r="E434">
        <v>9.9307878787878785</v>
      </c>
      <c r="F434">
        <v>24.6</v>
      </c>
      <c r="G434" t="s">
        <v>104</v>
      </c>
      <c r="H434" t="s">
        <v>109</v>
      </c>
    </row>
    <row r="435" spans="1:8" hidden="1" x14ac:dyDescent="0.3">
      <c r="A435" t="s">
        <v>24</v>
      </c>
      <c r="B435" t="s">
        <v>49</v>
      </c>
      <c r="C435" t="s">
        <v>71</v>
      </c>
      <c r="D435">
        <v>9.9635400000000001</v>
      </c>
      <c r="E435">
        <v>5.3170000000000002</v>
      </c>
      <c r="F435">
        <v>3.86607608129234</v>
      </c>
      <c r="G435" t="s">
        <v>104</v>
      </c>
      <c r="H435" t="s">
        <v>108</v>
      </c>
    </row>
    <row r="436" spans="1:8" hidden="1" x14ac:dyDescent="0.3">
      <c r="A436" t="s">
        <v>24</v>
      </c>
      <c r="B436" t="s">
        <v>49</v>
      </c>
      <c r="C436" t="s">
        <v>72</v>
      </c>
      <c r="D436">
        <v>0.4</v>
      </c>
      <c r="E436">
        <v>4.2574999999999994</v>
      </c>
      <c r="F436">
        <v>3.86607608129234</v>
      </c>
      <c r="G436" t="s">
        <v>104</v>
      </c>
      <c r="H436" t="s">
        <v>108</v>
      </c>
    </row>
    <row r="437" spans="1:8" hidden="1" x14ac:dyDescent="0.3">
      <c r="A437" t="s">
        <v>24</v>
      </c>
      <c r="B437" t="s">
        <v>58</v>
      </c>
      <c r="C437" t="s">
        <v>95</v>
      </c>
      <c r="D437">
        <v>4.0996199999999998</v>
      </c>
      <c r="E437">
        <v>3.2015915670232848</v>
      </c>
      <c r="F437">
        <v>2.9521711768407801</v>
      </c>
      <c r="G437" t="s">
        <v>104</v>
      </c>
      <c r="H437" t="s">
        <v>108</v>
      </c>
    </row>
    <row r="438" spans="1:8" hidden="1" x14ac:dyDescent="0.3">
      <c r="A438" t="s">
        <v>24</v>
      </c>
      <c r="B438" t="s">
        <v>50</v>
      </c>
      <c r="C438" t="s">
        <v>73</v>
      </c>
      <c r="D438">
        <v>6.7</v>
      </c>
      <c r="E438">
        <v>5.6319999999999988</v>
      </c>
      <c r="F438">
        <v>20.723404255319149</v>
      </c>
      <c r="G438" t="s">
        <v>105</v>
      </c>
      <c r="H438" t="s">
        <v>108</v>
      </c>
    </row>
    <row r="439" spans="1:8" hidden="1" x14ac:dyDescent="0.3">
      <c r="A439" t="s">
        <v>24</v>
      </c>
      <c r="B439" t="s">
        <v>50</v>
      </c>
      <c r="C439" t="s">
        <v>74</v>
      </c>
      <c r="D439">
        <v>11.4</v>
      </c>
      <c r="E439">
        <v>6.1883333333333326</v>
      </c>
      <c r="F439">
        <v>2.0635593220338988</v>
      </c>
      <c r="G439" t="s">
        <v>105</v>
      </c>
      <c r="H439" t="s">
        <v>108</v>
      </c>
    </row>
    <row r="440" spans="1:8" hidden="1" x14ac:dyDescent="0.3">
      <c r="A440" t="s">
        <v>24</v>
      </c>
      <c r="B440" t="s">
        <v>51</v>
      </c>
      <c r="C440" t="s">
        <v>75</v>
      </c>
      <c r="D440">
        <v>1.1959880000000001</v>
      </c>
      <c r="E440">
        <v>4.3944648656512098E-2</v>
      </c>
      <c r="F440">
        <v>11.74</v>
      </c>
      <c r="G440" t="s">
        <v>104</v>
      </c>
      <c r="H440" t="s">
        <v>108</v>
      </c>
    </row>
    <row r="441" spans="1:8" hidden="1" x14ac:dyDescent="0.3">
      <c r="A441" t="s">
        <v>24</v>
      </c>
      <c r="B441" t="s">
        <v>60</v>
      </c>
      <c r="C441" t="s">
        <v>98</v>
      </c>
      <c r="D441">
        <v>0.92274999999999996</v>
      </c>
      <c r="E441">
        <v>26.262083780880769</v>
      </c>
      <c r="F441">
        <v>33.200000000000003</v>
      </c>
      <c r="G441" t="s">
        <v>107</v>
      </c>
      <c r="H441" t="s">
        <v>109</v>
      </c>
    </row>
    <row r="442" spans="1:8" hidden="1" x14ac:dyDescent="0.3">
      <c r="A442" t="s">
        <v>24</v>
      </c>
      <c r="B442" t="s">
        <v>52</v>
      </c>
      <c r="C442" t="s">
        <v>76</v>
      </c>
      <c r="D442">
        <v>1E-3</v>
      </c>
      <c r="E442">
        <v>7.5037500000000001</v>
      </c>
      <c r="F442">
        <v>12.68872359754714</v>
      </c>
      <c r="G442" t="s">
        <v>105</v>
      </c>
      <c r="H442" t="s">
        <v>108</v>
      </c>
    </row>
    <row r="443" spans="1:8" hidden="1" x14ac:dyDescent="0.3">
      <c r="A443" t="s">
        <v>24</v>
      </c>
      <c r="B443" t="s">
        <v>53</v>
      </c>
      <c r="C443" t="s">
        <v>77</v>
      </c>
      <c r="D443">
        <v>0.5</v>
      </c>
      <c r="E443">
        <v>4.2576000000000001</v>
      </c>
      <c r="F443">
        <v>3.86607608129234</v>
      </c>
      <c r="G443" t="s">
        <v>104</v>
      </c>
      <c r="H443" t="s">
        <v>108</v>
      </c>
    </row>
    <row r="444" spans="1:8" hidden="1" x14ac:dyDescent="0.3">
      <c r="A444" t="s">
        <v>24</v>
      </c>
      <c r="B444" t="s">
        <v>61</v>
      </c>
      <c r="C444" t="s">
        <v>99</v>
      </c>
      <c r="D444">
        <v>3.4</v>
      </c>
      <c r="E444">
        <v>2.484</v>
      </c>
      <c r="F444">
        <v>2.9245635910224439</v>
      </c>
      <c r="G444" t="s">
        <v>104</v>
      </c>
      <c r="H444" t="s">
        <v>108</v>
      </c>
    </row>
    <row r="445" spans="1:8" hidden="1" x14ac:dyDescent="0.3">
      <c r="A445" t="s">
        <v>24</v>
      </c>
      <c r="B445" t="s">
        <v>62</v>
      </c>
      <c r="C445" t="s">
        <v>100</v>
      </c>
      <c r="D445">
        <v>1.2</v>
      </c>
      <c r="E445">
        <v>1.291666666666667</v>
      </c>
      <c r="F445">
        <v>2.6764106050305911</v>
      </c>
      <c r="G445" t="s">
        <v>104</v>
      </c>
      <c r="H445" t="s">
        <v>108</v>
      </c>
    </row>
    <row r="446" spans="1:8" hidden="1" x14ac:dyDescent="0.3">
      <c r="A446" t="s">
        <v>24</v>
      </c>
      <c r="B446" t="s">
        <v>54</v>
      </c>
      <c r="C446" t="s">
        <v>78</v>
      </c>
      <c r="D446">
        <v>11.8</v>
      </c>
      <c r="E446">
        <v>9.141</v>
      </c>
      <c r="F446">
        <v>3.86607608129234</v>
      </c>
      <c r="G446" t="s">
        <v>104</v>
      </c>
      <c r="H446" t="s">
        <v>108</v>
      </c>
    </row>
    <row r="447" spans="1:8" hidden="1" x14ac:dyDescent="0.3">
      <c r="A447" t="s">
        <v>25</v>
      </c>
      <c r="B447" t="s">
        <v>51</v>
      </c>
      <c r="C447" t="s">
        <v>75</v>
      </c>
      <c r="D447">
        <v>0.82643100000000003</v>
      </c>
      <c r="E447">
        <v>3.2618978888454002E-3</v>
      </c>
      <c r="F447">
        <v>11.74</v>
      </c>
      <c r="G447" t="s">
        <v>104</v>
      </c>
      <c r="H447" t="s">
        <v>108</v>
      </c>
    </row>
    <row r="448" spans="1:8" hidden="1" x14ac:dyDescent="0.3">
      <c r="A448" t="s">
        <v>26</v>
      </c>
      <c r="B448" t="s">
        <v>46</v>
      </c>
      <c r="C448" t="s">
        <v>63</v>
      </c>
      <c r="D448">
        <v>2.8896999999999999</v>
      </c>
      <c r="E448">
        <v>2.9286474973375931</v>
      </c>
      <c r="F448">
        <v>3.950479233226837</v>
      </c>
      <c r="G448" t="s">
        <v>104</v>
      </c>
      <c r="H448" t="s">
        <v>108</v>
      </c>
    </row>
    <row r="449" spans="1:8" hidden="1" x14ac:dyDescent="0.3">
      <c r="A449" t="s">
        <v>26</v>
      </c>
      <c r="B449" t="s">
        <v>46</v>
      </c>
      <c r="C449" t="s">
        <v>64</v>
      </c>
      <c r="D449">
        <v>0.94813999999999998</v>
      </c>
      <c r="E449">
        <v>6.0182408505073086</v>
      </c>
      <c r="F449">
        <v>2.9521711768407801</v>
      </c>
      <c r="G449" t="s">
        <v>104</v>
      </c>
      <c r="H449" t="s">
        <v>108</v>
      </c>
    </row>
    <row r="450" spans="1:8" hidden="1" x14ac:dyDescent="0.3">
      <c r="A450" t="s">
        <v>26</v>
      </c>
      <c r="B450" t="s">
        <v>46</v>
      </c>
      <c r="C450" t="s">
        <v>79</v>
      </c>
      <c r="D450">
        <v>17.3</v>
      </c>
      <c r="E450">
        <v>3.2501387283237002</v>
      </c>
      <c r="F450">
        <v>6.8428961748633883</v>
      </c>
      <c r="G450" t="s">
        <v>104</v>
      </c>
      <c r="H450" t="s">
        <v>108</v>
      </c>
    </row>
    <row r="451" spans="1:8" hidden="1" x14ac:dyDescent="0.3">
      <c r="A451" t="s">
        <v>26</v>
      </c>
      <c r="B451" t="s">
        <v>46</v>
      </c>
      <c r="C451" t="s">
        <v>65</v>
      </c>
      <c r="D451">
        <v>1.8</v>
      </c>
      <c r="E451">
        <v>7.1131111111111114</v>
      </c>
      <c r="F451">
        <v>2.9521711768407801</v>
      </c>
      <c r="G451" t="s">
        <v>104</v>
      </c>
      <c r="H451" t="s">
        <v>108</v>
      </c>
    </row>
    <row r="452" spans="1:8" hidden="1" x14ac:dyDescent="0.3">
      <c r="A452" t="s">
        <v>26</v>
      </c>
      <c r="B452" t="s">
        <v>46</v>
      </c>
      <c r="C452" t="s">
        <v>102</v>
      </c>
      <c r="D452">
        <v>1.1000000000000001</v>
      </c>
      <c r="E452">
        <v>6.0218181818181824</v>
      </c>
      <c r="F452">
        <v>2.9521711768407801</v>
      </c>
      <c r="G452" t="s">
        <v>104</v>
      </c>
      <c r="H452" t="s">
        <v>108</v>
      </c>
    </row>
    <row r="453" spans="1:8" hidden="1" x14ac:dyDescent="0.3">
      <c r="A453" t="s">
        <v>26</v>
      </c>
      <c r="B453" t="s">
        <v>46</v>
      </c>
      <c r="C453" t="s">
        <v>80</v>
      </c>
      <c r="D453">
        <v>3.9094000000000002</v>
      </c>
      <c r="E453">
        <v>0.7329737019554956</v>
      </c>
      <c r="F453">
        <v>28.139870918023309</v>
      </c>
      <c r="G453" t="s">
        <v>105</v>
      </c>
      <c r="H453" t="s">
        <v>108</v>
      </c>
    </row>
    <row r="454" spans="1:8" hidden="1" x14ac:dyDescent="0.3">
      <c r="A454" t="s">
        <v>26</v>
      </c>
      <c r="B454" t="s">
        <v>46</v>
      </c>
      <c r="C454" t="s">
        <v>81</v>
      </c>
      <c r="D454">
        <v>1.8818299999999999</v>
      </c>
      <c r="E454">
        <v>1.2708578143360749</v>
      </c>
      <c r="F454">
        <v>8.9647473560517046</v>
      </c>
      <c r="G454" t="s">
        <v>105</v>
      </c>
      <c r="H454" t="s">
        <v>108</v>
      </c>
    </row>
    <row r="455" spans="1:8" hidden="1" x14ac:dyDescent="0.3">
      <c r="A455" t="s">
        <v>26</v>
      </c>
      <c r="B455" t="s">
        <v>46</v>
      </c>
      <c r="C455" t="s">
        <v>66</v>
      </c>
      <c r="D455">
        <v>16.100000000000001</v>
      </c>
      <c r="E455">
        <v>3.3669689440993791</v>
      </c>
      <c r="F455">
        <v>6.8428961748633883</v>
      </c>
      <c r="G455" t="s">
        <v>104</v>
      </c>
      <c r="H455" t="s">
        <v>108</v>
      </c>
    </row>
    <row r="456" spans="1:8" hidden="1" x14ac:dyDescent="0.3">
      <c r="A456" t="s">
        <v>26</v>
      </c>
      <c r="B456" t="s">
        <v>46</v>
      </c>
      <c r="C456" t="s">
        <v>67</v>
      </c>
      <c r="D456">
        <v>6</v>
      </c>
      <c r="E456">
        <v>10.63398333333333</v>
      </c>
      <c r="F456">
        <v>2.9521711768407801</v>
      </c>
      <c r="G456" t="s">
        <v>104</v>
      </c>
      <c r="H456" t="s">
        <v>108</v>
      </c>
    </row>
    <row r="457" spans="1:8" hidden="1" x14ac:dyDescent="0.3">
      <c r="A457" t="s">
        <v>26</v>
      </c>
      <c r="B457" t="s">
        <v>46</v>
      </c>
      <c r="C457" t="s">
        <v>82</v>
      </c>
      <c r="D457">
        <v>1.1000000000000001</v>
      </c>
      <c r="E457">
        <v>2.122272727272728</v>
      </c>
      <c r="F457">
        <v>6.8428961748633883</v>
      </c>
      <c r="G457" t="s">
        <v>104</v>
      </c>
      <c r="H457" t="s">
        <v>108</v>
      </c>
    </row>
    <row r="458" spans="1:8" hidden="1" x14ac:dyDescent="0.3">
      <c r="A458" t="s">
        <v>26</v>
      </c>
      <c r="B458" t="s">
        <v>46</v>
      </c>
      <c r="C458" t="s">
        <v>83</v>
      </c>
      <c r="D458">
        <v>4.5888499999999999</v>
      </c>
      <c r="E458">
        <v>3.1427594233849439</v>
      </c>
      <c r="F458">
        <v>6.8428961748633883</v>
      </c>
      <c r="G458" t="s">
        <v>104</v>
      </c>
      <c r="H458" t="s">
        <v>108</v>
      </c>
    </row>
    <row r="459" spans="1:8" hidden="1" x14ac:dyDescent="0.3">
      <c r="A459" t="s">
        <v>26</v>
      </c>
      <c r="B459" t="s">
        <v>46</v>
      </c>
      <c r="C459" t="s">
        <v>84</v>
      </c>
      <c r="D459">
        <v>0.60000000000000009</v>
      </c>
      <c r="E459">
        <v>2.3940000000000001</v>
      </c>
      <c r="F459">
        <v>28.139870918023309</v>
      </c>
      <c r="G459" t="s">
        <v>105</v>
      </c>
      <c r="H459" t="s">
        <v>108</v>
      </c>
    </row>
    <row r="460" spans="1:8" hidden="1" x14ac:dyDescent="0.3">
      <c r="A460" t="s">
        <v>26</v>
      </c>
      <c r="B460" t="s">
        <v>46</v>
      </c>
      <c r="C460" t="s">
        <v>85</v>
      </c>
      <c r="D460">
        <v>5.4</v>
      </c>
      <c r="E460">
        <v>4.9631851851851847</v>
      </c>
      <c r="F460">
        <v>2.9521711768407801</v>
      </c>
      <c r="G460" t="s">
        <v>104</v>
      </c>
      <c r="H460" t="s">
        <v>108</v>
      </c>
    </row>
    <row r="461" spans="1:8" hidden="1" x14ac:dyDescent="0.3">
      <c r="A461" t="s">
        <v>26</v>
      </c>
      <c r="B461" t="s">
        <v>55</v>
      </c>
      <c r="C461" t="s">
        <v>86</v>
      </c>
      <c r="D461">
        <v>0.98509999999999998</v>
      </c>
      <c r="E461">
        <v>13.37</v>
      </c>
      <c r="F461">
        <v>15.2</v>
      </c>
      <c r="G461" t="s">
        <v>106</v>
      </c>
      <c r="H461" t="s">
        <v>109</v>
      </c>
    </row>
    <row r="462" spans="1:8" hidden="1" x14ac:dyDescent="0.3">
      <c r="A462" t="s">
        <v>26</v>
      </c>
      <c r="B462" t="s">
        <v>55</v>
      </c>
      <c r="C462" t="s">
        <v>87</v>
      </c>
      <c r="D462">
        <v>6.0103</v>
      </c>
      <c r="E462">
        <v>18.117000000000001</v>
      </c>
      <c r="F462">
        <v>15.2</v>
      </c>
      <c r="G462" t="s">
        <v>106</v>
      </c>
      <c r="H462" t="s">
        <v>109</v>
      </c>
    </row>
    <row r="463" spans="1:8" hidden="1" x14ac:dyDescent="0.3">
      <c r="A463" t="s">
        <v>26</v>
      </c>
      <c r="B463" t="s">
        <v>55</v>
      </c>
      <c r="C463" t="s">
        <v>88</v>
      </c>
      <c r="D463">
        <v>10.439399999999999</v>
      </c>
      <c r="E463">
        <v>14.14</v>
      </c>
      <c r="F463">
        <v>15.2</v>
      </c>
      <c r="G463" t="s">
        <v>106</v>
      </c>
      <c r="H463" t="s">
        <v>109</v>
      </c>
    </row>
    <row r="464" spans="1:8" hidden="1" x14ac:dyDescent="0.3">
      <c r="A464" t="s">
        <v>26</v>
      </c>
      <c r="B464" t="s">
        <v>55</v>
      </c>
      <c r="C464" t="s">
        <v>92</v>
      </c>
      <c r="D464">
        <v>2.0763699999999998</v>
      </c>
      <c r="E464">
        <v>18.117000000000001</v>
      </c>
      <c r="F464">
        <v>15.2</v>
      </c>
      <c r="G464" t="s">
        <v>106</v>
      </c>
      <c r="H464" t="s">
        <v>109</v>
      </c>
    </row>
    <row r="465" spans="1:8" hidden="1" x14ac:dyDescent="0.3">
      <c r="A465" t="s">
        <v>26</v>
      </c>
      <c r="B465" t="s">
        <v>56</v>
      </c>
      <c r="C465" t="s">
        <v>93</v>
      </c>
      <c r="D465">
        <v>44.343400000000003</v>
      </c>
      <c r="E465">
        <v>2.939759036144578</v>
      </c>
      <c r="F465">
        <v>23.4</v>
      </c>
      <c r="G465" t="s">
        <v>106</v>
      </c>
      <c r="H465" t="s">
        <v>109</v>
      </c>
    </row>
    <row r="466" spans="1:8" hidden="1" x14ac:dyDescent="0.3">
      <c r="A466" t="s">
        <v>26</v>
      </c>
      <c r="B466" t="s">
        <v>47</v>
      </c>
      <c r="C466" t="s">
        <v>68</v>
      </c>
      <c r="D466">
        <v>102.7</v>
      </c>
      <c r="E466">
        <v>6.6435861733203501</v>
      </c>
      <c r="F466">
        <v>20.8</v>
      </c>
      <c r="G466" t="s">
        <v>104</v>
      </c>
      <c r="H466" t="s">
        <v>109</v>
      </c>
    </row>
    <row r="467" spans="1:8" hidden="1" x14ac:dyDescent="0.3">
      <c r="A467" t="s">
        <v>26</v>
      </c>
      <c r="B467" t="s">
        <v>47</v>
      </c>
      <c r="C467" t="s">
        <v>69</v>
      </c>
      <c r="D467">
        <v>54.6</v>
      </c>
      <c r="E467">
        <v>8.98180586080586</v>
      </c>
      <c r="F467">
        <v>20.8</v>
      </c>
      <c r="G467" t="s">
        <v>104</v>
      </c>
      <c r="H467" t="s">
        <v>109</v>
      </c>
    </row>
    <row r="468" spans="1:8" hidden="1" x14ac:dyDescent="0.3">
      <c r="A468" t="s">
        <v>26</v>
      </c>
      <c r="B468" t="s">
        <v>48</v>
      </c>
      <c r="C468" t="s">
        <v>70</v>
      </c>
      <c r="D468">
        <v>11.7</v>
      </c>
      <c r="E468">
        <v>18.221162393162391</v>
      </c>
      <c r="F468">
        <v>0</v>
      </c>
      <c r="G468" t="s">
        <v>104</v>
      </c>
      <c r="H468" t="s">
        <v>109</v>
      </c>
    </row>
    <row r="469" spans="1:8" hidden="1" x14ac:dyDescent="0.3">
      <c r="A469" t="s">
        <v>26</v>
      </c>
      <c r="B469" t="s">
        <v>49</v>
      </c>
      <c r="C469" t="s">
        <v>71</v>
      </c>
      <c r="D469">
        <v>115.28823</v>
      </c>
      <c r="E469">
        <v>5.4620676587714119</v>
      </c>
      <c r="F469">
        <v>3.86607608129234</v>
      </c>
      <c r="G469" t="s">
        <v>104</v>
      </c>
      <c r="H469" t="s">
        <v>108</v>
      </c>
    </row>
    <row r="470" spans="1:8" hidden="1" x14ac:dyDescent="0.3">
      <c r="A470" t="s">
        <v>26</v>
      </c>
      <c r="B470" t="s">
        <v>49</v>
      </c>
      <c r="C470" t="s">
        <v>72</v>
      </c>
      <c r="D470">
        <v>19.600000000000001</v>
      </c>
      <c r="E470">
        <v>4.3883316326530606</v>
      </c>
      <c r="F470">
        <v>3.86607608129234</v>
      </c>
      <c r="G470" t="s">
        <v>104</v>
      </c>
      <c r="H470" t="s">
        <v>108</v>
      </c>
    </row>
    <row r="471" spans="1:8" hidden="1" x14ac:dyDescent="0.3">
      <c r="A471" t="s">
        <v>26</v>
      </c>
      <c r="B471" t="s">
        <v>58</v>
      </c>
      <c r="C471" t="s">
        <v>95</v>
      </c>
      <c r="D471">
        <v>12.64049</v>
      </c>
      <c r="E471">
        <v>3.3756252771846662</v>
      </c>
      <c r="F471">
        <v>2.9521711768407801</v>
      </c>
      <c r="G471" t="s">
        <v>104</v>
      </c>
      <c r="H471" t="s">
        <v>108</v>
      </c>
    </row>
    <row r="472" spans="1:8" hidden="1" x14ac:dyDescent="0.3">
      <c r="A472" t="s">
        <v>26</v>
      </c>
      <c r="B472" t="s">
        <v>50</v>
      </c>
      <c r="C472" t="s">
        <v>73</v>
      </c>
      <c r="D472">
        <v>21.8</v>
      </c>
      <c r="E472">
        <v>5.8951055045871552</v>
      </c>
      <c r="F472">
        <v>20.723404255319149</v>
      </c>
      <c r="G472" t="s">
        <v>105</v>
      </c>
      <c r="H472" t="s">
        <v>108</v>
      </c>
    </row>
    <row r="473" spans="1:8" hidden="1" x14ac:dyDescent="0.3">
      <c r="A473" t="s">
        <v>26</v>
      </c>
      <c r="B473" t="s">
        <v>50</v>
      </c>
      <c r="C473" t="s">
        <v>74</v>
      </c>
      <c r="D473">
        <v>97.8</v>
      </c>
      <c r="E473">
        <v>4.7980879345603276</v>
      </c>
      <c r="F473">
        <v>2.0635593220338988</v>
      </c>
      <c r="G473" t="s">
        <v>105</v>
      </c>
      <c r="H473" t="s">
        <v>108</v>
      </c>
    </row>
    <row r="474" spans="1:8" hidden="1" x14ac:dyDescent="0.3">
      <c r="A474" t="s">
        <v>26</v>
      </c>
      <c r="B474" t="s">
        <v>59</v>
      </c>
      <c r="C474" t="s">
        <v>96</v>
      </c>
      <c r="D474">
        <v>1.0789</v>
      </c>
      <c r="E474">
        <v>17.364000000000001</v>
      </c>
      <c r="F474">
        <v>18.600000000000001</v>
      </c>
      <c r="G474" t="s">
        <v>107</v>
      </c>
      <c r="H474" t="s">
        <v>109</v>
      </c>
    </row>
    <row r="475" spans="1:8" hidden="1" x14ac:dyDescent="0.3">
      <c r="A475" t="s">
        <v>26</v>
      </c>
      <c r="B475" t="s">
        <v>59</v>
      </c>
      <c r="C475" t="s">
        <v>97</v>
      </c>
      <c r="D475">
        <v>2.0878999999999999</v>
      </c>
      <c r="E475">
        <v>13.94465545306565</v>
      </c>
      <c r="F475">
        <v>18.600000000000001</v>
      </c>
      <c r="G475" t="s">
        <v>107</v>
      </c>
      <c r="H475" t="s">
        <v>109</v>
      </c>
    </row>
    <row r="476" spans="1:8" hidden="1" x14ac:dyDescent="0.3">
      <c r="A476" t="s">
        <v>26</v>
      </c>
      <c r="B476" t="s">
        <v>51</v>
      </c>
      <c r="C476" t="s">
        <v>75</v>
      </c>
      <c r="D476">
        <v>25.987400000000001</v>
      </c>
      <c r="E476">
        <v>9.3881235149403899E-2</v>
      </c>
      <c r="F476">
        <v>11.74</v>
      </c>
      <c r="G476" t="s">
        <v>104</v>
      </c>
      <c r="H476" t="s">
        <v>108</v>
      </c>
    </row>
    <row r="477" spans="1:8" hidden="1" x14ac:dyDescent="0.3">
      <c r="A477" t="s">
        <v>26</v>
      </c>
      <c r="B477" t="s">
        <v>60</v>
      </c>
      <c r="C477" t="s">
        <v>98</v>
      </c>
      <c r="D477">
        <v>0.15329000000000001</v>
      </c>
      <c r="E477">
        <v>10.79484425349087</v>
      </c>
      <c r="F477">
        <v>39</v>
      </c>
      <c r="G477" t="s">
        <v>107</v>
      </c>
      <c r="H477" t="s">
        <v>109</v>
      </c>
    </row>
    <row r="478" spans="1:8" hidden="1" x14ac:dyDescent="0.3">
      <c r="A478" t="s">
        <v>26</v>
      </c>
      <c r="B478" t="s">
        <v>52</v>
      </c>
      <c r="C478" t="s">
        <v>76</v>
      </c>
      <c r="D478">
        <v>0.17599999999999999</v>
      </c>
      <c r="E478">
        <v>7.5037500000000001</v>
      </c>
      <c r="F478">
        <v>12.68872359754714</v>
      </c>
      <c r="G478" t="s">
        <v>105</v>
      </c>
      <c r="H478" t="s">
        <v>108</v>
      </c>
    </row>
    <row r="479" spans="1:8" hidden="1" x14ac:dyDescent="0.3">
      <c r="A479" t="s">
        <v>26</v>
      </c>
      <c r="B479" t="s">
        <v>53</v>
      </c>
      <c r="C479" t="s">
        <v>77</v>
      </c>
      <c r="D479">
        <v>14.6</v>
      </c>
      <c r="E479">
        <v>4.3894657534246582</v>
      </c>
      <c r="F479">
        <v>3.86607608129234</v>
      </c>
      <c r="G479" t="s">
        <v>104</v>
      </c>
      <c r="H479" t="s">
        <v>108</v>
      </c>
    </row>
    <row r="480" spans="1:8" hidden="1" x14ac:dyDescent="0.3">
      <c r="A480" t="s">
        <v>26</v>
      </c>
      <c r="B480" t="s">
        <v>61</v>
      </c>
      <c r="C480" t="s">
        <v>99</v>
      </c>
      <c r="D480">
        <v>10.8</v>
      </c>
      <c r="E480">
        <v>2.6531388888888889</v>
      </c>
      <c r="F480">
        <v>2.9245635910224439</v>
      </c>
      <c r="G480" t="s">
        <v>104</v>
      </c>
      <c r="H480" t="s">
        <v>108</v>
      </c>
    </row>
    <row r="481" spans="1:8" hidden="1" x14ac:dyDescent="0.3">
      <c r="A481" t="s">
        <v>26</v>
      </c>
      <c r="B481" t="s">
        <v>62</v>
      </c>
      <c r="C481" t="s">
        <v>100</v>
      </c>
      <c r="D481">
        <v>1.1000000000000001</v>
      </c>
      <c r="E481">
        <v>0.2</v>
      </c>
      <c r="F481">
        <v>2.6764106050305911</v>
      </c>
      <c r="G481" t="s">
        <v>104</v>
      </c>
      <c r="H481" t="s">
        <v>108</v>
      </c>
    </row>
    <row r="482" spans="1:8" hidden="1" x14ac:dyDescent="0.3">
      <c r="A482" t="s">
        <v>26</v>
      </c>
      <c r="B482" t="s">
        <v>54</v>
      </c>
      <c r="C482" t="s">
        <v>78</v>
      </c>
      <c r="D482">
        <v>86.1</v>
      </c>
      <c r="E482">
        <v>9.0932508710801407</v>
      </c>
      <c r="F482">
        <v>3.86607608129234</v>
      </c>
      <c r="G482" t="s">
        <v>104</v>
      </c>
      <c r="H482" t="s">
        <v>108</v>
      </c>
    </row>
    <row r="483" spans="1:8" hidden="1" x14ac:dyDescent="0.3">
      <c r="A483" t="s">
        <v>27</v>
      </c>
      <c r="B483" t="s">
        <v>46</v>
      </c>
      <c r="C483" t="s">
        <v>64</v>
      </c>
      <c r="D483">
        <v>2.861E-2</v>
      </c>
      <c r="E483">
        <v>0</v>
      </c>
      <c r="F483">
        <v>2.9521711768407801</v>
      </c>
      <c r="G483" t="s">
        <v>104</v>
      </c>
      <c r="H483" t="s">
        <v>108</v>
      </c>
    </row>
    <row r="484" spans="1:8" hidden="1" x14ac:dyDescent="0.3">
      <c r="A484" t="s">
        <v>27</v>
      </c>
      <c r="B484" t="s">
        <v>46</v>
      </c>
      <c r="C484" t="s">
        <v>79</v>
      </c>
      <c r="D484">
        <v>12.2</v>
      </c>
      <c r="E484">
        <v>0</v>
      </c>
      <c r="F484">
        <v>6.8428961748633883</v>
      </c>
      <c r="G484" t="s">
        <v>104</v>
      </c>
      <c r="H484" t="s">
        <v>108</v>
      </c>
    </row>
    <row r="485" spans="1:8" hidden="1" x14ac:dyDescent="0.3">
      <c r="A485" t="s">
        <v>27</v>
      </c>
      <c r="B485" t="s">
        <v>46</v>
      </c>
      <c r="C485" t="s">
        <v>65</v>
      </c>
      <c r="D485">
        <v>0.1</v>
      </c>
      <c r="E485">
        <v>0</v>
      </c>
      <c r="F485">
        <v>2.9521711768407801</v>
      </c>
      <c r="G485" t="s">
        <v>104</v>
      </c>
      <c r="H485" t="s">
        <v>108</v>
      </c>
    </row>
    <row r="486" spans="1:8" hidden="1" x14ac:dyDescent="0.3">
      <c r="A486" t="s">
        <v>27</v>
      </c>
      <c r="B486" t="s">
        <v>46</v>
      </c>
      <c r="C486" t="s">
        <v>80</v>
      </c>
      <c r="D486">
        <v>1.485E-2</v>
      </c>
      <c r="E486">
        <v>0.25084288604180721</v>
      </c>
      <c r="F486">
        <v>28.139870918023309</v>
      </c>
      <c r="G486" t="s">
        <v>105</v>
      </c>
      <c r="H486" t="s">
        <v>108</v>
      </c>
    </row>
    <row r="487" spans="1:8" hidden="1" x14ac:dyDescent="0.3">
      <c r="A487" t="s">
        <v>27</v>
      </c>
      <c r="B487" t="s">
        <v>46</v>
      </c>
      <c r="C487" t="s">
        <v>81</v>
      </c>
      <c r="D487">
        <v>4.2500000000000003E-3</v>
      </c>
      <c r="E487">
        <v>1.663924794359577</v>
      </c>
      <c r="F487">
        <v>8.9647473560517046</v>
      </c>
      <c r="G487" t="s">
        <v>105</v>
      </c>
      <c r="H487" t="s">
        <v>108</v>
      </c>
    </row>
    <row r="488" spans="1:8" hidden="1" x14ac:dyDescent="0.3">
      <c r="A488" t="s">
        <v>27</v>
      </c>
      <c r="B488" t="s">
        <v>46</v>
      </c>
      <c r="C488" t="s">
        <v>66</v>
      </c>
      <c r="D488">
        <v>0.2</v>
      </c>
      <c r="E488">
        <v>3.09</v>
      </c>
      <c r="F488">
        <v>6.8428961748633883</v>
      </c>
      <c r="G488" t="s">
        <v>104</v>
      </c>
      <c r="H488" t="s">
        <v>108</v>
      </c>
    </row>
    <row r="489" spans="1:8" hidden="1" x14ac:dyDescent="0.3">
      <c r="A489" t="s">
        <v>27</v>
      </c>
      <c r="B489" t="s">
        <v>46</v>
      </c>
      <c r="C489" t="s">
        <v>82</v>
      </c>
      <c r="D489">
        <v>1.4</v>
      </c>
      <c r="E489">
        <v>1.9019999999999999</v>
      </c>
      <c r="F489">
        <v>6.8428961748633883</v>
      </c>
      <c r="G489" t="s">
        <v>104</v>
      </c>
      <c r="H489" t="s">
        <v>108</v>
      </c>
    </row>
    <row r="490" spans="1:8" hidden="1" x14ac:dyDescent="0.3">
      <c r="A490" t="s">
        <v>27</v>
      </c>
      <c r="B490" t="s">
        <v>46</v>
      </c>
      <c r="C490" t="s">
        <v>84</v>
      </c>
      <c r="D490">
        <v>0.3</v>
      </c>
      <c r="E490">
        <v>1.8049999999999999</v>
      </c>
      <c r="F490">
        <v>28.139870918023309</v>
      </c>
      <c r="G490" t="s">
        <v>105</v>
      </c>
      <c r="H490" t="s">
        <v>108</v>
      </c>
    </row>
    <row r="491" spans="1:8" hidden="1" x14ac:dyDescent="0.3">
      <c r="A491" t="s">
        <v>27</v>
      </c>
      <c r="B491" t="s">
        <v>55</v>
      </c>
      <c r="C491" t="s">
        <v>86</v>
      </c>
      <c r="D491">
        <v>0.66349999999999998</v>
      </c>
      <c r="E491">
        <v>9.9629999999999992</v>
      </c>
      <c r="F491">
        <v>6.2</v>
      </c>
      <c r="G491" t="s">
        <v>106</v>
      </c>
      <c r="H491" t="s">
        <v>109</v>
      </c>
    </row>
    <row r="492" spans="1:8" hidden="1" x14ac:dyDescent="0.3">
      <c r="A492" t="s">
        <v>27</v>
      </c>
      <c r="B492" t="s">
        <v>55</v>
      </c>
      <c r="C492" t="s">
        <v>88</v>
      </c>
      <c r="D492">
        <v>0.1208</v>
      </c>
      <c r="E492">
        <v>12.96</v>
      </c>
      <c r="F492">
        <v>6.2</v>
      </c>
      <c r="G492" t="s">
        <v>106</v>
      </c>
      <c r="H492" t="s">
        <v>109</v>
      </c>
    </row>
    <row r="493" spans="1:8" hidden="1" x14ac:dyDescent="0.3">
      <c r="A493" t="s">
        <v>27</v>
      </c>
      <c r="B493" t="s">
        <v>55</v>
      </c>
      <c r="C493" t="s">
        <v>89</v>
      </c>
      <c r="D493">
        <v>1.6000000000000001E-3</v>
      </c>
      <c r="E493">
        <v>0</v>
      </c>
      <c r="F493">
        <v>6.2</v>
      </c>
      <c r="G493" t="s">
        <v>106</v>
      </c>
      <c r="H493" t="s">
        <v>109</v>
      </c>
    </row>
    <row r="494" spans="1:8" hidden="1" x14ac:dyDescent="0.3">
      <c r="A494" t="s">
        <v>27</v>
      </c>
      <c r="B494" t="s">
        <v>55</v>
      </c>
      <c r="C494" t="s">
        <v>90</v>
      </c>
      <c r="D494">
        <v>0.72109999999999996</v>
      </c>
      <c r="E494">
        <v>8.8279999999999994</v>
      </c>
      <c r="F494">
        <v>6.2</v>
      </c>
      <c r="G494" t="s">
        <v>106</v>
      </c>
      <c r="H494" t="s">
        <v>109</v>
      </c>
    </row>
    <row r="495" spans="1:8" hidden="1" x14ac:dyDescent="0.3">
      <c r="A495" t="s">
        <v>27</v>
      </c>
      <c r="B495" t="s">
        <v>55</v>
      </c>
      <c r="C495" t="s">
        <v>91</v>
      </c>
      <c r="D495">
        <v>0.3397</v>
      </c>
      <c r="E495">
        <v>8.484</v>
      </c>
      <c r="F495">
        <v>6.2</v>
      </c>
      <c r="G495" t="s">
        <v>106</v>
      </c>
      <c r="H495" t="s">
        <v>109</v>
      </c>
    </row>
    <row r="496" spans="1:8" hidden="1" x14ac:dyDescent="0.3">
      <c r="A496" t="s">
        <v>27</v>
      </c>
      <c r="B496" t="s">
        <v>55</v>
      </c>
      <c r="C496" t="s">
        <v>92</v>
      </c>
      <c r="D496">
        <v>0.50973000000000002</v>
      </c>
      <c r="E496">
        <v>10.994</v>
      </c>
      <c r="F496">
        <v>6.2</v>
      </c>
      <c r="G496" t="s">
        <v>106</v>
      </c>
      <c r="H496" t="s">
        <v>109</v>
      </c>
    </row>
    <row r="497" spans="1:8" hidden="1" x14ac:dyDescent="0.3">
      <c r="A497" t="s">
        <v>27</v>
      </c>
      <c r="B497" t="s">
        <v>56</v>
      </c>
      <c r="C497" t="s">
        <v>93</v>
      </c>
      <c r="D497">
        <v>24.2959</v>
      </c>
      <c r="E497">
        <v>2.9493975903614462</v>
      </c>
      <c r="F497">
        <v>18.3</v>
      </c>
      <c r="G497" t="s">
        <v>106</v>
      </c>
      <c r="H497" t="s">
        <v>109</v>
      </c>
    </row>
    <row r="498" spans="1:8" hidden="1" x14ac:dyDescent="0.3">
      <c r="A498" t="s">
        <v>27</v>
      </c>
      <c r="B498" t="s">
        <v>47</v>
      </c>
      <c r="C498" t="s">
        <v>101</v>
      </c>
      <c r="D498">
        <v>29.5</v>
      </c>
      <c r="E498">
        <v>2.3769999999999998</v>
      </c>
      <c r="F498">
        <v>43.8</v>
      </c>
      <c r="G498" t="s">
        <v>104</v>
      </c>
      <c r="H498" t="s">
        <v>109</v>
      </c>
    </row>
    <row r="499" spans="1:8" hidden="1" x14ac:dyDescent="0.3">
      <c r="A499" t="s">
        <v>27</v>
      </c>
      <c r="B499" t="s">
        <v>57</v>
      </c>
      <c r="C499" t="s">
        <v>94</v>
      </c>
      <c r="D499">
        <v>15.5</v>
      </c>
      <c r="E499">
        <v>6.9169999999999998</v>
      </c>
      <c r="F499">
        <v>19.8</v>
      </c>
      <c r="G499" t="s">
        <v>104</v>
      </c>
      <c r="H499" t="s">
        <v>109</v>
      </c>
    </row>
    <row r="500" spans="1:8" hidden="1" x14ac:dyDescent="0.3">
      <c r="A500" t="s">
        <v>27</v>
      </c>
      <c r="B500" t="s">
        <v>49</v>
      </c>
      <c r="C500" t="s">
        <v>71</v>
      </c>
      <c r="D500">
        <v>30.09168</v>
      </c>
      <c r="E500">
        <v>0</v>
      </c>
      <c r="F500">
        <v>3.86607608129234</v>
      </c>
      <c r="G500" t="s">
        <v>104</v>
      </c>
      <c r="H500" t="s">
        <v>108</v>
      </c>
    </row>
    <row r="501" spans="1:8" hidden="1" x14ac:dyDescent="0.3">
      <c r="A501" t="s">
        <v>27</v>
      </c>
      <c r="B501" t="s">
        <v>49</v>
      </c>
      <c r="C501" t="s">
        <v>72</v>
      </c>
      <c r="D501">
        <v>4.5999999999999996</v>
      </c>
      <c r="E501">
        <v>0</v>
      </c>
      <c r="F501">
        <v>3.86607608129234</v>
      </c>
      <c r="G501" t="s">
        <v>104</v>
      </c>
      <c r="H501" t="s">
        <v>108</v>
      </c>
    </row>
    <row r="502" spans="1:8" hidden="1" x14ac:dyDescent="0.3">
      <c r="A502" t="s">
        <v>27</v>
      </c>
      <c r="B502" t="s">
        <v>58</v>
      </c>
      <c r="C502" t="s">
        <v>95</v>
      </c>
      <c r="D502">
        <v>3.41635</v>
      </c>
      <c r="E502">
        <v>3.1179999999999999</v>
      </c>
      <c r="F502">
        <v>2.9521711768407801</v>
      </c>
      <c r="G502" t="s">
        <v>104</v>
      </c>
      <c r="H502" t="s">
        <v>108</v>
      </c>
    </row>
    <row r="503" spans="1:8" hidden="1" x14ac:dyDescent="0.3">
      <c r="A503" t="s">
        <v>27</v>
      </c>
      <c r="B503" t="s">
        <v>50</v>
      </c>
      <c r="C503" t="s">
        <v>73</v>
      </c>
      <c r="D503">
        <v>1.6</v>
      </c>
      <c r="E503">
        <v>4.976</v>
      </c>
      <c r="F503">
        <v>20.723404255319149</v>
      </c>
      <c r="G503" t="s">
        <v>105</v>
      </c>
      <c r="H503" t="s">
        <v>108</v>
      </c>
    </row>
    <row r="504" spans="1:8" hidden="1" x14ac:dyDescent="0.3">
      <c r="A504" t="s">
        <v>27</v>
      </c>
      <c r="B504" t="s">
        <v>50</v>
      </c>
      <c r="C504" t="s">
        <v>74</v>
      </c>
      <c r="D504">
        <v>11.1</v>
      </c>
      <c r="E504">
        <v>3.383</v>
      </c>
      <c r="F504">
        <v>2.0635593220338988</v>
      </c>
      <c r="G504" t="s">
        <v>105</v>
      </c>
      <c r="H504" t="s">
        <v>108</v>
      </c>
    </row>
    <row r="505" spans="1:8" hidden="1" x14ac:dyDescent="0.3">
      <c r="A505" t="s">
        <v>27</v>
      </c>
      <c r="B505" t="s">
        <v>51</v>
      </c>
      <c r="C505" t="s">
        <v>75</v>
      </c>
      <c r="D505">
        <v>1.004481</v>
      </c>
      <c r="E505">
        <v>5.2822189012022402E-2</v>
      </c>
      <c r="F505">
        <v>11.74</v>
      </c>
      <c r="G505" t="s">
        <v>104</v>
      </c>
      <c r="H505" t="s">
        <v>108</v>
      </c>
    </row>
    <row r="506" spans="1:8" hidden="1" x14ac:dyDescent="0.3">
      <c r="A506" t="s">
        <v>27</v>
      </c>
      <c r="B506" t="s">
        <v>60</v>
      </c>
      <c r="C506" t="s">
        <v>98</v>
      </c>
      <c r="D506">
        <v>5.3362299999999996</v>
      </c>
      <c r="E506">
        <v>16.809881847475829</v>
      </c>
      <c r="F506">
        <v>26.9</v>
      </c>
      <c r="G506" t="s">
        <v>107</v>
      </c>
      <c r="H506" t="s">
        <v>109</v>
      </c>
    </row>
    <row r="507" spans="1:8" hidden="1" x14ac:dyDescent="0.3">
      <c r="A507" t="s">
        <v>27</v>
      </c>
      <c r="B507" t="s">
        <v>53</v>
      </c>
      <c r="C507" t="s">
        <v>77</v>
      </c>
      <c r="D507">
        <v>3.7</v>
      </c>
      <c r="E507">
        <v>0</v>
      </c>
      <c r="F507">
        <v>3.86607608129234</v>
      </c>
      <c r="G507" t="s">
        <v>104</v>
      </c>
      <c r="H507" t="s">
        <v>108</v>
      </c>
    </row>
    <row r="508" spans="1:8" hidden="1" x14ac:dyDescent="0.3">
      <c r="A508" t="s">
        <v>27</v>
      </c>
      <c r="B508" t="s">
        <v>61</v>
      </c>
      <c r="C508" t="s">
        <v>99</v>
      </c>
      <c r="D508">
        <v>4</v>
      </c>
      <c r="E508">
        <v>0</v>
      </c>
      <c r="F508">
        <v>2.9245635910224439</v>
      </c>
      <c r="G508" t="s">
        <v>104</v>
      </c>
      <c r="H508" t="s">
        <v>108</v>
      </c>
    </row>
    <row r="509" spans="1:8" hidden="1" x14ac:dyDescent="0.3">
      <c r="A509" t="s">
        <v>27</v>
      </c>
      <c r="B509" t="s">
        <v>62</v>
      </c>
      <c r="C509" t="s">
        <v>100</v>
      </c>
      <c r="D509">
        <v>1.6</v>
      </c>
      <c r="E509">
        <v>1.8</v>
      </c>
      <c r="F509">
        <v>2.6764106050305911</v>
      </c>
      <c r="G509" t="s">
        <v>104</v>
      </c>
      <c r="H509" t="s">
        <v>108</v>
      </c>
    </row>
    <row r="510" spans="1:8" hidden="1" x14ac:dyDescent="0.3">
      <c r="A510" t="s">
        <v>27</v>
      </c>
      <c r="B510" t="s">
        <v>54</v>
      </c>
      <c r="C510" t="s">
        <v>78</v>
      </c>
      <c r="D510">
        <v>24</v>
      </c>
      <c r="E510">
        <v>0</v>
      </c>
      <c r="F510">
        <v>3.86607608129234</v>
      </c>
      <c r="G510" t="s">
        <v>104</v>
      </c>
      <c r="H510" t="s">
        <v>108</v>
      </c>
    </row>
    <row r="511" spans="1:8" hidden="1" x14ac:dyDescent="0.3">
      <c r="A511" t="s">
        <v>28</v>
      </c>
      <c r="B511" t="s">
        <v>46</v>
      </c>
      <c r="C511" t="s">
        <v>103</v>
      </c>
      <c r="D511">
        <v>0.31976599999999999</v>
      </c>
      <c r="E511">
        <v>0</v>
      </c>
      <c r="H511"/>
    </row>
    <row r="512" spans="1:8" hidden="1" x14ac:dyDescent="0.3">
      <c r="A512" t="s">
        <v>28</v>
      </c>
      <c r="B512" t="s">
        <v>46</v>
      </c>
      <c r="C512" t="s">
        <v>80</v>
      </c>
      <c r="D512">
        <v>1.312E-2</v>
      </c>
      <c r="E512">
        <v>0</v>
      </c>
      <c r="F512">
        <v>28.139870918023309</v>
      </c>
      <c r="G512" t="s">
        <v>105</v>
      </c>
      <c r="H512" t="s">
        <v>108</v>
      </c>
    </row>
    <row r="513" spans="1:8" hidden="1" x14ac:dyDescent="0.3">
      <c r="A513" t="s">
        <v>28</v>
      </c>
      <c r="B513" t="s">
        <v>46</v>
      </c>
      <c r="C513" t="s">
        <v>81</v>
      </c>
      <c r="D513">
        <v>9.7949999999999995E-2</v>
      </c>
      <c r="E513">
        <v>0</v>
      </c>
      <c r="F513">
        <v>8.9647473560517046</v>
      </c>
      <c r="G513" t="s">
        <v>105</v>
      </c>
      <c r="H513" t="s">
        <v>108</v>
      </c>
    </row>
    <row r="514" spans="1:8" hidden="1" x14ac:dyDescent="0.3">
      <c r="A514" t="s">
        <v>28</v>
      </c>
      <c r="B514" t="s">
        <v>55</v>
      </c>
      <c r="C514" t="s">
        <v>86</v>
      </c>
      <c r="D514">
        <v>0.19409999999999999</v>
      </c>
      <c r="E514">
        <v>5.4980000000000002</v>
      </c>
      <c r="F514">
        <v>26.8</v>
      </c>
      <c r="G514" t="s">
        <v>106</v>
      </c>
      <c r="H514" t="s">
        <v>109</v>
      </c>
    </row>
    <row r="515" spans="1:8" hidden="1" x14ac:dyDescent="0.3">
      <c r="A515" t="s">
        <v>28</v>
      </c>
      <c r="B515" t="s">
        <v>55</v>
      </c>
      <c r="C515" t="s">
        <v>88</v>
      </c>
      <c r="D515">
        <v>8.0000000000000002E-3</v>
      </c>
      <c r="E515">
        <v>3.4870000000000001</v>
      </c>
      <c r="F515">
        <v>26.8</v>
      </c>
      <c r="G515" t="s">
        <v>106</v>
      </c>
      <c r="H515" t="s">
        <v>109</v>
      </c>
    </row>
    <row r="516" spans="1:8" hidden="1" x14ac:dyDescent="0.3">
      <c r="A516" t="s">
        <v>28</v>
      </c>
      <c r="B516" t="s">
        <v>55</v>
      </c>
      <c r="C516" t="s">
        <v>92</v>
      </c>
      <c r="D516">
        <v>0.14877000000000001</v>
      </c>
      <c r="E516">
        <v>6.0330000000000004</v>
      </c>
      <c r="F516">
        <v>26.8</v>
      </c>
      <c r="G516" t="s">
        <v>106</v>
      </c>
      <c r="H516" t="s">
        <v>109</v>
      </c>
    </row>
    <row r="517" spans="1:8" hidden="1" x14ac:dyDescent="0.3">
      <c r="A517" t="s">
        <v>28</v>
      </c>
      <c r="B517" t="s">
        <v>49</v>
      </c>
      <c r="C517" t="s">
        <v>71</v>
      </c>
      <c r="D517">
        <v>2.89777</v>
      </c>
      <c r="E517">
        <v>0</v>
      </c>
      <c r="F517">
        <v>3.86607608129234</v>
      </c>
      <c r="G517" t="s">
        <v>104</v>
      </c>
      <c r="H517" t="s">
        <v>108</v>
      </c>
    </row>
    <row r="518" spans="1:8" hidden="1" x14ac:dyDescent="0.3">
      <c r="A518" t="s">
        <v>28</v>
      </c>
      <c r="B518" t="s">
        <v>50</v>
      </c>
      <c r="C518" t="s">
        <v>103</v>
      </c>
      <c r="D518">
        <v>1.521922</v>
      </c>
      <c r="E518">
        <v>0</v>
      </c>
      <c r="H518"/>
    </row>
    <row r="519" spans="1:8" hidden="1" x14ac:dyDescent="0.3">
      <c r="A519" t="s">
        <v>28</v>
      </c>
      <c r="B519" t="s">
        <v>51</v>
      </c>
      <c r="C519" t="s">
        <v>75</v>
      </c>
      <c r="D519">
        <v>9.9360000000000004E-2</v>
      </c>
      <c r="E519">
        <v>7.2174783085973899E-4</v>
      </c>
      <c r="F519">
        <v>11.74</v>
      </c>
      <c r="G519" t="s">
        <v>104</v>
      </c>
      <c r="H519" t="s">
        <v>108</v>
      </c>
    </row>
    <row r="520" spans="1:8" hidden="1" x14ac:dyDescent="0.3">
      <c r="A520" t="s">
        <v>28</v>
      </c>
      <c r="B520" t="s">
        <v>60</v>
      </c>
      <c r="C520" t="s">
        <v>98</v>
      </c>
      <c r="D520">
        <v>0.94345999999999997</v>
      </c>
      <c r="E520">
        <v>0</v>
      </c>
      <c r="F520">
        <v>37.799999999999997</v>
      </c>
      <c r="G520" t="s">
        <v>107</v>
      </c>
      <c r="H520" t="s">
        <v>109</v>
      </c>
    </row>
    <row r="521" spans="1:8" hidden="1" x14ac:dyDescent="0.3">
      <c r="A521" t="s">
        <v>28</v>
      </c>
      <c r="B521" t="s">
        <v>61</v>
      </c>
      <c r="C521" t="s">
        <v>103</v>
      </c>
      <c r="D521">
        <v>0.87836400000000003</v>
      </c>
      <c r="E521">
        <v>0</v>
      </c>
      <c r="H521"/>
    </row>
    <row r="522" spans="1:8" hidden="1" x14ac:dyDescent="0.3">
      <c r="A522" t="s">
        <v>28</v>
      </c>
      <c r="B522" t="s">
        <v>62</v>
      </c>
      <c r="C522" t="s">
        <v>103</v>
      </c>
      <c r="D522">
        <v>0.11147700000000001</v>
      </c>
      <c r="E522">
        <v>0</v>
      </c>
      <c r="H522"/>
    </row>
    <row r="523" spans="1:8" hidden="1" x14ac:dyDescent="0.3">
      <c r="A523" t="s">
        <v>28</v>
      </c>
      <c r="B523" t="s">
        <v>54</v>
      </c>
      <c r="C523" t="s">
        <v>78</v>
      </c>
      <c r="D523">
        <v>3.2</v>
      </c>
      <c r="E523">
        <v>0</v>
      </c>
      <c r="F523">
        <v>3.86607608129234</v>
      </c>
      <c r="G523" t="s">
        <v>104</v>
      </c>
      <c r="H523" t="s">
        <v>108</v>
      </c>
    </row>
    <row r="524" spans="1:8" hidden="1" x14ac:dyDescent="0.3">
      <c r="A524" t="s">
        <v>29</v>
      </c>
      <c r="B524" t="s">
        <v>46</v>
      </c>
      <c r="C524" t="s">
        <v>64</v>
      </c>
      <c r="D524">
        <v>1.8610000000000002E-2</v>
      </c>
      <c r="E524">
        <v>0</v>
      </c>
      <c r="F524">
        <v>2.9521711768407801</v>
      </c>
      <c r="G524" t="s">
        <v>104</v>
      </c>
      <c r="H524" t="s">
        <v>108</v>
      </c>
    </row>
    <row r="525" spans="1:8" hidden="1" x14ac:dyDescent="0.3">
      <c r="A525" t="s">
        <v>29</v>
      </c>
      <c r="B525" t="s">
        <v>46</v>
      </c>
      <c r="C525" t="s">
        <v>79</v>
      </c>
      <c r="D525">
        <v>7.6</v>
      </c>
      <c r="E525">
        <v>0</v>
      </c>
      <c r="F525">
        <v>6.8428961748633883</v>
      </c>
      <c r="G525" t="s">
        <v>104</v>
      </c>
      <c r="H525" t="s">
        <v>108</v>
      </c>
    </row>
    <row r="526" spans="1:8" hidden="1" x14ac:dyDescent="0.3">
      <c r="A526" t="s">
        <v>29</v>
      </c>
      <c r="B526" t="s">
        <v>46</v>
      </c>
      <c r="C526" t="s">
        <v>80</v>
      </c>
      <c r="D526">
        <v>4.0280000000000003E-2</v>
      </c>
      <c r="E526">
        <v>0.18071476736345249</v>
      </c>
      <c r="F526">
        <v>28.139870918023309</v>
      </c>
      <c r="G526" t="s">
        <v>105</v>
      </c>
      <c r="H526" t="s">
        <v>108</v>
      </c>
    </row>
    <row r="527" spans="1:8" hidden="1" x14ac:dyDescent="0.3">
      <c r="A527" t="s">
        <v>29</v>
      </c>
      <c r="B527" t="s">
        <v>46</v>
      </c>
      <c r="C527" t="s">
        <v>81</v>
      </c>
      <c r="D527">
        <v>2.4510000000000001E-2</v>
      </c>
      <c r="E527">
        <v>0.36545240893066983</v>
      </c>
      <c r="F527">
        <v>8.9647473560517046</v>
      </c>
      <c r="G527" t="s">
        <v>105</v>
      </c>
      <c r="H527" t="s">
        <v>108</v>
      </c>
    </row>
    <row r="528" spans="1:8" hidden="1" x14ac:dyDescent="0.3">
      <c r="A528" t="s">
        <v>29</v>
      </c>
      <c r="B528" t="s">
        <v>46</v>
      </c>
      <c r="C528" t="s">
        <v>82</v>
      </c>
      <c r="D528">
        <v>0.7</v>
      </c>
      <c r="E528">
        <v>1.9139999999999999</v>
      </c>
      <c r="F528">
        <v>6.8428961748633883</v>
      </c>
      <c r="G528" t="s">
        <v>104</v>
      </c>
      <c r="H528" t="s">
        <v>108</v>
      </c>
    </row>
    <row r="529" spans="1:8" hidden="1" x14ac:dyDescent="0.3">
      <c r="A529" t="s">
        <v>29</v>
      </c>
      <c r="B529" t="s">
        <v>55</v>
      </c>
      <c r="C529" t="s">
        <v>86</v>
      </c>
      <c r="D529">
        <v>9.5000000000000001E-2</v>
      </c>
      <c r="E529">
        <v>8.6820000000000004</v>
      </c>
      <c r="F529">
        <v>12.7</v>
      </c>
      <c r="G529" t="s">
        <v>106</v>
      </c>
      <c r="H529" t="s">
        <v>109</v>
      </c>
    </row>
    <row r="530" spans="1:8" hidden="1" x14ac:dyDescent="0.3">
      <c r="A530" t="s">
        <v>29</v>
      </c>
      <c r="B530" t="s">
        <v>55</v>
      </c>
      <c r="C530" t="s">
        <v>89</v>
      </c>
      <c r="D530">
        <v>2.8999999999999998E-3</v>
      </c>
      <c r="E530">
        <v>0</v>
      </c>
      <c r="F530">
        <v>12.7</v>
      </c>
      <c r="G530" t="s">
        <v>106</v>
      </c>
      <c r="H530" t="s">
        <v>109</v>
      </c>
    </row>
    <row r="531" spans="1:8" hidden="1" x14ac:dyDescent="0.3">
      <c r="A531" t="s">
        <v>29</v>
      </c>
      <c r="B531" t="s">
        <v>55</v>
      </c>
      <c r="C531" t="s">
        <v>90</v>
      </c>
      <c r="D531">
        <v>5.1400000000000001E-2</v>
      </c>
      <c r="E531">
        <v>10.387</v>
      </c>
      <c r="F531">
        <v>12.7</v>
      </c>
      <c r="G531" t="s">
        <v>106</v>
      </c>
      <c r="H531" t="s">
        <v>109</v>
      </c>
    </row>
    <row r="532" spans="1:8" hidden="1" x14ac:dyDescent="0.3">
      <c r="A532" t="s">
        <v>29</v>
      </c>
      <c r="B532" t="s">
        <v>55</v>
      </c>
      <c r="C532" t="s">
        <v>91</v>
      </c>
      <c r="D532">
        <v>6.0499999999999998E-2</v>
      </c>
      <c r="E532">
        <v>8.9979999999999993</v>
      </c>
      <c r="F532">
        <v>12.7</v>
      </c>
      <c r="G532" t="s">
        <v>106</v>
      </c>
      <c r="H532" t="s">
        <v>109</v>
      </c>
    </row>
    <row r="533" spans="1:8" hidden="1" x14ac:dyDescent="0.3">
      <c r="A533" t="s">
        <v>29</v>
      </c>
      <c r="B533" t="s">
        <v>55</v>
      </c>
      <c r="C533" t="s">
        <v>92</v>
      </c>
      <c r="D533">
        <v>0.53463000000000005</v>
      </c>
      <c r="E533">
        <v>10.631</v>
      </c>
      <c r="F533">
        <v>12.7</v>
      </c>
      <c r="G533" t="s">
        <v>106</v>
      </c>
      <c r="H533" t="s">
        <v>109</v>
      </c>
    </row>
    <row r="534" spans="1:8" hidden="1" x14ac:dyDescent="0.3">
      <c r="A534" t="s">
        <v>29</v>
      </c>
      <c r="B534" t="s">
        <v>47</v>
      </c>
      <c r="C534" t="s">
        <v>101</v>
      </c>
      <c r="D534">
        <v>5.8</v>
      </c>
      <c r="E534">
        <v>2.5129999999999999</v>
      </c>
      <c r="F534">
        <v>43.8</v>
      </c>
      <c r="G534" t="s">
        <v>104</v>
      </c>
      <c r="H534" t="s">
        <v>109</v>
      </c>
    </row>
    <row r="535" spans="1:8" hidden="1" x14ac:dyDescent="0.3">
      <c r="A535" t="s">
        <v>29</v>
      </c>
      <c r="B535" t="s">
        <v>57</v>
      </c>
      <c r="C535" t="s">
        <v>94</v>
      </c>
      <c r="D535">
        <v>3</v>
      </c>
      <c r="E535">
        <v>7.1029999999999989</v>
      </c>
      <c r="F535">
        <v>19.8</v>
      </c>
      <c r="G535" t="s">
        <v>104</v>
      </c>
      <c r="H535" t="s">
        <v>109</v>
      </c>
    </row>
    <row r="536" spans="1:8" hidden="1" x14ac:dyDescent="0.3">
      <c r="A536" t="s">
        <v>29</v>
      </c>
      <c r="B536" t="s">
        <v>49</v>
      </c>
      <c r="C536" t="s">
        <v>71</v>
      </c>
      <c r="D536">
        <v>52.946109999999997</v>
      </c>
      <c r="E536">
        <v>0</v>
      </c>
      <c r="F536">
        <v>3.86607608129234</v>
      </c>
      <c r="G536" t="s">
        <v>104</v>
      </c>
      <c r="H536" t="s">
        <v>108</v>
      </c>
    </row>
    <row r="537" spans="1:8" hidden="1" x14ac:dyDescent="0.3">
      <c r="A537" t="s">
        <v>29</v>
      </c>
      <c r="B537" t="s">
        <v>49</v>
      </c>
      <c r="C537" t="s">
        <v>72</v>
      </c>
      <c r="D537">
        <v>5.8</v>
      </c>
      <c r="E537">
        <v>0</v>
      </c>
      <c r="F537">
        <v>3.86607608129234</v>
      </c>
      <c r="G537" t="s">
        <v>104</v>
      </c>
      <c r="H537" t="s">
        <v>108</v>
      </c>
    </row>
    <row r="538" spans="1:8" hidden="1" x14ac:dyDescent="0.3">
      <c r="A538" t="s">
        <v>29</v>
      </c>
      <c r="B538" t="s">
        <v>58</v>
      </c>
      <c r="C538" t="s">
        <v>95</v>
      </c>
      <c r="D538">
        <v>3.0747200000000001</v>
      </c>
      <c r="E538">
        <v>3.1179999999999999</v>
      </c>
      <c r="F538">
        <v>2.9521711768407801</v>
      </c>
      <c r="G538" t="s">
        <v>104</v>
      </c>
      <c r="H538" t="s">
        <v>108</v>
      </c>
    </row>
    <row r="539" spans="1:8" hidden="1" x14ac:dyDescent="0.3">
      <c r="A539" t="s">
        <v>29</v>
      </c>
      <c r="B539" t="s">
        <v>50</v>
      </c>
      <c r="C539" t="s">
        <v>73</v>
      </c>
      <c r="D539">
        <v>0.3</v>
      </c>
      <c r="E539">
        <v>5.0090000000000003</v>
      </c>
      <c r="F539">
        <v>20.723404255319149</v>
      </c>
      <c r="G539" t="s">
        <v>105</v>
      </c>
      <c r="H539" t="s">
        <v>108</v>
      </c>
    </row>
    <row r="540" spans="1:8" hidden="1" x14ac:dyDescent="0.3">
      <c r="A540" t="s">
        <v>29</v>
      </c>
      <c r="B540" t="s">
        <v>50</v>
      </c>
      <c r="C540" t="s">
        <v>74</v>
      </c>
      <c r="D540">
        <v>7.1</v>
      </c>
      <c r="E540">
        <v>3.5</v>
      </c>
      <c r="F540">
        <v>2.0635593220338988</v>
      </c>
      <c r="G540" t="s">
        <v>105</v>
      </c>
      <c r="H540" t="s">
        <v>108</v>
      </c>
    </row>
    <row r="541" spans="1:8" hidden="1" x14ac:dyDescent="0.3">
      <c r="A541" t="s">
        <v>29</v>
      </c>
      <c r="B541" t="s">
        <v>51</v>
      </c>
      <c r="C541" t="s">
        <v>75</v>
      </c>
      <c r="D541">
        <v>0.55470699999999995</v>
      </c>
      <c r="E541">
        <v>2.13292264649725E-4</v>
      </c>
      <c r="F541">
        <v>11.74</v>
      </c>
      <c r="G541" t="s">
        <v>104</v>
      </c>
      <c r="H541" t="s">
        <v>108</v>
      </c>
    </row>
    <row r="542" spans="1:8" hidden="1" x14ac:dyDescent="0.3">
      <c r="A542" t="s">
        <v>29</v>
      </c>
      <c r="B542" t="s">
        <v>60</v>
      </c>
      <c r="C542" t="s">
        <v>98</v>
      </c>
      <c r="D542">
        <v>1.86835</v>
      </c>
      <c r="E542">
        <v>16.058002148227711</v>
      </c>
      <c r="F542">
        <v>28.2</v>
      </c>
      <c r="G542" t="s">
        <v>107</v>
      </c>
      <c r="H542" t="s">
        <v>109</v>
      </c>
    </row>
    <row r="543" spans="1:8" hidden="1" x14ac:dyDescent="0.3">
      <c r="A543" t="s">
        <v>29</v>
      </c>
      <c r="B543" t="s">
        <v>52</v>
      </c>
      <c r="C543" t="s">
        <v>76</v>
      </c>
      <c r="D543">
        <v>1E-3</v>
      </c>
      <c r="E543">
        <v>7.5037500000000001</v>
      </c>
      <c r="F543">
        <v>12.68872359754714</v>
      </c>
      <c r="G543" t="s">
        <v>105</v>
      </c>
      <c r="H543" t="s">
        <v>108</v>
      </c>
    </row>
    <row r="544" spans="1:8" hidden="1" x14ac:dyDescent="0.3">
      <c r="A544" t="s">
        <v>29</v>
      </c>
      <c r="B544" t="s">
        <v>53</v>
      </c>
      <c r="C544" t="s">
        <v>77</v>
      </c>
      <c r="D544">
        <v>4.9000000000000004</v>
      </c>
      <c r="E544">
        <v>0</v>
      </c>
      <c r="F544">
        <v>3.86607608129234</v>
      </c>
      <c r="G544" t="s">
        <v>104</v>
      </c>
      <c r="H544" t="s">
        <v>108</v>
      </c>
    </row>
    <row r="545" spans="1:8" hidden="1" x14ac:dyDescent="0.3">
      <c r="A545" t="s">
        <v>29</v>
      </c>
      <c r="B545" t="s">
        <v>61</v>
      </c>
      <c r="C545" t="s">
        <v>99</v>
      </c>
      <c r="D545">
        <v>10.7</v>
      </c>
      <c r="E545">
        <v>0</v>
      </c>
      <c r="F545">
        <v>2.9245635910224439</v>
      </c>
      <c r="G545" t="s">
        <v>104</v>
      </c>
      <c r="H545" t="s">
        <v>108</v>
      </c>
    </row>
    <row r="546" spans="1:8" hidden="1" x14ac:dyDescent="0.3">
      <c r="A546" t="s">
        <v>29</v>
      </c>
      <c r="B546" t="s">
        <v>62</v>
      </c>
      <c r="C546" t="s">
        <v>100</v>
      </c>
      <c r="D546">
        <v>4.7</v>
      </c>
      <c r="E546">
        <v>1.7</v>
      </c>
      <c r="F546">
        <v>2.6764106050305911</v>
      </c>
      <c r="G546" t="s">
        <v>104</v>
      </c>
      <c r="H546" t="s">
        <v>108</v>
      </c>
    </row>
    <row r="547" spans="1:8" hidden="1" x14ac:dyDescent="0.3">
      <c r="A547" t="s">
        <v>29</v>
      </c>
      <c r="B547" t="s">
        <v>54</v>
      </c>
      <c r="C547" t="s">
        <v>78</v>
      </c>
      <c r="D547">
        <v>44.5</v>
      </c>
      <c r="E547">
        <v>0</v>
      </c>
      <c r="F547">
        <v>3.86607608129234</v>
      </c>
      <c r="G547" t="s">
        <v>104</v>
      </c>
      <c r="H547" t="s">
        <v>108</v>
      </c>
    </row>
    <row r="548" spans="1:8" hidden="1" x14ac:dyDescent="0.3">
      <c r="A548" t="s">
        <v>30</v>
      </c>
      <c r="B548" t="s">
        <v>46</v>
      </c>
      <c r="C548" t="s">
        <v>63</v>
      </c>
      <c r="D548">
        <v>2.5999999999999999E-3</v>
      </c>
      <c r="E548">
        <v>2.9286474973375931</v>
      </c>
      <c r="F548">
        <v>3.950479233226837</v>
      </c>
      <c r="G548" t="s">
        <v>104</v>
      </c>
      <c r="H548" t="s">
        <v>108</v>
      </c>
    </row>
    <row r="549" spans="1:8" hidden="1" x14ac:dyDescent="0.3">
      <c r="A549" t="s">
        <v>30</v>
      </c>
      <c r="B549" t="s">
        <v>46</v>
      </c>
      <c r="C549" t="s">
        <v>64</v>
      </c>
      <c r="D549">
        <v>2.3890000000000002E-2</v>
      </c>
      <c r="E549">
        <v>5.4859999999999998</v>
      </c>
      <c r="F549">
        <v>2.9521711768407801</v>
      </c>
      <c r="G549" t="s">
        <v>104</v>
      </c>
      <c r="H549" t="s">
        <v>108</v>
      </c>
    </row>
    <row r="550" spans="1:8" hidden="1" x14ac:dyDescent="0.3">
      <c r="A550" t="s">
        <v>30</v>
      </c>
      <c r="B550" t="s">
        <v>47</v>
      </c>
      <c r="C550" t="s">
        <v>68</v>
      </c>
      <c r="D550">
        <v>1.4</v>
      </c>
      <c r="E550">
        <v>3.59</v>
      </c>
      <c r="F550">
        <v>14.5</v>
      </c>
      <c r="G550" t="s">
        <v>104</v>
      </c>
      <c r="H550" t="s">
        <v>109</v>
      </c>
    </row>
    <row r="551" spans="1:8" hidden="1" x14ac:dyDescent="0.3">
      <c r="A551" t="s">
        <v>30</v>
      </c>
      <c r="B551" t="s">
        <v>47</v>
      </c>
      <c r="C551" t="s">
        <v>69</v>
      </c>
      <c r="D551">
        <v>0.9</v>
      </c>
      <c r="E551">
        <v>3.5659999999999998</v>
      </c>
      <c r="F551">
        <v>14.5</v>
      </c>
      <c r="G551" t="s">
        <v>104</v>
      </c>
      <c r="H551" t="s">
        <v>109</v>
      </c>
    </row>
    <row r="552" spans="1:8" hidden="1" x14ac:dyDescent="0.3">
      <c r="A552" t="s">
        <v>30</v>
      </c>
      <c r="B552" t="s">
        <v>48</v>
      </c>
      <c r="C552" t="s">
        <v>70</v>
      </c>
      <c r="D552">
        <v>0.5</v>
      </c>
      <c r="E552">
        <v>9.0820000000000007</v>
      </c>
      <c r="F552">
        <v>0</v>
      </c>
      <c r="G552" t="s">
        <v>104</v>
      </c>
      <c r="H552" t="s">
        <v>109</v>
      </c>
    </row>
    <row r="553" spans="1:8" hidden="1" x14ac:dyDescent="0.3">
      <c r="A553" t="s">
        <v>30</v>
      </c>
      <c r="B553" t="s">
        <v>49</v>
      </c>
      <c r="C553" t="s">
        <v>72</v>
      </c>
      <c r="D553">
        <v>0.5</v>
      </c>
      <c r="E553">
        <v>1.73</v>
      </c>
      <c r="F553">
        <v>3.86607608129234</v>
      </c>
      <c r="G553" t="s">
        <v>104</v>
      </c>
      <c r="H553" t="s">
        <v>108</v>
      </c>
    </row>
    <row r="554" spans="1:8" hidden="1" x14ac:dyDescent="0.3">
      <c r="A554" t="s">
        <v>30</v>
      </c>
      <c r="B554" t="s">
        <v>50</v>
      </c>
      <c r="C554" t="s">
        <v>73</v>
      </c>
      <c r="D554">
        <v>0.1</v>
      </c>
      <c r="E554">
        <v>4.8520000000000003</v>
      </c>
      <c r="F554">
        <v>20.723404255319149</v>
      </c>
      <c r="G554" t="s">
        <v>105</v>
      </c>
      <c r="H554" t="s">
        <v>108</v>
      </c>
    </row>
    <row r="555" spans="1:8" hidden="1" x14ac:dyDescent="0.3">
      <c r="A555" t="s">
        <v>30</v>
      </c>
      <c r="B555" t="s">
        <v>50</v>
      </c>
      <c r="C555" t="s">
        <v>74</v>
      </c>
      <c r="D555">
        <v>0.2</v>
      </c>
      <c r="E555">
        <v>3.3919999999999999</v>
      </c>
      <c r="F555">
        <v>2.0635593220338988</v>
      </c>
      <c r="G555" t="s">
        <v>105</v>
      </c>
      <c r="H555" t="s">
        <v>108</v>
      </c>
    </row>
    <row r="556" spans="1:8" hidden="1" x14ac:dyDescent="0.3">
      <c r="A556" t="s">
        <v>30</v>
      </c>
      <c r="B556" t="s">
        <v>51</v>
      </c>
      <c r="C556" t="s">
        <v>75</v>
      </c>
      <c r="D556">
        <v>0</v>
      </c>
      <c r="E556">
        <v>0.151238492415432</v>
      </c>
      <c r="F556">
        <v>11.74</v>
      </c>
      <c r="G556" t="s">
        <v>104</v>
      </c>
      <c r="H556" t="s">
        <v>108</v>
      </c>
    </row>
    <row r="557" spans="1:8" hidden="1" x14ac:dyDescent="0.3">
      <c r="A557" t="s">
        <v>30</v>
      </c>
      <c r="B557" t="s">
        <v>53</v>
      </c>
      <c r="C557" t="s">
        <v>77</v>
      </c>
      <c r="D557">
        <v>0.8</v>
      </c>
      <c r="E557">
        <v>1.73</v>
      </c>
      <c r="F557">
        <v>3.86607608129234</v>
      </c>
      <c r="G557" t="s">
        <v>104</v>
      </c>
      <c r="H557" t="s">
        <v>108</v>
      </c>
    </row>
    <row r="558" spans="1:8" hidden="1" x14ac:dyDescent="0.3">
      <c r="A558" t="s">
        <v>31</v>
      </c>
      <c r="B558" t="s">
        <v>46</v>
      </c>
      <c r="C558" t="s">
        <v>63</v>
      </c>
      <c r="D558">
        <v>1.01E-2</v>
      </c>
      <c r="E558">
        <v>2.9286474973375931</v>
      </c>
      <c r="F558">
        <v>3.950479233226837</v>
      </c>
      <c r="G558" t="s">
        <v>104</v>
      </c>
      <c r="H558" t="s">
        <v>108</v>
      </c>
    </row>
    <row r="559" spans="1:8" hidden="1" x14ac:dyDescent="0.3">
      <c r="A559" t="s">
        <v>31</v>
      </c>
      <c r="B559" t="s">
        <v>46</v>
      </c>
      <c r="C559" t="s">
        <v>64</v>
      </c>
      <c r="D559">
        <v>0.15493999999999999</v>
      </c>
      <c r="E559">
        <v>5.4169999999999998</v>
      </c>
      <c r="F559">
        <v>2.9521711768407801</v>
      </c>
      <c r="G559" t="s">
        <v>104</v>
      </c>
      <c r="H559" t="s">
        <v>108</v>
      </c>
    </row>
    <row r="560" spans="1:8" hidden="1" x14ac:dyDescent="0.3">
      <c r="A560" t="s">
        <v>31</v>
      </c>
      <c r="B560" t="s">
        <v>46</v>
      </c>
      <c r="C560" t="s">
        <v>79</v>
      </c>
      <c r="D560">
        <v>0.7</v>
      </c>
      <c r="E560">
        <v>0</v>
      </c>
      <c r="F560">
        <v>6.8428961748633883</v>
      </c>
      <c r="G560" t="s">
        <v>104</v>
      </c>
      <c r="H560" t="s">
        <v>108</v>
      </c>
    </row>
    <row r="561" spans="1:8" hidden="1" x14ac:dyDescent="0.3">
      <c r="A561" t="s">
        <v>31</v>
      </c>
      <c r="B561" t="s">
        <v>46</v>
      </c>
      <c r="C561" t="s">
        <v>65</v>
      </c>
      <c r="D561">
        <v>0.1</v>
      </c>
      <c r="E561">
        <v>4.5010000000000003</v>
      </c>
      <c r="F561">
        <v>2.9521711768407801</v>
      </c>
      <c r="G561" t="s">
        <v>104</v>
      </c>
      <c r="H561" t="s">
        <v>108</v>
      </c>
    </row>
    <row r="562" spans="1:8" hidden="1" x14ac:dyDescent="0.3">
      <c r="A562" t="s">
        <v>31</v>
      </c>
      <c r="B562" t="s">
        <v>46</v>
      </c>
      <c r="C562" t="s">
        <v>66</v>
      </c>
      <c r="D562">
        <v>0.2</v>
      </c>
      <c r="E562">
        <v>0</v>
      </c>
      <c r="F562">
        <v>6.8428961748633883</v>
      </c>
      <c r="G562" t="s">
        <v>104</v>
      </c>
      <c r="H562" t="s">
        <v>108</v>
      </c>
    </row>
    <row r="563" spans="1:8" hidden="1" x14ac:dyDescent="0.3">
      <c r="A563" t="s">
        <v>31</v>
      </c>
      <c r="B563" t="s">
        <v>46</v>
      </c>
      <c r="C563" t="s">
        <v>83</v>
      </c>
      <c r="D563">
        <v>6.1600000000000002E-2</v>
      </c>
      <c r="E563">
        <v>0</v>
      </c>
      <c r="F563">
        <v>6.8428961748633883</v>
      </c>
      <c r="G563" t="s">
        <v>104</v>
      </c>
      <c r="H563" t="s">
        <v>108</v>
      </c>
    </row>
    <row r="564" spans="1:8" hidden="1" x14ac:dyDescent="0.3">
      <c r="A564" t="s">
        <v>31</v>
      </c>
      <c r="B564" t="s">
        <v>46</v>
      </c>
      <c r="C564" t="s">
        <v>85</v>
      </c>
      <c r="D564">
        <v>0.1</v>
      </c>
      <c r="E564">
        <v>4.1139999999999999</v>
      </c>
      <c r="F564">
        <v>2.9521711768407801</v>
      </c>
      <c r="G564" t="s">
        <v>104</v>
      </c>
      <c r="H564" t="s">
        <v>108</v>
      </c>
    </row>
    <row r="565" spans="1:8" hidden="1" x14ac:dyDescent="0.3">
      <c r="A565" t="s">
        <v>31</v>
      </c>
      <c r="B565" t="s">
        <v>47</v>
      </c>
      <c r="C565" t="s">
        <v>68</v>
      </c>
      <c r="D565">
        <v>8.8000000000000007</v>
      </c>
      <c r="E565">
        <v>3.59</v>
      </c>
      <c r="F565">
        <v>14.5</v>
      </c>
      <c r="G565" t="s">
        <v>104</v>
      </c>
      <c r="H565" t="s">
        <v>109</v>
      </c>
    </row>
    <row r="566" spans="1:8" hidden="1" x14ac:dyDescent="0.3">
      <c r="A566" t="s">
        <v>31</v>
      </c>
      <c r="B566" t="s">
        <v>47</v>
      </c>
      <c r="C566" t="s">
        <v>69</v>
      </c>
      <c r="D566">
        <v>6.1</v>
      </c>
      <c r="E566">
        <v>3.5659999999999998</v>
      </c>
      <c r="F566">
        <v>14.5</v>
      </c>
      <c r="G566" t="s">
        <v>104</v>
      </c>
      <c r="H566" t="s">
        <v>109</v>
      </c>
    </row>
    <row r="567" spans="1:8" hidden="1" x14ac:dyDescent="0.3">
      <c r="A567" t="s">
        <v>31</v>
      </c>
      <c r="B567" t="s">
        <v>48</v>
      </c>
      <c r="C567" t="s">
        <v>70</v>
      </c>
      <c r="D567">
        <v>3.2</v>
      </c>
      <c r="E567">
        <v>9.0820000000000007</v>
      </c>
      <c r="F567">
        <v>0</v>
      </c>
      <c r="G567" t="s">
        <v>104</v>
      </c>
      <c r="H567" t="s">
        <v>109</v>
      </c>
    </row>
    <row r="568" spans="1:8" hidden="1" x14ac:dyDescent="0.3">
      <c r="A568" t="s">
        <v>31</v>
      </c>
      <c r="B568" t="s">
        <v>49</v>
      </c>
      <c r="C568" t="s">
        <v>71</v>
      </c>
      <c r="D568">
        <v>1.06698</v>
      </c>
      <c r="E568">
        <v>0</v>
      </c>
      <c r="F568">
        <v>3.86607608129234</v>
      </c>
      <c r="G568" t="s">
        <v>104</v>
      </c>
      <c r="H568" t="s">
        <v>108</v>
      </c>
    </row>
    <row r="569" spans="1:8" hidden="1" x14ac:dyDescent="0.3">
      <c r="A569" t="s">
        <v>31</v>
      </c>
      <c r="B569" t="s">
        <v>49</v>
      </c>
      <c r="C569" t="s">
        <v>72</v>
      </c>
      <c r="D569">
        <v>1.7</v>
      </c>
      <c r="E569">
        <v>0</v>
      </c>
      <c r="F569">
        <v>3.86607608129234</v>
      </c>
      <c r="G569" t="s">
        <v>104</v>
      </c>
      <c r="H569" t="s">
        <v>108</v>
      </c>
    </row>
    <row r="570" spans="1:8" hidden="1" x14ac:dyDescent="0.3">
      <c r="A570" t="s">
        <v>31</v>
      </c>
      <c r="B570" t="s">
        <v>50</v>
      </c>
      <c r="C570" t="s">
        <v>73</v>
      </c>
      <c r="D570">
        <v>0.2</v>
      </c>
      <c r="E570">
        <v>4.7309999999999999</v>
      </c>
      <c r="F570">
        <v>20.723404255319149</v>
      </c>
      <c r="G570" t="s">
        <v>105</v>
      </c>
      <c r="H570" t="s">
        <v>108</v>
      </c>
    </row>
    <row r="571" spans="1:8" hidden="1" x14ac:dyDescent="0.3">
      <c r="A571" t="s">
        <v>31</v>
      </c>
      <c r="B571" t="s">
        <v>50</v>
      </c>
      <c r="C571" t="s">
        <v>74</v>
      </c>
      <c r="D571">
        <v>0.5</v>
      </c>
      <c r="E571">
        <v>3.3919999999999999</v>
      </c>
      <c r="F571">
        <v>2.0635593220338988</v>
      </c>
      <c r="G571" t="s">
        <v>105</v>
      </c>
      <c r="H571" t="s">
        <v>108</v>
      </c>
    </row>
    <row r="572" spans="1:8" hidden="1" x14ac:dyDescent="0.3">
      <c r="A572" t="s">
        <v>31</v>
      </c>
      <c r="B572" t="s">
        <v>51</v>
      </c>
      <c r="C572" t="s">
        <v>75</v>
      </c>
      <c r="D572">
        <v>0.49327700000000002</v>
      </c>
      <c r="E572">
        <v>8.8771773931224596E-2</v>
      </c>
      <c r="F572">
        <v>11.74</v>
      </c>
      <c r="G572" t="s">
        <v>104</v>
      </c>
      <c r="H572" t="s">
        <v>108</v>
      </c>
    </row>
    <row r="573" spans="1:8" hidden="1" x14ac:dyDescent="0.3">
      <c r="A573" t="s">
        <v>31</v>
      </c>
      <c r="B573" t="s">
        <v>52</v>
      </c>
      <c r="C573" t="s">
        <v>76</v>
      </c>
      <c r="D573">
        <v>3.0000000000000001E-3</v>
      </c>
      <c r="E573">
        <v>7.5037500000000001</v>
      </c>
      <c r="F573">
        <v>12.68872359754714</v>
      </c>
      <c r="G573" t="s">
        <v>105</v>
      </c>
      <c r="H573" t="s">
        <v>108</v>
      </c>
    </row>
    <row r="574" spans="1:8" hidden="1" x14ac:dyDescent="0.3">
      <c r="A574" t="s">
        <v>31</v>
      </c>
      <c r="B574" t="s">
        <v>53</v>
      </c>
      <c r="C574" t="s">
        <v>77</v>
      </c>
      <c r="D574">
        <v>4</v>
      </c>
      <c r="E574">
        <v>0</v>
      </c>
      <c r="F574">
        <v>3.86607608129234</v>
      </c>
      <c r="G574" t="s">
        <v>104</v>
      </c>
      <c r="H574" t="s">
        <v>108</v>
      </c>
    </row>
    <row r="575" spans="1:8" hidden="1" x14ac:dyDescent="0.3">
      <c r="A575" t="s">
        <v>31</v>
      </c>
      <c r="B575" t="s">
        <v>54</v>
      </c>
      <c r="C575" t="s">
        <v>78</v>
      </c>
      <c r="D575">
        <v>2.6</v>
      </c>
      <c r="E575">
        <v>0</v>
      </c>
      <c r="F575">
        <v>3.86607608129234</v>
      </c>
      <c r="G575" t="s">
        <v>104</v>
      </c>
      <c r="H575" t="s">
        <v>108</v>
      </c>
    </row>
    <row r="576" spans="1:8" hidden="1" x14ac:dyDescent="0.3">
      <c r="A576" t="s">
        <v>32</v>
      </c>
      <c r="B576" t="s">
        <v>46</v>
      </c>
      <c r="C576" t="s">
        <v>103</v>
      </c>
      <c r="D576">
        <v>1.0678E-2</v>
      </c>
      <c r="E576">
        <v>0</v>
      </c>
      <c r="H576"/>
    </row>
    <row r="577" spans="1:8" hidden="1" x14ac:dyDescent="0.3">
      <c r="A577" t="s">
        <v>32</v>
      </c>
      <c r="B577" t="s">
        <v>50</v>
      </c>
      <c r="C577" t="s">
        <v>103</v>
      </c>
      <c r="D577">
        <v>0.40701599999999999</v>
      </c>
      <c r="E577">
        <v>0</v>
      </c>
      <c r="H577"/>
    </row>
    <row r="578" spans="1:8" hidden="1" x14ac:dyDescent="0.3">
      <c r="A578" t="s">
        <v>32</v>
      </c>
      <c r="B578" t="s">
        <v>51</v>
      </c>
      <c r="C578" t="s">
        <v>75</v>
      </c>
      <c r="D578">
        <v>3.356703</v>
      </c>
      <c r="E578">
        <v>3.0278018319097501E-5</v>
      </c>
      <c r="F578">
        <v>11.74</v>
      </c>
      <c r="G578" t="s">
        <v>104</v>
      </c>
      <c r="H578" t="s">
        <v>108</v>
      </c>
    </row>
    <row r="579" spans="1:8" hidden="1" x14ac:dyDescent="0.3">
      <c r="A579" t="s">
        <v>33</v>
      </c>
      <c r="B579" t="s">
        <v>46</v>
      </c>
      <c r="C579" t="s">
        <v>64</v>
      </c>
      <c r="D579">
        <v>0.11515</v>
      </c>
      <c r="E579">
        <v>5.7987365175857573</v>
      </c>
      <c r="F579">
        <v>2.9521711768407801</v>
      </c>
      <c r="G579" t="s">
        <v>104</v>
      </c>
      <c r="H579" t="s">
        <v>108</v>
      </c>
    </row>
    <row r="580" spans="1:8" hidden="1" x14ac:dyDescent="0.3">
      <c r="A580" t="s">
        <v>33</v>
      </c>
      <c r="B580" t="s">
        <v>46</v>
      </c>
      <c r="C580" t="s">
        <v>79</v>
      </c>
      <c r="D580">
        <v>1.8</v>
      </c>
      <c r="E580">
        <v>7.065666666666667</v>
      </c>
      <c r="F580">
        <v>6.8428961748633883</v>
      </c>
      <c r="G580" t="s">
        <v>104</v>
      </c>
      <c r="H580" t="s">
        <v>108</v>
      </c>
    </row>
    <row r="581" spans="1:8" hidden="1" x14ac:dyDescent="0.3">
      <c r="A581" t="s">
        <v>33</v>
      </c>
      <c r="B581" t="s">
        <v>46</v>
      </c>
      <c r="C581" t="s">
        <v>80</v>
      </c>
      <c r="D581">
        <v>1.22265</v>
      </c>
      <c r="E581">
        <v>0.33378287255563049</v>
      </c>
      <c r="F581">
        <v>28.139870918023309</v>
      </c>
      <c r="G581" t="s">
        <v>105</v>
      </c>
      <c r="H581" t="s">
        <v>108</v>
      </c>
    </row>
    <row r="582" spans="1:8" hidden="1" x14ac:dyDescent="0.3">
      <c r="A582" t="s">
        <v>33</v>
      </c>
      <c r="B582" t="s">
        <v>46</v>
      </c>
      <c r="C582" t="s">
        <v>81</v>
      </c>
      <c r="D582">
        <v>1.2213499999999999</v>
      </c>
      <c r="E582">
        <v>1.173913043478261</v>
      </c>
      <c r="F582">
        <v>8.9647473560517046</v>
      </c>
      <c r="G582" t="s">
        <v>105</v>
      </c>
      <c r="H582" t="s">
        <v>108</v>
      </c>
    </row>
    <row r="583" spans="1:8" hidden="1" x14ac:dyDescent="0.3">
      <c r="A583" t="s">
        <v>33</v>
      </c>
      <c r="B583" t="s">
        <v>46</v>
      </c>
      <c r="C583" t="s">
        <v>66</v>
      </c>
      <c r="D583">
        <v>0.3</v>
      </c>
      <c r="E583">
        <v>7.3686666666666669</v>
      </c>
      <c r="F583">
        <v>6.8428961748633883</v>
      </c>
      <c r="G583" t="s">
        <v>104</v>
      </c>
      <c r="H583" t="s">
        <v>108</v>
      </c>
    </row>
    <row r="584" spans="1:8" hidden="1" x14ac:dyDescent="0.3">
      <c r="A584" t="s">
        <v>33</v>
      </c>
      <c r="B584" t="s">
        <v>46</v>
      </c>
      <c r="C584" t="s">
        <v>84</v>
      </c>
      <c r="D584">
        <v>0.60000000000000009</v>
      </c>
      <c r="E584">
        <v>3.537666666666667</v>
      </c>
      <c r="F584">
        <v>28.139870918023309</v>
      </c>
      <c r="G584" t="s">
        <v>105</v>
      </c>
      <c r="H584" t="s">
        <v>108</v>
      </c>
    </row>
    <row r="585" spans="1:8" hidden="1" x14ac:dyDescent="0.3">
      <c r="A585" t="s">
        <v>33</v>
      </c>
      <c r="B585" t="s">
        <v>55</v>
      </c>
      <c r="C585" t="s">
        <v>86</v>
      </c>
      <c r="D585">
        <v>0.1313</v>
      </c>
      <c r="E585">
        <v>11.643000000000001</v>
      </c>
      <c r="F585">
        <v>42.1</v>
      </c>
      <c r="G585" t="s">
        <v>106</v>
      </c>
      <c r="H585" t="s">
        <v>109</v>
      </c>
    </row>
    <row r="586" spans="1:8" hidden="1" x14ac:dyDescent="0.3">
      <c r="A586" t="s">
        <v>33</v>
      </c>
      <c r="B586" t="s">
        <v>55</v>
      </c>
      <c r="C586" t="s">
        <v>88</v>
      </c>
      <c r="D586">
        <v>6.7400000000000002E-2</v>
      </c>
      <c r="E586">
        <v>11.102</v>
      </c>
      <c r="F586">
        <v>42.1</v>
      </c>
      <c r="G586" t="s">
        <v>106</v>
      </c>
      <c r="H586" t="s">
        <v>109</v>
      </c>
    </row>
    <row r="587" spans="1:8" hidden="1" x14ac:dyDescent="0.3">
      <c r="A587" t="s">
        <v>33</v>
      </c>
      <c r="B587" t="s">
        <v>55</v>
      </c>
      <c r="C587" t="s">
        <v>89</v>
      </c>
      <c r="D587">
        <v>6.7900000000000002E-2</v>
      </c>
      <c r="E587">
        <v>0</v>
      </c>
      <c r="F587">
        <v>42.1</v>
      </c>
      <c r="G587" t="s">
        <v>106</v>
      </c>
      <c r="H587" t="s">
        <v>109</v>
      </c>
    </row>
    <row r="588" spans="1:8" hidden="1" x14ac:dyDescent="0.3">
      <c r="A588" t="s">
        <v>33</v>
      </c>
      <c r="B588" t="s">
        <v>55</v>
      </c>
      <c r="C588" t="s">
        <v>90</v>
      </c>
      <c r="D588">
        <v>1.89E-2</v>
      </c>
      <c r="E588">
        <v>15.02100000000001</v>
      </c>
      <c r="F588">
        <v>42.1</v>
      </c>
      <c r="G588" t="s">
        <v>106</v>
      </c>
      <c r="H588" t="s">
        <v>109</v>
      </c>
    </row>
    <row r="589" spans="1:8" hidden="1" x14ac:dyDescent="0.3">
      <c r="A589" t="s">
        <v>33</v>
      </c>
      <c r="B589" t="s">
        <v>55</v>
      </c>
      <c r="C589" t="s">
        <v>91</v>
      </c>
      <c r="D589">
        <v>9.9999999999999992E-2</v>
      </c>
      <c r="E589">
        <v>12.728</v>
      </c>
      <c r="F589">
        <v>42.1</v>
      </c>
      <c r="G589" t="s">
        <v>106</v>
      </c>
      <c r="H589" t="s">
        <v>109</v>
      </c>
    </row>
    <row r="590" spans="1:8" hidden="1" x14ac:dyDescent="0.3">
      <c r="A590" t="s">
        <v>33</v>
      </c>
      <c r="B590" t="s">
        <v>55</v>
      </c>
      <c r="C590" t="s">
        <v>92</v>
      </c>
      <c r="D590">
        <v>0.30449999999999999</v>
      </c>
      <c r="E590">
        <v>11.698</v>
      </c>
      <c r="F590">
        <v>42.1</v>
      </c>
      <c r="G590" t="s">
        <v>106</v>
      </c>
      <c r="H590" t="s">
        <v>109</v>
      </c>
    </row>
    <row r="591" spans="1:8" hidden="1" x14ac:dyDescent="0.3">
      <c r="A591" t="s">
        <v>33</v>
      </c>
      <c r="B591" t="s">
        <v>56</v>
      </c>
      <c r="C591" t="s">
        <v>93</v>
      </c>
      <c r="D591">
        <v>14.172000000000001</v>
      </c>
      <c r="E591">
        <v>2.939759036144578</v>
      </c>
      <c r="F591">
        <v>53.4</v>
      </c>
      <c r="G591" t="s">
        <v>106</v>
      </c>
      <c r="H591" t="s">
        <v>109</v>
      </c>
    </row>
    <row r="592" spans="1:8" hidden="1" x14ac:dyDescent="0.3">
      <c r="A592" t="s">
        <v>33</v>
      </c>
      <c r="B592" t="s">
        <v>47</v>
      </c>
      <c r="C592" t="s">
        <v>68</v>
      </c>
      <c r="D592">
        <v>5</v>
      </c>
      <c r="E592">
        <v>8.8734999999999999</v>
      </c>
      <c r="F592">
        <v>23.9</v>
      </c>
      <c r="G592" t="s">
        <v>104</v>
      </c>
      <c r="H592" t="s">
        <v>109</v>
      </c>
    </row>
    <row r="593" spans="1:8" hidden="1" x14ac:dyDescent="0.3">
      <c r="A593" t="s">
        <v>33</v>
      </c>
      <c r="B593" t="s">
        <v>47</v>
      </c>
      <c r="C593" t="s">
        <v>69</v>
      </c>
      <c r="D593">
        <v>6.8</v>
      </c>
      <c r="E593">
        <v>8.1204264705882352</v>
      </c>
      <c r="F593">
        <v>23.9</v>
      </c>
      <c r="G593" t="s">
        <v>104</v>
      </c>
      <c r="H593" t="s">
        <v>109</v>
      </c>
    </row>
    <row r="594" spans="1:8" hidden="1" x14ac:dyDescent="0.3">
      <c r="A594" t="s">
        <v>33</v>
      </c>
      <c r="B594" t="s">
        <v>57</v>
      </c>
      <c r="C594" t="s">
        <v>94</v>
      </c>
      <c r="D594">
        <v>1.1000000000000001</v>
      </c>
      <c r="E594">
        <v>15.045090909090909</v>
      </c>
      <c r="F594">
        <v>49.1</v>
      </c>
      <c r="G594" t="s">
        <v>104</v>
      </c>
      <c r="H594" t="s">
        <v>109</v>
      </c>
    </row>
    <row r="595" spans="1:8" hidden="1" x14ac:dyDescent="0.3">
      <c r="A595" t="s">
        <v>33</v>
      </c>
      <c r="B595" t="s">
        <v>49</v>
      </c>
      <c r="C595" t="s">
        <v>71</v>
      </c>
      <c r="D595">
        <v>5.1011800000000003</v>
      </c>
      <c r="E595">
        <v>3.7084667292665618</v>
      </c>
      <c r="F595">
        <v>3.86607608129234</v>
      </c>
      <c r="G595" t="s">
        <v>104</v>
      </c>
      <c r="H595" t="s">
        <v>108</v>
      </c>
    </row>
    <row r="596" spans="1:8" hidden="1" x14ac:dyDescent="0.3">
      <c r="A596" t="s">
        <v>33</v>
      </c>
      <c r="B596" t="s">
        <v>49</v>
      </c>
      <c r="C596" t="s">
        <v>72</v>
      </c>
      <c r="D596">
        <v>0.9</v>
      </c>
      <c r="E596">
        <v>5.3193333333333328</v>
      </c>
      <c r="F596">
        <v>3.86607608129234</v>
      </c>
      <c r="G596" t="s">
        <v>104</v>
      </c>
      <c r="H596" t="s">
        <v>108</v>
      </c>
    </row>
    <row r="597" spans="1:8" hidden="1" x14ac:dyDescent="0.3">
      <c r="A597" t="s">
        <v>33</v>
      </c>
      <c r="B597" t="s">
        <v>58</v>
      </c>
      <c r="C597" t="s">
        <v>95</v>
      </c>
      <c r="D597">
        <v>2.3914499999999999</v>
      </c>
      <c r="E597">
        <v>3.0728615693407768</v>
      </c>
      <c r="F597">
        <v>2.9521711768407801</v>
      </c>
      <c r="G597" t="s">
        <v>104</v>
      </c>
      <c r="H597" t="s">
        <v>108</v>
      </c>
    </row>
    <row r="598" spans="1:8" hidden="1" x14ac:dyDescent="0.3">
      <c r="A598" t="s">
        <v>33</v>
      </c>
      <c r="B598" t="s">
        <v>50</v>
      </c>
      <c r="C598" t="s">
        <v>73</v>
      </c>
      <c r="D598">
        <v>24.9</v>
      </c>
      <c r="E598">
        <v>5.9115863453815258</v>
      </c>
      <c r="F598">
        <v>20.723404255319149</v>
      </c>
      <c r="G598" t="s">
        <v>105</v>
      </c>
      <c r="H598" t="s">
        <v>108</v>
      </c>
    </row>
    <row r="599" spans="1:8" hidden="1" x14ac:dyDescent="0.3">
      <c r="A599" t="s">
        <v>33</v>
      </c>
      <c r="B599" t="s">
        <v>50</v>
      </c>
      <c r="C599" t="s">
        <v>74</v>
      </c>
      <c r="D599">
        <v>23.6</v>
      </c>
      <c r="E599">
        <v>6.3648305084745767</v>
      </c>
      <c r="F599">
        <v>2.0635593220338988</v>
      </c>
      <c r="G599" t="s">
        <v>105</v>
      </c>
      <c r="H599" t="s">
        <v>108</v>
      </c>
    </row>
    <row r="600" spans="1:8" hidden="1" x14ac:dyDescent="0.3">
      <c r="A600" t="s">
        <v>33</v>
      </c>
      <c r="B600" t="s">
        <v>59</v>
      </c>
      <c r="C600" t="s">
        <v>97</v>
      </c>
      <c r="D600">
        <v>1.66E-2</v>
      </c>
      <c r="E600">
        <v>20.2930005425936</v>
      </c>
      <c r="F600">
        <v>25.7</v>
      </c>
      <c r="G600" t="s">
        <v>107</v>
      </c>
      <c r="H600" t="s">
        <v>109</v>
      </c>
    </row>
    <row r="601" spans="1:8" hidden="1" x14ac:dyDescent="0.3">
      <c r="A601" t="s">
        <v>33</v>
      </c>
      <c r="B601" t="s">
        <v>51</v>
      </c>
      <c r="C601" t="s">
        <v>75</v>
      </c>
      <c r="D601">
        <v>42.138060000000003</v>
      </c>
      <c r="E601">
        <v>6.3853548620482106E-2</v>
      </c>
      <c r="F601">
        <v>11.74</v>
      </c>
      <c r="G601" t="s">
        <v>104</v>
      </c>
      <c r="H601" t="s">
        <v>108</v>
      </c>
    </row>
    <row r="602" spans="1:8" hidden="1" x14ac:dyDescent="0.3">
      <c r="A602" t="s">
        <v>33</v>
      </c>
      <c r="B602" t="s">
        <v>60</v>
      </c>
      <c r="C602" t="s">
        <v>98</v>
      </c>
      <c r="D602">
        <v>9.4210000000000002E-2</v>
      </c>
      <c r="E602">
        <v>12.19119226638024</v>
      </c>
      <c r="F602">
        <v>61.8</v>
      </c>
      <c r="G602" t="s">
        <v>107</v>
      </c>
      <c r="H602" t="s">
        <v>109</v>
      </c>
    </row>
    <row r="603" spans="1:8" hidden="1" x14ac:dyDescent="0.3">
      <c r="A603" t="s">
        <v>33</v>
      </c>
      <c r="B603" t="s">
        <v>52</v>
      </c>
      <c r="C603" t="s">
        <v>76</v>
      </c>
      <c r="D603">
        <v>0.26900000000000002</v>
      </c>
      <c r="E603">
        <v>7.5037500000000001</v>
      </c>
      <c r="F603">
        <v>12.68872359754714</v>
      </c>
      <c r="G603" t="s">
        <v>105</v>
      </c>
      <c r="H603" t="s">
        <v>108</v>
      </c>
    </row>
    <row r="604" spans="1:8" hidden="1" x14ac:dyDescent="0.3">
      <c r="A604" t="s">
        <v>33</v>
      </c>
      <c r="B604" t="s">
        <v>53</v>
      </c>
      <c r="C604" t="s">
        <v>77</v>
      </c>
      <c r="D604">
        <v>0.60000000000000009</v>
      </c>
      <c r="E604">
        <v>5.3193333333333328</v>
      </c>
      <c r="F604">
        <v>3.86607608129234</v>
      </c>
      <c r="G604" t="s">
        <v>104</v>
      </c>
      <c r="H604" t="s">
        <v>108</v>
      </c>
    </row>
    <row r="605" spans="1:8" hidden="1" x14ac:dyDescent="0.3">
      <c r="A605" t="s">
        <v>33</v>
      </c>
      <c r="B605" t="s">
        <v>61</v>
      </c>
      <c r="C605" t="s">
        <v>99</v>
      </c>
      <c r="D605">
        <v>0.3</v>
      </c>
      <c r="E605">
        <v>2.3370000000000002</v>
      </c>
      <c r="F605">
        <v>2.9245635910224439</v>
      </c>
      <c r="G605" t="s">
        <v>104</v>
      </c>
      <c r="H605" t="s">
        <v>108</v>
      </c>
    </row>
    <row r="606" spans="1:8" hidden="1" x14ac:dyDescent="0.3">
      <c r="A606" t="s">
        <v>33</v>
      </c>
      <c r="B606" t="s">
        <v>62</v>
      </c>
      <c r="C606" t="s">
        <v>100</v>
      </c>
      <c r="D606">
        <v>0.1</v>
      </c>
      <c r="E606">
        <v>0.69999999999999984</v>
      </c>
      <c r="F606">
        <v>2.6764106050305911</v>
      </c>
      <c r="G606" t="s">
        <v>104</v>
      </c>
      <c r="H606" t="s">
        <v>108</v>
      </c>
    </row>
    <row r="607" spans="1:8" hidden="1" x14ac:dyDescent="0.3">
      <c r="A607" t="s">
        <v>33</v>
      </c>
      <c r="B607" t="s">
        <v>54</v>
      </c>
      <c r="C607" t="s">
        <v>78</v>
      </c>
      <c r="D607">
        <v>3.9</v>
      </c>
      <c r="E607">
        <v>11.14030769230769</v>
      </c>
      <c r="F607">
        <v>3.86607608129234</v>
      </c>
      <c r="G607" t="s">
        <v>104</v>
      </c>
      <c r="H607" t="s">
        <v>108</v>
      </c>
    </row>
    <row r="608" spans="1:8" hidden="1" x14ac:dyDescent="0.3">
      <c r="A608" t="s">
        <v>34</v>
      </c>
      <c r="B608" t="s">
        <v>47</v>
      </c>
      <c r="C608" t="s">
        <v>101</v>
      </c>
      <c r="D608">
        <v>3.8</v>
      </c>
      <c r="E608">
        <v>0</v>
      </c>
      <c r="F608">
        <v>0</v>
      </c>
      <c r="G608" t="s">
        <v>104</v>
      </c>
      <c r="H608" t="s">
        <v>109</v>
      </c>
    </row>
    <row r="609" spans="1:8" hidden="1" x14ac:dyDescent="0.3">
      <c r="A609" t="s">
        <v>34</v>
      </c>
      <c r="B609" t="s">
        <v>57</v>
      </c>
      <c r="C609" t="s">
        <v>94</v>
      </c>
      <c r="D609">
        <v>3.5</v>
      </c>
      <c r="E609">
        <v>0</v>
      </c>
      <c r="F609">
        <v>0</v>
      </c>
      <c r="G609" t="s">
        <v>104</v>
      </c>
      <c r="H609" t="s">
        <v>109</v>
      </c>
    </row>
    <row r="610" spans="1:8" hidden="1" x14ac:dyDescent="0.3">
      <c r="A610" t="s">
        <v>34</v>
      </c>
      <c r="B610" t="s">
        <v>49</v>
      </c>
      <c r="C610" t="s">
        <v>71</v>
      </c>
      <c r="D610">
        <v>52.524270000000001</v>
      </c>
      <c r="E610">
        <v>5.3633207964622827</v>
      </c>
      <c r="F610">
        <v>3.86607608129234</v>
      </c>
      <c r="G610" t="s">
        <v>104</v>
      </c>
      <c r="H610" t="s">
        <v>108</v>
      </c>
    </row>
    <row r="611" spans="1:8" hidden="1" x14ac:dyDescent="0.3">
      <c r="A611" t="s">
        <v>34</v>
      </c>
      <c r="B611" t="s">
        <v>49</v>
      </c>
      <c r="C611" t="s">
        <v>72</v>
      </c>
      <c r="D611">
        <v>4.5</v>
      </c>
      <c r="E611">
        <v>4.2878666666666669</v>
      </c>
      <c r="F611">
        <v>3.86607608129234</v>
      </c>
      <c r="G611" t="s">
        <v>104</v>
      </c>
      <c r="H611" t="s">
        <v>108</v>
      </c>
    </row>
    <row r="612" spans="1:8" hidden="1" x14ac:dyDescent="0.3">
      <c r="A612" t="s">
        <v>34</v>
      </c>
      <c r="B612" t="s">
        <v>51</v>
      </c>
      <c r="C612" t="s">
        <v>75</v>
      </c>
      <c r="D612">
        <v>14.877000000000001</v>
      </c>
      <c r="E612">
        <v>4.4741913074484796E-3</v>
      </c>
      <c r="F612">
        <v>11.74</v>
      </c>
      <c r="G612" t="s">
        <v>104</v>
      </c>
      <c r="H612" t="s">
        <v>108</v>
      </c>
    </row>
    <row r="613" spans="1:8" hidden="1" x14ac:dyDescent="0.3">
      <c r="A613" t="s">
        <v>34</v>
      </c>
      <c r="B613" t="s">
        <v>52</v>
      </c>
      <c r="C613" t="s">
        <v>76</v>
      </c>
      <c r="D613">
        <v>0.34699999999999998</v>
      </c>
      <c r="E613">
        <v>7.5037500000000001</v>
      </c>
      <c r="F613">
        <v>12.68872359754714</v>
      </c>
      <c r="G613" t="s">
        <v>105</v>
      </c>
      <c r="H613" t="s">
        <v>108</v>
      </c>
    </row>
    <row r="614" spans="1:8" hidden="1" x14ac:dyDescent="0.3">
      <c r="A614" t="s">
        <v>34</v>
      </c>
      <c r="B614" t="s">
        <v>53</v>
      </c>
      <c r="C614" t="s">
        <v>77</v>
      </c>
      <c r="D614">
        <v>5.2</v>
      </c>
      <c r="E614">
        <v>4.2884423076923071</v>
      </c>
      <c r="F614">
        <v>3.86607608129234</v>
      </c>
      <c r="G614" t="s">
        <v>104</v>
      </c>
      <c r="H614" t="s">
        <v>108</v>
      </c>
    </row>
    <row r="615" spans="1:8" hidden="1" x14ac:dyDescent="0.3">
      <c r="A615" t="s">
        <v>34</v>
      </c>
      <c r="B615" t="s">
        <v>54</v>
      </c>
      <c r="C615" t="s">
        <v>78</v>
      </c>
      <c r="D615">
        <v>60.1</v>
      </c>
      <c r="E615">
        <v>8.892975041597337</v>
      </c>
      <c r="F615">
        <v>3.86607608129234</v>
      </c>
      <c r="G615" t="s">
        <v>104</v>
      </c>
      <c r="H615" t="s">
        <v>108</v>
      </c>
    </row>
    <row r="616" spans="1:8" hidden="1" x14ac:dyDescent="0.3">
      <c r="A616" t="s">
        <v>35</v>
      </c>
      <c r="B616" t="s">
        <v>46</v>
      </c>
      <c r="C616" t="s">
        <v>64</v>
      </c>
      <c r="D616">
        <v>1.41099</v>
      </c>
      <c r="E616">
        <v>6.4875590401065928</v>
      </c>
      <c r="F616">
        <v>2.9521711768407801</v>
      </c>
      <c r="G616" t="s">
        <v>104</v>
      </c>
      <c r="H616" t="s">
        <v>108</v>
      </c>
    </row>
    <row r="617" spans="1:8" hidden="1" x14ac:dyDescent="0.3">
      <c r="A617" t="s">
        <v>35</v>
      </c>
      <c r="B617" t="s">
        <v>46</v>
      </c>
      <c r="C617" t="s">
        <v>79</v>
      </c>
      <c r="D617">
        <v>83.7</v>
      </c>
      <c r="E617">
        <v>3.0138733572281962</v>
      </c>
      <c r="F617">
        <v>6.8428961748633883</v>
      </c>
      <c r="G617" t="s">
        <v>104</v>
      </c>
      <c r="H617" t="s">
        <v>108</v>
      </c>
    </row>
    <row r="618" spans="1:8" hidden="1" x14ac:dyDescent="0.3">
      <c r="A618" t="s">
        <v>35</v>
      </c>
      <c r="B618" t="s">
        <v>46</v>
      </c>
      <c r="C618" t="s">
        <v>65</v>
      </c>
      <c r="D618">
        <v>1.6</v>
      </c>
      <c r="E618">
        <v>4.8189374999999997</v>
      </c>
      <c r="F618">
        <v>2.9521711768407801</v>
      </c>
      <c r="G618" t="s">
        <v>104</v>
      </c>
      <c r="H618" t="s">
        <v>108</v>
      </c>
    </row>
    <row r="619" spans="1:8" hidden="1" x14ac:dyDescent="0.3">
      <c r="A619" t="s">
        <v>35</v>
      </c>
      <c r="B619" t="s">
        <v>46</v>
      </c>
      <c r="C619" t="s">
        <v>80</v>
      </c>
      <c r="D619">
        <v>1.01183</v>
      </c>
      <c r="E619">
        <v>0.46459878624409978</v>
      </c>
      <c r="F619">
        <v>28.139870918023309</v>
      </c>
      <c r="G619" t="s">
        <v>105</v>
      </c>
      <c r="H619" t="s">
        <v>108</v>
      </c>
    </row>
    <row r="620" spans="1:8" hidden="1" x14ac:dyDescent="0.3">
      <c r="A620" t="s">
        <v>35</v>
      </c>
      <c r="B620" t="s">
        <v>46</v>
      </c>
      <c r="C620" t="s">
        <v>81</v>
      </c>
      <c r="D620">
        <v>3.3110400000000002</v>
      </c>
      <c r="E620">
        <v>0.69388954171562867</v>
      </c>
      <c r="F620">
        <v>8.9647473560517046</v>
      </c>
      <c r="G620" t="s">
        <v>105</v>
      </c>
      <c r="H620" t="s">
        <v>108</v>
      </c>
    </row>
    <row r="621" spans="1:8" hidden="1" x14ac:dyDescent="0.3">
      <c r="A621" t="s">
        <v>35</v>
      </c>
      <c r="B621" t="s">
        <v>46</v>
      </c>
      <c r="C621" t="s">
        <v>66</v>
      </c>
      <c r="D621">
        <v>5.6000000000000014</v>
      </c>
      <c r="E621">
        <v>3.109089285714286</v>
      </c>
      <c r="F621">
        <v>6.8428961748633883</v>
      </c>
      <c r="G621" t="s">
        <v>104</v>
      </c>
      <c r="H621" t="s">
        <v>108</v>
      </c>
    </row>
    <row r="622" spans="1:8" hidden="1" x14ac:dyDescent="0.3">
      <c r="A622" t="s">
        <v>35</v>
      </c>
      <c r="B622" t="s">
        <v>46</v>
      </c>
      <c r="C622" t="s">
        <v>82</v>
      </c>
      <c r="D622">
        <v>4.8</v>
      </c>
      <c r="E622">
        <v>1.920708333333333</v>
      </c>
      <c r="F622">
        <v>6.8428961748633883</v>
      </c>
      <c r="G622" t="s">
        <v>104</v>
      </c>
      <c r="H622" t="s">
        <v>108</v>
      </c>
    </row>
    <row r="623" spans="1:8" hidden="1" x14ac:dyDescent="0.3">
      <c r="A623" t="s">
        <v>35</v>
      </c>
      <c r="B623" t="s">
        <v>46</v>
      </c>
      <c r="C623" t="s">
        <v>84</v>
      </c>
      <c r="D623">
        <v>1.2</v>
      </c>
      <c r="E623">
        <v>1.845666666666667</v>
      </c>
      <c r="F623">
        <v>28.139870918023309</v>
      </c>
      <c r="G623" t="s">
        <v>105</v>
      </c>
      <c r="H623" t="s">
        <v>108</v>
      </c>
    </row>
    <row r="624" spans="1:8" hidden="1" x14ac:dyDescent="0.3">
      <c r="A624" t="s">
        <v>35</v>
      </c>
      <c r="B624" t="s">
        <v>55</v>
      </c>
      <c r="C624" t="s">
        <v>86</v>
      </c>
      <c r="D624">
        <v>2.1977000000000002</v>
      </c>
      <c r="E624">
        <v>9.7590000000000003</v>
      </c>
      <c r="F624">
        <v>12.6</v>
      </c>
      <c r="G624" t="s">
        <v>106</v>
      </c>
      <c r="H624" t="s">
        <v>109</v>
      </c>
    </row>
    <row r="625" spans="1:8" hidden="1" x14ac:dyDescent="0.3">
      <c r="A625" t="s">
        <v>35</v>
      </c>
      <c r="B625" t="s">
        <v>55</v>
      </c>
      <c r="C625" t="s">
        <v>88</v>
      </c>
      <c r="D625">
        <v>2.1255999999999999</v>
      </c>
      <c r="E625">
        <v>10.297000000000001</v>
      </c>
      <c r="F625">
        <v>12.6</v>
      </c>
      <c r="G625" t="s">
        <v>106</v>
      </c>
      <c r="H625" t="s">
        <v>109</v>
      </c>
    </row>
    <row r="626" spans="1:8" hidden="1" x14ac:dyDescent="0.3">
      <c r="A626" t="s">
        <v>35</v>
      </c>
      <c r="B626" t="s">
        <v>55</v>
      </c>
      <c r="C626" t="s">
        <v>89</v>
      </c>
      <c r="D626">
        <v>5.6399999999999999E-2</v>
      </c>
      <c r="E626">
        <v>0</v>
      </c>
      <c r="F626">
        <v>12.6</v>
      </c>
      <c r="G626" t="s">
        <v>106</v>
      </c>
      <c r="H626" t="s">
        <v>109</v>
      </c>
    </row>
    <row r="627" spans="1:8" hidden="1" x14ac:dyDescent="0.3">
      <c r="A627" t="s">
        <v>35</v>
      </c>
      <c r="B627" t="s">
        <v>55</v>
      </c>
      <c r="C627" t="s">
        <v>90</v>
      </c>
      <c r="D627">
        <v>1.2123999999999999</v>
      </c>
      <c r="E627">
        <v>10.423999999999999</v>
      </c>
      <c r="F627">
        <v>12.6</v>
      </c>
      <c r="G627" t="s">
        <v>106</v>
      </c>
      <c r="H627" t="s">
        <v>109</v>
      </c>
    </row>
    <row r="628" spans="1:8" hidden="1" x14ac:dyDescent="0.3">
      <c r="A628" t="s">
        <v>35</v>
      </c>
      <c r="B628" t="s">
        <v>55</v>
      </c>
      <c r="C628" t="s">
        <v>91</v>
      </c>
      <c r="D628">
        <v>3.7515999999999998</v>
      </c>
      <c r="E628">
        <v>8.9329999999999963</v>
      </c>
      <c r="F628">
        <v>12.6</v>
      </c>
      <c r="G628" t="s">
        <v>106</v>
      </c>
      <c r="H628" t="s">
        <v>109</v>
      </c>
    </row>
    <row r="629" spans="1:8" hidden="1" x14ac:dyDescent="0.3">
      <c r="A629" t="s">
        <v>35</v>
      </c>
      <c r="B629" t="s">
        <v>55</v>
      </c>
      <c r="C629" t="s">
        <v>92</v>
      </c>
      <c r="D629">
        <v>1.82101</v>
      </c>
      <c r="E629">
        <v>10.840999999999999</v>
      </c>
      <c r="F629">
        <v>12.6</v>
      </c>
      <c r="G629" t="s">
        <v>106</v>
      </c>
      <c r="H629" t="s">
        <v>109</v>
      </c>
    </row>
    <row r="630" spans="1:8" hidden="1" x14ac:dyDescent="0.3">
      <c r="A630" t="s">
        <v>35</v>
      </c>
      <c r="B630" t="s">
        <v>56</v>
      </c>
      <c r="C630" t="s">
        <v>93</v>
      </c>
      <c r="D630">
        <v>28.6905</v>
      </c>
      <c r="E630">
        <v>2.9493975903614462</v>
      </c>
      <c r="F630">
        <v>29.5</v>
      </c>
      <c r="G630" t="s">
        <v>106</v>
      </c>
      <c r="H630" t="s">
        <v>109</v>
      </c>
    </row>
    <row r="631" spans="1:8" hidden="1" x14ac:dyDescent="0.3">
      <c r="A631" t="s">
        <v>35</v>
      </c>
      <c r="B631" t="s">
        <v>47</v>
      </c>
      <c r="C631" t="s">
        <v>101</v>
      </c>
      <c r="D631">
        <v>154.19999999999999</v>
      </c>
      <c r="E631">
        <v>4.1563858625162133</v>
      </c>
      <c r="F631">
        <v>43.8</v>
      </c>
      <c r="G631" t="s">
        <v>104</v>
      </c>
      <c r="H631" t="s">
        <v>109</v>
      </c>
    </row>
    <row r="632" spans="1:8" hidden="1" x14ac:dyDescent="0.3">
      <c r="A632" t="s">
        <v>35</v>
      </c>
      <c r="B632" t="s">
        <v>57</v>
      </c>
      <c r="C632" t="s">
        <v>94</v>
      </c>
      <c r="D632">
        <v>67.3</v>
      </c>
      <c r="E632">
        <v>8.9243001485884115</v>
      </c>
      <c r="F632">
        <v>19.8</v>
      </c>
      <c r="G632" t="s">
        <v>104</v>
      </c>
      <c r="H632" t="s">
        <v>109</v>
      </c>
    </row>
    <row r="633" spans="1:8" hidden="1" x14ac:dyDescent="0.3">
      <c r="A633" t="s">
        <v>35</v>
      </c>
      <c r="B633" t="s">
        <v>49</v>
      </c>
      <c r="C633" t="s">
        <v>71</v>
      </c>
      <c r="D633">
        <v>217.73679999999999</v>
      </c>
      <c r="E633">
        <v>3.211661610531614</v>
      </c>
      <c r="F633">
        <v>3.86607608129234</v>
      </c>
      <c r="G633" t="s">
        <v>104</v>
      </c>
      <c r="H633" t="s">
        <v>108</v>
      </c>
    </row>
    <row r="634" spans="1:8" hidden="1" x14ac:dyDescent="0.3">
      <c r="A634" t="s">
        <v>35</v>
      </c>
      <c r="B634" t="s">
        <v>49</v>
      </c>
      <c r="C634" t="s">
        <v>72</v>
      </c>
      <c r="D634">
        <v>10.7</v>
      </c>
      <c r="E634">
        <v>4.3958411214953266</v>
      </c>
      <c r="F634">
        <v>3.86607608129234</v>
      </c>
      <c r="G634" t="s">
        <v>104</v>
      </c>
      <c r="H634" t="s">
        <v>108</v>
      </c>
    </row>
    <row r="635" spans="1:8" hidden="1" x14ac:dyDescent="0.3">
      <c r="A635" t="s">
        <v>35</v>
      </c>
      <c r="B635" t="s">
        <v>58</v>
      </c>
      <c r="C635" t="s">
        <v>95</v>
      </c>
      <c r="D635">
        <v>19.13157</v>
      </c>
      <c r="E635">
        <v>3.3066689445769479</v>
      </c>
      <c r="F635">
        <v>2.9521711768407801</v>
      </c>
      <c r="G635" t="s">
        <v>104</v>
      </c>
      <c r="H635" t="s">
        <v>108</v>
      </c>
    </row>
    <row r="636" spans="1:8" hidden="1" x14ac:dyDescent="0.3">
      <c r="A636" t="s">
        <v>35</v>
      </c>
      <c r="B636" t="s">
        <v>50</v>
      </c>
      <c r="C636" t="s">
        <v>73</v>
      </c>
      <c r="D636">
        <v>4.5999999999999996</v>
      </c>
      <c r="E636">
        <v>5.1069782608695657</v>
      </c>
      <c r="F636">
        <v>20.723404255319149</v>
      </c>
      <c r="G636" t="s">
        <v>105</v>
      </c>
      <c r="H636" t="s">
        <v>108</v>
      </c>
    </row>
    <row r="637" spans="1:8" hidden="1" x14ac:dyDescent="0.3">
      <c r="A637" t="s">
        <v>35</v>
      </c>
      <c r="B637" t="s">
        <v>50</v>
      </c>
      <c r="C637" t="s">
        <v>74</v>
      </c>
      <c r="D637">
        <v>65.8</v>
      </c>
      <c r="E637">
        <v>3.4827796352583591</v>
      </c>
      <c r="F637">
        <v>2.0635593220338988</v>
      </c>
      <c r="G637" t="s">
        <v>105</v>
      </c>
      <c r="H637" t="s">
        <v>108</v>
      </c>
    </row>
    <row r="638" spans="1:8" hidden="1" x14ac:dyDescent="0.3">
      <c r="A638" t="s">
        <v>35</v>
      </c>
      <c r="B638" t="s">
        <v>59</v>
      </c>
      <c r="C638" t="s">
        <v>96</v>
      </c>
      <c r="D638">
        <v>9.8699999999999996E-2</v>
      </c>
      <c r="E638">
        <v>18.283000000000001</v>
      </c>
      <c r="F638">
        <v>19.100000000000001</v>
      </c>
      <c r="G638" t="s">
        <v>107</v>
      </c>
      <c r="H638" t="s">
        <v>109</v>
      </c>
    </row>
    <row r="639" spans="1:8" hidden="1" x14ac:dyDescent="0.3">
      <c r="A639" t="s">
        <v>35</v>
      </c>
      <c r="B639" t="s">
        <v>59</v>
      </c>
      <c r="C639" t="s">
        <v>97</v>
      </c>
      <c r="D639">
        <v>0.21859999999999999</v>
      </c>
      <c r="E639">
        <v>19.099294628323381</v>
      </c>
      <c r="F639">
        <v>19.100000000000001</v>
      </c>
      <c r="G639" t="s">
        <v>107</v>
      </c>
      <c r="H639" t="s">
        <v>109</v>
      </c>
    </row>
    <row r="640" spans="1:8" hidden="1" x14ac:dyDescent="0.3">
      <c r="A640" t="s">
        <v>35</v>
      </c>
      <c r="B640" t="s">
        <v>51</v>
      </c>
      <c r="C640" t="s">
        <v>75</v>
      </c>
      <c r="D640">
        <v>19.280850000000001</v>
      </c>
      <c r="E640">
        <v>2.8569161742892099E-3</v>
      </c>
      <c r="F640">
        <v>11.74</v>
      </c>
      <c r="G640" t="s">
        <v>104</v>
      </c>
      <c r="H640" t="s">
        <v>108</v>
      </c>
    </row>
    <row r="641" spans="1:8" hidden="1" x14ac:dyDescent="0.3">
      <c r="A641" t="s">
        <v>35</v>
      </c>
      <c r="B641" t="s">
        <v>60</v>
      </c>
      <c r="C641" t="s">
        <v>98</v>
      </c>
      <c r="D641">
        <v>16.77102</v>
      </c>
      <c r="E641">
        <v>16.165413533834581</v>
      </c>
      <c r="F641">
        <v>46</v>
      </c>
      <c r="G641" t="s">
        <v>107</v>
      </c>
      <c r="H641" t="s">
        <v>109</v>
      </c>
    </row>
    <row r="642" spans="1:8" hidden="1" x14ac:dyDescent="0.3">
      <c r="A642" t="s">
        <v>35</v>
      </c>
      <c r="B642" t="s">
        <v>52</v>
      </c>
      <c r="C642" t="s">
        <v>76</v>
      </c>
      <c r="D642">
        <v>0.76</v>
      </c>
      <c r="E642">
        <v>7.5037500000000001</v>
      </c>
      <c r="F642">
        <v>12.68872359754714</v>
      </c>
      <c r="G642" t="s">
        <v>105</v>
      </c>
      <c r="H642" t="s">
        <v>108</v>
      </c>
    </row>
    <row r="643" spans="1:8" hidden="1" x14ac:dyDescent="0.3">
      <c r="A643" t="s">
        <v>35</v>
      </c>
      <c r="B643" t="s">
        <v>53</v>
      </c>
      <c r="C643" t="s">
        <v>77</v>
      </c>
      <c r="D643">
        <v>7.8999999999999986</v>
      </c>
      <c r="E643">
        <v>4.3958481012658224</v>
      </c>
      <c r="F643">
        <v>3.86607608129234</v>
      </c>
      <c r="G643" t="s">
        <v>104</v>
      </c>
      <c r="H643" t="s">
        <v>108</v>
      </c>
    </row>
    <row r="644" spans="1:8" hidden="1" x14ac:dyDescent="0.3">
      <c r="A644" t="s">
        <v>35</v>
      </c>
      <c r="B644" t="s">
        <v>61</v>
      </c>
      <c r="C644" t="s">
        <v>99</v>
      </c>
      <c r="D644">
        <v>16.2</v>
      </c>
      <c r="E644">
        <v>1.594654320987654</v>
      </c>
      <c r="F644">
        <v>2.9245635910224439</v>
      </c>
      <c r="G644" t="s">
        <v>104</v>
      </c>
      <c r="H644" t="s">
        <v>108</v>
      </c>
    </row>
    <row r="645" spans="1:8" hidden="1" x14ac:dyDescent="0.3">
      <c r="A645" t="s">
        <v>35</v>
      </c>
      <c r="B645" t="s">
        <v>62</v>
      </c>
      <c r="C645" t="s">
        <v>100</v>
      </c>
      <c r="D645">
        <v>2.6</v>
      </c>
      <c r="E645">
        <v>0.10384615384615389</v>
      </c>
      <c r="F645">
        <v>2.6764106050305911</v>
      </c>
      <c r="G645" t="s">
        <v>104</v>
      </c>
      <c r="H645" t="s">
        <v>108</v>
      </c>
    </row>
    <row r="646" spans="1:8" hidden="1" x14ac:dyDescent="0.3">
      <c r="A646" t="s">
        <v>35</v>
      </c>
      <c r="B646" t="s">
        <v>54</v>
      </c>
      <c r="C646" t="s">
        <v>78</v>
      </c>
      <c r="D646">
        <v>162.5</v>
      </c>
      <c r="E646">
        <v>4.3216596923076924</v>
      </c>
      <c r="F646">
        <v>3.86607608129234</v>
      </c>
      <c r="G646" t="s">
        <v>104</v>
      </c>
      <c r="H646" t="s">
        <v>108</v>
      </c>
    </row>
    <row r="647" spans="1:8" hidden="1" x14ac:dyDescent="0.3">
      <c r="A647" t="s">
        <v>36</v>
      </c>
      <c r="B647" t="s">
        <v>46</v>
      </c>
      <c r="C647" t="s">
        <v>63</v>
      </c>
      <c r="D647">
        <v>0.79570000000000007</v>
      </c>
      <c r="E647">
        <v>2.9286474973375931</v>
      </c>
      <c r="F647">
        <v>3.950479233226837</v>
      </c>
      <c r="G647" t="s">
        <v>104</v>
      </c>
      <c r="H647" t="s">
        <v>108</v>
      </c>
    </row>
    <row r="648" spans="1:8" hidden="1" x14ac:dyDescent="0.3">
      <c r="A648" t="s">
        <v>36</v>
      </c>
      <c r="B648" t="s">
        <v>46</v>
      </c>
      <c r="C648" t="s">
        <v>64</v>
      </c>
      <c r="D648">
        <v>0.16045000000000001</v>
      </c>
      <c r="E648">
        <v>6.733962293549391</v>
      </c>
      <c r="F648">
        <v>2.9521711768407801</v>
      </c>
      <c r="G648" t="s">
        <v>104</v>
      </c>
      <c r="H648" t="s">
        <v>108</v>
      </c>
    </row>
    <row r="649" spans="1:8" hidden="1" x14ac:dyDescent="0.3">
      <c r="A649" t="s">
        <v>36</v>
      </c>
      <c r="B649" t="s">
        <v>46</v>
      </c>
      <c r="C649" t="s">
        <v>65</v>
      </c>
      <c r="D649">
        <v>0.8</v>
      </c>
      <c r="E649">
        <v>4.624625</v>
      </c>
      <c r="F649">
        <v>2.9521711768407801</v>
      </c>
      <c r="G649" t="s">
        <v>104</v>
      </c>
      <c r="H649" t="s">
        <v>108</v>
      </c>
    </row>
    <row r="650" spans="1:8" hidden="1" x14ac:dyDescent="0.3">
      <c r="A650" t="s">
        <v>36</v>
      </c>
      <c r="B650" t="s">
        <v>46</v>
      </c>
      <c r="C650" t="s">
        <v>102</v>
      </c>
      <c r="D650">
        <v>0.2</v>
      </c>
      <c r="E650">
        <v>4.2569999999999997</v>
      </c>
      <c r="F650">
        <v>2.9521711768407801</v>
      </c>
      <c r="G650" t="s">
        <v>104</v>
      </c>
      <c r="H650" t="s">
        <v>108</v>
      </c>
    </row>
    <row r="651" spans="1:8" hidden="1" x14ac:dyDescent="0.3">
      <c r="A651" t="s">
        <v>36</v>
      </c>
      <c r="B651" t="s">
        <v>46</v>
      </c>
      <c r="C651" t="s">
        <v>80</v>
      </c>
      <c r="D651">
        <v>0.16880999999999999</v>
      </c>
      <c r="E651">
        <v>0.36952124072825349</v>
      </c>
      <c r="F651">
        <v>28.139870918023309</v>
      </c>
      <c r="G651" t="s">
        <v>105</v>
      </c>
      <c r="H651" t="s">
        <v>108</v>
      </c>
    </row>
    <row r="652" spans="1:8" hidden="1" x14ac:dyDescent="0.3">
      <c r="A652" t="s">
        <v>36</v>
      </c>
      <c r="B652" t="s">
        <v>46</v>
      </c>
      <c r="C652" t="s">
        <v>81</v>
      </c>
      <c r="D652">
        <v>0.70121999999999995</v>
      </c>
      <c r="E652">
        <v>1.463572267920094</v>
      </c>
      <c r="F652">
        <v>8.9647473560517046</v>
      </c>
      <c r="G652" t="s">
        <v>105</v>
      </c>
      <c r="H652" t="s">
        <v>108</v>
      </c>
    </row>
    <row r="653" spans="1:8" hidden="1" x14ac:dyDescent="0.3">
      <c r="A653" t="s">
        <v>36</v>
      </c>
      <c r="B653" t="s">
        <v>46</v>
      </c>
      <c r="C653" t="s">
        <v>66</v>
      </c>
      <c r="D653">
        <v>0.8</v>
      </c>
      <c r="E653">
        <v>2.7476250000000002</v>
      </c>
      <c r="F653">
        <v>6.8428961748633883</v>
      </c>
      <c r="G653" t="s">
        <v>104</v>
      </c>
      <c r="H653" t="s">
        <v>108</v>
      </c>
    </row>
    <row r="654" spans="1:8" hidden="1" x14ac:dyDescent="0.3">
      <c r="A654" t="s">
        <v>36</v>
      </c>
      <c r="B654" t="s">
        <v>46</v>
      </c>
      <c r="C654" t="s">
        <v>67</v>
      </c>
      <c r="D654">
        <v>1.6</v>
      </c>
      <c r="E654">
        <v>5.8242499999999993</v>
      </c>
      <c r="F654">
        <v>2.9521711768407801</v>
      </c>
      <c r="G654" t="s">
        <v>104</v>
      </c>
      <c r="H654" t="s">
        <v>108</v>
      </c>
    </row>
    <row r="655" spans="1:8" hidden="1" x14ac:dyDescent="0.3">
      <c r="A655" t="s">
        <v>36</v>
      </c>
      <c r="B655" t="s">
        <v>46</v>
      </c>
      <c r="C655" t="s">
        <v>82</v>
      </c>
      <c r="D655">
        <v>0.2</v>
      </c>
      <c r="E655">
        <v>1.724</v>
      </c>
      <c r="F655">
        <v>6.8428961748633883</v>
      </c>
      <c r="G655" t="s">
        <v>104</v>
      </c>
      <c r="H655" t="s">
        <v>108</v>
      </c>
    </row>
    <row r="656" spans="1:8" hidden="1" x14ac:dyDescent="0.3">
      <c r="A656" t="s">
        <v>36</v>
      </c>
      <c r="B656" t="s">
        <v>46</v>
      </c>
      <c r="C656" t="s">
        <v>83</v>
      </c>
      <c r="D656">
        <v>0.63216000000000006</v>
      </c>
      <c r="E656">
        <v>2.557966875474563</v>
      </c>
      <c r="F656">
        <v>6.8428961748633883</v>
      </c>
      <c r="G656" t="s">
        <v>104</v>
      </c>
      <c r="H656" t="s">
        <v>108</v>
      </c>
    </row>
    <row r="657" spans="1:8" hidden="1" x14ac:dyDescent="0.3">
      <c r="A657" t="s">
        <v>36</v>
      </c>
      <c r="B657" t="s">
        <v>46</v>
      </c>
      <c r="C657" t="s">
        <v>85</v>
      </c>
      <c r="D657">
        <v>0.9</v>
      </c>
      <c r="E657">
        <v>3.8995555555555552</v>
      </c>
      <c r="F657">
        <v>2.9521711768407801</v>
      </c>
      <c r="G657" t="s">
        <v>104</v>
      </c>
      <c r="H657" t="s">
        <v>108</v>
      </c>
    </row>
    <row r="658" spans="1:8" hidden="1" x14ac:dyDescent="0.3">
      <c r="A658" t="s">
        <v>36</v>
      </c>
      <c r="B658" t="s">
        <v>55</v>
      </c>
      <c r="C658" t="s">
        <v>86</v>
      </c>
      <c r="D658">
        <v>6.0300000000000013E-2</v>
      </c>
      <c r="E658">
        <v>13.714</v>
      </c>
      <c r="F658">
        <v>22.9</v>
      </c>
      <c r="G658" t="s">
        <v>106</v>
      </c>
      <c r="H658" t="s">
        <v>109</v>
      </c>
    </row>
    <row r="659" spans="1:8" hidden="1" x14ac:dyDescent="0.3">
      <c r="A659" t="s">
        <v>36</v>
      </c>
      <c r="B659" t="s">
        <v>55</v>
      </c>
      <c r="C659" t="s">
        <v>88</v>
      </c>
      <c r="D659">
        <v>0.10340000000000001</v>
      </c>
      <c r="E659">
        <v>12.385</v>
      </c>
      <c r="F659">
        <v>22.9</v>
      </c>
      <c r="G659" t="s">
        <v>106</v>
      </c>
      <c r="H659" t="s">
        <v>109</v>
      </c>
    </row>
    <row r="660" spans="1:8" hidden="1" x14ac:dyDescent="0.3">
      <c r="A660" t="s">
        <v>36</v>
      </c>
      <c r="B660" t="s">
        <v>56</v>
      </c>
      <c r="C660" t="s">
        <v>93</v>
      </c>
      <c r="D660">
        <v>0.20169999999999999</v>
      </c>
      <c r="E660">
        <v>2.939759036144578</v>
      </c>
      <c r="F660">
        <v>26.7</v>
      </c>
      <c r="G660" t="s">
        <v>106</v>
      </c>
      <c r="H660" t="s">
        <v>109</v>
      </c>
    </row>
    <row r="661" spans="1:8" hidden="1" x14ac:dyDescent="0.3">
      <c r="A661" t="s">
        <v>36</v>
      </c>
      <c r="B661" t="s">
        <v>47</v>
      </c>
      <c r="C661" t="s">
        <v>68</v>
      </c>
      <c r="D661">
        <v>11.3</v>
      </c>
      <c r="E661">
        <v>4.4438584070796461</v>
      </c>
      <c r="F661">
        <v>8.1</v>
      </c>
      <c r="G661" t="s">
        <v>104</v>
      </c>
      <c r="H661" t="s">
        <v>109</v>
      </c>
    </row>
    <row r="662" spans="1:8" hidden="1" x14ac:dyDescent="0.3">
      <c r="A662" t="s">
        <v>36</v>
      </c>
      <c r="B662" t="s">
        <v>47</v>
      </c>
      <c r="C662" t="s">
        <v>69</v>
      </c>
      <c r="D662">
        <v>6.7</v>
      </c>
      <c r="E662">
        <v>4.8372537313432833</v>
      </c>
      <c r="F662">
        <v>8.1</v>
      </c>
      <c r="G662" t="s">
        <v>104</v>
      </c>
      <c r="H662" t="s">
        <v>109</v>
      </c>
    </row>
    <row r="663" spans="1:8" hidden="1" x14ac:dyDescent="0.3">
      <c r="A663" t="s">
        <v>36</v>
      </c>
      <c r="B663" t="s">
        <v>48</v>
      </c>
      <c r="C663" t="s">
        <v>70</v>
      </c>
      <c r="D663">
        <v>3</v>
      </c>
      <c r="E663">
        <v>11.43173333333333</v>
      </c>
      <c r="F663">
        <v>0</v>
      </c>
      <c r="G663" t="s">
        <v>104</v>
      </c>
      <c r="H663" t="s">
        <v>109</v>
      </c>
    </row>
    <row r="664" spans="1:8" hidden="1" x14ac:dyDescent="0.3">
      <c r="A664" t="s">
        <v>36</v>
      </c>
      <c r="B664" t="s">
        <v>49</v>
      </c>
      <c r="C664" t="s">
        <v>71</v>
      </c>
      <c r="D664">
        <v>52.020359999999997</v>
      </c>
      <c r="E664">
        <v>6.0922498942721646</v>
      </c>
      <c r="F664">
        <v>3.86607608129234</v>
      </c>
      <c r="G664" t="s">
        <v>104</v>
      </c>
      <c r="H664" t="s">
        <v>108</v>
      </c>
    </row>
    <row r="665" spans="1:8" hidden="1" x14ac:dyDescent="0.3">
      <c r="A665" t="s">
        <v>36</v>
      </c>
      <c r="B665" t="s">
        <v>49</v>
      </c>
      <c r="C665" t="s">
        <v>72</v>
      </c>
      <c r="D665">
        <v>1.4</v>
      </c>
      <c r="E665">
        <v>4.879428571428571</v>
      </c>
      <c r="F665">
        <v>3.86607608129234</v>
      </c>
      <c r="G665" t="s">
        <v>104</v>
      </c>
      <c r="H665" t="s">
        <v>108</v>
      </c>
    </row>
    <row r="666" spans="1:8" hidden="1" x14ac:dyDescent="0.3">
      <c r="A666" t="s">
        <v>36</v>
      </c>
      <c r="B666" t="s">
        <v>58</v>
      </c>
      <c r="C666" t="s">
        <v>95</v>
      </c>
      <c r="D666">
        <v>5.46617</v>
      </c>
      <c r="E666">
        <v>2.7820749061957462</v>
      </c>
      <c r="F666">
        <v>2.9521711768407801</v>
      </c>
      <c r="G666" t="s">
        <v>104</v>
      </c>
      <c r="H666" t="s">
        <v>108</v>
      </c>
    </row>
    <row r="667" spans="1:8" hidden="1" x14ac:dyDescent="0.3">
      <c r="A667" t="s">
        <v>36</v>
      </c>
      <c r="B667" t="s">
        <v>50</v>
      </c>
      <c r="C667" t="s">
        <v>73</v>
      </c>
      <c r="D667">
        <v>2.1</v>
      </c>
      <c r="E667">
        <v>5.0688571428571434</v>
      </c>
      <c r="F667">
        <v>20.723404255319149</v>
      </c>
      <c r="G667" t="s">
        <v>105</v>
      </c>
      <c r="H667" t="s">
        <v>108</v>
      </c>
    </row>
    <row r="668" spans="1:8" hidden="1" x14ac:dyDescent="0.3">
      <c r="A668" t="s">
        <v>36</v>
      </c>
      <c r="B668" t="s">
        <v>50</v>
      </c>
      <c r="C668" t="s">
        <v>74</v>
      </c>
      <c r="D668">
        <v>19.600000000000001</v>
      </c>
      <c r="E668">
        <v>3.7764489795918359</v>
      </c>
      <c r="F668">
        <v>2.0635593220338988</v>
      </c>
      <c r="G668" t="s">
        <v>105</v>
      </c>
      <c r="H668" t="s">
        <v>108</v>
      </c>
    </row>
    <row r="669" spans="1:8" hidden="1" x14ac:dyDescent="0.3">
      <c r="A669" t="s">
        <v>36</v>
      </c>
      <c r="B669" t="s">
        <v>59</v>
      </c>
      <c r="C669" t="s">
        <v>97</v>
      </c>
      <c r="D669">
        <v>1.0636000000000001</v>
      </c>
      <c r="E669">
        <v>36.353771025501899</v>
      </c>
      <c r="F669">
        <v>36.299999999999997</v>
      </c>
      <c r="G669" t="s">
        <v>107</v>
      </c>
      <c r="H669" t="s">
        <v>109</v>
      </c>
    </row>
    <row r="670" spans="1:8" hidden="1" x14ac:dyDescent="0.3">
      <c r="A670" t="s">
        <v>36</v>
      </c>
      <c r="B670" t="s">
        <v>51</v>
      </c>
      <c r="C670" t="s">
        <v>75</v>
      </c>
      <c r="D670">
        <v>9.758737</v>
      </c>
      <c r="E670">
        <v>5.1580642379240003E-3</v>
      </c>
      <c r="F670">
        <v>11.74</v>
      </c>
      <c r="G670" t="s">
        <v>104</v>
      </c>
      <c r="H670" t="s">
        <v>108</v>
      </c>
    </row>
    <row r="671" spans="1:8" hidden="1" x14ac:dyDescent="0.3">
      <c r="A671" t="s">
        <v>36</v>
      </c>
      <c r="B671" t="s">
        <v>52</v>
      </c>
      <c r="C671" t="s">
        <v>76</v>
      </c>
      <c r="D671">
        <v>0.38800000000000001</v>
      </c>
      <c r="E671">
        <v>7.5037500000000001</v>
      </c>
      <c r="F671">
        <v>12.68872359754714</v>
      </c>
      <c r="G671" t="s">
        <v>105</v>
      </c>
      <c r="H671" t="s">
        <v>108</v>
      </c>
    </row>
    <row r="672" spans="1:8" hidden="1" x14ac:dyDescent="0.3">
      <c r="A672" t="s">
        <v>36</v>
      </c>
      <c r="B672" t="s">
        <v>53</v>
      </c>
      <c r="C672" t="s">
        <v>77</v>
      </c>
      <c r="D672">
        <v>0.9</v>
      </c>
      <c r="E672">
        <v>4.8794444444444443</v>
      </c>
      <c r="F672">
        <v>3.86607608129234</v>
      </c>
      <c r="G672" t="s">
        <v>104</v>
      </c>
      <c r="H672" t="s">
        <v>108</v>
      </c>
    </row>
    <row r="673" spans="1:8" hidden="1" x14ac:dyDescent="0.3">
      <c r="A673" t="s">
        <v>36</v>
      </c>
      <c r="B673" t="s">
        <v>61</v>
      </c>
      <c r="C673" t="s">
        <v>99</v>
      </c>
      <c r="D673">
        <v>4.4000000000000004</v>
      </c>
      <c r="E673">
        <v>2.2590454545454541</v>
      </c>
      <c r="F673">
        <v>2.9245635910224439</v>
      </c>
      <c r="G673" t="s">
        <v>104</v>
      </c>
      <c r="H673" t="s">
        <v>108</v>
      </c>
    </row>
    <row r="674" spans="1:8" hidden="1" x14ac:dyDescent="0.3">
      <c r="A674" t="s">
        <v>36</v>
      </c>
      <c r="B674" t="s">
        <v>62</v>
      </c>
      <c r="C674" t="s">
        <v>100</v>
      </c>
      <c r="D674">
        <v>1</v>
      </c>
      <c r="E674">
        <v>0.96000000000000008</v>
      </c>
      <c r="F674">
        <v>2.6764106050305911</v>
      </c>
      <c r="G674" t="s">
        <v>104</v>
      </c>
      <c r="H674" t="s">
        <v>108</v>
      </c>
    </row>
    <row r="675" spans="1:8" hidden="1" x14ac:dyDescent="0.3">
      <c r="A675" t="s">
        <v>36</v>
      </c>
      <c r="B675" t="s">
        <v>54</v>
      </c>
      <c r="C675" t="s">
        <v>78</v>
      </c>
      <c r="D675">
        <v>30.7</v>
      </c>
      <c r="E675">
        <v>10.301358306188931</v>
      </c>
      <c r="F675">
        <v>3.86607608129234</v>
      </c>
      <c r="G675" t="s">
        <v>104</v>
      </c>
      <c r="H675" t="s">
        <v>108</v>
      </c>
    </row>
    <row r="676" spans="1:8" hidden="1" x14ac:dyDescent="0.3">
      <c r="A676" t="s">
        <v>37</v>
      </c>
      <c r="B676" t="s">
        <v>46</v>
      </c>
      <c r="C676" t="s">
        <v>64</v>
      </c>
      <c r="D676">
        <v>0.43578</v>
      </c>
      <c r="E676">
        <v>5.1728203221809164</v>
      </c>
      <c r="F676">
        <v>2.9521711768407801</v>
      </c>
      <c r="G676" t="s">
        <v>104</v>
      </c>
      <c r="H676" t="s">
        <v>108</v>
      </c>
    </row>
    <row r="677" spans="1:8" hidden="1" x14ac:dyDescent="0.3">
      <c r="A677" t="s">
        <v>37</v>
      </c>
      <c r="B677" t="s">
        <v>46</v>
      </c>
      <c r="C677" t="s">
        <v>79</v>
      </c>
      <c r="D677">
        <v>22.6</v>
      </c>
      <c r="E677">
        <v>3.0820840707964599</v>
      </c>
      <c r="F677">
        <v>6.8428961748633883</v>
      </c>
      <c r="G677" t="s">
        <v>104</v>
      </c>
      <c r="H677" t="s">
        <v>108</v>
      </c>
    </row>
    <row r="678" spans="1:8" hidden="1" x14ac:dyDescent="0.3">
      <c r="A678" t="s">
        <v>37</v>
      </c>
      <c r="B678" t="s">
        <v>46</v>
      </c>
      <c r="C678" t="s">
        <v>65</v>
      </c>
      <c r="D678">
        <v>0.70000000000000007</v>
      </c>
      <c r="E678">
        <v>4.1480000000000006</v>
      </c>
      <c r="F678">
        <v>2.9521711768407801</v>
      </c>
      <c r="G678" t="s">
        <v>104</v>
      </c>
      <c r="H678" t="s">
        <v>108</v>
      </c>
    </row>
    <row r="679" spans="1:8" hidden="1" x14ac:dyDescent="0.3">
      <c r="A679" t="s">
        <v>37</v>
      </c>
      <c r="B679" t="s">
        <v>46</v>
      </c>
      <c r="C679" t="s">
        <v>80</v>
      </c>
      <c r="D679">
        <v>0.90429000000000004</v>
      </c>
      <c r="E679">
        <v>1.7687120701281189</v>
      </c>
      <c r="F679">
        <v>28.139870918023309</v>
      </c>
      <c r="G679" t="s">
        <v>105</v>
      </c>
      <c r="H679" t="s">
        <v>108</v>
      </c>
    </row>
    <row r="680" spans="1:8" hidden="1" x14ac:dyDescent="0.3">
      <c r="A680" t="s">
        <v>37</v>
      </c>
      <c r="B680" t="s">
        <v>46</v>
      </c>
      <c r="C680" t="s">
        <v>81</v>
      </c>
      <c r="D680">
        <v>0.81179000000000001</v>
      </c>
      <c r="E680">
        <v>3.96180963572268</v>
      </c>
      <c r="F680">
        <v>8.9647473560517046</v>
      </c>
      <c r="G680" t="s">
        <v>105</v>
      </c>
      <c r="H680" t="s">
        <v>108</v>
      </c>
    </row>
    <row r="681" spans="1:8" hidden="1" x14ac:dyDescent="0.3">
      <c r="A681" t="s">
        <v>37</v>
      </c>
      <c r="B681" t="s">
        <v>46</v>
      </c>
      <c r="C681" t="s">
        <v>66</v>
      </c>
      <c r="D681">
        <v>19.100000000000001</v>
      </c>
      <c r="E681">
        <v>3.180916230366492</v>
      </c>
      <c r="F681">
        <v>6.8428961748633883</v>
      </c>
      <c r="G681" t="s">
        <v>104</v>
      </c>
      <c r="H681" t="s">
        <v>108</v>
      </c>
    </row>
    <row r="682" spans="1:8" hidden="1" x14ac:dyDescent="0.3">
      <c r="A682" t="s">
        <v>37</v>
      </c>
      <c r="B682" t="s">
        <v>46</v>
      </c>
      <c r="C682" t="s">
        <v>82</v>
      </c>
      <c r="D682">
        <v>8.3000000000000007</v>
      </c>
      <c r="E682">
        <v>1.949686746987952</v>
      </c>
      <c r="F682">
        <v>6.8428961748633883</v>
      </c>
      <c r="G682" t="s">
        <v>104</v>
      </c>
      <c r="H682" t="s">
        <v>108</v>
      </c>
    </row>
    <row r="683" spans="1:8" hidden="1" x14ac:dyDescent="0.3">
      <c r="A683" t="s">
        <v>37</v>
      </c>
      <c r="B683" t="s">
        <v>46</v>
      </c>
      <c r="C683" t="s">
        <v>83</v>
      </c>
      <c r="D683">
        <v>0.20005000000000001</v>
      </c>
      <c r="E683">
        <v>2.7254909272681829</v>
      </c>
      <c r="F683">
        <v>6.8428961748633883</v>
      </c>
      <c r="G683" t="s">
        <v>104</v>
      </c>
      <c r="H683" t="s">
        <v>108</v>
      </c>
    </row>
    <row r="684" spans="1:8" hidden="1" x14ac:dyDescent="0.3">
      <c r="A684" t="s">
        <v>37</v>
      </c>
      <c r="B684" t="s">
        <v>46</v>
      </c>
      <c r="C684" t="s">
        <v>84</v>
      </c>
      <c r="D684">
        <v>0.4</v>
      </c>
      <c r="E684">
        <v>1.7795000000000001</v>
      </c>
      <c r="F684">
        <v>28.139870918023309</v>
      </c>
      <c r="G684" t="s">
        <v>105</v>
      </c>
      <c r="H684" t="s">
        <v>108</v>
      </c>
    </row>
    <row r="685" spans="1:8" hidden="1" x14ac:dyDescent="0.3">
      <c r="A685" t="s">
        <v>37</v>
      </c>
      <c r="B685" t="s">
        <v>46</v>
      </c>
      <c r="C685" t="s">
        <v>85</v>
      </c>
      <c r="D685">
        <v>1</v>
      </c>
      <c r="E685">
        <v>3.5350000000000001</v>
      </c>
      <c r="F685">
        <v>2.9521711768407801</v>
      </c>
      <c r="G685" t="s">
        <v>104</v>
      </c>
      <c r="H685" t="s">
        <v>108</v>
      </c>
    </row>
    <row r="686" spans="1:8" hidden="1" x14ac:dyDescent="0.3">
      <c r="A686" t="s">
        <v>37</v>
      </c>
      <c r="B686" t="s">
        <v>55</v>
      </c>
      <c r="C686" t="s">
        <v>86</v>
      </c>
      <c r="D686">
        <v>1.8662000000000001</v>
      </c>
      <c r="E686">
        <v>13.375</v>
      </c>
      <c r="F686">
        <v>8.6999999999999993</v>
      </c>
      <c r="G686" t="s">
        <v>106</v>
      </c>
      <c r="H686" t="s">
        <v>109</v>
      </c>
    </row>
    <row r="687" spans="1:8" hidden="1" x14ac:dyDescent="0.3">
      <c r="A687" t="s">
        <v>37</v>
      </c>
      <c r="B687" t="s">
        <v>55</v>
      </c>
      <c r="C687" t="s">
        <v>87</v>
      </c>
      <c r="D687">
        <v>0.1318</v>
      </c>
      <c r="E687">
        <v>12.215999999999999</v>
      </c>
      <c r="F687">
        <v>8.6999999999999993</v>
      </c>
      <c r="G687" t="s">
        <v>106</v>
      </c>
      <c r="H687" t="s">
        <v>109</v>
      </c>
    </row>
    <row r="688" spans="1:8" hidden="1" x14ac:dyDescent="0.3">
      <c r="A688" t="s">
        <v>37</v>
      </c>
      <c r="B688" t="s">
        <v>55</v>
      </c>
      <c r="C688" t="s">
        <v>88</v>
      </c>
      <c r="D688">
        <v>13.992000000000001</v>
      </c>
      <c r="E688">
        <v>17.085000000000001</v>
      </c>
      <c r="F688">
        <v>8.6999999999999993</v>
      </c>
      <c r="G688" t="s">
        <v>106</v>
      </c>
      <c r="H688" t="s">
        <v>109</v>
      </c>
    </row>
    <row r="689" spans="1:8" hidden="1" x14ac:dyDescent="0.3">
      <c r="A689" t="s">
        <v>37</v>
      </c>
      <c r="B689" t="s">
        <v>55</v>
      </c>
      <c r="C689" t="s">
        <v>89</v>
      </c>
      <c r="D689">
        <v>5.0000000000000001E-3</v>
      </c>
      <c r="E689">
        <v>0</v>
      </c>
      <c r="F689">
        <v>8.6999999999999993</v>
      </c>
      <c r="G689" t="s">
        <v>106</v>
      </c>
      <c r="H689" t="s">
        <v>109</v>
      </c>
    </row>
    <row r="690" spans="1:8" hidden="1" x14ac:dyDescent="0.3">
      <c r="A690" t="s">
        <v>37</v>
      </c>
      <c r="B690" t="s">
        <v>55</v>
      </c>
      <c r="C690" t="s">
        <v>92</v>
      </c>
      <c r="D690">
        <v>1.8106800000000001</v>
      </c>
      <c r="E690">
        <v>12.215999999999999</v>
      </c>
      <c r="F690">
        <v>8.6999999999999993</v>
      </c>
      <c r="G690" t="s">
        <v>106</v>
      </c>
      <c r="H690" t="s">
        <v>109</v>
      </c>
    </row>
    <row r="691" spans="1:8" hidden="1" x14ac:dyDescent="0.3">
      <c r="A691" t="s">
        <v>37</v>
      </c>
      <c r="B691" t="s">
        <v>56</v>
      </c>
      <c r="C691" t="s">
        <v>93</v>
      </c>
      <c r="D691">
        <v>9.8986999999999998</v>
      </c>
      <c r="E691">
        <v>2.9493975903614462</v>
      </c>
      <c r="F691">
        <v>34</v>
      </c>
      <c r="G691" t="s">
        <v>106</v>
      </c>
      <c r="H691" t="s">
        <v>109</v>
      </c>
    </row>
    <row r="692" spans="1:8" hidden="1" x14ac:dyDescent="0.3">
      <c r="A692" t="s">
        <v>37</v>
      </c>
      <c r="B692" t="s">
        <v>47</v>
      </c>
      <c r="C692" t="s">
        <v>68</v>
      </c>
      <c r="D692">
        <v>132.5</v>
      </c>
      <c r="E692">
        <v>2.7542203773584908</v>
      </c>
      <c r="F692">
        <v>16.600000000000001</v>
      </c>
      <c r="G692" t="s">
        <v>104</v>
      </c>
      <c r="H692" t="s">
        <v>109</v>
      </c>
    </row>
    <row r="693" spans="1:8" hidden="1" x14ac:dyDescent="0.3">
      <c r="A693" t="s">
        <v>37</v>
      </c>
      <c r="B693" t="s">
        <v>47</v>
      </c>
      <c r="C693" t="s">
        <v>69</v>
      </c>
      <c r="D693">
        <v>134.6</v>
      </c>
      <c r="E693">
        <v>2.4823335809806841</v>
      </c>
      <c r="F693">
        <v>16.600000000000001</v>
      </c>
      <c r="G693" t="s">
        <v>104</v>
      </c>
      <c r="H693" t="s">
        <v>109</v>
      </c>
    </row>
    <row r="694" spans="1:8" hidden="1" x14ac:dyDescent="0.3">
      <c r="A694" t="s">
        <v>37</v>
      </c>
      <c r="B694" t="s">
        <v>57</v>
      </c>
      <c r="C694" t="s">
        <v>94</v>
      </c>
      <c r="D694">
        <v>62.2</v>
      </c>
      <c r="E694">
        <v>6.8249887459807077</v>
      </c>
      <c r="F694">
        <v>16.600000000000001</v>
      </c>
      <c r="G694" t="s">
        <v>104</v>
      </c>
      <c r="H694" t="s">
        <v>109</v>
      </c>
    </row>
    <row r="695" spans="1:8" hidden="1" x14ac:dyDescent="0.3">
      <c r="A695" t="s">
        <v>37</v>
      </c>
      <c r="B695" t="s">
        <v>49</v>
      </c>
      <c r="C695" t="s">
        <v>71</v>
      </c>
      <c r="D695">
        <v>144.04221999999999</v>
      </c>
      <c r="E695">
        <v>2.577438991220768</v>
      </c>
      <c r="F695">
        <v>3.86607608129234</v>
      </c>
      <c r="G695" t="s">
        <v>104</v>
      </c>
      <c r="H695" t="s">
        <v>108</v>
      </c>
    </row>
    <row r="696" spans="1:8" hidden="1" x14ac:dyDescent="0.3">
      <c r="A696" t="s">
        <v>37</v>
      </c>
      <c r="B696" t="s">
        <v>49</v>
      </c>
      <c r="C696" t="s">
        <v>72</v>
      </c>
      <c r="D696">
        <v>8.6999999999999993</v>
      </c>
      <c r="E696">
        <v>3.5121724137931039</v>
      </c>
      <c r="F696">
        <v>3.86607608129234</v>
      </c>
      <c r="G696" t="s">
        <v>104</v>
      </c>
      <c r="H696" t="s">
        <v>108</v>
      </c>
    </row>
    <row r="697" spans="1:8" hidden="1" x14ac:dyDescent="0.3">
      <c r="A697" t="s">
        <v>37</v>
      </c>
      <c r="B697" t="s">
        <v>58</v>
      </c>
      <c r="C697" t="s">
        <v>95</v>
      </c>
      <c r="D697">
        <v>20.141729999999999</v>
      </c>
      <c r="E697">
        <v>2.98</v>
      </c>
      <c r="F697">
        <v>2.9521711768407801</v>
      </c>
      <c r="G697" t="s">
        <v>104</v>
      </c>
      <c r="H697" t="s">
        <v>108</v>
      </c>
    </row>
    <row r="698" spans="1:8" hidden="1" x14ac:dyDescent="0.3">
      <c r="A698" t="s">
        <v>37</v>
      </c>
      <c r="B698" t="s">
        <v>50</v>
      </c>
      <c r="C698" t="s">
        <v>73</v>
      </c>
      <c r="D698">
        <v>3.4</v>
      </c>
      <c r="E698">
        <v>4.9504411764705871</v>
      </c>
      <c r="F698">
        <v>20.723404255319149</v>
      </c>
      <c r="G698" t="s">
        <v>105</v>
      </c>
      <c r="H698" t="s">
        <v>108</v>
      </c>
    </row>
    <row r="699" spans="1:8" hidden="1" x14ac:dyDescent="0.3">
      <c r="A699" t="s">
        <v>37</v>
      </c>
      <c r="B699" t="s">
        <v>50</v>
      </c>
      <c r="C699" t="s">
        <v>74</v>
      </c>
      <c r="D699">
        <v>19.399999999999999</v>
      </c>
      <c r="E699">
        <v>3.2383144329896911</v>
      </c>
      <c r="F699">
        <v>2.0635593220338988</v>
      </c>
      <c r="G699" t="s">
        <v>105</v>
      </c>
      <c r="H699" t="s">
        <v>108</v>
      </c>
    </row>
    <row r="700" spans="1:8" hidden="1" x14ac:dyDescent="0.3">
      <c r="A700" t="s">
        <v>37</v>
      </c>
      <c r="B700" t="s">
        <v>59</v>
      </c>
      <c r="C700" t="s">
        <v>96</v>
      </c>
      <c r="D700">
        <v>2.0007000000000001</v>
      </c>
      <c r="E700">
        <v>19.170999999999999</v>
      </c>
      <c r="F700">
        <v>7.2</v>
      </c>
      <c r="G700" t="s">
        <v>107</v>
      </c>
      <c r="H700" t="s">
        <v>109</v>
      </c>
    </row>
    <row r="701" spans="1:8" hidden="1" x14ac:dyDescent="0.3">
      <c r="A701" t="s">
        <v>37</v>
      </c>
      <c r="B701" t="s">
        <v>59</v>
      </c>
      <c r="C701" t="s">
        <v>97</v>
      </c>
      <c r="D701">
        <v>2.9916999999999998</v>
      </c>
      <c r="E701">
        <v>15.95225176342919</v>
      </c>
      <c r="F701">
        <v>7.2</v>
      </c>
      <c r="G701" t="s">
        <v>107</v>
      </c>
      <c r="H701" t="s">
        <v>109</v>
      </c>
    </row>
    <row r="702" spans="1:8" hidden="1" x14ac:dyDescent="0.3">
      <c r="A702" t="s">
        <v>37</v>
      </c>
      <c r="B702" t="s">
        <v>51</v>
      </c>
      <c r="C702" t="s">
        <v>75</v>
      </c>
      <c r="D702">
        <v>7.117451</v>
      </c>
      <c r="E702">
        <v>0.151238492415432</v>
      </c>
      <c r="F702">
        <v>11.74</v>
      </c>
      <c r="G702" t="s">
        <v>104</v>
      </c>
      <c r="H702" t="s">
        <v>108</v>
      </c>
    </row>
    <row r="703" spans="1:8" hidden="1" x14ac:dyDescent="0.3">
      <c r="A703" t="s">
        <v>37</v>
      </c>
      <c r="B703" t="s">
        <v>60</v>
      </c>
      <c r="C703" t="s">
        <v>98</v>
      </c>
      <c r="D703">
        <v>6.6930499999999986</v>
      </c>
      <c r="E703">
        <v>13.856068743286791</v>
      </c>
      <c r="F703">
        <v>24.7</v>
      </c>
      <c r="G703" t="s">
        <v>107</v>
      </c>
      <c r="H703" t="s">
        <v>109</v>
      </c>
    </row>
    <row r="704" spans="1:8" hidden="1" x14ac:dyDescent="0.3">
      <c r="A704" t="s">
        <v>37</v>
      </c>
      <c r="B704" t="s">
        <v>52</v>
      </c>
      <c r="C704" t="s">
        <v>76</v>
      </c>
      <c r="D704">
        <v>1.6E-2</v>
      </c>
      <c r="E704">
        <v>7.5037500000000001</v>
      </c>
      <c r="F704">
        <v>12.68872359754714</v>
      </c>
      <c r="G704" t="s">
        <v>105</v>
      </c>
      <c r="H704" t="s">
        <v>108</v>
      </c>
    </row>
    <row r="705" spans="1:8" hidden="1" x14ac:dyDescent="0.3">
      <c r="A705" t="s">
        <v>37</v>
      </c>
      <c r="B705" t="s">
        <v>53</v>
      </c>
      <c r="C705" t="s">
        <v>77</v>
      </c>
      <c r="D705">
        <v>6.5</v>
      </c>
      <c r="E705">
        <v>3.5121692307692309</v>
      </c>
      <c r="F705">
        <v>3.86607608129234</v>
      </c>
      <c r="G705" t="s">
        <v>104</v>
      </c>
      <c r="H705" t="s">
        <v>108</v>
      </c>
    </row>
    <row r="706" spans="1:8" hidden="1" x14ac:dyDescent="0.3">
      <c r="A706" t="s">
        <v>37</v>
      </c>
      <c r="B706" t="s">
        <v>61</v>
      </c>
      <c r="C706" t="s">
        <v>99</v>
      </c>
      <c r="D706">
        <v>21.8</v>
      </c>
      <c r="E706">
        <v>1.6305504587155959</v>
      </c>
      <c r="F706">
        <v>2.9245635910224439</v>
      </c>
      <c r="G706" t="s">
        <v>104</v>
      </c>
      <c r="H706" t="s">
        <v>108</v>
      </c>
    </row>
    <row r="707" spans="1:8" hidden="1" x14ac:dyDescent="0.3">
      <c r="A707" t="s">
        <v>37</v>
      </c>
      <c r="B707" t="s">
        <v>62</v>
      </c>
      <c r="C707" t="s">
        <v>100</v>
      </c>
      <c r="D707">
        <v>7.4</v>
      </c>
      <c r="E707">
        <v>0.55270270270270261</v>
      </c>
      <c r="F707">
        <v>2.6764106050305911</v>
      </c>
      <c r="G707" t="s">
        <v>104</v>
      </c>
      <c r="H707" t="s">
        <v>108</v>
      </c>
    </row>
    <row r="708" spans="1:8" hidden="1" x14ac:dyDescent="0.3">
      <c r="A708" t="s">
        <v>37</v>
      </c>
      <c r="B708" t="s">
        <v>54</v>
      </c>
      <c r="C708" t="s">
        <v>78</v>
      </c>
      <c r="D708">
        <v>104.7</v>
      </c>
      <c r="E708">
        <v>3.4564517669531991</v>
      </c>
      <c r="F708">
        <v>3.86607608129234</v>
      </c>
      <c r="G708" t="s">
        <v>104</v>
      </c>
      <c r="H708" t="s">
        <v>108</v>
      </c>
    </row>
    <row r="709" spans="1:8" hidden="1" x14ac:dyDescent="0.3">
      <c r="A709" t="s">
        <v>38</v>
      </c>
      <c r="B709" t="s">
        <v>46</v>
      </c>
      <c r="C709" t="s">
        <v>64</v>
      </c>
      <c r="D709">
        <v>0.53669999999999995</v>
      </c>
      <c r="E709">
        <v>6.0279999999999996</v>
      </c>
      <c r="F709">
        <v>2.9521711768407801</v>
      </c>
      <c r="G709" t="s">
        <v>104</v>
      </c>
      <c r="H709" t="s">
        <v>108</v>
      </c>
    </row>
    <row r="710" spans="1:8" hidden="1" x14ac:dyDescent="0.3">
      <c r="A710" t="s">
        <v>38</v>
      </c>
      <c r="B710" t="s">
        <v>46</v>
      </c>
      <c r="C710" t="s">
        <v>79</v>
      </c>
      <c r="D710">
        <v>4.3</v>
      </c>
      <c r="E710">
        <v>3.7749999999999999</v>
      </c>
      <c r="F710">
        <v>6.8428961748633883</v>
      </c>
      <c r="G710" t="s">
        <v>104</v>
      </c>
      <c r="H710" t="s">
        <v>108</v>
      </c>
    </row>
    <row r="711" spans="1:8" hidden="1" x14ac:dyDescent="0.3">
      <c r="A711" t="s">
        <v>38</v>
      </c>
      <c r="B711" t="s">
        <v>46</v>
      </c>
      <c r="C711" t="s">
        <v>65</v>
      </c>
      <c r="D711">
        <v>1.4</v>
      </c>
      <c r="E711">
        <v>4.5049999999999999</v>
      </c>
      <c r="F711">
        <v>2.9521711768407801</v>
      </c>
      <c r="G711" t="s">
        <v>104</v>
      </c>
      <c r="H711" t="s">
        <v>108</v>
      </c>
    </row>
    <row r="712" spans="1:8" hidden="1" x14ac:dyDescent="0.3">
      <c r="A712" t="s">
        <v>38</v>
      </c>
      <c r="B712" t="s">
        <v>46</v>
      </c>
      <c r="C712" t="s">
        <v>66</v>
      </c>
      <c r="D712">
        <v>13</v>
      </c>
      <c r="E712">
        <v>3.899</v>
      </c>
      <c r="F712">
        <v>6.8428961748633883</v>
      </c>
      <c r="G712" t="s">
        <v>104</v>
      </c>
      <c r="H712" t="s">
        <v>108</v>
      </c>
    </row>
    <row r="713" spans="1:8" hidden="1" x14ac:dyDescent="0.3">
      <c r="A713" t="s">
        <v>38</v>
      </c>
      <c r="B713" t="s">
        <v>46</v>
      </c>
      <c r="C713" t="s">
        <v>82</v>
      </c>
      <c r="D713">
        <v>1.7</v>
      </c>
      <c r="E713">
        <v>2.363</v>
      </c>
      <c r="F713">
        <v>6.8428961748633883</v>
      </c>
      <c r="G713" t="s">
        <v>104</v>
      </c>
      <c r="H713" t="s">
        <v>108</v>
      </c>
    </row>
    <row r="714" spans="1:8" hidden="1" x14ac:dyDescent="0.3">
      <c r="A714" t="s">
        <v>38</v>
      </c>
      <c r="B714" t="s">
        <v>46</v>
      </c>
      <c r="C714" t="s">
        <v>84</v>
      </c>
      <c r="D714">
        <v>0.5</v>
      </c>
      <c r="E714">
        <v>0</v>
      </c>
      <c r="F714">
        <v>28.139870918023309</v>
      </c>
      <c r="G714" t="s">
        <v>105</v>
      </c>
      <c r="H714" t="s">
        <v>108</v>
      </c>
    </row>
    <row r="715" spans="1:8" hidden="1" x14ac:dyDescent="0.3">
      <c r="A715" t="s">
        <v>38</v>
      </c>
      <c r="B715" t="s">
        <v>46</v>
      </c>
      <c r="C715" t="s">
        <v>85</v>
      </c>
      <c r="D715">
        <v>0.5</v>
      </c>
      <c r="E715">
        <v>4.117</v>
      </c>
      <c r="F715">
        <v>2.9521711768407801</v>
      </c>
      <c r="G715" t="s">
        <v>104</v>
      </c>
      <c r="H715" t="s">
        <v>108</v>
      </c>
    </row>
    <row r="716" spans="1:8" hidden="1" x14ac:dyDescent="0.3">
      <c r="A716" t="s">
        <v>38</v>
      </c>
      <c r="B716" t="s">
        <v>47</v>
      </c>
      <c r="C716" t="s">
        <v>68</v>
      </c>
      <c r="D716">
        <v>20.399999999999999</v>
      </c>
      <c r="E716">
        <v>3.5910000000000002</v>
      </c>
      <c r="F716">
        <v>14.5</v>
      </c>
      <c r="G716" t="s">
        <v>104</v>
      </c>
      <c r="H716" t="s">
        <v>109</v>
      </c>
    </row>
    <row r="717" spans="1:8" hidden="1" x14ac:dyDescent="0.3">
      <c r="A717" t="s">
        <v>38</v>
      </c>
      <c r="B717" t="s">
        <v>47</v>
      </c>
      <c r="C717" t="s">
        <v>69</v>
      </c>
      <c r="D717">
        <v>14.3</v>
      </c>
      <c r="E717">
        <v>3.5659999999999998</v>
      </c>
      <c r="F717">
        <v>14.5</v>
      </c>
      <c r="G717" t="s">
        <v>104</v>
      </c>
      <c r="H717" t="s">
        <v>109</v>
      </c>
    </row>
    <row r="718" spans="1:8" hidden="1" x14ac:dyDescent="0.3">
      <c r="A718" t="s">
        <v>38</v>
      </c>
      <c r="B718" t="s">
        <v>48</v>
      </c>
      <c r="C718" t="s">
        <v>70</v>
      </c>
      <c r="D718">
        <v>7.5</v>
      </c>
      <c r="E718">
        <v>9.0820000000000007</v>
      </c>
      <c r="F718">
        <v>0</v>
      </c>
      <c r="G718" t="s">
        <v>104</v>
      </c>
      <c r="H718" t="s">
        <v>109</v>
      </c>
    </row>
    <row r="719" spans="1:8" hidden="1" x14ac:dyDescent="0.3">
      <c r="A719" t="s">
        <v>38</v>
      </c>
      <c r="B719" t="s">
        <v>49</v>
      </c>
      <c r="C719" t="s">
        <v>72</v>
      </c>
      <c r="D719">
        <v>8.1999999999999993</v>
      </c>
      <c r="E719">
        <v>0</v>
      </c>
      <c r="F719">
        <v>3.86607608129234</v>
      </c>
      <c r="G719" t="s">
        <v>104</v>
      </c>
      <c r="H719" t="s">
        <v>108</v>
      </c>
    </row>
    <row r="720" spans="1:8" hidden="1" x14ac:dyDescent="0.3">
      <c r="A720" t="s">
        <v>38</v>
      </c>
      <c r="B720" t="s">
        <v>50</v>
      </c>
      <c r="C720" t="s">
        <v>73</v>
      </c>
      <c r="D720">
        <v>4.5999999999999996</v>
      </c>
      <c r="E720">
        <v>5.4240000000000004</v>
      </c>
      <c r="F720">
        <v>20.723404255319149</v>
      </c>
      <c r="G720" t="s">
        <v>105</v>
      </c>
      <c r="H720" t="s">
        <v>108</v>
      </c>
    </row>
    <row r="721" spans="1:8" hidden="1" x14ac:dyDescent="0.3">
      <c r="A721" t="s">
        <v>38</v>
      </c>
      <c r="B721" t="s">
        <v>50</v>
      </c>
      <c r="C721" t="s">
        <v>74</v>
      </c>
      <c r="D721">
        <v>5.9</v>
      </c>
      <c r="E721">
        <v>3.484</v>
      </c>
      <c r="F721">
        <v>2.0635593220338988</v>
      </c>
      <c r="G721" t="s">
        <v>105</v>
      </c>
      <c r="H721" t="s">
        <v>108</v>
      </c>
    </row>
    <row r="722" spans="1:8" hidden="1" x14ac:dyDescent="0.3">
      <c r="A722" t="s">
        <v>38</v>
      </c>
      <c r="B722" t="s">
        <v>51</v>
      </c>
      <c r="C722" t="s">
        <v>75</v>
      </c>
      <c r="D722">
        <v>6.2010699999999996</v>
      </c>
      <c r="E722">
        <v>0.151238492415432</v>
      </c>
      <c r="F722">
        <v>11.74</v>
      </c>
      <c r="G722" t="s">
        <v>104</v>
      </c>
      <c r="H722" t="s">
        <v>108</v>
      </c>
    </row>
    <row r="723" spans="1:8" hidden="1" x14ac:dyDescent="0.3">
      <c r="A723" t="s">
        <v>38</v>
      </c>
      <c r="B723" t="s">
        <v>52</v>
      </c>
      <c r="C723" t="s">
        <v>76</v>
      </c>
      <c r="D723">
        <v>2E-3</v>
      </c>
      <c r="E723">
        <v>7.5037500000000001</v>
      </c>
      <c r="F723">
        <v>12.68872359754714</v>
      </c>
      <c r="G723" t="s">
        <v>105</v>
      </c>
      <c r="H723" t="s">
        <v>108</v>
      </c>
    </row>
    <row r="724" spans="1:8" hidden="1" x14ac:dyDescent="0.3">
      <c r="A724" t="s">
        <v>38</v>
      </c>
      <c r="B724" t="s">
        <v>53</v>
      </c>
      <c r="C724" t="s">
        <v>77</v>
      </c>
      <c r="D724">
        <v>22.7</v>
      </c>
      <c r="E724">
        <v>0</v>
      </c>
      <c r="F724">
        <v>3.86607608129234</v>
      </c>
      <c r="G724" t="s">
        <v>104</v>
      </c>
      <c r="H724" t="s">
        <v>108</v>
      </c>
    </row>
    <row r="725" spans="1:8" hidden="1" x14ac:dyDescent="0.3">
      <c r="A725" t="s">
        <v>39</v>
      </c>
      <c r="B725" t="s">
        <v>46</v>
      </c>
      <c r="C725" t="s">
        <v>64</v>
      </c>
      <c r="D725">
        <v>1.056E-2</v>
      </c>
      <c r="E725">
        <v>6.7521316287878772</v>
      </c>
      <c r="F725">
        <v>2.9521711768407801</v>
      </c>
      <c r="G725" t="s">
        <v>104</v>
      </c>
      <c r="H725" t="s">
        <v>108</v>
      </c>
    </row>
    <row r="726" spans="1:8" hidden="1" x14ac:dyDescent="0.3">
      <c r="A726" t="s">
        <v>39</v>
      </c>
      <c r="B726" t="s">
        <v>46</v>
      </c>
      <c r="C726" t="s">
        <v>79</v>
      </c>
      <c r="D726">
        <v>15.3</v>
      </c>
      <c r="E726">
        <v>5.0416470588235276</v>
      </c>
      <c r="F726">
        <v>6.8428961748633883</v>
      </c>
      <c r="G726" t="s">
        <v>104</v>
      </c>
      <c r="H726" t="s">
        <v>108</v>
      </c>
    </row>
    <row r="727" spans="1:8" hidden="1" x14ac:dyDescent="0.3">
      <c r="A727" t="s">
        <v>39</v>
      </c>
      <c r="B727" t="s">
        <v>46</v>
      </c>
      <c r="C727" t="s">
        <v>80</v>
      </c>
      <c r="D727">
        <v>1.1940900000000001</v>
      </c>
      <c r="E727">
        <v>0.56844234659474036</v>
      </c>
      <c r="F727">
        <v>28.139870918023309</v>
      </c>
      <c r="G727" t="s">
        <v>105</v>
      </c>
      <c r="H727" t="s">
        <v>108</v>
      </c>
    </row>
    <row r="728" spans="1:8" hidden="1" x14ac:dyDescent="0.3">
      <c r="A728" t="s">
        <v>39</v>
      </c>
      <c r="B728" t="s">
        <v>46</v>
      </c>
      <c r="C728" t="s">
        <v>81</v>
      </c>
      <c r="D728">
        <v>4.4679999999999997E-2</v>
      </c>
      <c r="E728">
        <v>3.150998824911869</v>
      </c>
      <c r="F728">
        <v>8.9647473560517046</v>
      </c>
      <c r="G728" t="s">
        <v>105</v>
      </c>
      <c r="H728" t="s">
        <v>108</v>
      </c>
    </row>
    <row r="729" spans="1:8" hidden="1" x14ac:dyDescent="0.3">
      <c r="A729" t="s">
        <v>39</v>
      </c>
      <c r="B729" t="s">
        <v>46</v>
      </c>
      <c r="C729" t="s">
        <v>82</v>
      </c>
      <c r="D729">
        <v>0.4</v>
      </c>
      <c r="E729">
        <v>3.1934999999999998</v>
      </c>
      <c r="F729">
        <v>6.8428961748633883</v>
      </c>
      <c r="G729" t="s">
        <v>104</v>
      </c>
      <c r="H729" t="s">
        <v>108</v>
      </c>
    </row>
    <row r="730" spans="1:8" hidden="1" x14ac:dyDescent="0.3">
      <c r="A730" t="s">
        <v>39</v>
      </c>
      <c r="B730" t="s">
        <v>46</v>
      </c>
      <c r="C730" t="s">
        <v>84</v>
      </c>
      <c r="D730">
        <v>0.3</v>
      </c>
      <c r="E730">
        <v>3.0489999999999999</v>
      </c>
      <c r="F730">
        <v>28.139870918023309</v>
      </c>
      <c r="G730" t="s">
        <v>105</v>
      </c>
      <c r="H730" t="s">
        <v>108</v>
      </c>
    </row>
    <row r="731" spans="1:8" hidden="1" x14ac:dyDescent="0.3">
      <c r="A731" t="s">
        <v>39</v>
      </c>
      <c r="B731" t="s">
        <v>55</v>
      </c>
      <c r="C731" t="s">
        <v>86</v>
      </c>
      <c r="D731">
        <v>0.40739999999999998</v>
      </c>
      <c r="E731">
        <v>11.157999999999999</v>
      </c>
      <c r="F731">
        <v>14.2</v>
      </c>
      <c r="G731" t="s">
        <v>106</v>
      </c>
      <c r="H731" t="s">
        <v>109</v>
      </c>
    </row>
    <row r="732" spans="1:8" hidden="1" x14ac:dyDescent="0.3">
      <c r="A732" t="s">
        <v>39</v>
      </c>
      <c r="B732" t="s">
        <v>55</v>
      </c>
      <c r="C732" t="s">
        <v>89</v>
      </c>
      <c r="D732">
        <v>7.5800000000000006E-2</v>
      </c>
      <c r="E732">
        <v>0</v>
      </c>
      <c r="F732">
        <v>14.2</v>
      </c>
      <c r="G732" t="s">
        <v>106</v>
      </c>
      <c r="H732" t="s">
        <v>109</v>
      </c>
    </row>
    <row r="733" spans="1:8" hidden="1" x14ac:dyDescent="0.3">
      <c r="A733" t="s">
        <v>39</v>
      </c>
      <c r="B733" t="s">
        <v>55</v>
      </c>
      <c r="C733" t="s">
        <v>91</v>
      </c>
      <c r="D733">
        <v>3.61E-2</v>
      </c>
      <c r="E733">
        <v>10.734999999999999</v>
      </c>
      <c r="F733">
        <v>14.2</v>
      </c>
      <c r="G733" t="s">
        <v>106</v>
      </c>
      <c r="H733" t="s">
        <v>109</v>
      </c>
    </row>
    <row r="734" spans="1:8" hidden="1" x14ac:dyDescent="0.3">
      <c r="A734" t="s">
        <v>39</v>
      </c>
      <c r="B734" t="s">
        <v>55</v>
      </c>
      <c r="C734" t="s">
        <v>92</v>
      </c>
      <c r="D734">
        <v>0.30456</v>
      </c>
      <c r="E734">
        <v>12.048999999999999</v>
      </c>
      <c r="F734">
        <v>14.2</v>
      </c>
      <c r="G734" t="s">
        <v>106</v>
      </c>
      <c r="H734" t="s">
        <v>109</v>
      </c>
    </row>
    <row r="735" spans="1:8" hidden="1" x14ac:dyDescent="0.3">
      <c r="A735" t="s">
        <v>39</v>
      </c>
      <c r="B735" t="s">
        <v>56</v>
      </c>
      <c r="C735" t="s">
        <v>93</v>
      </c>
      <c r="D735">
        <v>4.5473999999999997</v>
      </c>
      <c r="E735">
        <v>2.939759036144578</v>
      </c>
      <c r="F735">
        <v>0.1</v>
      </c>
      <c r="G735" t="s">
        <v>106</v>
      </c>
      <c r="H735" t="s">
        <v>109</v>
      </c>
    </row>
    <row r="736" spans="1:8" hidden="1" x14ac:dyDescent="0.3">
      <c r="A736" t="s">
        <v>39</v>
      </c>
      <c r="B736" t="s">
        <v>47</v>
      </c>
      <c r="C736" t="s">
        <v>101</v>
      </c>
      <c r="D736">
        <v>10.3</v>
      </c>
      <c r="E736">
        <v>7.9875145631067959</v>
      </c>
      <c r="F736">
        <v>29.8</v>
      </c>
      <c r="G736" t="s">
        <v>104</v>
      </c>
      <c r="H736" t="s">
        <v>109</v>
      </c>
    </row>
    <row r="737" spans="1:8" hidden="1" x14ac:dyDescent="0.3">
      <c r="A737" t="s">
        <v>39</v>
      </c>
      <c r="B737" t="s">
        <v>57</v>
      </c>
      <c r="C737" t="s">
        <v>94</v>
      </c>
      <c r="D737">
        <v>4.0999999999999996</v>
      </c>
      <c r="E737">
        <v>13.7179512195122</v>
      </c>
      <c r="F737">
        <v>15.5</v>
      </c>
      <c r="G737" t="s">
        <v>104</v>
      </c>
      <c r="H737" t="s">
        <v>109</v>
      </c>
    </row>
    <row r="738" spans="1:8" hidden="1" x14ac:dyDescent="0.3">
      <c r="A738" t="s">
        <v>39</v>
      </c>
      <c r="B738" t="s">
        <v>49</v>
      </c>
      <c r="C738" t="s">
        <v>71</v>
      </c>
      <c r="D738">
        <v>236.17028999999999</v>
      </c>
      <c r="E738">
        <v>6.914654922386724</v>
      </c>
      <c r="F738">
        <v>3.86607608129234</v>
      </c>
      <c r="G738" t="s">
        <v>104</v>
      </c>
      <c r="H738" t="s">
        <v>108</v>
      </c>
    </row>
    <row r="739" spans="1:8" hidden="1" x14ac:dyDescent="0.3">
      <c r="A739" t="s">
        <v>39</v>
      </c>
      <c r="B739" t="s">
        <v>49</v>
      </c>
      <c r="C739" t="s">
        <v>72</v>
      </c>
      <c r="D739">
        <v>12.2</v>
      </c>
      <c r="E739">
        <v>5.5297377049180332</v>
      </c>
      <c r="F739">
        <v>3.86607608129234</v>
      </c>
      <c r="G739" t="s">
        <v>104</v>
      </c>
      <c r="H739" t="s">
        <v>108</v>
      </c>
    </row>
    <row r="740" spans="1:8" hidden="1" x14ac:dyDescent="0.3">
      <c r="A740" t="s">
        <v>39</v>
      </c>
      <c r="B740" t="s">
        <v>58</v>
      </c>
      <c r="C740" t="s">
        <v>95</v>
      </c>
      <c r="D740">
        <v>27.53877</v>
      </c>
      <c r="E740">
        <v>2.98</v>
      </c>
      <c r="F740">
        <v>2.9521711768407801</v>
      </c>
      <c r="G740" t="s">
        <v>104</v>
      </c>
      <c r="H740" t="s">
        <v>108</v>
      </c>
    </row>
    <row r="741" spans="1:8" hidden="1" x14ac:dyDescent="0.3">
      <c r="A741" t="s">
        <v>39</v>
      </c>
      <c r="B741" t="s">
        <v>50</v>
      </c>
      <c r="C741" t="s">
        <v>73</v>
      </c>
      <c r="D741">
        <v>3.2</v>
      </c>
      <c r="E741">
        <v>5.7798749999999997</v>
      </c>
      <c r="F741">
        <v>20.723404255319149</v>
      </c>
      <c r="G741" t="s">
        <v>105</v>
      </c>
      <c r="H741" t="s">
        <v>108</v>
      </c>
    </row>
    <row r="742" spans="1:8" hidden="1" x14ac:dyDescent="0.3">
      <c r="A742" t="s">
        <v>39</v>
      </c>
      <c r="B742" t="s">
        <v>50</v>
      </c>
      <c r="C742" t="s">
        <v>74</v>
      </c>
      <c r="D742">
        <v>14.1</v>
      </c>
      <c r="E742">
        <v>6.685375886524823</v>
      </c>
      <c r="F742">
        <v>2.0635593220338988</v>
      </c>
      <c r="G742" t="s">
        <v>105</v>
      </c>
      <c r="H742" t="s">
        <v>108</v>
      </c>
    </row>
    <row r="743" spans="1:8" hidden="1" x14ac:dyDescent="0.3">
      <c r="A743" t="s">
        <v>39</v>
      </c>
      <c r="B743" t="s">
        <v>51</v>
      </c>
      <c r="C743" t="s">
        <v>75</v>
      </c>
      <c r="D743">
        <v>23.422540000000001</v>
      </c>
      <c r="E743">
        <v>3.2618978888454002E-3</v>
      </c>
      <c r="F743">
        <v>11.74</v>
      </c>
      <c r="G743" t="s">
        <v>104</v>
      </c>
      <c r="H743" t="s">
        <v>108</v>
      </c>
    </row>
    <row r="744" spans="1:8" hidden="1" x14ac:dyDescent="0.3">
      <c r="A744" t="s">
        <v>39</v>
      </c>
      <c r="B744" t="s">
        <v>60</v>
      </c>
      <c r="C744" t="s">
        <v>98</v>
      </c>
      <c r="D744">
        <v>0.90495000000000003</v>
      </c>
      <c r="E744">
        <v>16.004296455424271</v>
      </c>
      <c r="F744">
        <v>22.8</v>
      </c>
      <c r="G744" t="s">
        <v>107</v>
      </c>
      <c r="H744" t="s">
        <v>109</v>
      </c>
    </row>
    <row r="745" spans="1:8" hidden="1" x14ac:dyDescent="0.3">
      <c r="A745" t="s">
        <v>39</v>
      </c>
      <c r="B745" t="s">
        <v>52</v>
      </c>
      <c r="C745" t="s">
        <v>76</v>
      </c>
      <c r="D745">
        <v>1.155</v>
      </c>
      <c r="E745">
        <v>7.5037500000000001</v>
      </c>
      <c r="F745">
        <v>12.68872359754714</v>
      </c>
      <c r="G745" t="s">
        <v>105</v>
      </c>
      <c r="H745" t="s">
        <v>108</v>
      </c>
    </row>
    <row r="746" spans="1:8" hidden="1" x14ac:dyDescent="0.3">
      <c r="A746" t="s">
        <v>39</v>
      </c>
      <c r="B746" t="s">
        <v>53</v>
      </c>
      <c r="C746" t="s">
        <v>77</v>
      </c>
      <c r="D746">
        <v>14.1</v>
      </c>
      <c r="E746">
        <v>5.5295957446808499</v>
      </c>
      <c r="F746">
        <v>3.86607608129234</v>
      </c>
      <c r="G746" t="s">
        <v>104</v>
      </c>
      <c r="H746" t="s">
        <v>108</v>
      </c>
    </row>
    <row r="747" spans="1:8" hidden="1" x14ac:dyDescent="0.3">
      <c r="A747" t="s">
        <v>39</v>
      </c>
      <c r="B747" t="s">
        <v>61</v>
      </c>
      <c r="C747" t="s">
        <v>99</v>
      </c>
      <c r="D747">
        <v>88.7</v>
      </c>
      <c r="E747">
        <v>1.903011273957159</v>
      </c>
      <c r="F747">
        <v>2.9245635910224439</v>
      </c>
      <c r="G747" t="s">
        <v>104</v>
      </c>
      <c r="H747" t="s">
        <v>108</v>
      </c>
    </row>
    <row r="748" spans="1:8" hidden="1" x14ac:dyDescent="0.3">
      <c r="A748" t="s">
        <v>39</v>
      </c>
      <c r="B748" t="s">
        <v>62</v>
      </c>
      <c r="C748" t="s">
        <v>100</v>
      </c>
      <c r="D748">
        <v>40.700000000000003</v>
      </c>
      <c r="E748">
        <v>0.58992628992628993</v>
      </c>
      <c r="F748">
        <v>2.6764106050305911</v>
      </c>
      <c r="G748" t="s">
        <v>104</v>
      </c>
      <c r="H748" t="s">
        <v>108</v>
      </c>
    </row>
    <row r="749" spans="1:8" hidden="1" x14ac:dyDescent="0.3">
      <c r="A749" t="s">
        <v>39</v>
      </c>
      <c r="B749" t="s">
        <v>54</v>
      </c>
      <c r="C749" t="s">
        <v>78</v>
      </c>
      <c r="D749">
        <v>273</v>
      </c>
      <c r="E749">
        <v>11.596983150183149</v>
      </c>
      <c r="F749">
        <v>3.86607608129234</v>
      </c>
      <c r="G749" t="s">
        <v>104</v>
      </c>
      <c r="H749" t="s">
        <v>108</v>
      </c>
    </row>
    <row r="750" spans="1:8" hidden="1" x14ac:dyDescent="0.3">
      <c r="A750" t="s">
        <v>40</v>
      </c>
      <c r="B750" t="s">
        <v>46</v>
      </c>
      <c r="C750" t="s">
        <v>63</v>
      </c>
      <c r="D750">
        <v>3.0000000000000001E-3</v>
      </c>
      <c r="E750">
        <v>2.9286474973375931</v>
      </c>
      <c r="F750">
        <v>3.950479233226837</v>
      </c>
      <c r="G750" t="s">
        <v>104</v>
      </c>
      <c r="H750" t="s">
        <v>108</v>
      </c>
    </row>
    <row r="751" spans="1:8" hidden="1" x14ac:dyDescent="0.3">
      <c r="A751" t="s">
        <v>40</v>
      </c>
      <c r="B751" t="s">
        <v>46</v>
      </c>
      <c r="C751" t="s">
        <v>64</v>
      </c>
      <c r="D751">
        <v>3.2840000000000001E-2</v>
      </c>
      <c r="E751">
        <v>5.7219305724725942</v>
      </c>
      <c r="F751">
        <v>2.9521711768407801</v>
      </c>
      <c r="G751" t="s">
        <v>104</v>
      </c>
      <c r="H751" t="s">
        <v>108</v>
      </c>
    </row>
    <row r="752" spans="1:8" hidden="1" x14ac:dyDescent="0.3">
      <c r="A752" t="s">
        <v>40</v>
      </c>
      <c r="B752" t="s">
        <v>46</v>
      </c>
      <c r="C752" t="s">
        <v>80</v>
      </c>
      <c r="D752">
        <v>0.12192</v>
      </c>
      <c r="E752">
        <v>2.7417397167902902</v>
      </c>
      <c r="F752">
        <v>28.139870918023309</v>
      </c>
      <c r="G752" t="s">
        <v>105</v>
      </c>
      <c r="H752" t="s">
        <v>108</v>
      </c>
    </row>
    <row r="753" spans="1:8" hidden="1" x14ac:dyDescent="0.3">
      <c r="A753" t="s">
        <v>40</v>
      </c>
      <c r="B753" t="s">
        <v>46</v>
      </c>
      <c r="C753" t="s">
        <v>81</v>
      </c>
      <c r="D753">
        <v>3.4770000000000002E-2</v>
      </c>
      <c r="E753">
        <v>2.5616921269095179</v>
      </c>
      <c r="F753">
        <v>8.9647473560517046</v>
      </c>
      <c r="G753" t="s">
        <v>105</v>
      </c>
      <c r="H753" t="s">
        <v>108</v>
      </c>
    </row>
    <row r="754" spans="1:8" hidden="1" x14ac:dyDescent="0.3">
      <c r="A754" t="s">
        <v>40</v>
      </c>
      <c r="B754" t="s">
        <v>46</v>
      </c>
      <c r="C754" t="s">
        <v>66</v>
      </c>
      <c r="D754">
        <v>0.60000000000000009</v>
      </c>
      <c r="E754">
        <v>3.2456666666666671</v>
      </c>
      <c r="F754">
        <v>6.8428961748633883</v>
      </c>
      <c r="G754" t="s">
        <v>104</v>
      </c>
      <c r="H754" t="s">
        <v>108</v>
      </c>
    </row>
    <row r="755" spans="1:8" hidden="1" x14ac:dyDescent="0.3">
      <c r="A755" t="s">
        <v>40</v>
      </c>
      <c r="B755" t="s">
        <v>46</v>
      </c>
      <c r="C755" t="s">
        <v>85</v>
      </c>
      <c r="D755">
        <v>0.1</v>
      </c>
      <c r="E755">
        <v>4.0039999999999996</v>
      </c>
      <c r="F755">
        <v>2.9521711768407801</v>
      </c>
      <c r="G755" t="s">
        <v>104</v>
      </c>
      <c r="H755" t="s">
        <v>108</v>
      </c>
    </row>
    <row r="756" spans="1:8" hidden="1" x14ac:dyDescent="0.3">
      <c r="A756" t="s">
        <v>40</v>
      </c>
      <c r="B756" t="s">
        <v>55</v>
      </c>
      <c r="C756" t="s">
        <v>86</v>
      </c>
      <c r="D756">
        <v>2.3099999999999999E-2</v>
      </c>
      <c r="E756">
        <v>9.6440000000000001</v>
      </c>
      <c r="F756">
        <v>20.2</v>
      </c>
      <c r="G756" t="s">
        <v>106</v>
      </c>
      <c r="H756" t="s">
        <v>109</v>
      </c>
    </row>
    <row r="757" spans="1:8" hidden="1" x14ac:dyDescent="0.3">
      <c r="A757" t="s">
        <v>40</v>
      </c>
      <c r="B757" t="s">
        <v>55</v>
      </c>
      <c r="C757" t="s">
        <v>88</v>
      </c>
      <c r="D757">
        <v>2.12E-2</v>
      </c>
      <c r="E757">
        <v>10.012</v>
      </c>
      <c r="F757">
        <v>20.2</v>
      </c>
      <c r="G757" t="s">
        <v>106</v>
      </c>
      <c r="H757" t="s">
        <v>109</v>
      </c>
    </row>
    <row r="758" spans="1:8" hidden="1" x14ac:dyDescent="0.3">
      <c r="A758" t="s">
        <v>40</v>
      </c>
      <c r="B758" t="s">
        <v>47</v>
      </c>
      <c r="C758" t="s">
        <v>68</v>
      </c>
      <c r="D758">
        <v>0.7</v>
      </c>
      <c r="E758">
        <v>3.468285714285714</v>
      </c>
      <c r="F758">
        <v>17.3</v>
      </c>
      <c r="G758" t="s">
        <v>104</v>
      </c>
      <c r="H758" t="s">
        <v>109</v>
      </c>
    </row>
    <row r="759" spans="1:8" hidden="1" x14ac:dyDescent="0.3">
      <c r="A759" t="s">
        <v>40</v>
      </c>
      <c r="B759" t="s">
        <v>47</v>
      </c>
      <c r="C759" t="s">
        <v>69</v>
      </c>
      <c r="D759">
        <v>0.3</v>
      </c>
      <c r="E759">
        <v>3.6136666666666661</v>
      </c>
      <c r="F759">
        <v>17.3</v>
      </c>
      <c r="G759" t="s">
        <v>104</v>
      </c>
      <c r="H759" t="s">
        <v>109</v>
      </c>
    </row>
    <row r="760" spans="1:8" hidden="1" x14ac:dyDescent="0.3">
      <c r="A760" t="s">
        <v>40</v>
      </c>
      <c r="B760" t="s">
        <v>49</v>
      </c>
      <c r="C760" t="s">
        <v>71</v>
      </c>
      <c r="D760">
        <v>42.463729999999998</v>
      </c>
      <c r="E760">
        <v>2.8962449297317971</v>
      </c>
      <c r="F760">
        <v>3.86607608129234</v>
      </c>
      <c r="G760" t="s">
        <v>104</v>
      </c>
      <c r="H760" t="s">
        <v>108</v>
      </c>
    </row>
    <row r="761" spans="1:8" hidden="1" x14ac:dyDescent="0.3">
      <c r="A761" t="s">
        <v>40</v>
      </c>
      <c r="B761" t="s">
        <v>49</v>
      </c>
      <c r="C761" t="s">
        <v>72</v>
      </c>
      <c r="D761">
        <v>3.5</v>
      </c>
      <c r="E761">
        <v>3.895457142857143</v>
      </c>
      <c r="F761">
        <v>3.86607608129234</v>
      </c>
      <c r="G761" t="s">
        <v>104</v>
      </c>
      <c r="H761" t="s">
        <v>108</v>
      </c>
    </row>
    <row r="762" spans="1:8" hidden="1" x14ac:dyDescent="0.3">
      <c r="A762" t="s">
        <v>40</v>
      </c>
      <c r="B762" t="s">
        <v>58</v>
      </c>
      <c r="C762" t="s">
        <v>95</v>
      </c>
      <c r="D762">
        <v>0.68327000000000004</v>
      </c>
      <c r="E762">
        <v>2.98</v>
      </c>
      <c r="F762">
        <v>2.9521711768407801</v>
      </c>
      <c r="G762" t="s">
        <v>104</v>
      </c>
      <c r="H762" t="s">
        <v>108</v>
      </c>
    </row>
    <row r="763" spans="1:8" hidden="1" x14ac:dyDescent="0.3">
      <c r="A763" t="s">
        <v>40</v>
      </c>
      <c r="B763" t="s">
        <v>50</v>
      </c>
      <c r="C763" t="s">
        <v>73</v>
      </c>
      <c r="D763">
        <v>0.3</v>
      </c>
      <c r="E763">
        <v>5.1550000000000002</v>
      </c>
      <c r="F763">
        <v>20.723404255319149</v>
      </c>
      <c r="G763" t="s">
        <v>105</v>
      </c>
      <c r="H763" t="s">
        <v>108</v>
      </c>
    </row>
    <row r="764" spans="1:8" hidden="1" x14ac:dyDescent="0.3">
      <c r="A764" t="s">
        <v>40</v>
      </c>
      <c r="B764" t="s">
        <v>50</v>
      </c>
      <c r="C764" t="s">
        <v>74</v>
      </c>
      <c r="D764">
        <v>1.1000000000000001</v>
      </c>
      <c r="E764">
        <v>3.867909090909091</v>
      </c>
      <c r="F764">
        <v>2.0635593220338988</v>
      </c>
      <c r="G764" t="s">
        <v>105</v>
      </c>
      <c r="H764" t="s">
        <v>108</v>
      </c>
    </row>
    <row r="765" spans="1:8" hidden="1" x14ac:dyDescent="0.3">
      <c r="A765" t="s">
        <v>40</v>
      </c>
      <c r="B765" t="s">
        <v>51</v>
      </c>
      <c r="C765" t="s">
        <v>75</v>
      </c>
      <c r="D765">
        <v>0.81435000000000002</v>
      </c>
      <c r="E765">
        <v>0.157440258149009</v>
      </c>
      <c r="F765">
        <v>11.74</v>
      </c>
      <c r="G765" t="s">
        <v>104</v>
      </c>
      <c r="H765" t="s">
        <v>108</v>
      </c>
    </row>
    <row r="766" spans="1:8" hidden="1" x14ac:dyDescent="0.3">
      <c r="A766" t="s">
        <v>40</v>
      </c>
      <c r="B766" t="s">
        <v>60</v>
      </c>
      <c r="C766" t="s">
        <v>98</v>
      </c>
      <c r="D766">
        <v>4.795E-2</v>
      </c>
      <c r="E766">
        <v>28.73254564983888</v>
      </c>
      <c r="F766">
        <v>37.6</v>
      </c>
      <c r="G766" t="s">
        <v>107</v>
      </c>
      <c r="H766" t="s">
        <v>109</v>
      </c>
    </row>
    <row r="767" spans="1:8" hidden="1" x14ac:dyDescent="0.3">
      <c r="A767" t="s">
        <v>40</v>
      </c>
      <c r="B767" t="s">
        <v>52</v>
      </c>
      <c r="C767" t="s">
        <v>76</v>
      </c>
      <c r="D767">
        <v>4.8000000000000001E-2</v>
      </c>
      <c r="E767">
        <v>7.5037500000000001</v>
      </c>
      <c r="F767">
        <v>12.68872359754714</v>
      </c>
      <c r="G767" t="s">
        <v>105</v>
      </c>
      <c r="H767" t="s">
        <v>108</v>
      </c>
    </row>
    <row r="768" spans="1:8" hidden="1" x14ac:dyDescent="0.3">
      <c r="A768" t="s">
        <v>40</v>
      </c>
      <c r="B768" t="s">
        <v>53</v>
      </c>
      <c r="C768" t="s">
        <v>77</v>
      </c>
      <c r="D768">
        <v>2.7</v>
      </c>
      <c r="E768">
        <v>3.8954444444444438</v>
      </c>
      <c r="F768">
        <v>3.86607608129234</v>
      </c>
      <c r="G768" t="s">
        <v>104</v>
      </c>
      <c r="H768" t="s">
        <v>108</v>
      </c>
    </row>
    <row r="769" spans="1:8" hidden="1" x14ac:dyDescent="0.3">
      <c r="A769" t="s">
        <v>40</v>
      </c>
      <c r="B769" t="s">
        <v>61</v>
      </c>
      <c r="C769" t="s">
        <v>99</v>
      </c>
      <c r="D769">
        <v>2.4</v>
      </c>
      <c r="E769">
        <v>1.7898750000000001</v>
      </c>
      <c r="F769">
        <v>2.9245635910224439</v>
      </c>
      <c r="G769" t="s">
        <v>104</v>
      </c>
      <c r="H769" t="s">
        <v>108</v>
      </c>
    </row>
    <row r="770" spans="1:8" hidden="1" x14ac:dyDescent="0.3">
      <c r="A770" t="s">
        <v>40</v>
      </c>
      <c r="B770" t="s">
        <v>62</v>
      </c>
      <c r="C770" t="s">
        <v>100</v>
      </c>
      <c r="D770">
        <v>0.5</v>
      </c>
      <c r="E770">
        <v>0.94</v>
      </c>
      <c r="F770">
        <v>2.6764106050305911</v>
      </c>
      <c r="G770" t="s">
        <v>104</v>
      </c>
      <c r="H770" t="s">
        <v>108</v>
      </c>
    </row>
    <row r="771" spans="1:8" hidden="1" x14ac:dyDescent="0.3">
      <c r="A771" t="s">
        <v>40</v>
      </c>
      <c r="B771" t="s">
        <v>54</v>
      </c>
      <c r="C771" t="s">
        <v>78</v>
      </c>
      <c r="D771">
        <v>31.2</v>
      </c>
      <c r="E771">
        <v>3.8604807692307692</v>
      </c>
      <c r="F771">
        <v>3.86607608129234</v>
      </c>
      <c r="G771" t="s">
        <v>104</v>
      </c>
      <c r="H771" t="s">
        <v>108</v>
      </c>
    </row>
    <row r="772" spans="1:8" hidden="1" x14ac:dyDescent="0.3">
      <c r="A772" t="s">
        <v>41</v>
      </c>
      <c r="B772" t="s">
        <v>46</v>
      </c>
      <c r="C772" t="s">
        <v>64</v>
      </c>
      <c r="D772">
        <v>3.15E-2</v>
      </c>
      <c r="E772">
        <v>5.296939365079365</v>
      </c>
      <c r="F772">
        <v>2.9521711768407801</v>
      </c>
      <c r="G772" t="s">
        <v>104</v>
      </c>
      <c r="H772" t="s">
        <v>108</v>
      </c>
    </row>
    <row r="773" spans="1:8" hidden="1" x14ac:dyDescent="0.3">
      <c r="A773" t="s">
        <v>41</v>
      </c>
      <c r="B773" t="s">
        <v>46</v>
      </c>
      <c r="C773" t="s">
        <v>79</v>
      </c>
      <c r="D773">
        <v>10.1</v>
      </c>
      <c r="E773">
        <v>5.15140594059406</v>
      </c>
      <c r="F773">
        <v>6.8428961748633883</v>
      </c>
      <c r="G773" t="s">
        <v>104</v>
      </c>
      <c r="H773" t="s">
        <v>108</v>
      </c>
    </row>
    <row r="774" spans="1:8" hidden="1" x14ac:dyDescent="0.3">
      <c r="A774" t="s">
        <v>41</v>
      </c>
      <c r="B774" t="s">
        <v>46</v>
      </c>
      <c r="C774" t="s">
        <v>80</v>
      </c>
      <c r="D774">
        <v>9.3200000000000005E-2</v>
      </c>
      <c r="E774">
        <v>0.2002697235333783</v>
      </c>
      <c r="F774">
        <v>28.139870918023309</v>
      </c>
      <c r="G774" t="s">
        <v>105</v>
      </c>
      <c r="H774" t="s">
        <v>108</v>
      </c>
    </row>
    <row r="775" spans="1:8" hidden="1" x14ac:dyDescent="0.3">
      <c r="A775" t="s">
        <v>41</v>
      </c>
      <c r="B775" t="s">
        <v>46</v>
      </c>
      <c r="C775" t="s">
        <v>81</v>
      </c>
      <c r="D775">
        <v>4.6249999999999999E-2</v>
      </c>
      <c r="E775">
        <v>0.36251468860164521</v>
      </c>
      <c r="F775">
        <v>8.9647473560517046</v>
      </c>
      <c r="G775" t="s">
        <v>105</v>
      </c>
      <c r="H775" t="s">
        <v>108</v>
      </c>
    </row>
    <row r="776" spans="1:8" hidden="1" x14ac:dyDescent="0.3">
      <c r="A776" t="s">
        <v>41</v>
      </c>
      <c r="B776" t="s">
        <v>46</v>
      </c>
      <c r="C776" t="s">
        <v>66</v>
      </c>
      <c r="D776">
        <v>2.2999999999999998</v>
      </c>
      <c r="E776">
        <v>5.3215652173913037</v>
      </c>
      <c r="F776">
        <v>6.8428961748633883</v>
      </c>
      <c r="G776" t="s">
        <v>104</v>
      </c>
      <c r="H776" t="s">
        <v>108</v>
      </c>
    </row>
    <row r="777" spans="1:8" hidden="1" x14ac:dyDescent="0.3">
      <c r="A777" t="s">
        <v>41</v>
      </c>
      <c r="B777" t="s">
        <v>46</v>
      </c>
      <c r="C777" t="s">
        <v>82</v>
      </c>
      <c r="D777">
        <v>1.9</v>
      </c>
      <c r="E777">
        <v>3.198684210526316</v>
      </c>
      <c r="F777">
        <v>6.8428961748633883</v>
      </c>
      <c r="G777" t="s">
        <v>104</v>
      </c>
      <c r="H777" t="s">
        <v>108</v>
      </c>
    </row>
    <row r="778" spans="1:8" hidden="1" x14ac:dyDescent="0.3">
      <c r="A778" t="s">
        <v>41</v>
      </c>
      <c r="B778" t="s">
        <v>46</v>
      </c>
      <c r="C778" t="s">
        <v>84</v>
      </c>
      <c r="D778">
        <v>0.1</v>
      </c>
      <c r="E778">
        <v>2.5859999999999999</v>
      </c>
      <c r="F778">
        <v>28.139870918023309</v>
      </c>
      <c r="G778" t="s">
        <v>105</v>
      </c>
      <c r="H778" t="s">
        <v>108</v>
      </c>
    </row>
    <row r="779" spans="1:8" hidden="1" x14ac:dyDescent="0.3">
      <c r="A779" t="s">
        <v>41</v>
      </c>
      <c r="B779" t="s">
        <v>55</v>
      </c>
      <c r="C779" t="s">
        <v>86</v>
      </c>
      <c r="D779">
        <v>0.25940000000000002</v>
      </c>
      <c r="E779">
        <v>11.377000000000001</v>
      </c>
      <c r="F779">
        <v>9.1999999999999993</v>
      </c>
      <c r="G779" t="s">
        <v>106</v>
      </c>
      <c r="H779" t="s">
        <v>109</v>
      </c>
    </row>
    <row r="780" spans="1:8" hidden="1" x14ac:dyDescent="0.3">
      <c r="A780" t="s">
        <v>41</v>
      </c>
      <c r="B780" t="s">
        <v>55</v>
      </c>
      <c r="C780" t="s">
        <v>87</v>
      </c>
      <c r="D780">
        <v>0.60580000000000001</v>
      </c>
      <c r="E780">
        <v>10.821999999999999</v>
      </c>
      <c r="F780">
        <v>9.1999999999999993</v>
      </c>
      <c r="G780" t="s">
        <v>106</v>
      </c>
      <c r="H780" t="s">
        <v>109</v>
      </c>
    </row>
    <row r="781" spans="1:8" hidden="1" x14ac:dyDescent="0.3">
      <c r="A781" t="s">
        <v>41</v>
      </c>
      <c r="B781" t="s">
        <v>55</v>
      </c>
      <c r="C781" t="s">
        <v>88</v>
      </c>
      <c r="D781">
        <v>2.0828000000000002</v>
      </c>
      <c r="E781">
        <v>9.9030000000000005</v>
      </c>
      <c r="F781">
        <v>9.1999999999999993</v>
      </c>
      <c r="G781" t="s">
        <v>106</v>
      </c>
      <c r="H781" t="s">
        <v>109</v>
      </c>
    </row>
    <row r="782" spans="1:8" hidden="1" x14ac:dyDescent="0.3">
      <c r="A782" t="s">
        <v>41</v>
      </c>
      <c r="B782" t="s">
        <v>55</v>
      </c>
      <c r="C782" t="s">
        <v>90</v>
      </c>
      <c r="D782">
        <v>4.2999999999999997E-2</v>
      </c>
      <c r="E782">
        <v>11.891999999999999</v>
      </c>
      <c r="F782">
        <v>9.1999999999999993</v>
      </c>
      <c r="G782" t="s">
        <v>106</v>
      </c>
      <c r="H782" t="s">
        <v>109</v>
      </c>
    </row>
    <row r="783" spans="1:8" hidden="1" x14ac:dyDescent="0.3">
      <c r="A783" t="s">
        <v>41</v>
      </c>
      <c r="B783" t="s">
        <v>55</v>
      </c>
      <c r="C783" t="s">
        <v>91</v>
      </c>
      <c r="D783">
        <v>0.13739999999999999</v>
      </c>
      <c r="E783">
        <v>11.093999999999999</v>
      </c>
      <c r="F783">
        <v>9.1999999999999993</v>
      </c>
      <c r="G783" t="s">
        <v>106</v>
      </c>
      <c r="H783" t="s">
        <v>109</v>
      </c>
    </row>
    <row r="784" spans="1:8" hidden="1" x14ac:dyDescent="0.3">
      <c r="A784" t="s">
        <v>41</v>
      </c>
      <c r="B784" t="s">
        <v>55</v>
      </c>
      <c r="C784" t="s">
        <v>92</v>
      </c>
      <c r="D784">
        <v>0.31112000000000001</v>
      </c>
      <c r="E784">
        <v>10.821999999999999</v>
      </c>
      <c r="F784">
        <v>9.1999999999999993</v>
      </c>
      <c r="G784" t="s">
        <v>106</v>
      </c>
      <c r="H784" t="s">
        <v>109</v>
      </c>
    </row>
    <row r="785" spans="1:8" hidden="1" x14ac:dyDescent="0.3">
      <c r="A785" t="s">
        <v>41</v>
      </c>
      <c r="B785" t="s">
        <v>56</v>
      </c>
      <c r="C785" t="s">
        <v>93</v>
      </c>
      <c r="D785">
        <v>1.6141000000000001</v>
      </c>
      <c r="E785">
        <v>2.9493975903614462</v>
      </c>
      <c r="F785">
        <v>15.9</v>
      </c>
      <c r="G785" t="s">
        <v>106</v>
      </c>
      <c r="H785" t="s">
        <v>109</v>
      </c>
    </row>
    <row r="786" spans="1:8" hidden="1" x14ac:dyDescent="0.3">
      <c r="A786" t="s">
        <v>41</v>
      </c>
      <c r="B786" t="s">
        <v>47</v>
      </c>
      <c r="C786" t="s">
        <v>68</v>
      </c>
      <c r="D786">
        <v>7.2</v>
      </c>
      <c r="E786">
        <v>3.0457638888888892</v>
      </c>
      <c r="F786">
        <v>23.8</v>
      </c>
      <c r="G786" t="s">
        <v>104</v>
      </c>
      <c r="H786" t="s">
        <v>109</v>
      </c>
    </row>
    <row r="787" spans="1:8" hidden="1" x14ac:dyDescent="0.3">
      <c r="A787" t="s">
        <v>41</v>
      </c>
      <c r="B787" t="s">
        <v>47</v>
      </c>
      <c r="C787" t="s">
        <v>69</v>
      </c>
      <c r="D787">
        <v>3.6</v>
      </c>
      <c r="E787">
        <v>3.045027777777777</v>
      </c>
      <c r="F787">
        <v>23.8</v>
      </c>
      <c r="G787" t="s">
        <v>104</v>
      </c>
      <c r="H787" t="s">
        <v>109</v>
      </c>
    </row>
    <row r="788" spans="1:8" hidden="1" x14ac:dyDescent="0.3">
      <c r="A788" t="s">
        <v>41</v>
      </c>
      <c r="B788" t="s">
        <v>57</v>
      </c>
      <c r="C788" t="s">
        <v>94</v>
      </c>
      <c r="D788">
        <v>2.2999999999999998</v>
      </c>
      <c r="E788">
        <v>7.124695652173914</v>
      </c>
      <c r="F788">
        <v>15</v>
      </c>
      <c r="G788" t="s">
        <v>104</v>
      </c>
      <c r="H788" t="s">
        <v>109</v>
      </c>
    </row>
    <row r="789" spans="1:8" hidden="1" x14ac:dyDescent="0.3">
      <c r="A789" t="s">
        <v>41</v>
      </c>
      <c r="B789" t="s">
        <v>49</v>
      </c>
      <c r="C789" t="s">
        <v>71</v>
      </c>
      <c r="D789">
        <v>45.662860000000002</v>
      </c>
      <c r="E789">
        <v>2.747685358735743</v>
      </c>
      <c r="F789">
        <v>3.86607608129234</v>
      </c>
      <c r="G789" t="s">
        <v>104</v>
      </c>
      <c r="H789" t="s">
        <v>108</v>
      </c>
    </row>
    <row r="790" spans="1:8" hidden="1" x14ac:dyDescent="0.3">
      <c r="A790" t="s">
        <v>41</v>
      </c>
      <c r="B790" t="s">
        <v>49</v>
      </c>
      <c r="C790" t="s">
        <v>72</v>
      </c>
      <c r="D790">
        <v>1.3</v>
      </c>
      <c r="E790">
        <v>3.7116923076923078</v>
      </c>
      <c r="F790">
        <v>3.86607608129234</v>
      </c>
      <c r="G790" t="s">
        <v>104</v>
      </c>
      <c r="H790" t="s">
        <v>108</v>
      </c>
    </row>
    <row r="791" spans="1:8" hidden="1" x14ac:dyDescent="0.3">
      <c r="A791" t="s">
        <v>41</v>
      </c>
      <c r="B791" t="s">
        <v>58</v>
      </c>
      <c r="C791" t="s">
        <v>95</v>
      </c>
      <c r="D791">
        <v>2.7330700000000001</v>
      </c>
      <c r="E791">
        <v>2.98</v>
      </c>
      <c r="F791">
        <v>2.9521711768407801</v>
      </c>
      <c r="G791" t="s">
        <v>104</v>
      </c>
      <c r="H791" t="s">
        <v>108</v>
      </c>
    </row>
    <row r="792" spans="1:8" hidden="1" x14ac:dyDescent="0.3">
      <c r="A792" t="s">
        <v>41</v>
      </c>
      <c r="B792" t="s">
        <v>50</v>
      </c>
      <c r="C792" t="s">
        <v>73</v>
      </c>
      <c r="D792">
        <v>1.7</v>
      </c>
      <c r="E792">
        <v>5.1365294117647062</v>
      </c>
      <c r="F792">
        <v>20.723404255319149</v>
      </c>
      <c r="G792" t="s">
        <v>105</v>
      </c>
      <c r="H792" t="s">
        <v>108</v>
      </c>
    </row>
    <row r="793" spans="1:8" hidden="1" x14ac:dyDescent="0.3">
      <c r="A793" t="s">
        <v>41</v>
      </c>
      <c r="B793" t="s">
        <v>50</v>
      </c>
      <c r="C793" t="s">
        <v>74</v>
      </c>
      <c r="D793">
        <v>12</v>
      </c>
      <c r="E793">
        <v>3.620649999999999</v>
      </c>
      <c r="F793">
        <v>2.0635593220338988</v>
      </c>
      <c r="G793" t="s">
        <v>105</v>
      </c>
      <c r="H793" t="s">
        <v>108</v>
      </c>
    </row>
    <row r="794" spans="1:8" hidden="1" x14ac:dyDescent="0.3">
      <c r="A794" t="s">
        <v>41</v>
      </c>
      <c r="B794" t="s">
        <v>59</v>
      </c>
      <c r="C794" t="s">
        <v>96</v>
      </c>
      <c r="D794">
        <v>0.25140000000000001</v>
      </c>
      <c r="E794">
        <v>18.32</v>
      </c>
      <c r="F794">
        <v>10</v>
      </c>
      <c r="G794" t="s">
        <v>107</v>
      </c>
      <c r="H794" t="s">
        <v>109</v>
      </c>
    </row>
    <row r="795" spans="1:8" hidden="1" x14ac:dyDescent="0.3">
      <c r="A795" t="s">
        <v>41</v>
      </c>
      <c r="B795" t="s">
        <v>59</v>
      </c>
      <c r="C795" t="s">
        <v>97</v>
      </c>
      <c r="D795">
        <v>0.7923</v>
      </c>
      <c r="E795">
        <v>15.95225176342919</v>
      </c>
      <c r="F795">
        <v>10</v>
      </c>
      <c r="G795" t="s">
        <v>107</v>
      </c>
      <c r="H795" t="s">
        <v>109</v>
      </c>
    </row>
    <row r="796" spans="1:8" hidden="1" x14ac:dyDescent="0.3">
      <c r="A796" t="s">
        <v>41</v>
      </c>
      <c r="B796" t="s">
        <v>51</v>
      </c>
      <c r="C796" t="s">
        <v>75</v>
      </c>
      <c r="D796">
        <v>2.851067</v>
      </c>
      <c r="E796">
        <v>2.1460689046761499E-2</v>
      </c>
      <c r="F796">
        <v>11.74</v>
      </c>
      <c r="G796" t="s">
        <v>104</v>
      </c>
      <c r="H796" t="s">
        <v>108</v>
      </c>
    </row>
    <row r="797" spans="1:8" hidden="1" x14ac:dyDescent="0.3">
      <c r="A797" t="s">
        <v>41</v>
      </c>
      <c r="B797" t="s">
        <v>60</v>
      </c>
      <c r="C797" t="s">
        <v>98</v>
      </c>
      <c r="D797">
        <v>2.6412399999999998</v>
      </c>
      <c r="E797">
        <v>18.367346938775508</v>
      </c>
      <c r="F797">
        <v>18.8</v>
      </c>
      <c r="G797" t="s">
        <v>107</v>
      </c>
      <c r="H797" t="s">
        <v>109</v>
      </c>
    </row>
    <row r="798" spans="1:8" hidden="1" x14ac:dyDescent="0.3">
      <c r="A798" t="s">
        <v>41</v>
      </c>
      <c r="B798" t="s">
        <v>52</v>
      </c>
      <c r="C798" t="s">
        <v>76</v>
      </c>
      <c r="D798">
        <v>1E-3</v>
      </c>
      <c r="E798">
        <v>7.5037500000000001</v>
      </c>
      <c r="F798">
        <v>12.68872359754714</v>
      </c>
      <c r="G798" t="s">
        <v>105</v>
      </c>
      <c r="H798" t="s">
        <v>108</v>
      </c>
    </row>
    <row r="799" spans="1:8" hidden="1" x14ac:dyDescent="0.3">
      <c r="A799" t="s">
        <v>41</v>
      </c>
      <c r="B799" t="s">
        <v>53</v>
      </c>
      <c r="C799" t="s">
        <v>77</v>
      </c>
      <c r="D799">
        <v>0.89999999999999991</v>
      </c>
      <c r="E799">
        <v>3.7117777777777778</v>
      </c>
      <c r="F799">
        <v>3.86607608129234</v>
      </c>
      <c r="G799" t="s">
        <v>104</v>
      </c>
      <c r="H799" t="s">
        <v>108</v>
      </c>
    </row>
    <row r="800" spans="1:8" hidden="1" x14ac:dyDescent="0.3">
      <c r="A800" t="s">
        <v>41</v>
      </c>
      <c r="B800" t="s">
        <v>61</v>
      </c>
      <c r="C800" t="s">
        <v>99</v>
      </c>
      <c r="D800">
        <v>5.5</v>
      </c>
      <c r="E800">
        <v>2.2372181818181822</v>
      </c>
      <c r="F800">
        <v>2.9245635910224439</v>
      </c>
      <c r="G800" t="s">
        <v>104</v>
      </c>
      <c r="H800" t="s">
        <v>108</v>
      </c>
    </row>
    <row r="801" spans="1:8" hidden="1" x14ac:dyDescent="0.3">
      <c r="A801" t="s">
        <v>41</v>
      </c>
      <c r="B801" t="s">
        <v>62</v>
      </c>
      <c r="C801" t="s">
        <v>100</v>
      </c>
      <c r="D801">
        <v>1.7</v>
      </c>
      <c r="E801">
        <v>0.8411764705882353</v>
      </c>
      <c r="F801">
        <v>2.6764106050305911</v>
      </c>
      <c r="G801" t="s">
        <v>104</v>
      </c>
      <c r="H801" t="s">
        <v>108</v>
      </c>
    </row>
    <row r="802" spans="1:8" hidden="1" x14ac:dyDescent="0.3">
      <c r="A802" t="s">
        <v>41</v>
      </c>
      <c r="B802" t="s">
        <v>54</v>
      </c>
      <c r="C802" t="s">
        <v>78</v>
      </c>
      <c r="D802">
        <v>32.200000000000003</v>
      </c>
      <c r="E802">
        <v>3.669689440993789</v>
      </c>
      <c r="F802">
        <v>3.86607608129234</v>
      </c>
      <c r="G802" t="s">
        <v>104</v>
      </c>
      <c r="H802" t="s">
        <v>108</v>
      </c>
    </row>
    <row r="803" spans="1:8" hidden="1" x14ac:dyDescent="0.3">
      <c r="A803" t="s">
        <v>42</v>
      </c>
      <c r="B803" t="s">
        <v>46</v>
      </c>
      <c r="C803" t="s">
        <v>63</v>
      </c>
      <c r="D803">
        <v>1.9785999999999999</v>
      </c>
      <c r="E803">
        <v>2.9286474973375931</v>
      </c>
      <c r="F803">
        <v>3.950479233226837</v>
      </c>
      <c r="G803" t="s">
        <v>104</v>
      </c>
      <c r="H803" t="s">
        <v>108</v>
      </c>
    </row>
    <row r="804" spans="1:8" hidden="1" x14ac:dyDescent="0.3">
      <c r="A804" t="s">
        <v>42</v>
      </c>
      <c r="B804" t="s">
        <v>46</v>
      </c>
      <c r="C804" t="s">
        <v>64</v>
      </c>
      <c r="D804">
        <v>2.0005099999999998</v>
      </c>
      <c r="E804">
        <v>4.149641101519113</v>
      </c>
      <c r="F804">
        <v>2.9521711768407801</v>
      </c>
      <c r="G804" t="s">
        <v>104</v>
      </c>
      <c r="H804" t="s">
        <v>108</v>
      </c>
    </row>
    <row r="805" spans="1:8" hidden="1" x14ac:dyDescent="0.3">
      <c r="A805" t="s">
        <v>42</v>
      </c>
      <c r="B805" t="s">
        <v>46</v>
      </c>
      <c r="C805" t="s">
        <v>65</v>
      </c>
      <c r="D805">
        <v>10.199999999999999</v>
      </c>
      <c r="E805">
        <v>4.8715294117647057</v>
      </c>
      <c r="F805">
        <v>2.9521711768407801</v>
      </c>
      <c r="G805" t="s">
        <v>104</v>
      </c>
      <c r="H805" t="s">
        <v>108</v>
      </c>
    </row>
    <row r="806" spans="1:8" hidden="1" x14ac:dyDescent="0.3">
      <c r="A806" t="s">
        <v>42</v>
      </c>
      <c r="B806" t="s">
        <v>46</v>
      </c>
      <c r="C806" t="s">
        <v>67</v>
      </c>
      <c r="D806">
        <v>5.8</v>
      </c>
      <c r="E806">
        <v>6.6330000000000009</v>
      </c>
      <c r="F806">
        <v>2.9521711768407801</v>
      </c>
      <c r="G806" t="s">
        <v>104</v>
      </c>
      <c r="H806" t="s">
        <v>108</v>
      </c>
    </row>
    <row r="807" spans="1:8" hidden="1" x14ac:dyDescent="0.3">
      <c r="A807" t="s">
        <v>42</v>
      </c>
      <c r="B807" t="s">
        <v>46</v>
      </c>
      <c r="C807" t="s">
        <v>85</v>
      </c>
      <c r="D807">
        <v>3.3</v>
      </c>
      <c r="E807">
        <v>4.2919999999999998</v>
      </c>
      <c r="F807">
        <v>2.9521711768407801</v>
      </c>
      <c r="G807" t="s">
        <v>104</v>
      </c>
      <c r="H807" t="s">
        <v>108</v>
      </c>
    </row>
    <row r="808" spans="1:8" hidden="1" x14ac:dyDescent="0.3">
      <c r="A808" t="s">
        <v>42</v>
      </c>
      <c r="B808" t="s">
        <v>47</v>
      </c>
      <c r="C808" t="s">
        <v>68</v>
      </c>
      <c r="D808">
        <v>172.4</v>
      </c>
      <c r="E808">
        <v>3.046232018561486</v>
      </c>
      <c r="G808" t="s">
        <v>104</v>
      </c>
      <c r="H808" t="s">
        <v>109</v>
      </c>
    </row>
    <row r="809" spans="1:8" hidden="1" x14ac:dyDescent="0.3">
      <c r="A809" t="s">
        <v>42</v>
      </c>
      <c r="B809" t="s">
        <v>47</v>
      </c>
      <c r="C809" t="s">
        <v>69</v>
      </c>
      <c r="D809">
        <v>120.4</v>
      </c>
      <c r="E809">
        <v>3.031480066445182</v>
      </c>
      <c r="G809" t="s">
        <v>104</v>
      </c>
      <c r="H809" t="s">
        <v>109</v>
      </c>
    </row>
    <row r="810" spans="1:8" hidden="1" x14ac:dyDescent="0.3">
      <c r="A810" t="s">
        <v>42</v>
      </c>
      <c r="B810" t="s">
        <v>48</v>
      </c>
      <c r="C810" t="s">
        <v>70</v>
      </c>
      <c r="D810">
        <v>63.6</v>
      </c>
      <c r="E810">
        <v>7.9025550314465409</v>
      </c>
      <c r="G810" t="s">
        <v>104</v>
      </c>
      <c r="H810" t="s">
        <v>109</v>
      </c>
    </row>
    <row r="811" spans="1:8" hidden="1" x14ac:dyDescent="0.3">
      <c r="A811" t="s">
        <v>42</v>
      </c>
      <c r="B811" t="s">
        <v>49</v>
      </c>
      <c r="C811" t="s">
        <v>71</v>
      </c>
      <c r="D811">
        <v>0.12482</v>
      </c>
      <c r="E811">
        <v>4.0270000000000001</v>
      </c>
      <c r="F811">
        <v>3.86607608129234</v>
      </c>
      <c r="G811" t="s">
        <v>104</v>
      </c>
      <c r="H811" t="s">
        <v>108</v>
      </c>
    </row>
    <row r="812" spans="1:8" hidden="1" x14ac:dyDescent="0.3">
      <c r="A812" t="s">
        <v>42</v>
      </c>
      <c r="B812" t="s">
        <v>52</v>
      </c>
      <c r="C812" t="s">
        <v>76</v>
      </c>
      <c r="D812">
        <v>1.861</v>
      </c>
      <c r="E812">
        <v>0</v>
      </c>
      <c r="F812">
        <v>12.68872359754714</v>
      </c>
      <c r="G812" t="s">
        <v>105</v>
      </c>
      <c r="H812" t="s">
        <v>108</v>
      </c>
    </row>
    <row r="813" spans="1:8" hidden="1" x14ac:dyDescent="0.3">
      <c r="A813" t="s">
        <v>43</v>
      </c>
      <c r="B813" t="s">
        <v>49</v>
      </c>
      <c r="C813" t="s">
        <v>71</v>
      </c>
      <c r="D813">
        <v>146.47109</v>
      </c>
      <c r="E813">
        <v>0</v>
      </c>
      <c r="G813" t="s">
        <v>104</v>
      </c>
      <c r="H813" t="s">
        <v>108</v>
      </c>
    </row>
    <row r="814" spans="1:8" hidden="1" x14ac:dyDescent="0.3">
      <c r="A814" t="s">
        <v>43</v>
      </c>
      <c r="B814" t="s">
        <v>49</v>
      </c>
      <c r="C814" t="s">
        <v>72</v>
      </c>
      <c r="D814">
        <v>26.7</v>
      </c>
      <c r="E814">
        <v>0</v>
      </c>
      <c r="G814" t="s">
        <v>104</v>
      </c>
      <c r="H814" t="s">
        <v>108</v>
      </c>
    </row>
    <row r="815" spans="1:8" hidden="1" x14ac:dyDescent="0.3">
      <c r="A815" t="s">
        <v>43</v>
      </c>
      <c r="B815" t="s">
        <v>53</v>
      </c>
      <c r="C815" t="s">
        <v>77</v>
      </c>
      <c r="D815">
        <v>18.600000000000001</v>
      </c>
      <c r="E815">
        <v>0</v>
      </c>
      <c r="G815" t="s">
        <v>104</v>
      </c>
      <c r="H815" t="s">
        <v>108</v>
      </c>
    </row>
    <row r="816" spans="1:8" hidden="1" x14ac:dyDescent="0.3">
      <c r="A816" t="s">
        <v>43</v>
      </c>
      <c r="B816" t="s">
        <v>54</v>
      </c>
      <c r="C816" t="s">
        <v>78</v>
      </c>
      <c r="D816">
        <v>102.3</v>
      </c>
      <c r="E816">
        <v>0</v>
      </c>
      <c r="G816" t="s">
        <v>104</v>
      </c>
      <c r="H816" t="s">
        <v>108</v>
      </c>
    </row>
    <row r="817" spans="1:8" hidden="1" x14ac:dyDescent="0.3">
      <c r="A817" t="s">
        <v>44</v>
      </c>
      <c r="B817" t="s">
        <v>46</v>
      </c>
      <c r="C817" t="s">
        <v>64</v>
      </c>
      <c r="D817">
        <v>0.11328000000000001</v>
      </c>
      <c r="E817">
        <v>5.9785731814971754</v>
      </c>
      <c r="F817">
        <v>2.9521711768407801</v>
      </c>
      <c r="G817" t="s">
        <v>104</v>
      </c>
      <c r="H817" t="s">
        <v>108</v>
      </c>
    </row>
    <row r="818" spans="1:8" hidden="1" x14ac:dyDescent="0.3">
      <c r="A818" t="s">
        <v>44</v>
      </c>
      <c r="B818" t="s">
        <v>46</v>
      </c>
      <c r="C818" t="s">
        <v>79</v>
      </c>
      <c r="D818">
        <v>53.7</v>
      </c>
      <c r="E818">
        <v>5.3197392923649911</v>
      </c>
      <c r="F818">
        <v>6.8428961748633883</v>
      </c>
      <c r="G818" t="s">
        <v>104</v>
      </c>
      <c r="H818" t="s">
        <v>108</v>
      </c>
    </row>
    <row r="819" spans="1:8" hidden="1" x14ac:dyDescent="0.3">
      <c r="A819" t="s">
        <v>44</v>
      </c>
      <c r="B819" t="s">
        <v>46</v>
      </c>
      <c r="C819" t="s">
        <v>80</v>
      </c>
      <c r="D819">
        <v>2.64506</v>
      </c>
      <c r="E819">
        <v>4.7201618341200263E-2</v>
      </c>
      <c r="F819">
        <v>28.139870918023309</v>
      </c>
      <c r="G819" t="s">
        <v>105</v>
      </c>
      <c r="H819" t="s">
        <v>108</v>
      </c>
    </row>
    <row r="820" spans="1:8" hidden="1" x14ac:dyDescent="0.3">
      <c r="A820" t="s">
        <v>44</v>
      </c>
      <c r="B820" t="s">
        <v>46</v>
      </c>
      <c r="C820" t="s">
        <v>81</v>
      </c>
      <c r="D820">
        <v>0.93806</v>
      </c>
      <c r="E820">
        <v>0.69388954171562867</v>
      </c>
      <c r="F820">
        <v>8.9647473560517046</v>
      </c>
      <c r="G820" t="s">
        <v>105</v>
      </c>
      <c r="H820" t="s">
        <v>108</v>
      </c>
    </row>
    <row r="821" spans="1:8" hidden="1" x14ac:dyDescent="0.3">
      <c r="A821" t="s">
        <v>44</v>
      </c>
      <c r="B821" t="s">
        <v>46</v>
      </c>
      <c r="C821" t="s">
        <v>82</v>
      </c>
      <c r="D821">
        <v>5.3</v>
      </c>
      <c r="E821">
        <v>3.3519999999999999</v>
      </c>
      <c r="F821">
        <v>6.8428961748633883</v>
      </c>
      <c r="G821" t="s">
        <v>104</v>
      </c>
      <c r="H821" t="s">
        <v>108</v>
      </c>
    </row>
    <row r="822" spans="1:8" hidden="1" x14ac:dyDescent="0.3">
      <c r="A822" t="s">
        <v>44</v>
      </c>
      <c r="B822" t="s">
        <v>46</v>
      </c>
      <c r="C822" t="s">
        <v>84</v>
      </c>
      <c r="D822">
        <v>1.1000000000000001</v>
      </c>
      <c r="E822">
        <v>3.0569999999999999</v>
      </c>
      <c r="F822">
        <v>28.139870918023309</v>
      </c>
      <c r="G822" t="s">
        <v>105</v>
      </c>
      <c r="H822" t="s">
        <v>108</v>
      </c>
    </row>
    <row r="823" spans="1:8" hidden="1" x14ac:dyDescent="0.3">
      <c r="A823" t="s">
        <v>44</v>
      </c>
      <c r="B823" t="s">
        <v>55</v>
      </c>
      <c r="C823" t="s">
        <v>86</v>
      </c>
      <c r="D823">
        <v>2.9796999999999998</v>
      </c>
      <c r="E823">
        <v>12.305999999999999</v>
      </c>
      <c r="F823">
        <v>11.6</v>
      </c>
      <c r="G823" t="s">
        <v>106</v>
      </c>
      <c r="H823" t="s">
        <v>109</v>
      </c>
    </row>
    <row r="824" spans="1:8" hidden="1" x14ac:dyDescent="0.3">
      <c r="A824" t="s">
        <v>44</v>
      </c>
      <c r="B824" t="s">
        <v>55</v>
      </c>
      <c r="C824" t="s">
        <v>89</v>
      </c>
      <c r="D824">
        <v>3.1093999999999999</v>
      </c>
      <c r="E824">
        <v>0</v>
      </c>
      <c r="F824">
        <v>11.6</v>
      </c>
      <c r="G824" t="s">
        <v>106</v>
      </c>
      <c r="H824" t="s">
        <v>109</v>
      </c>
    </row>
    <row r="825" spans="1:8" hidden="1" x14ac:dyDescent="0.3">
      <c r="A825" t="s">
        <v>44</v>
      </c>
      <c r="B825" t="s">
        <v>55</v>
      </c>
      <c r="C825" t="s">
        <v>92</v>
      </c>
      <c r="D825">
        <v>11.995380000000001</v>
      </c>
      <c r="E825">
        <v>12.39999999999999</v>
      </c>
      <c r="F825">
        <v>11.6</v>
      </c>
      <c r="G825" t="s">
        <v>106</v>
      </c>
      <c r="H825" t="s">
        <v>109</v>
      </c>
    </row>
    <row r="826" spans="1:8" hidden="1" x14ac:dyDescent="0.3">
      <c r="A826" t="s">
        <v>44</v>
      </c>
      <c r="B826" t="s">
        <v>56</v>
      </c>
      <c r="C826" t="s">
        <v>93</v>
      </c>
      <c r="D826">
        <v>18.166799999999999</v>
      </c>
      <c r="E826">
        <v>2.939759036144578</v>
      </c>
      <c r="F826">
        <v>28.8</v>
      </c>
      <c r="G826" t="s">
        <v>106</v>
      </c>
      <c r="H826" t="s">
        <v>109</v>
      </c>
    </row>
    <row r="827" spans="1:8" hidden="1" x14ac:dyDescent="0.3">
      <c r="A827" t="s">
        <v>44</v>
      </c>
      <c r="B827" t="s">
        <v>47</v>
      </c>
      <c r="C827" t="s">
        <v>68</v>
      </c>
      <c r="D827">
        <v>17.899999999999999</v>
      </c>
      <c r="E827">
        <v>7.1188659217877097</v>
      </c>
      <c r="F827">
        <v>15.9</v>
      </c>
      <c r="G827" t="s">
        <v>104</v>
      </c>
      <c r="H827" t="s">
        <v>109</v>
      </c>
    </row>
    <row r="828" spans="1:8" hidden="1" x14ac:dyDescent="0.3">
      <c r="A828" t="s">
        <v>44</v>
      </c>
      <c r="B828" t="s">
        <v>47</v>
      </c>
      <c r="C828" t="s">
        <v>69</v>
      </c>
      <c r="D828">
        <v>10.3</v>
      </c>
      <c r="E828">
        <v>7.8081262135922316</v>
      </c>
      <c r="F828">
        <v>15.9</v>
      </c>
      <c r="G828" t="s">
        <v>104</v>
      </c>
      <c r="H828" t="s">
        <v>109</v>
      </c>
    </row>
    <row r="829" spans="1:8" hidden="1" x14ac:dyDescent="0.3">
      <c r="A829" t="s">
        <v>44</v>
      </c>
      <c r="B829" t="s">
        <v>57</v>
      </c>
      <c r="C829" t="s">
        <v>94</v>
      </c>
      <c r="D829">
        <v>27.6</v>
      </c>
      <c r="E829">
        <v>10.39997826086957</v>
      </c>
      <c r="F829">
        <v>24.6</v>
      </c>
      <c r="G829" t="s">
        <v>104</v>
      </c>
      <c r="H829" t="s">
        <v>109</v>
      </c>
    </row>
    <row r="830" spans="1:8" hidden="1" x14ac:dyDescent="0.3">
      <c r="A830" t="s">
        <v>44</v>
      </c>
      <c r="B830" t="s">
        <v>49</v>
      </c>
      <c r="C830" t="s">
        <v>71</v>
      </c>
      <c r="D830">
        <v>43.862000000000002</v>
      </c>
      <c r="E830">
        <v>3.8864075938169709</v>
      </c>
      <c r="F830">
        <v>3.86607608129234</v>
      </c>
      <c r="G830" t="s">
        <v>104</v>
      </c>
      <c r="H830" t="s">
        <v>108</v>
      </c>
    </row>
    <row r="831" spans="1:8" hidden="1" x14ac:dyDescent="0.3">
      <c r="A831" t="s">
        <v>44</v>
      </c>
      <c r="B831" t="s">
        <v>49</v>
      </c>
      <c r="C831" t="s">
        <v>72</v>
      </c>
      <c r="D831">
        <v>2.9</v>
      </c>
      <c r="E831">
        <v>3.0816551724137931</v>
      </c>
      <c r="F831">
        <v>3.86607608129234</v>
      </c>
      <c r="G831" t="s">
        <v>104</v>
      </c>
      <c r="H831" t="s">
        <v>108</v>
      </c>
    </row>
    <row r="832" spans="1:8" hidden="1" x14ac:dyDescent="0.3">
      <c r="A832" t="s">
        <v>44</v>
      </c>
      <c r="B832" t="s">
        <v>58</v>
      </c>
      <c r="C832" t="s">
        <v>95</v>
      </c>
      <c r="D832">
        <v>13.971730000000001</v>
      </c>
      <c r="E832">
        <v>0.51054491032964422</v>
      </c>
      <c r="F832">
        <v>2.9521711768407801</v>
      </c>
      <c r="G832" t="s">
        <v>104</v>
      </c>
      <c r="H832" t="s">
        <v>108</v>
      </c>
    </row>
    <row r="833" spans="1:8" hidden="1" x14ac:dyDescent="0.3">
      <c r="A833" t="s">
        <v>44</v>
      </c>
      <c r="B833" t="s">
        <v>50</v>
      </c>
      <c r="C833" t="s">
        <v>73</v>
      </c>
      <c r="D833">
        <v>11.6</v>
      </c>
      <c r="E833">
        <v>5.9738965517241382</v>
      </c>
      <c r="F833">
        <v>20.723404255319149</v>
      </c>
      <c r="G833" t="s">
        <v>105</v>
      </c>
      <c r="H833" t="s">
        <v>108</v>
      </c>
    </row>
    <row r="834" spans="1:8" hidden="1" x14ac:dyDescent="0.3">
      <c r="A834" t="s">
        <v>44</v>
      </c>
      <c r="B834" t="s">
        <v>50</v>
      </c>
      <c r="C834" t="s">
        <v>74</v>
      </c>
      <c r="D834">
        <v>145.5</v>
      </c>
      <c r="E834">
        <v>6.4871690721649484</v>
      </c>
      <c r="F834">
        <v>2.0635593220338988</v>
      </c>
      <c r="G834" t="s">
        <v>105</v>
      </c>
      <c r="H834" t="s">
        <v>108</v>
      </c>
    </row>
    <row r="835" spans="1:8" hidden="1" x14ac:dyDescent="0.3">
      <c r="A835" t="s">
        <v>44</v>
      </c>
      <c r="B835" t="s">
        <v>51</v>
      </c>
      <c r="C835" t="s">
        <v>75</v>
      </c>
      <c r="D835">
        <v>13.529489999999999</v>
      </c>
      <c r="E835">
        <v>4.2217435610363903E-2</v>
      </c>
      <c r="F835">
        <v>11.74</v>
      </c>
      <c r="G835" t="s">
        <v>104</v>
      </c>
      <c r="H835" t="s">
        <v>108</v>
      </c>
    </row>
    <row r="836" spans="1:8" hidden="1" x14ac:dyDescent="0.3">
      <c r="A836" t="s">
        <v>44</v>
      </c>
      <c r="B836" t="s">
        <v>60</v>
      </c>
      <c r="C836" t="s">
        <v>98</v>
      </c>
      <c r="D836">
        <v>2.3336600000000001</v>
      </c>
      <c r="E836">
        <v>19.60257787325456</v>
      </c>
      <c r="F836">
        <v>20.6</v>
      </c>
      <c r="G836" t="s">
        <v>107</v>
      </c>
      <c r="H836" t="s">
        <v>109</v>
      </c>
    </row>
    <row r="837" spans="1:8" hidden="1" x14ac:dyDescent="0.3">
      <c r="A837" t="s">
        <v>44</v>
      </c>
      <c r="B837" t="s">
        <v>52</v>
      </c>
      <c r="C837" t="s">
        <v>76</v>
      </c>
      <c r="D837">
        <v>8.8999999999999996E-2</v>
      </c>
      <c r="E837">
        <v>7.5037500000000001</v>
      </c>
      <c r="F837">
        <v>12.68872359754714</v>
      </c>
      <c r="G837" t="s">
        <v>105</v>
      </c>
      <c r="H837" t="s">
        <v>108</v>
      </c>
    </row>
    <row r="838" spans="1:8" hidden="1" x14ac:dyDescent="0.3">
      <c r="A838" t="s">
        <v>44</v>
      </c>
      <c r="B838" t="s">
        <v>53</v>
      </c>
      <c r="C838" t="s">
        <v>77</v>
      </c>
      <c r="D838">
        <v>3</v>
      </c>
      <c r="E838">
        <v>2.978966666666667</v>
      </c>
      <c r="F838">
        <v>3.86607608129234</v>
      </c>
      <c r="G838" t="s">
        <v>104</v>
      </c>
      <c r="H838" t="s">
        <v>108</v>
      </c>
    </row>
    <row r="839" spans="1:8" hidden="1" x14ac:dyDescent="0.3">
      <c r="A839" t="s">
        <v>44</v>
      </c>
      <c r="B839" t="s">
        <v>61</v>
      </c>
      <c r="C839" t="s">
        <v>99</v>
      </c>
      <c r="D839">
        <v>10.3</v>
      </c>
      <c r="E839">
        <v>1.954776699029126</v>
      </c>
      <c r="F839">
        <v>2.9245635910224439</v>
      </c>
      <c r="G839" t="s">
        <v>104</v>
      </c>
      <c r="H839" t="s">
        <v>108</v>
      </c>
    </row>
    <row r="840" spans="1:8" hidden="1" x14ac:dyDescent="0.3">
      <c r="A840" t="s">
        <v>44</v>
      </c>
      <c r="B840" t="s">
        <v>62</v>
      </c>
      <c r="C840" t="s">
        <v>100</v>
      </c>
      <c r="D840">
        <v>3.2</v>
      </c>
      <c r="E840">
        <v>9.6874999999999989E-2</v>
      </c>
      <c r="F840">
        <v>2.6764106050305911</v>
      </c>
      <c r="G840" t="s">
        <v>104</v>
      </c>
      <c r="H840" t="s">
        <v>108</v>
      </c>
    </row>
    <row r="841" spans="1:8" hidden="1" x14ac:dyDescent="0.3">
      <c r="A841" t="s">
        <v>44</v>
      </c>
      <c r="B841" t="s">
        <v>54</v>
      </c>
      <c r="C841" t="s">
        <v>78</v>
      </c>
      <c r="D841">
        <v>44.2</v>
      </c>
      <c r="E841">
        <v>6.2328733031674206</v>
      </c>
      <c r="F841">
        <v>3.86607608129234</v>
      </c>
      <c r="G841" t="s">
        <v>104</v>
      </c>
      <c r="H841" t="s">
        <v>108</v>
      </c>
    </row>
    <row r="842" spans="1:8" hidden="1" x14ac:dyDescent="0.3">
      <c r="A842" t="s">
        <v>45</v>
      </c>
      <c r="B842" t="s">
        <v>46</v>
      </c>
      <c r="C842" t="s">
        <v>64</v>
      </c>
      <c r="D842">
        <v>1.374E-2</v>
      </c>
      <c r="E842">
        <v>5.7220000000000013</v>
      </c>
      <c r="F842">
        <v>2.9521711768407801</v>
      </c>
      <c r="G842" t="s">
        <v>104</v>
      </c>
      <c r="H842" t="s">
        <v>108</v>
      </c>
    </row>
    <row r="843" spans="1:8" hidden="1" x14ac:dyDescent="0.3">
      <c r="A843" t="s">
        <v>45</v>
      </c>
      <c r="B843" t="s">
        <v>46</v>
      </c>
      <c r="C843" t="s">
        <v>79</v>
      </c>
      <c r="D843">
        <v>0.7</v>
      </c>
      <c r="E843">
        <v>3.898000000000001</v>
      </c>
      <c r="F843">
        <v>6.8428961748633883</v>
      </c>
      <c r="G843" t="s">
        <v>104</v>
      </c>
      <c r="H843" t="s">
        <v>108</v>
      </c>
    </row>
    <row r="844" spans="1:8" hidden="1" x14ac:dyDescent="0.3">
      <c r="A844" t="s">
        <v>45</v>
      </c>
      <c r="B844" t="s">
        <v>46</v>
      </c>
      <c r="C844" t="s">
        <v>66</v>
      </c>
      <c r="D844">
        <v>0.1</v>
      </c>
      <c r="E844">
        <v>3.5680000000000001</v>
      </c>
      <c r="F844">
        <v>6.8428961748633883</v>
      </c>
      <c r="G844" t="s">
        <v>104</v>
      </c>
      <c r="H844" t="s">
        <v>108</v>
      </c>
    </row>
    <row r="845" spans="1:8" hidden="1" x14ac:dyDescent="0.3">
      <c r="A845" t="s">
        <v>45</v>
      </c>
      <c r="B845" t="s">
        <v>47</v>
      </c>
      <c r="C845" t="s">
        <v>68</v>
      </c>
      <c r="D845">
        <v>23.6</v>
      </c>
      <c r="E845">
        <v>3.593</v>
      </c>
      <c r="G845" t="s">
        <v>104</v>
      </c>
      <c r="H845" t="s">
        <v>109</v>
      </c>
    </row>
    <row r="846" spans="1:8" hidden="1" x14ac:dyDescent="0.3">
      <c r="A846" t="s">
        <v>45</v>
      </c>
      <c r="B846" t="s">
        <v>47</v>
      </c>
      <c r="C846" t="s">
        <v>69</v>
      </c>
      <c r="D846">
        <v>16.5</v>
      </c>
      <c r="E846">
        <v>3.569</v>
      </c>
      <c r="G846" t="s">
        <v>104</v>
      </c>
      <c r="H846" t="s">
        <v>109</v>
      </c>
    </row>
    <row r="847" spans="1:8" hidden="1" x14ac:dyDescent="0.3">
      <c r="A847" t="s">
        <v>45</v>
      </c>
      <c r="B847" t="s">
        <v>48</v>
      </c>
      <c r="C847" t="s">
        <v>70</v>
      </c>
      <c r="D847">
        <v>8.6999999999999993</v>
      </c>
      <c r="E847">
        <v>9.0830000000000002</v>
      </c>
      <c r="G847" t="s">
        <v>104</v>
      </c>
      <c r="H847" t="s">
        <v>109</v>
      </c>
    </row>
    <row r="848" spans="1:8" hidden="1" x14ac:dyDescent="0.3">
      <c r="A848" t="s">
        <v>45</v>
      </c>
      <c r="B848" t="s">
        <v>49</v>
      </c>
      <c r="C848" t="s">
        <v>71</v>
      </c>
      <c r="D848">
        <v>0.81145</v>
      </c>
      <c r="E848">
        <v>0</v>
      </c>
      <c r="F848">
        <v>3.86607608129234</v>
      </c>
      <c r="G848" t="s">
        <v>104</v>
      </c>
      <c r="H848" t="s">
        <v>108</v>
      </c>
    </row>
    <row r="849" spans="1:8" hidden="1" x14ac:dyDescent="0.3">
      <c r="A849" t="s">
        <v>45</v>
      </c>
      <c r="B849" t="s">
        <v>50</v>
      </c>
      <c r="C849" t="s">
        <v>73</v>
      </c>
      <c r="D849">
        <v>0.1</v>
      </c>
      <c r="E849">
        <v>5.4240000000000004</v>
      </c>
      <c r="F849">
        <v>20.723404255319149</v>
      </c>
      <c r="G849" t="s">
        <v>105</v>
      </c>
      <c r="H849" t="s">
        <v>108</v>
      </c>
    </row>
    <row r="850" spans="1:8" hidden="1" x14ac:dyDescent="0.3">
      <c r="A850" t="s">
        <v>45</v>
      </c>
      <c r="B850" t="s">
        <v>50</v>
      </c>
      <c r="C850" t="s">
        <v>74</v>
      </c>
      <c r="D850">
        <v>0.1</v>
      </c>
      <c r="E850">
        <v>3.484</v>
      </c>
      <c r="F850">
        <v>2.0635593220338988</v>
      </c>
      <c r="G850" t="s">
        <v>105</v>
      </c>
      <c r="H850" t="s">
        <v>108</v>
      </c>
    </row>
    <row r="851" spans="1:8" hidden="1" x14ac:dyDescent="0.3">
      <c r="A851" t="s">
        <v>45</v>
      </c>
      <c r="B851" t="s">
        <v>52</v>
      </c>
      <c r="C851" t="s">
        <v>76</v>
      </c>
      <c r="D851">
        <v>1.2999999999999999E-2</v>
      </c>
      <c r="E851">
        <v>0</v>
      </c>
      <c r="F851">
        <v>12.68872359754714</v>
      </c>
      <c r="G851" t="s">
        <v>105</v>
      </c>
      <c r="H851" t="s">
        <v>108</v>
      </c>
    </row>
    <row r="852" spans="1:8" hidden="1" x14ac:dyDescent="0.3">
      <c r="A852" t="s">
        <v>45</v>
      </c>
      <c r="B852" t="s">
        <v>54</v>
      </c>
      <c r="C852" t="s">
        <v>78</v>
      </c>
      <c r="D852">
        <v>2.2000000000000002</v>
      </c>
      <c r="E852">
        <v>0</v>
      </c>
      <c r="F852">
        <v>3.86607608129234</v>
      </c>
      <c r="G852" t="s">
        <v>104</v>
      </c>
      <c r="H852" t="s">
        <v>108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LOW 2020 NUTS0</vt:lpstr>
      <vt:lpstr>HIGH 2020 NUTS0</vt:lpstr>
      <vt:lpstr>MED 2050 NUTS0</vt:lpstr>
      <vt:lpstr>LOW 2050 NUTS0</vt:lpstr>
      <vt:lpstr>HIGH 2050 NUTS0</vt:lpstr>
      <vt:lpstr>MED 2020 NUTS0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CHAMBOST DE LEPIN Etienne</dc:creator>
  <cp:lastModifiedBy>DE CHAMBOST DE LEPIN Etienne</cp:lastModifiedBy>
  <dcterms:created xsi:type="dcterms:W3CDTF">2025-11-21T15:38:56Z</dcterms:created>
  <dcterms:modified xsi:type="dcterms:W3CDTF">2026-01-30T17:41:23Z</dcterms:modified>
</cp:coreProperties>
</file>