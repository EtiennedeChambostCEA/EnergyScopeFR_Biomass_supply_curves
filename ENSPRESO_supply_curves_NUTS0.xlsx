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281169\Documents\EnergyScope\EnergyScopeFR_Biomass_supply_curves\"/>
    </mc:Choice>
  </mc:AlternateContent>
  <xr:revisionPtr revIDLastSave="0" documentId="13_ncr:1_{E1707DA6-14B4-485F-B2F8-F5FD26D332A5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LOW 2020 NUTS0" sheetId="1" r:id="rId1"/>
    <sheet name="HIGH 2020 NUTS0" sheetId="2" r:id="rId2"/>
    <sheet name="MED 2050 NUTS0" sheetId="3" r:id="rId3"/>
    <sheet name="LOW 2050 NUTS0" sheetId="4" r:id="rId4"/>
    <sheet name="HIGH 2050 NUTS0" sheetId="5" r:id="rId5"/>
    <sheet name="MED 2020 NUTS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61" i="5"/>
  <c r="I344" i="5"/>
  <c r="I362" i="5"/>
  <c r="I345" i="5"/>
  <c r="I346" i="5"/>
  <c r="I347" i="5"/>
  <c r="I363" i="5"/>
  <c r="I348" i="5"/>
  <c r="I364" i="5"/>
  <c r="I365" i="5"/>
  <c r="I352" i="5"/>
  <c r="I349" i="5"/>
  <c r="I354" i="5"/>
  <c r="I355" i="5"/>
  <c r="I356" i="5"/>
  <c r="I357" i="5"/>
  <c r="I358" i="5"/>
  <c r="I375" i="5"/>
  <c r="I376" i="5"/>
  <c r="I373" i="5"/>
  <c r="I374" i="5"/>
  <c r="I351" i="5"/>
  <c r="I353" i="5"/>
  <c r="I350" i="5"/>
  <c r="I366" i="5"/>
  <c r="I367" i="5"/>
  <c r="I368" i="5"/>
  <c r="I369" i="5"/>
  <c r="I370" i="5"/>
  <c r="I371" i="5"/>
  <c r="I372" i="5"/>
  <c r="I359" i="5"/>
  <c r="I343" i="5"/>
  <c r="I342" i="5"/>
  <c r="I360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61" i="5"/>
  <c r="G344" i="5"/>
  <c r="G362" i="5"/>
  <c r="G345" i="5"/>
  <c r="G346" i="5"/>
  <c r="G347" i="5"/>
  <c r="G363" i="5"/>
  <c r="G348" i="5"/>
  <c r="G364" i="5"/>
  <c r="G365" i="5"/>
  <c r="G352" i="5"/>
  <c r="G349" i="5"/>
  <c r="G354" i="5"/>
  <c r="G355" i="5"/>
  <c r="G356" i="5"/>
  <c r="G357" i="5"/>
  <c r="G358" i="5"/>
  <c r="G375" i="5"/>
  <c r="G376" i="5"/>
  <c r="G373" i="5"/>
  <c r="G374" i="5"/>
  <c r="G351" i="5"/>
  <c r="G353" i="5"/>
  <c r="G350" i="5"/>
  <c r="G366" i="5"/>
  <c r="G367" i="5"/>
  <c r="G368" i="5"/>
  <c r="G369" i="5"/>
  <c r="G370" i="5"/>
  <c r="G371" i="5"/>
  <c r="G372" i="5"/>
  <c r="G359" i="5"/>
  <c r="G343" i="5"/>
  <c r="G342" i="5"/>
  <c r="G360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61" i="5"/>
  <c r="E344" i="5"/>
  <c r="E362" i="5"/>
  <c r="E345" i="5"/>
  <c r="E346" i="5"/>
  <c r="E347" i="5"/>
  <c r="E363" i="5"/>
  <c r="E348" i="5"/>
  <c r="E364" i="5"/>
  <c r="E365" i="5"/>
  <c r="E352" i="5"/>
  <c r="E349" i="5"/>
  <c r="E354" i="5"/>
  <c r="E355" i="5"/>
  <c r="E356" i="5"/>
  <c r="E357" i="5"/>
  <c r="E358" i="5"/>
  <c r="E375" i="5"/>
  <c r="E376" i="5"/>
  <c r="E373" i="5"/>
  <c r="E374" i="5"/>
  <c r="E351" i="5"/>
  <c r="E353" i="5"/>
  <c r="E350" i="5"/>
  <c r="E366" i="5"/>
  <c r="E367" i="5"/>
  <c r="E368" i="5"/>
  <c r="E369" i="5"/>
  <c r="E370" i="5"/>
  <c r="E371" i="5"/>
  <c r="E372" i="5"/>
  <c r="E359" i="5"/>
  <c r="E343" i="5"/>
  <c r="E342" i="5"/>
  <c r="E360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43" i="3"/>
  <c r="E356" i="3"/>
  <c r="E340" i="3"/>
  <c r="E344" i="3"/>
  <c r="E339" i="3"/>
  <c r="E346" i="3"/>
  <c r="E347" i="3"/>
  <c r="E354" i="3"/>
  <c r="E355" i="3"/>
  <c r="E341" i="3"/>
  <c r="E361" i="3"/>
  <c r="E353" i="3"/>
  <c r="E348" i="3"/>
  <c r="E349" i="3"/>
  <c r="E350" i="3"/>
  <c r="E351" i="3"/>
  <c r="E352" i="3"/>
  <c r="E338" i="3"/>
  <c r="E359" i="3"/>
  <c r="E358" i="3"/>
  <c r="E336" i="3"/>
  <c r="E357" i="3"/>
  <c r="E360" i="3"/>
  <c r="E342" i="3"/>
  <c r="E345" i="3"/>
  <c r="E337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43" i="3"/>
  <c r="I356" i="3"/>
  <c r="I340" i="3"/>
  <c r="I344" i="3"/>
  <c r="I339" i="3"/>
  <c r="I346" i="3"/>
  <c r="I347" i="3"/>
  <c r="I354" i="3"/>
  <c r="I355" i="3"/>
  <c r="I341" i="3"/>
  <c r="I361" i="3"/>
  <c r="I353" i="3"/>
  <c r="I348" i="3"/>
  <c r="I349" i="3"/>
  <c r="I350" i="3"/>
  <c r="I351" i="3"/>
  <c r="I352" i="3"/>
  <c r="I338" i="3"/>
  <c r="I359" i="3"/>
  <c r="I358" i="3"/>
  <c r="I336" i="3"/>
  <c r="I357" i="3"/>
  <c r="I360" i="3"/>
  <c r="I342" i="3"/>
  <c r="I345" i="3"/>
  <c r="I337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43" i="3"/>
  <c r="G356" i="3"/>
  <c r="G340" i="3"/>
  <c r="G344" i="3"/>
  <c r="G339" i="3"/>
  <c r="G346" i="3"/>
  <c r="G347" i="3"/>
  <c r="G354" i="3"/>
  <c r="G355" i="3"/>
  <c r="G341" i="3"/>
  <c r="G361" i="3"/>
  <c r="G353" i="3"/>
  <c r="G348" i="3"/>
  <c r="G349" i="3"/>
  <c r="G350" i="3"/>
  <c r="G351" i="3"/>
  <c r="G352" i="3"/>
  <c r="G338" i="3"/>
  <c r="G359" i="3"/>
  <c r="G358" i="3"/>
  <c r="G336" i="3"/>
  <c r="G357" i="3"/>
  <c r="G360" i="3"/>
  <c r="G342" i="3"/>
  <c r="G345" i="3"/>
  <c r="G337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</calcChain>
</file>

<file path=xl/sharedStrings.xml><?xml version="1.0" encoding="utf-8"?>
<sst xmlns="http://schemas.openxmlformats.org/spreadsheetml/2006/main" count="25190" uniqueCount="114">
  <si>
    <t>NUTS0</t>
  </si>
  <si>
    <t>E-Comm</t>
  </si>
  <si>
    <t>B-Com</t>
  </si>
  <si>
    <t>Potential (PJ)</t>
  </si>
  <si>
    <t>GHG (kgCO2eq/GJ)</t>
  </si>
  <si>
    <t>Category</t>
  </si>
  <si>
    <t>Type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</si>
  <si>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</si>
  <si>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</si>
  <si>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</si>
  <si>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</si>
  <si>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</si>
  <si>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</si>
  <si>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</si>
  <si>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</si>
  <si>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</si>
  <si>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</si>
  <si>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</si>
  <si>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</si>
  <si>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</si>
  <si>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</si>
  <si>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</si>
  <si>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</si>
  <si>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</si>
  <si>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</si>
  <si>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</si>
  <si>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</si>
  <si>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</si>
  <si>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</si>
  <si>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</si>
  <si>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</si>
  <si>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</si>
  <si>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</si>
  <si>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</si>
  <si>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</si>
  <si>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</si>
  <si>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</si>
  <si>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</si>
  <si>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</si>
  <si>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</si>
  <si>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</si>
  <si>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</si>
  <si>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TR</t>
  </si>
  <si>
    <t>UA</t>
  </si>
  <si>
    <t>UK</t>
  </si>
  <si>
    <t>XK</t>
  </si>
  <si>
    <t>MINBIOAGRW1</t>
  </si>
  <si>
    <t>MINBIOCRP31</t>
  </si>
  <si>
    <t>MINBIOCRP41a</t>
  </si>
  <si>
    <t>MINBIOFRSR1</t>
  </si>
  <si>
    <t>MINBIOGAS1</t>
  </si>
  <si>
    <t>MINBIOMUN1</t>
  </si>
  <si>
    <t>MINBIOSLU1</t>
  </si>
  <si>
    <t>MINBIOWOO</t>
  </si>
  <si>
    <t>MINBIOWOOa</t>
  </si>
  <si>
    <t>MINBIOCRP11</t>
  </si>
  <si>
    <t>MINBIOCRP21</t>
  </si>
  <si>
    <t>MINBIOCRP41</t>
  </si>
  <si>
    <t>MINBIOFRSR1a</t>
  </si>
  <si>
    <t>MINBIOLIQ1</t>
  </si>
  <si>
    <t>MINBIORPS1</t>
  </si>
  <si>
    <t>MINBIOWOOW1</t>
  </si>
  <si>
    <t>MINBIOWOOW1a</t>
  </si>
  <si>
    <t>Olive pits</t>
  </si>
  <si>
    <t>apples</t>
  </si>
  <si>
    <t>cherries</t>
  </si>
  <si>
    <t>maizestraw</t>
  </si>
  <si>
    <t>olives</t>
  </si>
  <si>
    <t>Miscanthus</t>
  </si>
  <si>
    <t>Switchgrass</t>
  </si>
  <si>
    <t>Poplar</t>
  </si>
  <si>
    <t>C&amp;P_Res</t>
  </si>
  <si>
    <t>Fuelwood Res</t>
  </si>
  <si>
    <t>manure_liq</t>
  </si>
  <si>
    <t>manure_sol</t>
  </si>
  <si>
    <t>MSW</t>
  </si>
  <si>
    <t>sludge</t>
  </si>
  <si>
    <t>FuelwoodRW</t>
  </si>
  <si>
    <t>C&amp;P_RW</t>
  </si>
  <si>
    <t>cerealstraw</t>
  </si>
  <si>
    <t>grass for biogas</t>
  </si>
  <si>
    <t>maize silage</t>
  </si>
  <si>
    <t>osr</t>
  </si>
  <si>
    <t>ricestraw</t>
  </si>
  <si>
    <t>sugarbeettops</t>
  </si>
  <si>
    <t>vineyards</t>
  </si>
  <si>
    <t>barley</t>
  </si>
  <si>
    <t>durum_wheat</t>
  </si>
  <si>
    <t>grain maize</t>
  </si>
  <si>
    <t>oats</t>
  </si>
  <si>
    <t>other_cereals</t>
  </si>
  <si>
    <t>rye</t>
  </si>
  <si>
    <t>softwheat</t>
  </si>
  <si>
    <t>sugarbeet</t>
  </si>
  <si>
    <t>Willow</t>
  </si>
  <si>
    <t>landscapecare</t>
  </si>
  <si>
    <t>soya seed</t>
  </si>
  <si>
    <t>sunflower_seed</t>
  </si>
  <si>
    <t>rape_seed</t>
  </si>
  <si>
    <t>othersecresid</t>
  </si>
  <si>
    <t>sawdust</t>
  </si>
  <si>
    <t>RCG</t>
  </si>
  <si>
    <t>citrus</t>
  </si>
  <si>
    <t>-</t>
  </si>
  <si>
    <t>SOLID</t>
  </si>
  <si>
    <t>WET</t>
  </si>
  <si>
    <t>STARCH</t>
  </si>
  <si>
    <t>OIL</t>
  </si>
  <si>
    <t>RESIDUE</t>
  </si>
  <si>
    <t>ENERGY CROP</t>
  </si>
  <si>
    <t>Cost (€/GJ)</t>
  </si>
  <si>
    <t>Cost (€/MWh)</t>
  </si>
  <si>
    <t>GHG (kgCO2eq/MWh)</t>
  </si>
  <si>
    <t>Potential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</si>
</sst>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96C7A4-4045-49D2-8047-C07CFD1041FD}" name="Tableau5" displayName="Tableau5" ref="A1:K827" totalsRowShown="0" headerRowDxfId="35" headerRowBorderDxfId="34" tableBorderDxfId="33">
  <autoFilter ref="A1:K827" xr:uid="{7A96C7A4-4045-49D2-8047-C07CFD1041FD}"/>
  <tableColumns count="11">
    <tableColumn id="1" xr3:uid="{036303C5-D9D8-4BBB-B25B-00262339A258}" name="NUTS0"/>
    <tableColumn id="2" xr3:uid="{057EE372-C77E-4E6F-88AE-33FC0F4C2868}" name="E-Comm"/>
    <tableColumn id="3" xr3:uid="{42F2E429-0F5B-4595-AB34-6125F2CC9A8D}" name="B-Com"/>
    <tableColumn id="4" xr3:uid="{C9170951-6662-40BF-83BC-57345785232A}" name="Potential (PJ)"/>
    <tableColumn id="9" xr3:uid="{C57ED9BD-129A-4458-8086-8E6C12BA8DAB}" name="Potential (TWh)" dataDxfId="32">
      <calculatedColumnFormula>Tableau5[[#This Row],[Potential (PJ)]]/3.6</calculatedColumnFormula>
    </tableColumn>
    <tableColumn id="5" xr3:uid="{50ED25CC-096E-4E9B-A1E3-BF378057BE1A}" name="Cost (€/GJ)"/>
    <tableColumn id="10" xr3:uid="{66EFC9A6-0FC2-497E-9264-7939C8137071}" name="Cost (€/MWh)" dataDxfId="31">
      <calculatedColumnFormula>Tableau5[[#This Row],[Cost (€/GJ)]]*3.6</calculatedColumnFormula>
    </tableColumn>
    <tableColumn id="6" xr3:uid="{49D9DCB4-F65C-4DF8-B496-0DB45578A110}" name="GHG (kgCO2eq/GJ)"/>
    <tableColumn id="11" xr3:uid="{E1D8D3EE-6D49-49E6-BB50-711F9F62831C}" name="GHG (kgCO2eq/MWh)" dataDxfId="30">
      <calculatedColumnFormula>Tableau5[[#This Row],[GHG (kgCO2eq/GJ)]]*3.6</calculatedColumnFormula>
    </tableColumn>
    <tableColumn id="7" xr3:uid="{F78D36C4-E43A-40A2-8D63-297E73DA8729}" name="Category"/>
    <tableColumn id="8" xr3:uid="{82B8DD5B-44D1-42EE-A9CB-63F8788CD5AC}" name="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CB635B-43BA-4808-A767-D45606FAB435}" name="Tableau6" displayName="Tableau6" ref="A1:K864" totalsRowShown="0" headerRowDxfId="29" headerRowBorderDxfId="28" tableBorderDxfId="27">
  <autoFilter ref="A1:K864" xr:uid="{F3CB635B-43BA-4808-A767-D45606FAB435}"/>
  <tableColumns count="11">
    <tableColumn id="1" xr3:uid="{FB312055-373E-42EC-B5E1-52D008E964D8}" name="NUTS0"/>
    <tableColumn id="2" xr3:uid="{F91CA745-894F-41C3-A673-07259DCCFBB8}" name="E-Comm"/>
    <tableColumn id="3" xr3:uid="{97F4FB5C-8CC3-450E-8D22-DF69609A7766}" name="B-Com"/>
    <tableColumn id="4" xr3:uid="{0D4A3BF9-3B74-472B-8CF3-B998CDED467B}" name="Potential (PJ)"/>
    <tableColumn id="9" xr3:uid="{529CBAEA-BBE8-4A99-86F1-C1B7EA196583}" name="Potential (TWh)" dataDxfId="26">
      <calculatedColumnFormula>Tableau6[[#This Row],[Potential (PJ)]]/3.6</calculatedColumnFormula>
    </tableColumn>
    <tableColumn id="5" xr3:uid="{44C8B2FC-3DB5-4BCA-87D9-8871A29AF9D8}" name="Cost (€/GJ)"/>
    <tableColumn id="10" xr3:uid="{B76EB3CE-1443-4EE4-8D53-F85C7F1D832D}" name="Cost (€/MWh)" dataDxfId="25">
      <calculatedColumnFormula>Tableau6[[#This Row],[Cost (€/GJ)]]*3.6</calculatedColumnFormula>
    </tableColumn>
    <tableColumn id="6" xr3:uid="{65972F68-814B-4FAA-B831-D228DA750088}" name="GHG (kgCO2eq/GJ)"/>
    <tableColumn id="11" xr3:uid="{08A217A7-9C2D-4B58-9C75-6520E95E9E5D}" name="GHG (kgCO2eq/MWh)" dataDxfId="24">
      <calculatedColumnFormula>Tableau6[[#This Row],[GHG (kgCO2eq/GJ)]]*3.6</calculatedColumnFormula>
    </tableColumn>
    <tableColumn id="7" xr3:uid="{34EEB034-977F-4965-A233-1DC982187179}" name="Category"/>
    <tableColumn id="8" xr3:uid="{5188E21E-0AD8-42C2-BB57-D6A0C444B704}" name="Typ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B08268-6014-468C-BAB4-AE42C003499C}" name="Tableau2" displayName="Tableau2" ref="A1:K844" totalsRowShown="0" headerRowDxfId="23" headerRowBorderDxfId="22" tableBorderDxfId="21">
  <autoFilter ref="A1:K844" xr:uid="{9AB08268-6014-468C-BAB4-AE42C003499C}">
    <filterColumn colId="1">
      <filters>
        <filter val="MINBIOFRSR1"/>
        <filter val="MINBIOFRSR1a"/>
        <filter val="MINBIOMUN1"/>
        <filter val="MINBIOWOO"/>
        <filter val="MINBIOWOOa"/>
        <filter val="MINBIOWOOW1"/>
        <filter val="MINBIOWOOW1a"/>
      </filters>
    </filterColumn>
    <filterColumn colId="9">
      <filters>
        <filter val="SOLID"/>
      </filters>
    </filterColumn>
    <filterColumn colId="10">
      <filters>
        <filter val="RESIDUE"/>
      </filters>
    </filterColumn>
  </autoFilter>
  <sortState xmlns:xlrd2="http://schemas.microsoft.com/office/spreadsheetml/2017/richdata2" ref="A336:K361">
    <sortCondition descending="1" ref="G1:G844"/>
  </sortState>
  <tableColumns count="11">
    <tableColumn id="1" xr3:uid="{88068362-8C00-4A6B-A49A-DB3D564E3414}" name="NUTS0"/>
    <tableColumn id="2" xr3:uid="{7381F85F-330F-474F-A79B-82B5ADCDE594}" name="E-Comm"/>
    <tableColumn id="3" xr3:uid="{FB16630A-3EF2-499E-99D5-A01D289B9D59}" name="B-Com"/>
    <tableColumn id="4" xr3:uid="{0B254A8B-9F00-47E4-9640-56C6B117A3AF}" name="Potential (PJ)"/>
    <tableColumn id="9" xr3:uid="{2EB0411E-3970-4D18-95F6-81F953B4D129}" name="Potential (TWh)" dataDxfId="20">
      <calculatedColumnFormula>Tableau2[[#This Row],[Potential (PJ)]]/3.6</calculatedColumnFormula>
    </tableColumn>
    <tableColumn id="5" xr3:uid="{61AFD804-AFCE-4971-BE2C-7543978F5297}" name="Cost (€/GJ)"/>
    <tableColumn id="10" xr3:uid="{6FD443D4-AB3D-483D-A08C-A0F754731094}" name="Cost (€/MWh)" dataDxfId="19">
      <calculatedColumnFormula>Tableau2[[#This Row],[Cost (€/GJ)]]/1000*3600</calculatedColumnFormula>
    </tableColumn>
    <tableColumn id="6" xr3:uid="{02DC9A60-E0B4-48BD-A6ED-7A3ABF1BCC61}" name="GHG (kgCO2eq/GJ)"/>
    <tableColumn id="11" xr3:uid="{39D6B543-6EDE-4BA9-BEE9-8B376F90E02B}" name="GHG (kgCO2eq/MWh)" dataDxfId="18">
      <calculatedColumnFormula>Tableau2[[#This Row],[GHG (kgCO2eq/GJ)]]*3.6</calculatedColumnFormula>
    </tableColumn>
    <tableColumn id="7" xr3:uid="{E824A03E-BAC7-4FFC-8B7D-E7F935BBB45C}" name="Category"/>
    <tableColumn id="8" xr3:uid="{F65EDDC6-BCA9-4A2A-BA9B-B52BFA426FC3}" name="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8123A-AB7C-4C96-B610-E3B596E32352}" name="Tableau1" displayName="Tableau1" ref="A1:K808" totalsRowShown="0" headerRowDxfId="17" headerRowBorderDxfId="16" tableBorderDxfId="15">
  <autoFilter ref="A1:K808" xr:uid="{4E28123A-AB7C-4C96-B610-E3B596E32352}">
    <filterColumn colId="9">
      <filters>
        <filter val="SOLID"/>
      </filters>
    </filterColumn>
    <filterColumn colId="10">
      <filters>
        <filter val="ENERGY CROP"/>
      </filters>
    </filterColumn>
  </autoFilter>
  <sortState xmlns:xlrd2="http://schemas.microsoft.com/office/spreadsheetml/2017/richdata2" ref="A318:K350">
    <sortCondition ref="C1:C808"/>
  </sortState>
  <tableColumns count="11">
    <tableColumn id="1" xr3:uid="{768C4E36-7197-40F7-B053-B6CD8CE6A568}" name="NUTS0"/>
    <tableColumn id="2" xr3:uid="{D2254FC1-52BE-445E-91CC-A96D494A668B}" name="E-Comm"/>
    <tableColumn id="3" xr3:uid="{C415784F-1F14-4B7C-AAF0-A40E675D43D4}" name="B-Com"/>
    <tableColumn id="4" xr3:uid="{E9D2E232-2176-4C77-8DBA-909CE61F7E11}" name="Potential (PJ)"/>
    <tableColumn id="9" xr3:uid="{D349579E-4D48-41A6-8088-7DC9592A3267}" name="Potential (TWh)" dataDxfId="14">
      <calculatedColumnFormula>Tableau1[[#This Row],[Potential (PJ)]]/3.6</calculatedColumnFormula>
    </tableColumn>
    <tableColumn id="5" xr3:uid="{6DB9D76D-15FD-4E1A-8215-A4A47A83AEB4}" name="Cost (€/GJ)"/>
    <tableColumn id="10" xr3:uid="{515D9511-C5E4-4E57-98C5-AB44BF3DC730}" name="Cost (€/MWh)" dataDxfId="13">
      <calculatedColumnFormula>Tableau1[[#This Row],[Cost (€/GJ)]]*3.6</calculatedColumnFormula>
    </tableColumn>
    <tableColumn id="6" xr3:uid="{62E6C4D6-C37D-40F8-825F-7B465A57D728}" name="GHG (kgCO2eq/GJ)"/>
    <tableColumn id="11" xr3:uid="{6B3855E6-5A79-4509-9FFF-588EDBCC549A}" name="GHG (kgCO2eq/MWh)" dataDxfId="12">
      <calculatedColumnFormula>Tableau1[[#This Row],[GHG (kgCO2eq/GJ)]]*3.6</calculatedColumnFormula>
    </tableColumn>
    <tableColumn id="7" xr3:uid="{1134582B-936B-45B9-A92B-7926FCCF6935}" name="Category"/>
    <tableColumn id="8" xr3:uid="{AA4BA08B-7721-4172-B30F-B138A57E3B70}" name="Typ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BC1235-4AC1-49D8-82A5-737C2615C6F6}" name="Tableau4" displayName="Tableau4" ref="A1:K863" totalsRowShown="0" headerRowDxfId="11" headerRowBorderDxfId="10" tableBorderDxfId="9">
  <autoFilter ref="A1:K863" xr:uid="{F1BC1235-4AC1-49D8-82A5-737C2615C6F6}">
    <filterColumn colId="9">
      <filters>
        <filter val="SOLID"/>
      </filters>
    </filterColumn>
    <filterColumn colId="10">
      <filters>
        <filter val="ENERGY CROP"/>
      </filters>
    </filterColumn>
  </autoFilter>
  <sortState xmlns:xlrd2="http://schemas.microsoft.com/office/spreadsheetml/2017/richdata2" ref="A342:K376">
    <sortCondition ref="I1:I863"/>
  </sortState>
  <tableColumns count="11">
    <tableColumn id="1" xr3:uid="{8F132AC8-37C7-43A2-A139-222E28F43F1E}" name="NUTS0"/>
    <tableColumn id="2" xr3:uid="{73085B14-4545-459A-91B4-2AD3F5C7A7BC}" name="E-Comm"/>
    <tableColumn id="3" xr3:uid="{B923579A-86FD-40C8-946F-32225744744B}" name="B-Com"/>
    <tableColumn id="4" xr3:uid="{2B392063-7163-4E88-B794-73E43A0B1948}" name="Potential (PJ)"/>
    <tableColumn id="9" xr3:uid="{84D6FD27-F5F2-4C76-B3D5-B834381C9CF0}" name="Potential (TWh)" dataDxfId="8">
      <calculatedColumnFormula>Tableau4[[#This Row],[Potential (PJ)]]/3.6</calculatedColumnFormula>
    </tableColumn>
    <tableColumn id="5" xr3:uid="{690784B6-CC2A-4922-97F9-2A951CCCCDAC}" name="Cost (€/GJ)"/>
    <tableColumn id="10" xr3:uid="{44655D8D-2B4D-4DBA-9FDD-3C313F020E0D}" name="Cost (€/MWh)" dataDxfId="7">
      <calculatedColumnFormula>Tableau4[[#This Row],[Cost (€/GJ)]]*3.6</calculatedColumnFormula>
    </tableColumn>
    <tableColumn id="6" xr3:uid="{D020DA4C-4174-48EE-911C-41827BD79FEA}" name="GHG (kgCO2eq/GJ)"/>
    <tableColumn id="11" xr3:uid="{E168CE70-0BB2-4FF8-A3F5-2329CE4CE246}" name="GHG (kgCO2eq/MWh)" dataDxfId="6">
      <calculatedColumnFormula>Tableau4[[#This Row],[GHG (kgCO2eq/GJ)]]*3.6</calculatedColumnFormula>
    </tableColumn>
    <tableColumn id="7" xr3:uid="{82E27105-D6C5-4941-8008-B036CB4FAB88}" name="Category"/>
    <tableColumn id="8" xr3:uid="{C00332EB-D9B2-4DAA-975B-0A1A9705B7C0}" name="Typ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085E68-D280-4C2E-A6C6-B576F4A263C8}" name="Tableau3" displayName="Tableau3" ref="A1:K852" totalsRowShown="0" headerRowDxfId="5" headerRowBorderDxfId="4" tableBorderDxfId="3">
  <autoFilter ref="A1:K852" xr:uid="{C2085E68-D280-4C2E-A6C6-B576F4A263C8}"/>
  <tableColumns count="11">
    <tableColumn id="1" xr3:uid="{38944346-D13C-4C2B-A58A-BAFD33FD097E}" name="NUTS0"/>
    <tableColumn id="2" xr3:uid="{5BDC85E2-A227-44CD-9872-5ADC0D61AD2B}" name="E-Comm"/>
    <tableColumn id="3" xr3:uid="{F5C2727D-3A92-40AB-8256-C3CDB5572C78}" name="B-Com"/>
    <tableColumn id="4" xr3:uid="{EC87CC28-C9F9-4C7A-8F59-2ED697EAEA4F}" name="Potential (PJ)"/>
    <tableColumn id="9" xr3:uid="{8A14E1CF-10FD-426B-B7B2-8951A11DB0DD}" name="Potential (TWh)" dataDxfId="2">
      <calculatedColumnFormula>Tableau3[[#This Row],[Potential (PJ)]]/3.6</calculatedColumnFormula>
    </tableColumn>
    <tableColumn id="5" xr3:uid="{58E4DF21-DCB0-4E48-80AF-7FE02789D3F2}" name="Cost (€/GJ)"/>
    <tableColumn id="10" xr3:uid="{D951402A-A66C-4BE4-873F-685742047D20}" name="Cost (€/MWh)" dataDxfId="1">
      <calculatedColumnFormula>Tableau3[[#This Row],[Cost (€/GJ)]]*3.6</calculatedColumnFormula>
    </tableColumn>
    <tableColumn id="6" xr3:uid="{0D3EA775-4D82-4726-9E0D-5C761E52DEE7}" name="GHG (kgCO2eq/GJ)"/>
    <tableColumn id="11" xr3:uid="{3CE2215C-65AD-46A4-8FDE-6E6322EF38CB}" name="GHG (kgCO2eq/MWh)" dataDxfId="0">
      <calculatedColumnFormula>Tableau3[[#This Row],[GHG (kgCO2eq/GJ)]]*3.6</calculatedColumnFormula>
    </tableColumn>
    <tableColumn id="7" xr3:uid="{405FB2A5-1F9E-4FB7-AFFE-8B27E29EB775}" name="Category"/>
    <tableColumn id="8" xr3:uid="{BF8BE769-01C8-45DB-9C7C-EF5D317D002D}" name="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7"/>
  <sheetViews>
    <sheetView tabSelected="1" workbookViewId="0"/>
  </sheetViews>
  <sheetFormatPr baseColWidth="10" defaultColWidth="8.88671875" defaultRowHeight="14.4" x14ac:dyDescent="0.3"/>
  <cols>
    <col min="1" max="11" width="22.886718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113</v>
      </c>
      <c r="F1" s="2" t="s">
        <v>110</v>
      </c>
      <c r="G1" s="2" t="s">
        <v>111</v>
      </c>
      <c r="H1" s="2" t="s">
        <v>4</v>
      </c>
      <c r="I1" s="2" t="s">
        <v>112</v>
      </c>
      <c r="J1" s="2" t="s">
        <v>5</v>
      </c>
      <c r="K1" s="2" t="s">
        <v>6</v>
      </c>
    </row>
    <row r="2" spans="1:11" x14ac:dyDescent="0.3">
      <c r="A2" t="s">
        <v>7</v>
      </c>
      <c r="B2" t="s">
        <v>46</v>
      </c>
      <c r="C2" t="s">
        <v>63</v>
      </c>
      <c r="D2">
        <v>7.4800000000000005E-2</v>
      </c>
      <c r="E2">
        <f>Tableau5[[#This Row],[Potential (PJ)]]/3.6</f>
        <v>2.077777777777778E-2</v>
      </c>
      <c r="F2">
        <v>2.9286474973375931</v>
      </c>
      <c r="G2">
        <f>Tableau5[[#This Row],[Cost (€/GJ)]]*3.6</f>
        <v>10.543130990415335</v>
      </c>
      <c r="H2">
        <v>3.950479233226837</v>
      </c>
      <c r="I2">
        <f>Tableau5[[#This Row],[GHG (kgCO2eq/GJ)]]*3.6</f>
        <v>14.221725239616614</v>
      </c>
      <c r="J2" t="s">
        <v>104</v>
      </c>
      <c r="K2" t="s">
        <v>108</v>
      </c>
    </row>
    <row r="3" spans="1:11" x14ac:dyDescent="0.3">
      <c r="A3" t="s">
        <v>7</v>
      </c>
      <c r="B3" t="s">
        <v>46</v>
      </c>
      <c r="C3" t="s">
        <v>64</v>
      </c>
      <c r="D3">
        <v>5.5660000000000001E-2</v>
      </c>
      <c r="E3">
        <f>Tableau5[[#This Row],[Potential (PJ)]]/3.6</f>
        <v>1.5461111111111111E-2</v>
      </c>
      <c r="F3">
        <v>6.423</v>
      </c>
      <c r="G3">
        <f>Tableau5[[#This Row],[Cost (€/GJ)]]*3.6</f>
        <v>23.122800000000002</v>
      </c>
      <c r="H3">
        <v>2.9521711768407801</v>
      </c>
      <c r="I3">
        <f>Tableau5[[#This Row],[GHG (kgCO2eq/GJ)]]*3.6</f>
        <v>10.627816236626808</v>
      </c>
      <c r="J3" t="s">
        <v>104</v>
      </c>
      <c r="K3" t="s">
        <v>108</v>
      </c>
    </row>
    <row r="4" spans="1:11" x14ac:dyDescent="0.3">
      <c r="A4" t="s">
        <v>7</v>
      </c>
      <c r="B4" t="s">
        <v>46</v>
      </c>
      <c r="C4" t="s">
        <v>65</v>
      </c>
      <c r="D4">
        <v>0.1</v>
      </c>
      <c r="E4">
        <f>Tableau5[[#This Row],[Potential (PJ)]]/3.6</f>
        <v>2.777777777777778E-2</v>
      </c>
      <c r="F4">
        <v>4.5</v>
      </c>
      <c r="G4">
        <f>Tableau5[[#This Row],[Cost (€/GJ)]]*3.6</f>
        <v>16.2</v>
      </c>
      <c r="H4">
        <v>2.9521711768407801</v>
      </c>
      <c r="I4">
        <f>Tableau5[[#This Row],[GHG (kgCO2eq/GJ)]]*3.6</f>
        <v>10.627816236626808</v>
      </c>
      <c r="J4" t="s">
        <v>104</v>
      </c>
      <c r="K4" t="s">
        <v>108</v>
      </c>
    </row>
    <row r="5" spans="1:11" x14ac:dyDescent="0.3">
      <c r="A5" t="s">
        <v>7</v>
      </c>
      <c r="B5" t="s">
        <v>46</v>
      </c>
      <c r="C5" t="s">
        <v>66</v>
      </c>
      <c r="D5">
        <v>0.3</v>
      </c>
      <c r="E5">
        <f>Tableau5[[#This Row],[Potential (PJ)]]/3.6</f>
        <v>8.3333333333333329E-2</v>
      </c>
      <c r="F5">
        <v>2.1789999999999998</v>
      </c>
      <c r="G5">
        <f>Tableau5[[#This Row],[Cost (€/GJ)]]*3.6</f>
        <v>7.8443999999999994</v>
      </c>
      <c r="H5">
        <v>6.8428961748633883</v>
      </c>
      <c r="I5">
        <f>Tableau5[[#This Row],[GHG (kgCO2eq/GJ)]]*3.6</f>
        <v>24.634426229508197</v>
      </c>
      <c r="J5" t="s">
        <v>104</v>
      </c>
      <c r="K5" t="s">
        <v>108</v>
      </c>
    </row>
    <row r="6" spans="1:11" x14ac:dyDescent="0.3">
      <c r="A6" t="s">
        <v>7</v>
      </c>
      <c r="B6" t="s">
        <v>46</v>
      </c>
      <c r="C6" t="s">
        <v>67</v>
      </c>
      <c r="D6">
        <v>0.1</v>
      </c>
      <c r="E6">
        <f>Tableau5[[#This Row],[Potential (PJ)]]/3.6</f>
        <v>2.777777777777778E-2</v>
      </c>
      <c r="F6">
        <v>5.1260000000000003</v>
      </c>
      <c r="G6">
        <f>Tableau5[[#This Row],[Cost (€/GJ)]]*3.6</f>
        <v>18.453600000000002</v>
      </c>
      <c r="H6">
        <v>2.9521711768407801</v>
      </c>
      <c r="I6">
        <f>Tableau5[[#This Row],[GHG (kgCO2eq/GJ)]]*3.6</f>
        <v>10.627816236626808</v>
      </c>
      <c r="J6" t="s">
        <v>104</v>
      </c>
      <c r="K6" t="s">
        <v>108</v>
      </c>
    </row>
    <row r="7" spans="1:11" x14ac:dyDescent="0.3">
      <c r="A7" t="s">
        <v>7</v>
      </c>
      <c r="B7" t="s">
        <v>47</v>
      </c>
      <c r="C7" t="s">
        <v>68</v>
      </c>
      <c r="D7">
        <v>5.8</v>
      </c>
      <c r="E7">
        <f>Tableau5[[#This Row],[Potential (PJ)]]/3.6</f>
        <v>1.6111111111111109</v>
      </c>
      <c r="F7">
        <v>2.952</v>
      </c>
      <c r="G7">
        <f>Tableau5[[#This Row],[Cost (€/GJ)]]*3.6</f>
        <v>10.6272</v>
      </c>
      <c r="H7">
        <v>14.5</v>
      </c>
      <c r="I7">
        <f>Tableau5[[#This Row],[GHG (kgCO2eq/GJ)]]*3.6</f>
        <v>52.2</v>
      </c>
      <c r="J7" t="s">
        <v>104</v>
      </c>
      <c r="K7" t="s">
        <v>109</v>
      </c>
    </row>
    <row r="8" spans="1:11" x14ac:dyDescent="0.3">
      <c r="A8" t="s">
        <v>7</v>
      </c>
      <c r="B8" t="s">
        <v>47</v>
      </c>
      <c r="C8" t="s">
        <v>69</v>
      </c>
      <c r="D8">
        <v>4.0999999999999996</v>
      </c>
      <c r="E8">
        <f>Tableau5[[#This Row],[Potential (PJ)]]/3.6</f>
        <v>1.1388888888888888</v>
      </c>
      <c r="F8">
        <v>2.9359999999999999</v>
      </c>
      <c r="G8">
        <f>Tableau5[[#This Row],[Cost (€/GJ)]]*3.6</f>
        <v>10.569599999999999</v>
      </c>
      <c r="H8">
        <v>14.5</v>
      </c>
      <c r="I8">
        <f>Tableau5[[#This Row],[GHG (kgCO2eq/GJ)]]*3.6</f>
        <v>52.2</v>
      </c>
      <c r="J8" t="s">
        <v>104</v>
      </c>
      <c r="K8" t="s">
        <v>109</v>
      </c>
    </row>
    <row r="9" spans="1:11" x14ac:dyDescent="0.3">
      <c r="A9" t="s">
        <v>7</v>
      </c>
      <c r="B9" t="s">
        <v>48</v>
      </c>
      <c r="C9" t="s">
        <v>70</v>
      </c>
      <c r="D9">
        <v>2.2000000000000002</v>
      </c>
      <c r="E9">
        <f>Tableau5[[#This Row],[Potential (PJ)]]/3.6</f>
        <v>0.61111111111111116</v>
      </c>
      <c r="F9">
        <v>7.6869999999999994</v>
      </c>
      <c r="G9">
        <f>Tableau5[[#This Row],[Cost (€/GJ)]]*3.6</f>
        <v>27.673199999999998</v>
      </c>
      <c r="H9">
        <v>0</v>
      </c>
      <c r="I9">
        <f>Tableau5[[#This Row],[GHG (kgCO2eq/GJ)]]*3.6</f>
        <v>0</v>
      </c>
      <c r="J9" t="s">
        <v>104</v>
      </c>
      <c r="K9" t="s">
        <v>109</v>
      </c>
    </row>
    <row r="10" spans="1:11" x14ac:dyDescent="0.3">
      <c r="A10" t="s">
        <v>7</v>
      </c>
      <c r="B10" t="s">
        <v>49</v>
      </c>
      <c r="C10" t="s">
        <v>71</v>
      </c>
      <c r="D10">
        <v>2.8349899999999999</v>
      </c>
      <c r="E10">
        <f>Tableau5[[#This Row],[Potential (PJ)]]/3.6</f>
        <v>0.78749722222222218</v>
      </c>
      <c r="F10">
        <v>0</v>
      </c>
      <c r="G10">
        <f>Tableau5[[#This Row],[Cost (€/GJ)]]*3.6</f>
        <v>0</v>
      </c>
      <c r="H10">
        <v>3.86607608129234</v>
      </c>
      <c r="I10">
        <f>Tableau5[[#This Row],[GHG (kgCO2eq/GJ)]]*3.6</f>
        <v>13.917873892652425</v>
      </c>
      <c r="J10" t="s">
        <v>104</v>
      </c>
      <c r="K10" t="s">
        <v>108</v>
      </c>
    </row>
    <row r="11" spans="1:11" x14ac:dyDescent="0.3">
      <c r="A11" t="s">
        <v>7</v>
      </c>
      <c r="B11" t="s">
        <v>49</v>
      </c>
      <c r="C11" t="s">
        <v>72</v>
      </c>
      <c r="D11">
        <v>0.8</v>
      </c>
      <c r="E11">
        <f>Tableau5[[#This Row],[Potential (PJ)]]/3.6</f>
        <v>0.22222222222222224</v>
      </c>
      <c r="F11">
        <v>0</v>
      </c>
      <c r="G11">
        <f>Tableau5[[#This Row],[Cost (€/GJ)]]*3.6</f>
        <v>0</v>
      </c>
      <c r="H11">
        <v>3.86607608129234</v>
      </c>
      <c r="I11">
        <f>Tableau5[[#This Row],[GHG (kgCO2eq/GJ)]]*3.6</f>
        <v>13.917873892652425</v>
      </c>
      <c r="J11" t="s">
        <v>104</v>
      </c>
      <c r="K11" t="s">
        <v>108</v>
      </c>
    </row>
    <row r="12" spans="1:11" x14ac:dyDescent="0.3">
      <c r="A12" t="s">
        <v>7</v>
      </c>
      <c r="B12" t="s">
        <v>50</v>
      </c>
      <c r="C12" t="s">
        <v>73</v>
      </c>
      <c r="D12">
        <v>0.2</v>
      </c>
      <c r="E12">
        <f>Tableau5[[#This Row],[Potential (PJ)]]/3.6</f>
        <v>5.5555555555555559E-2</v>
      </c>
      <c r="F12">
        <v>5.4240000000000004</v>
      </c>
      <c r="G12">
        <f>Tableau5[[#This Row],[Cost (€/GJ)]]*3.6</f>
        <v>19.526400000000002</v>
      </c>
      <c r="H12">
        <v>20.723404255319149</v>
      </c>
      <c r="I12">
        <f>Tableau5[[#This Row],[GHG (kgCO2eq/GJ)]]*3.6</f>
        <v>74.604255319148933</v>
      </c>
      <c r="J12" t="s">
        <v>105</v>
      </c>
      <c r="K12" t="s">
        <v>108</v>
      </c>
    </row>
    <row r="13" spans="1:11" x14ac:dyDescent="0.3">
      <c r="A13" t="s">
        <v>7</v>
      </c>
      <c r="B13" t="s">
        <v>50</v>
      </c>
      <c r="C13" t="s">
        <v>74</v>
      </c>
      <c r="D13">
        <v>0.6</v>
      </c>
      <c r="E13">
        <f>Tableau5[[#This Row],[Potential (PJ)]]/3.6</f>
        <v>0.16666666666666666</v>
      </c>
      <c r="F13">
        <v>3.484</v>
      </c>
      <c r="G13">
        <f>Tableau5[[#This Row],[Cost (€/GJ)]]*3.6</f>
        <v>12.542400000000001</v>
      </c>
      <c r="H13">
        <v>2.0635593220338988</v>
      </c>
      <c r="I13">
        <f>Tableau5[[#This Row],[GHG (kgCO2eq/GJ)]]*3.6</f>
        <v>7.4288135593220357</v>
      </c>
      <c r="J13" t="s">
        <v>105</v>
      </c>
      <c r="K13" t="s">
        <v>108</v>
      </c>
    </row>
    <row r="14" spans="1:11" x14ac:dyDescent="0.3">
      <c r="A14" t="s">
        <v>7</v>
      </c>
      <c r="B14" t="s">
        <v>51</v>
      </c>
      <c r="C14" t="s">
        <v>75</v>
      </c>
      <c r="D14">
        <v>0.73025600000000002</v>
      </c>
      <c r="E14">
        <f>Tableau5[[#This Row],[Potential (PJ)]]/3.6</f>
        <v>0.20284888888888888</v>
      </c>
      <c r="F14">
        <v>0.170963909829246</v>
      </c>
      <c r="G14">
        <f>Tableau5[[#This Row],[Cost (€/GJ)]]*3.6</f>
        <v>0.61547007538528564</v>
      </c>
      <c r="H14">
        <v>11.74</v>
      </c>
      <c r="I14">
        <f>Tableau5[[#This Row],[GHG (kgCO2eq/GJ)]]*3.6</f>
        <v>42.264000000000003</v>
      </c>
      <c r="J14" t="s">
        <v>104</v>
      </c>
      <c r="K14" t="s">
        <v>108</v>
      </c>
    </row>
    <row r="15" spans="1:11" x14ac:dyDescent="0.3">
      <c r="A15" t="s">
        <v>7</v>
      </c>
      <c r="B15" t="s">
        <v>52</v>
      </c>
      <c r="C15" t="s">
        <v>76</v>
      </c>
      <c r="D15">
        <v>1.7999999999999999E-2</v>
      </c>
      <c r="E15">
        <f>Tableau5[[#This Row],[Potential (PJ)]]/3.6</f>
        <v>4.9999999999999992E-3</v>
      </c>
      <c r="F15">
        <v>8.4824999999999999</v>
      </c>
      <c r="G15">
        <f>Tableau5[[#This Row],[Cost (€/GJ)]]*3.6</f>
        <v>30.536999999999999</v>
      </c>
      <c r="H15">
        <v>12.68872359754714</v>
      </c>
      <c r="I15">
        <f>Tableau5[[#This Row],[GHG (kgCO2eq/GJ)]]*3.6</f>
        <v>45.679404951169708</v>
      </c>
      <c r="J15" t="s">
        <v>105</v>
      </c>
      <c r="K15" t="s">
        <v>108</v>
      </c>
    </row>
    <row r="16" spans="1:11" x14ac:dyDescent="0.3">
      <c r="A16" t="s">
        <v>7</v>
      </c>
      <c r="B16" t="s">
        <v>53</v>
      </c>
      <c r="C16" t="s">
        <v>77</v>
      </c>
      <c r="D16">
        <v>1.2026699999999999</v>
      </c>
      <c r="E16">
        <f>Tableau5[[#This Row],[Potential (PJ)]]/3.6</f>
        <v>0.33407499999999996</v>
      </c>
      <c r="F16">
        <v>0</v>
      </c>
      <c r="G16">
        <f>Tableau5[[#This Row],[Cost (€/GJ)]]*3.6</f>
        <v>0</v>
      </c>
      <c r="H16">
        <v>3.86607608129234</v>
      </c>
      <c r="I16">
        <f>Tableau5[[#This Row],[GHG (kgCO2eq/GJ)]]*3.6</f>
        <v>13.917873892652425</v>
      </c>
      <c r="J16" t="s">
        <v>104</v>
      </c>
      <c r="K16" t="s">
        <v>108</v>
      </c>
    </row>
    <row r="17" spans="1:11" x14ac:dyDescent="0.3">
      <c r="A17" t="s">
        <v>7</v>
      </c>
      <c r="B17" t="s">
        <v>54</v>
      </c>
      <c r="C17" t="s">
        <v>78</v>
      </c>
      <c r="D17">
        <v>4.4000000000000004</v>
      </c>
      <c r="E17">
        <f>Tableau5[[#This Row],[Potential (PJ)]]/3.6</f>
        <v>1.2222222222222223</v>
      </c>
      <c r="F17">
        <v>0</v>
      </c>
      <c r="G17">
        <f>Tableau5[[#This Row],[Cost (€/GJ)]]*3.6</f>
        <v>0</v>
      </c>
      <c r="H17">
        <v>3.86607608129234</v>
      </c>
      <c r="I17">
        <f>Tableau5[[#This Row],[GHG (kgCO2eq/GJ)]]*3.6</f>
        <v>13.917873892652425</v>
      </c>
      <c r="J17" t="s">
        <v>104</v>
      </c>
      <c r="K17" t="s">
        <v>108</v>
      </c>
    </row>
    <row r="18" spans="1:11" x14ac:dyDescent="0.3">
      <c r="A18" t="s">
        <v>8</v>
      </c>
      <c r="B18" t="s">
        <v>46</v>
      </c>
      <c r="C18" t="s">
        <v>79</v>
      </c>
      <c r="D18">
        <v>4.8000000000000007</v>
      </c>
      <c r="E18">
        <f>Tableau5[[#This Row],[Potential (PJ)]]/3.6</f>
        <v>1.3333333333333335</v>
      </c>
      <c r="F18">
        <v>13.037791666666671</v>
      </c>
      <c r="G18">
        <f>Tableau5[[#This Row],[Cost (€/GJ)]]*3.6</f>
        <v>46.936050000000016</v>
      </c>
      <c r="H18">
        <v>6.8428961748633883</v>
      </c>
      <c r="I18">
        <f>Tableau5[[#This Row],[GHG (kgCO2eq/GJ)]]*3.6</f>
        <v>24.634426229508197</v>
      </c>
      <c r="J18" t="s">
        <v>104</v>
      </c>
      <c r="K18" t="s">
        <v>108</v>
      </c>
    </row>
    <row r="19" spans="1:11" x14ac:dyDescent="0.3">
      <c r="A19" t="s">
        <v>8</v>
      </c>
      <c r="B19" t="s">
        <v>46</v>
      </c>
      <c r="C19" t="s">
        <v>80</v>
      </c>
      <c r="D19">
        <v>5.1093999999999999</v>
      </c>
      <c r="E19">
        <f>Tableau5[[#This Row],[Potential (PJ)]]/3.6</f>
        <v>1.4192777777777776</v>
      </c>
      <c r="F19">
        <v>0.71274443695212408</v>
      </c>
      <c r="G19">
        <f>Tableau5[[#This Row],[Cost (€/GJ)]]*3.6</f>
        <v>2.5658799730276467</v>
      </c>
      <c r="H19">
        <v>28.139870918023309</v>
      </c>
      <c r="I19">
        <f>Tableau5[[#This Row],[GHG (kgCO2eq/GJ)]]*3.6</f>
        <v>101.30353530488391</v>
      </c>
      <c r="J19" t="s">
        <v>105</v>
      </c>
      <c r="K19" t="s">
        <v>108</v>
      </c>
    </row>
    <row r="20" spans="1:11" x14ac:dyDescent="0.3">
      <c r="A20" t="s">
        <v>8</v>
      </c>
      <c r="B20" t="s">
        <v>46</v>
      </c>
      <c r="C20" t="s">
        <v>81</v>
      </c>
      <c r="D20">
        <v>1.8685</v>
      </c>
      <c r="E20">
        <f>Tableau5[[#This Row],[Potential (PJ)]]/3.6</f>
        <v>0.51902777777777775</v>
      </c>
      <c r="F20">
        <v>1.242655699177438</v>
      </c>
      <c r="G20">
        <f>Tableau5[[#This Row],[Cost (€/GJ)]]*3.6</f>
        <v>4.4735605170387771</v>
      </c>
      <c r="H20">
        <v>8.9647473560517046</v>
      </c>
      <c r="I20">
        <f>Tableau5[[#This Row],[GHG (kgCO2eq/GJ)]]*3.6</f>
        <v>32.273090481786134</v>
      </c>
      <c r="J20" t="s">
        <v>105</v>
      </c>
      <c r="K20" t="s">
        <v>108</v>
      </c>
    </row>
    <row r="21" spans="1:11" x14ac:dyDescent="0.3">
      <c r="A21" t="s">
        <v>8</v>
      </c>
      <c r="B21" t="s">
        <v>46</v>
      </c>
      <c r="C21" t="s">
        <v>66</v>
      </c>
      <c r="D21">
        <v>2.2999999999999998</v>
      </c>
      <c r="E21">
        <f>Tableau5[[#This Row],[Potential (PJ)]]/3.6</f>
        <v>0.63888888888888884</v>
      </c>
      <c r="F21">
        <v>13.493</v>
      </c>
      <c r="G21">
        <f>Tableau5[[#This Row],[Cost (€/GJ)]]*3.6</f>
        <v>48.574800000000003</v>
      </c>
      <c r="H21">
        <v>6.8428961748633883</v>
      </c>
      <c r="I21">
        <f>Tableau5[[#This Row],[GHG (kgCO2eq/GJ)]]*3.6</f>
        <v>24.634426229508197</v>
      </c>
      <c r="J21" t="s">
        <v>104</v>
      </c>
      <c r="K21" t="s">
        <v>108</v>
      </c>
    </row>
    <row r="22" spans="1:11" x14ac:dyDescent="0.3">
      <c r="A22" t="s">
        <v>8</v>
      </c>
      <c r="B22" t="s">
        <v>46</v>
      </c>
      <c r="C22" t="s">
        <v>82</v>
      </c>
      <c r="D22">
        <v>0.5</v>
      </c>
      <c r="E22">
        <f>Tableau5[[#This Row],[Potential (PJ)]]/3.6</f>
        <v>0.1388888888888889</v>
      </c>
      <c r="F22">
        <v>7.932599999999999</v>
      </c>
      <c r="G22">
        <f>Tableau5[[#This Row],[Cost (€/GJ)]]*3.6</f>
        <v>28.557359999999996</v>
      </c>
      <c r="H22">
        <v>6.8428961748633883</v>
      </c>
      <c r="I22">
        <f>Tableau5[[#This Row],[GHG (kgCO2eq/GJ)]]*3.6</f>
        <v>24.634426229508197</v>
      </c>
      <c r="J22" t="s">
        <v>104</v>
      </c>
      <c r="K22" t="s">
        <v>108</v>
      </c>
    </row>
    <row r="23" spans="1:11" x14ac:dyDescent="0.3">
      <c r="A23" t="s">
        <v>8</v>
      </c>
      <c r="B23" t="s">
        <v>46</v>
      </c>
      <c r="C23" t="s">
        <v>83</v>
      </c>
      <c r="D23">
        <v>0.2</v>
      </c>
      <c r="E23">
        <f>Tableau5[[#This Row],[Potential (PJ)]]/3.6</f>
        <v>5.5555555555555559E-2</v>
      </c>
      <c r="F23">
        <v>0</v>
      </c>
      <c r="G23">
        <f>Tableau5[[#This Row],[Cost (€/GJ)]]*3.6</f>
        <v>0</v>
      </c>
      <c r="H23">
        <v>6.8428961748633883</v>
      </c>
      <c r="I23">
        <f>Tableau5[[#This Row],[GHG (kgCO2eq/GJ)]]*3.6</f>
        <v>24.634426229508197</v>
      </c>
      <c r="J23" t="s">
        <v>104</v>
      </c>
      <c r="K23" t="s">
        <v>108</v>
      </c>
    </row>
    <row r="24" spans="1:11" x14ac:dyDescent="0.3">
      <c r="A24" t="s">
        <v>8</v>
      </c>
      <c r="B24" t="s">
        <v>46</v>
      </c>
      <c r="C24" t="s">
        <v>84</v>
      </c>
      <c r="D24">
        <v>0.2</v>
      </c>
      <c r="E24">
        <f>Tableau5[[#This Row],[Potential (PJ)]]/3.6</f>
        <v>5.5555555555555559E-2</v>
      </c>
      <c r="F24">
        <v>5.4379999999999988</v>
      </c>
      <c r="G24">
        <f>Tableau5[[#This Row],[Cost (€/GJ)]]*3.6</f>
        <v>19.576799999999995</v>
      </c>
      <c r="H24">
        <v>28.139870918023309</v>
      </c>
      <c r="I24">
        <f>Tableau5[[#This Row],[GHG (kgCO2eq/GJ)]]*3.6</f>
        <v>101.30353530488391</v>
      </c>
      <c r="J24" t="s">
        <v>105</v>
      </c>
      <c r="K24" t="s">
        <v>108</v>
      </c>
    </row>
    <row r="25" spans="1:11" x14ac:dyDescent="0.3">
      <c r="A25" t="s">
        <v>8</v>
      </c>
      <c r="B25" t="s">
        <v>46</v>
      </c>
      <c r="C25" t="s">
        <v>85</v>
      </c>
      <c r="D25">
        <v>0.1</v>
      </c>
      <c r="E25">
        <f>Tableau5[[#This Row],[Potential (PJ)]]/3.6</f>
        <v>2.777777777777778E-2</v>
      </c>
      <c r="F25">
        <v>4.82</v>
      </c>
      <c r="G25">
        <f>Tableau5[[#This Row],[Cost (€/GJ)]]*3.6</f>
        <v>17.352</v>
      </c>
      <c r="H25">
        <v>2.9521711768407801</v>
      </c>
      <c r="I25">
        <f>Tableau5[[#This Row],[GHG (kgCO2eq/GJ)]]*3.6</f>
        <v>10.627816236626808</v>
      </c>
      <c r="J25" t="s">
        <v>104</v>
      </c>
      <c r="K25" t="s">
        <v>108</v>
      </c>
    </row>
    <row r="26" spans="1:11" x14ac:dyDescent="0.3">
      <c r="A26" t="s">
        <v>8</v>
      </c>
      <c r="B26" t="s">
        <v>55</v>
      </c>
      <c r="C26" t="s">
        <v>86</v>
      </c>
      <c r="D26">
        <v>5.8599999999999999E-2</v>
      </c>
      <c r="E26">
        <f>Tableau5[[#This Row],[Potential (PJ)]]/3.6</f>
        <v>1.6277777777777776E-2</v>
      </c>
      <c r="F26">
        <v>10.414</v>
      </c>
      <c r="G26">
        <f>Tableau5[[#This Row],[Cost (€/GJ)]]*3.6</f>
        <v>37.490400000000001</v>
      </c>
      <c r="H26">
        <v>9.3000000000000007</v>
      </c>
      <c r="I26">
        <f>Tableau5[[#This Row],[GHG (kgCO2eq/GJ)]]*3.6</f>
        <v>33.480000000000004</v>
      </c>
      <c r="J26" t="s">
        <v>106</v>
      </c>
      <c r="K26" t="s">
        <v>109</v>
      </c>
    </row>
    <row r="27" spans="1:11" x14ac:dyDescent="0.3">
      <c r="A27" t="s">
        <v>8</v>
      </c>
      <c r="B27" t="s">
        <v>55</v>
      </c>
      <c r="C27" t="s">
        <v>87</v>
      </c>
      <c r="D27">
        <v>0.23180000000000001</v>
      </c>
      <c r="E27">
        <f>Tableau5[[#This Row],[Potential (PJ)]]/3.6</f>
        <v>6.4388888888888884E-2</v>
      </c>
      <c r="F27">
        <v>11.951000000000001</v>
      </c>
      <c r="G27">
        <f>Tableau5[[#This Row],[Cost (€/GJ)]]*3.6</f>
        <v>43.023600000000002</v>
      </c>
      <c r="H27">
        <v>9.3000000000000007</v>
      </c>
      <c r="I27">
        <f>Tableau5[[#This Row],[GHG (kgCO2eq/GJ)]]*3.6</f>
        <v>33.480000000000004</v>
      </c>
      <c r="J27" t="s">
        <v>106</v>
      </c>
      <c r="K27" t="s">
        <v>109</v>
      </c>
    </row>
    <row r="28" spans="1:11" x14ac:dyDescent="0.3">
      <c r="A28" t="s">
        <v>8</v>
      </c>
      <c r="B28" t="s">
        <v>55</v>
      </c>
      <c r="C28" t="s">
        <v>88</v>
      </c>
      <c r="D28">
        <v>0.32500000000000001</v>
      </c>
      <c r="E28">
        <f>Tableau5[[#This Row],[Potential (PJ)]]/3.6</f>
        <v>9.0277777777777776E-2</v>
      </c>
      <c r="F28">
        <v>10.555</v>
      </c>
      <c r="G28">
        <f>Tableau5[[#This Row],[Cost (€/GJ)]]*3.6</f>
        <v>37.997999999999998</v>
      </c>
      <c r="H28">
        <v>9.3000000000000007</v>
      </c>
      <c r="I28">
        <f>Tableau5[[#This Row],[GHG (kgCO2eq/GJ)]]*3.6</f>
        <v>33.480000000000004</v>
      </c>
      <c r="J28" t="s">
        <v>106</v>
      </c>
      <c r="K28" t="s">
        <v>109</v>
      </c>
    </row>
    <row r="29" spans="1:11" x14ac:dyDescent="0.3">
      <c r="A29" t="s">
        <v>8</v>
      </c>
      <c r="B29" t="s">
        <v>55</v>
      </c>
      <c r="C29" t="s">
        <v>89</v>
      </c>
      <c r="D29">
        <v>7.1499999999999994E-2</v>
      </c>
      <c r="E29">
        <f>Tableau5[[#This Row],[Potential (PJ)]]/3.6</f>
        <v>1.9861111111111111E-2</v>
      </c>
      <c r="F29">
        <v>0</v>
      </c>
      <c r="G29">
        <f>Tableau5[[#This Row],[Cost (€/GJ)]]*3.6</f>
        <v>0</v>
      </c>
      <c r="H29">
        <v>9.3000000000000007</v>
      </c>
      <c r="I29">
        <f>Tableau5[[#This Row],[GHG (kgCO2eq/GJ)]]*3.6</f>
        <v>33.480000000000004</v>
      </c>
      <c r="J29" t="s">
        <v>106</v>
      </c>
      <c r="K29" t="s">
        <v>109</v>
      </c>
    </row>
    <row r="30" spans="1:11" x14ac:dyDescent="0.3">
      <c r="A30" t="s">
        <v>8</v>
      </c>
      <c r="B30" t="s">
        <v>55</v>
      </c>
      <c r="C30" t="s">
        <v>90</v>
      </c>
      <c r="D30">
        <v>1.7899999999999999E-2</v>
      </c>
      <c r="E30">
        <f>Tableau5[[#This Row],[Potential (PJ)]]/3.6</f>
        <v>4.9722222222222216E-3</v>
      </c>
      <c r="F30">
        <v>12.005000000000001</v>
      </c>
      <c r="G30">
        <f>Tableau5[[#This Row],[Cost (€/GJ)]]*3.6</f>
        <v>43.218000000000004</v>
      </c>
      <c r="H30">
        <v>9.3000000000000007</v>
      </c>
      <c r="I30">
        <f>Tableau5[[#This Row],[GHG (kgCO2eq/GJ)]]*3.6</f>
        <v>33.480000000000004</v>
      </c>
      <c r="J30" t="s">
        <v>106</v>
      </c>
      <c r="K30" t="s">
        <v>109</v>
      </c>
    </row>
    <row r="31" spans="1:11" x14ac:dyDescent="0.3">
      <c r="A31" t="s">
        <v>8</v>
      </c>
      <c r="B31" t="s">
        <v>55</v>
      </c>
      <c r="C31" t="s">
        <v>91</v>
      </c>
      <c r="D31">
        <v>6.1499999999999999E-2</v>
      </c>
      <c r="E31">
        <f>Tableau5[[#This Row],[Potential (PJ)]]/3.6</f>
        <v>1.7083333333333332E-2</v>
      </c>
      <c r="F31">
        <v>10.369</v>
      </c>
      <c r="G31">
        <f>Tableau5[[#This Row],[Cost (€/GJ)]]*3.6</f>
        <v>37.328400000000002</v>
      </c>
      <c r="H31">
        <v>9.3000000000000007</v>
      </c>
      <c r="I31">
        <f>Tableau5[[#This Row],[GHG (kgCO2eq/GJ)]]*3.6</f>
        <v>33.480000000000004</v>
      </c>
      <c r="J31" t="s">
        <v>106</v>
      </c>
      <c r="K31" t="s">
        <v>109</v>
      </c>
    </row>
    <row r="32" spans="1:11" x14ac:dyDescent="0.3">
      <c r="A32" t="s">
        <v>8</v>
      </c>
      <c r="B32" t="s">
        <v>55</v>
      </c>
      <c r="C32" t="s">
        <v>92</v>
      </c>
      <c r="D32">
        <v>0.30335000000000001</v>
      </c>
      <c r="E32">
        <f>Tableau5[[#This Row],[Potential (PJ)]]/3.6</f>
        <v>8.4263888888888888E-2</v>
      </c>
      <c r="F32">
        <v>11.951000000000001</v>
      </c>
      <c r="G32">
        <f>Tableau5[[#This Row],[Cost (€/GJ)]]*3.6</f>
        <v>43.023600000000002</v>
      </c>
      <c r="H32">
        <v>9.3000000000000007</v>
      </c>
      <c r="I32">
        <f>Tableau5[[#This Row],[GHG (kgCO2eq/GJ)]]*3.6</f>
        <v>33.480000000000004</v>
      </c>
      <c r="J32" t="s">
        <v>106</v>
      </c>
      <c r="K32" t="s">
        <v>109</v>
      </c>
    </row>
    <row r="33" spans="1:11" x14ac:dyDescent="0.3">
      <c r="A33" t="s">
        <v>8</v>
      </c>
      <c r="B33" t="s">
        <v>56</v>
      </c>
      <c r="C33" t="s">
        <v>93</v>
      </c>
      <c r="D33">
        <v>13.7636</v>
      </c>
      <c r="E33">
        <f>Tableau5[[#This Row],[Potential (PJ)]]/3.6</f>
        <v>3.8232222222222223</v>
      </c>
      <c r="F33">
        <v>2.939759036144578</v>
      </c>
      <c r="G33">
        <f>Tableau5[[#This Row],[Cost (€/GJ)]]*3.6</f>
        <v>10.583132530120482</v>
      </c>
      <c r="H33">
        <v>16.899999999999999</v>
      </c>
      <c r="I33">
        <f>Tableau5[[#This Row],[GHG (kgCO2eq/GJ)]]*3.6</f>
        <v>60.839999999999996</v>
      </c>
      <c r="J33" t="s">
        <v>106</v>
      </c>
      <c r="K33" t="s">
        <v>109</v>
      </c>
    </row>
    <row r="34" spans="1:11" x14ac:dyDescent="0.3">
      <c r="A34" t="s">
        <v>8</v>
      </c>
      <c r="B34" t="s">
        <v>47</v>
      </c>
      <c r="C34" t="s">
        <v>68</v>
      </c>
      <c r="D34">
        <v>5.0999999999999996</v>
      </c>
      <c r="E34">
        <f>Tableau5[[#This Row],[Potential (PJ)]]/3.6</f>
        <v>1.4166666666666665</v>
      </c>
      <c r="F34">
        <v>5.4751176470588234</v>
      </c>
      <c r="G34">
        <f>Tableau5[[#This Row],[Cost (€/GJ)]]*3.6</f>
        <v>19.710423529411766</v>
      </c>
      <c r="H34">
        <v>21.3</v>
      </c>
      <c r="I34">
        <f>Tableau5[[#This Row],[GHG (kgCO2eq/GJ)]]*3.6</f>
        <v>76.680000000000007</v>
      </c>
      <c r="J34" t="s">
        <v>104</v>
      </c>
      <c r="K34" t="s">
        <v>109</v>
      </c>
    </row>
    <row r="35" spans="1:11" x14ac:dyDescent="0.3">
      <c r="A35" t="s">
        <v>8</v>
      </c>
      <c r="B35" t="s">
        <v>47</v>
      </c>
      <c r="C35" t="s">
        <v>69</v>
      </c>
      <c r="D35">
        <v>5.6</v>
      </c>
      <c r="E35">
        <f>Tableau5[[#This Row],[Potential (PJ)]]/3.6</f>
        <v>1.5555555555555554</v>
      </c>
      <c r="F35">
        <v>4.6976071428571426</v>
      </c>
      <c r="G35">
        <f>Tableau5[[#This Row],[Cost (€/GJ)]]*3.6</f>
        <v>16.911385714285714</v>
      </c>
      <c r="H35">
        <v>21.3</v>
      </c>
      <c r="I35">
        <f>Tableau5[[#This Row],[GHG (kgCO2eq/GJ)]]*3.6</f>
        <v>76.680000000000007</v>
      </c>
      <c r="J35" t="s">
        <v>104</v>
      </c>
      <c r="K35" t="s">
        <v>109</v>
      </c>
    </row>
    <row r="36" spans="1:11" x14ac:dyDescent="0.3">
      <c r="A36" t="s">
        <v>8</v>
      </c>
      <c r="B36" t="s">
        <v>57</v>
      </c>
      <c r="C36" t="s">
        <v>94</v>
      </c>
      <c r="D36">
        <v>4.5999999999999996</v>
      </c>
      <c r="E36">
        <f>Tableau5[[#This Row],[Potential (PJ)]]/3.6</f>
        <v>1.2777777777777777</v>
      </c>
      <c r="F36">
        <v>9.4626304347826107</v>
      </c>
      <c r="G36">
        <f>Tableau5[[#This Row],[Cost (€/GJ)]]*3.6</f>
        <v>34.065469565217398</v>
      </c>
      <c r="H36">
        <v>15</v>
      </c>
      <c r="I36">
        <f>Tableau5[[#This Row],[GHG (kgCO2eq/GJ)]]*3.6</f>
        <v>54</v>
      </c>
      <c r="J36" t="s">
        <v>104</v>
      </c>
      <c r="K36" t="s">
        <v>109</v>
      </c>
    </row>
    <row r="37" spans="1:11" x14ac:dyDescent="0.3">
      <c r="A37" t="s">
        <v>8</v>
      </c>
      <c r="B37" t="s">
        <v>49</v>
      </c>
      <c r="C37" t="s">
        <v>71</v>
      </c>
      <c r="D37">
        <v>50.949910000000003</v>
      </c>
      <c r="E37">
        <f>Tableau5[[#This Row],[Potential (PJ)]]/3.6</f>
        <v>14.152752777777778</v>
      </c>
      <c r="F37">
        <v>6.2702739637812908</v>
      </c>
      <c r="G37">
        <f>Tableau5[[#This Row],[Cost (€/GJ)]]*3.6</f>
        <v>22.572986269612649</v>
      </c>
      <c r="H37">
        <v>3.86607608129234</v>
      </c>
      <c r="I37">
        <f>Tableau5[[#This Row],[GHG (kgCO2eq/GJ)]]*3.6</f>
        <v>13.917873892652425</v>
      </c>
      <c r="J37" t="s">
        <v>104</v>
      </c>
      <c r="K37" t="s">
        <v>108</v>
      </c>
    </row>
    <row r="38" spans="1:11" x14ac:dyDescent="0.3">
      <c r="A38" t="s">
        <v>8</v>
      </c>
      <c r="B38" t="s">
        <v>49</v>
      </c>
      <c r="C38" t="s">
        <v>72</v>
      </c>
      <c r="D38">
        <v>5.8000000000000007</v>
      </c>
      <c r="E38">
        <f>Tableau5[[#This Row],[Potential (PJ)]]/3.6</f>
        <v>1.6111111111111112</v>
      </c>
      <c r="F38">
        <v>5.0176896551724139</v>
      </c>
      <c r="G38">
        <f>Tableau5[[#This Row],[Cost (€/GJ)]]*3.6</f>
        <v>18.06368275862069</v>
      </c>
      <c r="H38">
        <v>3.86607608129234</v>
      </c>
      <c r="I38">
        <f>Tableau5[[#This Row],[GHG (kgCO2eq/GJ)]]*3.6</f>
        <v>13.917873892652425</v>
      </c>
      <c r="J38" t="s">
        <v>104</v>
      </c>
      <c r="K38" t="s">
        <v>108</v>
      </c>
    </row>
    <row r="39" spans="1:11" x14ac:dyDescent="0.3">
      <c r="A39" t="s">
        <v>8</v>
      </c>
      <c r="B39" t="s">
        <v>58</v>
      </c>
      <c r="C39" t="s">
        <v>95</v>
      </c>
      <c r="D39">
        <v>0.38623000000000002</v>
      </c>
      <c r="E39">
        <f>Tableau5[[#This Row],[Potential (PJ)]]/3.6</f>
        <v>0.10728611111111111</v>
      </c>
      <c r="F39">
        <v>1.041853998912565</v>
      </c>
      <c r="G39">
        <f>Tableau5[[#This Row],[Cost (€/GJ)]]*3.6</f>
        <v>3.750674396085234</v>
      </c>
      <c r="H39">
        <v>2.9521711768407801</v>
      </c>
      <c r="I39">
        <f>Tableau5[[#This Row],[GHG (kgCO2eq/GJ)]]*3.6</f>
        <v>10.627816236626808</v>
      </c>
      <c r="J39" t="s">
        <v>104</v>
      </c>
      <c r="K39" t="s">
        <v>108</v>
      </c>
    </row>
    <row r="40" spans="1:11" x14ac:dyDescent="0.3">
      <c r="A40" t="s">
        <v>8</v>
      </c>
      <c r="B40" t="s">
        <v>50</v>
      </c>
      <c r="C40" t="s">
        <v>74</v>
      </c>
      <c r="D40">
        <v>0.2</v>
      </c>
      <c r="E40">
        <f>Tableau5[[#This Row],[Potential (PJ)]]/3.6</f>
        <v>5.5555555555555559E-2</v>
      </c>
      <c r="F40">
        <v>6.2119999999999997</v>
      </c>
      <c r="G40">
        <f>Tableau5[[#This Row],[Cost (€/GJ)]]*3.6</f>
        <v>22.363199999999999</v>
      </c>
      <c r="H40">
        <v>2.0635593220338988</v>
      </c>
      <c r="I40">
        <f>Tableau5[[#This Row],[GHG (kgCO2eq/GJ)]]*3.6</f>
        <v>7.4288135593220357</v>
      </c>
      <c r="J40" t="s">
        <v>105</v>
      </c>
      <c r="K40" t="s">
        <v>108</v>
      </c>
    </row>
    <row r="41" spans="1:11" x14ac:dyDescent="0.3">
      <c r="A41" t="s">
        <v>8</v>
      </c>
      <c r="B41" t="s">
        <v>59</v>
      </c>
      <c r="C41" t="s">
        <v>96</v>
      </c>
      <c r="D41">
        <v>0.1792</v>
      </c>
      <c r="E41">
        <f>Tableau5[[#This Row],[Potential (PJ)]]/3.6</f>
        <v>4.9777777777777775E-2</v>
      </c>
      <c r="F41">
        <v>17.393000000000001</v>
      </c>
      <c r="G41">
        <f>Tableau5[[#This Row],[Cost (€/GJ)]]*3.6</f>
        <v>62.614800000000002</v>
      </c>
      <c r="H41">
        <v>13.9</v>
      </c>
      <c r="I41">
        <f>Tableau5[[#This Row],[GHG (kgCO2eq/GJ)]]*3.6</f>
        <v>50.04</v>
      </c>
      <c r="J41" t="s">
        <v>107</v>
      </c>
      <c r="K41" t="s">
        <v>109</v>
      </c>
    </row>
    <row r="42" spans="1:11" x14ac:dyDescent="0.3">
      <c r="A42" t="s">
        <v>8</v>
      </c>
      <c r="B42" t="s">
        <v>59</v>
      </c>
      <c r="C42" t="s">
        <v>97</v>
      </c>
      <c r="D42">
        <v>0.62469999999999992</v>
      </c>
      <c r="E42">
        <f>Tableau5[[#This Row],[Potential (PJ)]]/3.6</f>
        <v>0.17352777777777775</v>
      </c>
      <c r="F42">
        <v>16.657623440043409</v>
      </c>
      <c r="G42">
        <f>Tableau5[[#This Row],[Cost (€/GJ)]]*3.6</f>
        <v>59.967444384156273</v>
      </c>
      <c r="H42">
        <v>13.9</v>
      </c>
      <c r="I42">
        <f>Tableau5[[#This Row],[GHG (kgCO2eq/GJ)]]*3.6</f>
        <v>50.04</v>
      </c>
      <c r="J42" t="s">
        <v>107</v>
      </c>
      <c r="K42" t="s">
        <v>109</v>
      </c>
    </row>
    <row r="43" spans="1:11" x14ac:dyDescent="0.3">
      <c r="A43" t="s">
        <v>8</v>
      </c>
      <c r="B43" t="s">
        <v>51</v>
      </c>
      <c r="C43" t="s">
        <v>75</v>
      </c>
      <c r="D43">
        <v>5.2696329999999998</v>
      </c>
      <c r="E43">
        <f>Tableau5[[#This Row],[Potential (PJ)]]/3.6</f>
        <v>1.4637869444444445</v>
      </c>
      <c r="F43">
        <v>0.207710251090232</v>
      </c>
      <c r="G43">
        <f>Tableau5[[#This Row],[Cost (€/GJ)]]*3.6</f>
        <v>0.74775690392483518</v>
      </c>
      <c r="H43">
        <v>11.74</v>
      </c>
      <c r="I43">
        <f>Tableau5[[#This Row],[GHG (kgCO2eq/GJ)]]*3.6</f>
        <v>42.264000000000003</v>
      </c>
      <c r="J43" t="s">
        <v>104</v>
      </c>
      <c r="K43" t="s">
        <v>108</v>
      </c>
    </row>
    <row r="44" spans="1:11" x14ac:dyDescent="0.3">
      <c r="A44" t="s">
        <v>8</v>
      </c>
      <c r="B44" t="s">
        <v>60</v>
      </c>
      <c r="C44" t="s">
        <v>98</v>
      </c>
      <c r="D44">
        <v>1.6944999999999999</v>
      </c>
      <c r="E44">
        <f>Tableau5[[#This Row],[Potential (PJ)]]/3.6</f>
        <v>0.47069444444444442</v>
      </c>
      <c r="F44">
        <v>20.300751879699249</v>
      </c>
      <c r="G44">
        <f>Tableau5[[#This Row],[Cost (€/GJ)]]*3.6</f>
        <v>73.082706766917298</v>
      </c>
      <c r="H44">
        <v>21</v>
      </c>
      <c r="I44">
        <f>Tableau5[[#This Row],[GHG (kgCO2eq/GJ)]]*3.6</f>
        <v>75.600000000000009</v>
      </c>
      <c r="J44" t="s">
        <v>107</v>
      </c>
      <c r="K44" t="s">
        <v>109</v>
      </c>
    </row>
    <row r="45" spans="1:11" x14ac:dyDescent="0.3">
      <c r="A45" t="s">
        <v>8</v>
      </c>
      <c r="B45" t="s">
        <v>52</v>
      </c>
      <c r="C45" t="s">
        <v>76</v>
      </c>
      <c r="D45">
        <v>2.4119999999999999</v>
      </c>
      <c r="E45">
        <f>Tableau5[[#This Row],[Potential (PJ)]]/3.6</f>
        <v>0.66999999999999993</v>
      </c>
      <c r="F45">
        <v>8.4824999999999999</v>
      </c>
      <c r="G45">
        <f>Tableau5[[#This Row],[Cost (€/GJ)]]*3.6</f>
        <v>30.536999999999999</v>
      </c>
      <c r="H45">
        <v>12.68872359754714</v>
      </c>
      <c r="I45">
        <f>Tableau5[[#This Row],[GHG (kgCO2eq/GJ)]]*3.6</f>
        <v>45.679404951169708</v>
      </c>
      <c r="J45" t="s">
        <v>105</v>
      </c>
      <c r="K45" t="s">
        <v>108</v>
      </c>
    </row>
    <row r="46" spans="1:11" x14ac:dyDescent="0.3">
      <c r="A46" t="s">
        <v>8</v>
      </c>
      <c r="B46" t="s">
        <v>53</v>
      </c>
      <c r="C46" t="s">
        <v>77</v>
      </c>
      <c r="D46">
        <v>11.061389999999999</v>
      </c>
      <c r="E46">
        <f>Tableau5[[#This Row],[Potential (PJ)]]/3.6</f>
        <v>3.0726083333333332</v>
      </c>
      <c r="F46">
        <v>5.0171380423256027</v>
      </c>
      <c r="G46">
        <f>Tableau5[[#This Row],[Cost (€/GJ)]]*3.6</f>
        <v>18.06169695237217</v>
      </c>
      <c r="H46">
        <v>3.86607608129234</v>
      </c>
      <c r="I46">
        <f>Tableau5[[#This Row],[GHG (kgCO2eq/GJ)]]*3.6</f>
        <v>13.917873892652425</v>
      </c>
      <c r="J46" t="s">
        <v>104</v>
      </c>
      <c r="K46" t="s">
        <v>108</v>
      </c>
    </row>
    <row r="47" spans="1:11" x14ac:dyDescent="0.3">
      <c r="A47" t="s">
        <v>8</v>
      </c>
      <c r="B47" t="s">
        <v>61</v>
      </c>
      <c r="C47" t="s">
        <v>99</v>
      </c>
      <c r="D47">
        <v>14.1</v>
      </c>
      <c r="E47">
        <f>Tableau5[[#This Row],[Potential (PJ)]]/3.6</f>
        <v>3.9166666666666665</v>
      </c>
      <c r="F47">
        <v>2.52904255319149</v>
      </c>
      <c r="G47">
        <f>Tableau5[[#This Row],[Cost (€/GJ)]]*3.6</f>
        <v>9.104553191489364</v>
      </c>
      <c r="H47">
        <v>2.9245635910224439</v>
      </c>
      <c r="I47">
        <f>Tableau5[[#This Row],[GHG (kgCO2eq/GJ)]]*3.6</f>
        <v>10.528428927680798</v>
      </c>
      <c r="J47" t="s">
        <v>104</v>
      </c>
      <c r="K47" t="s">
        <v>108</v>
      </c>
    </row>
    <row r="48" spans="1:11" x14ac:dyDescent="0.3">
      <c r="A48" t="s">
        <v>8</v>
      </c>
      <c r="B48" t="s">
        <v>62</v>
      </c>
      <c r="C48" t="s">
        <v>100</v>
      </c>
      <c r="D48">
        <v>5</v>
      </c>
      <c r="E48">
        <f>Tableau5[[#This Row],[Potential (PJ)]]/3.6</f>
        <v>1.3888888888888888</v>
      </c>
      <c r="F48">
        <v>0.46400000000000002</v>
      </c>
      <c r="G48">
        <f>Tableau5[[#This Row],[Cost (€/GJ)]]*3.6</f>
        <v>1.6704000000000001</v>
      </c>
      <c r="H48">
        <v>2.6764106050305911</v>
      </c>
      <c r="I48">
        <f>Tableau5[[#This Row],[GHG (kgCO2eq/GJ)]]*3.6</f>
        <v>9.6350781781101276</v>
      </c>
      <c r="J48" t="s">
        <v>104</v>
      </c>
      <c r="K48" t="s">
        <v>108</v>
      </c>
    </row>
    <row r="49" spans="1:11" x14ac:dyDescent="0.3">
      <c r="A49" t="s">
        <v>8</v>
      </c>
      <c r="B49" t="s">
        <v>54</v>
      </c>
      <c r="C49" t="s">
        <v>78</v>
      </c>
      <c r="D49">
        <v>92.7</v>
      </c>
      <c r="E49">
        <f>Tableau5[[#This Row],[Potential (PJ)]]/3.6</f>
        <v>25.75</v>
      </c>
      <c r="F49">
        <v>10.515530744336569</v>
      </c>
      <c r="G49">
        <f>Tableau5[[#This Row],[Cost (€/GJ)]]*3.6</f>
        <v>37.855910679611654</v>
      </c>
      <c r="H49">
        <v>3.86607608129234</v>
      </c>
      <c r="I49">
        <f>Tableau5[[#This Row],[GHG (kgCO2eq/GJ)]]*3.6</f>
        <v>13.917873892652425</v>
      </c>
      <c r="J49" t="s">
        <v>104</v>
      </c>
      <c r="K49" t="s">
        <v>108</v>
      </c>
    </row>
    <row r="50" spans="1:11" x14ac:dyDescent="0.3">
      <c r="A50" t="s">
        <v>9</v>
      </c>
      <c r="B50" t="s">
        <v>46</v>
      </c>
      <c r="C50" t="s">
        <v>64</v>
      </c>
      <c r="D50">
        <v>0.14346</v>
      </c>
      <c r="E50">
        <f>Tableau5[[#This Row],[Potential (PJ)]]/3.6</f>
        <v>3.9850000000000003E-2</v>
      </c>
      <c r="F50">
        <v>6.1660000000000004</v>
      </c>
      <c r="G50">
        <f>Tableau5[[#This Row],[Cost (€/GJ)]]*3.6</f>
        <v>22.197600000000001</v>
      </c>
      <c r="H50">
        <v>2.9521711768407801</v>
      </c>
      <c r="I50">
        <f>Tableau5[[#This Row],[GHG (kgCO2eq/GJ)]]*3.6</f>
        <v>10.627816236626808</v>
      </c>
      <c r="J50" t="s">
        <v>104</v>
      </c>
      <c r="K50" t="s">
        <v>108</v>
      </c>
    </row>
    <row r="51" spans="1:11" x14ac:dyDescent="0.3">
      <c r="A51" t="s">
        <v>9</v>
      </c>
      <c r="B51" t="s">
        <v>46</v>
      </c>
      <c r="C51" t="s">
        <v>65</v>
      </c>
      <c r="D51">
        <v>0.2</v>
      </c>
      <c r="E51">
        <f>Tableau5[[#This Row],[Potential (PJ)]]/3.6</f>
        <v>5.5555555555555559E-2</v>
      </c>
      <c r="F51">
        <v>4.5780000000000003</v>
      </c>
      <c r="G51">
        <f>Tableau5[[#This Row],[Cost (€/GJ)]]*3.6</f>
        <v>16.480800000000002</v>
      </c>
      <c r="H51">
        <v>2.9521711768407801</v>
      </c>
      <c r="I51">
        <f>Tableau5[[#This Row],[GHG (kgCO2eq/GJ)]]*3.6</f>
        <v>10.627816236626808</v>
      </c>
      <c r="J51" t="s">
        <v>104</v>
      </c>
      <c r="K51" t="s">
        <v>108</v>
      </c>
    </row>
    <row r="52" spans="1:11" x14ac:dyDescent="0.3">
      <c r="A52" t="s">
        <v>9</v>
      </c>
      <c r="B52" t="s">
        <v>46</v>
      </c>
      <c r="C52" t="s">
        <v>66</v>
      </c>
      <c r="D52">
        <v>1.1000000000000001</v>
      </c>
      <c r="E52">
        <f>Tableau5[[#This Row],[Potential (PJ)]]/3.6</f>
        <v>0.30555555555555558</v>
      </c>
      <c r="F52">
        <v>3.1859999999999999</v>
      </c>
      <c r="G52">
        <f>Tableau5[[#This Row],[Cost (€/GJ)]]*3.6</f>
        <v>11.4696</v>
      </c>
      <c r="H52">
        <v>6.8428961748633883</v>
      </c>
      <c r="I52">
        <f>Tableau5[[#This Row],[GHG (kgCO2eq/GJ)]]*3.6</f>
        <v>24.634426229508197</v>
      </c>
      <c r="J52" t="s">
        <v>104</v>
      </c>
      <c r="K52" t="s">
        <v>108</v>
      </c>
    </row>
    <row r="53" spans="1:11" x14ac:dyDescent="0.3">
      <c r="A53" t="s">
        <v>9</v>
      </c>
      <c r="B53" t="s">
        <v>47</v>
      </c>
      <c r="C53" t="s">
        <v>68</v>
      </c>
      <c r="D53">
        <v>14.3</v>
      </c>
      <c r="E53">
        <f>Tableau5[[#This Row],[Potential (PJ)]]/3.6</f>
        <v>3.9722222222222223</v>
      </c>
      <c r="F53">
        <v>3.4910000000000001</v>
      </c>
      <c r="G53">
        <f>Tableau5[[#This Row],[Cost (€/GJ)]]*3.6</f>
        <v>12.567600000000001</v>
      </c>
      <c r="I53">
        <f>Tableau5[[#This Row],[GHG (kgCO2eq/GJ)]]*3.6</f>
        <v>0</v>
      </c>
      <c r="J53" t="s">
        <v>104</v>
      </c>
      <c r="K53" t="s">
        <v>109</v>
      </c>
    </row>
    <row r="54" spans="1:11" x14ac:dyDescent="0.3">
      <c r="A54" t="s">
        <v>9</v>
      </c>
      <c r="B54" t="s">
        <v>47</v>
      </c>
      <c r="C54" t="s">
        <v>69</v>
      </c>
      <c r="D54">
        <v>10</v>
      </c>
      <c r="E54">
        <f>Tableau5[[#This Row],[Potential (PJ)]]/3.6</f>
        <v>2.7777777777777777</v>
      </c>
      <c r="F54">
        <v>3.4660000000000002</v>
      </c>
      <c r="G54">
        <f>Tableau5[[#This Row],[Cost (€/GJ)]]*3.6</f>
        <v>12.477600000000001</v>
      </c>
      <c r="I54">
        <f>Tableau5[[#This Row],[GHG (kgCO2eq/GJ)]]*3.6</f>
        <v>0</v>
      </c>
      <c r="J54" t="s">
        <v>104</v>
      </c>
      <c r="K54" t="s">
        <v>109</v>
      </c>
    </row>
    <row r="55" spans="1:11" x14ac:dyDescent="0.3">
      <c r="A55" t="s">
        <v>9</v>
      </c>
      <c r="B55" t="s">
        <v>48</v>
      </c>
      <c r="C55" t="s">
        <v>70</v>
      </c>
      <c r="D55">
        <v>5.3</v>
      </c>
      <c r="E55">
        <f>Tableau5[[#This Row],[Potential (PJ)]]/3.6</f>
        <v>1.4722222222222221</v>
      </c>
      <c r="F55">
        <v>8.8469999999999995</v>
      </c>
      <c r="G55">
        <f>Tableau5[[#This Row],[Cost (€/GJ)]]*3.6</f>
        <v>31.8492</v>
      </c>
      <c r="I55">
        <f>Tableau5[[#This Row],[GHG (kgCO2eq/GJ)]]*3.6</f>
        <v>0</v>
      </c>
      <c r="J55" t="s">
        <v>104</v>
      </c>
      <c r="K55" t="s">
        <v>109</v>
      </c>
    </row>
    <row r="56" spans="1:11" x14ac:dyDescent="0.3">
      <c r="A56" t="s">
        <v>9</v>
      </c>
      <c r="B56" t="s">
        <v>49</v>
      </c>
      <c r="C56" t="s">
        <v>71</v>
      </c>
      <c r="D56">
        <v>3.1764700000000001</v>
      </c>
      <c r="E56">
        <f>Tableau5[[#This Row],[Potential (PJ)]]/3.6</f>
        <v>0.88235277777777776</v>
      </c>
      <c r="F56">
        <v>0</v>
      </c>
      <c r="G56">
        <f>Tableau5[[#This Row],[Cost (€/GJ)]]*3.6</f>
        <v>0</v>
      </c>
      <c r="H56">
        <v>3.86607608129234</v>
      </c>
      <c r="I56">
        <f>Tableau5[[#This Row],[GHG (kgCO2eq/GJ)]]*3.6</f>
        <v>13.917873892652425</v>
      </c>
      <c r="J56" t="s">
        <v>104</v>
      </c>
      <c r="K56" t="s">
        <v>108</v>
      </c>
    </row>
    <row r="57" spans="1:11" x14ac:dyDescent="0.3">
      <c r="A57" t="s">
        <v>9</v>
      </c>
      <c r="B57" t="s">
        <v>49</v>
      </c>
      <c r="C57" t="s">
        <v>72</v>
      </c>
      <c r="D57">
        <v>1.3</v>
      </c>
      <c r="E57">
        <f>Tableau5[[#This Row],[Potential (PJ)]]/3.6</f>
        <v>0.3611111111111111</v>
      </c>
      <c r="F57">
        <v>0</v>
      </c>
      <c r="G57">
        <f>Tableau5[[#This Row],[Cost (€/GJ)]]*3.6</f>
        <v>0</v>
      </c>
      <c r="H57">
        <v>3.86607608129234</v>
      </c>
      <c r="I57">
        <f>Tableau5[[#This Row],[GHG (kgCO2eq/GJ)]]*3.6</f>
        <v>13.917873892652425</v>
      </c>
      <c r="J57" t="s">
        <v>104</v>
      </c>
      <c r="K57" t="s">
        <v>108</v>
      </c>
    </row>
    <row r="58" spans="1:11" x14ac:dyDescent="0.3">
      <c r="A58" t="s">
        <v>9</v>
      </c>
      <c r="B58" t="s">
        <v>50</v>
      </c>
      <c r="C58" t="s">
        <v>73</v>
      </c>
      <c r="D58">
        <v>0.2</v>
      </c>
      <c r="E58">
        <f>Tableau5[[#This Row],[Potential (PJ)]]/3.6</f>
        <v>5.5555555555555559E-2</v>
      </c>
      <c r="F58">
        <v>5.4240000000000004</v>
      </c>
      <c r="G58">
        <f>Tableau5[[#This Row],[Cost (€/GJ)]]*3.6</f>
        <v>19.526400000000002</v>
      </c>
      <c r="H58">
        <v>20.723404255319149</v>
      </c>
      <c r="I58">
        <f>Tableau5[[#This Row],[GHG (kgCO2eq/GJ)]]*3.6</f>
        <v>74.604255319148933</v>
      </c>
      <c r="J58" t="s">
        <v>105</v>
      </c>
      <c r="K58" t="s">
        <v>108</v>
      </c>
    </row>
    <row r="59" spans="1:11" x14ac:dyDescent="0.3">
      <c r="A59" t="s">
        <v>9</v>
      </c>
      <c r="B59" t="s">
        <v>50</v>
      </c>
      <c r="C59" t="s">
        <v>74</v>
      </c>
      <c r="D59">
        <v>0.6</v>
      </c>
      <c r="E59">
        <f>Tableau5[[#This Row],[Potential (PJ)]]/3.6</f>
        <v>0.16666666666666666</v>
      </c>
      <c r="F59">
        <v>3.484</v>
      </c>
      <c r="G59">
        <f>Tableau5[[#This Row],[Cost (€/GJ)]]*3.6</f>
        <v>12.542400000000001</v>
      </c>
      <c r="H59">
        <v>2.0635593220338988</v>
      </c>
      <c r="I59">
        <f>Tableau5[[#This Row],[GHG (kgCO2eq/GJ)]]*3.6</f>
        <v>7.4288135593220357</v>
      </c>
      <c r="J59" t="s">
        <v>105</v>
      </c>
      <c r="K59" t="s">
        <v>108</v>
      </c>
    </row>
    <row r="60" spans="1:11" x14ac:dyDescent="0.3">
      <c r="A60" t="s">
        <v>9</v>
      </c>
      <c r="B60" t="s">
        <v>51</v>
      </c>
      <c r="C60" t="s">
        <v>75</v>
      </c>
      <c r="D60">
        <v>1.338803</v>
      </c>
      <c r="E60">
        <f>Tableau5[[#This Row],[Potential (PJ)]]/3.6</f>
        <v>0.37188972222222222</v>
      </c>
      <c r="F60">
        <v>2.4259530135074699E-2</v>
      </c>
      <c r="G60">
        <f>Tableau5[[#This Row],[Cost (€/GJ)]]*3.6</f>
        <v>8.7334308486268913E-2</v>
      </c>
      <c r="H60">
        <v>11.74</v>
      </c>
      <c r="I60">
        <f>Tableau5[[#This Row],[GHG (kgCO2eq/GJ)]]*3.6</f>
        <v>42.264000000000003</v>
      </c>
      <c r="J60" t="s">
        <v>104</v>
      </c>
      <c r="K60" t="s">
        <v>108</v>
      </c>
    </row>
    <row r="61" spans="1:11" x14ac:dyDescent="0.3">
      <c r="A61" t="s">
        <v>9</v>
      </c>
      <c r="B61" t="s">
        <v>52</v>
      </c>
      <c r="C61" t="s">
        <v>76</v>
      </c>
      <c r="D61">
        <v>3.5000000000000003E-2</v>
      </c>
      <c r="E61">
        <f>Tableau5[[#This Row],[Potential (PJ)]]/3.6</f>
        <v>9.7222222222222224E-3</v>
      </c>
      <c r="F61">
        <v>8.4824999999999999</v>
      </c>
      <c r="G61">
        <f>Tableau5[[#This Row],[Cost (€/GJ)]]*3.6</f>
        <v>30.536999999999999</v>
      </c>
      <c r="H61">
        <v>12.68872359754714</v>
      </c>
      <c r="I61">
        <f>Tableau5[[#This Row],[GHG (kgCO2eq/GJ)]]*3.6</f>
        <v>45.679404951169708</v>
      </c>
      <c r="J61" t="s">
        <v>105</v>
      </c>
      <c r="K61" t="s">
        <v>108</v>
      </c>
    </row>
    <row r="62" spans="1:11" x14ac:dyDescent="0.3">
      <c r="A62" t="s">
        <v>9</v>
      </c>
      <c r="B62" t="s">
        <v>53</v>
      </c>
      <c r="C62" t="s">
        <v>77</v>
      </c>
      <c r="D62">
        <v>5.0049599999999996</v>
      </c>
      <c r="E62">
        <f>Tableau5[[#This Row],[Potential (PJ)]]/3.6</f>
        <v>1.3902666666666665</v>
      </c>
      <c r="F62">
        <v>0</v>
      </c>
      <c r="G62">
        <f>Tableau5[[#This Row],[Cost (€/GJ)]]*3.6</f>
        <v>0</v>
      </c>
      <c r="H62">
        <v>3.86607608129234</v>
      </c>
      <c r="I62">
        <f>Tableau5[[#This Row],[GHG (kgCO2eq/GJ)]]*3.6</f>
        <v>13.917873892652425</v>
      </c>
      <c r="J62" t="s">
        <v>104</v>
      </c>
      <c r="K62" t="s">
        <v>108</v>
      </c>
    </row>
    <row r="63" spans="1:11" x14ac:dyDescent="0.3">
      <c r="A63" t="s">
        <v>9</v>
      </c>
      <c r="B63" t="s">
        <v>54</v>
      </c>
      <c r="C63" t="s">
        <v>78</v>
      </c>
      <c r="D63">
        <v>12.2</v>
      </c>
      <c r="E63">
        <f>Tableau5[[#This Row],[Potential (PJ)]]/3.6</f>
        <v>3.3888888888888884</v>
      </c>
      <c r="F63">
        <v>0</v>
      </c>
      <c r="G63">
        <f>Tableau5[[#This Row],[Cost (€/GJ)]]*3.6</f>
        <v>0</v>
      </c>
      <c r="H63">
        <v>3.86607608129234</v>
      </c>
      <c r="I63">
        <f>Tableau5[[#This Row],[GHG (kgCO2eq/GJ)]]*3.6</f>
        <v>13.917873892652425</v>
      </c>
      <c r="J63" t="s">
        <v>104</v>
      </c>
      <c r="K63" t="s">
        <v>108</v>
      </c>
    </row>
    <row r="64" spans="1:11" x14ac:dyDescent="0.3">
      <c r="A64" t="s">
        <v>10</v>
      </c>
      <c r="B64" t="s">
        <v>46</v>
      </c>
      <c r="C64" t="s">
        <v>79</v>
      </c>
      <c r="D64">
        <v>1.1000000000000001</v>
      </c>
      <c r="E64">
        <f>Tableau5[[#This Row],[Potential (PJ)]]/3.6</f>
        <v>0.30555555555555558</v>
      </c>
      <c r="F64">
        <v>6.1144545454545449</v>
      </c>
      <c r="G64">
        <f>Tableau5[[#This Row],[Cost (€/GJ)]]*3.6</f>
        <v>22.012036363636362</v>
      </c>
      <c r="H64">
        <v>6.8428961748633883</v>
      </c>
      <c r="I64">
        <f>Tableau5[[#This Row],[GHG (kgCO2eq/GJ)]]*3.6</f>
        <v>24.634426229508197</v>
      </c>
      <c r="J64" t="s">
        <v>104</v>
      </c>
      <c r="K64" t="s">
        <v>108</v>
      </c>
    </row>
    <row r="65" spans="1:11" x14ac:dyDescent="0.3">
      <c r="A65" t="s">
        <v>10</v>
      </c>
      <c r="B65" t="s">
        <v>46</v>
      </c>
      <c r="C65" t="s">
        <v>80</v>
      </c>
      <c r="D65">
        <v>0.36320000000000002</v>
      </c>
      <c r="E65">
        <f>Tableau5[[#This Row],[Potential (PJ)]]/3.6</f>
        <v>0.10088888888888889</v>
      </c>
      <c r="F65">
        <v>1.026972353337829</v>
      </c>
      <c r="G65">
        <f>Tableau5[[#This Row],[Cost (€/GJ)]]*3.6</f>
        <v>3.6971004720161846</v>
      </c>
      <c r="H65">
        <v>28.139870918023309</v>
      </c>
      <c r="I65">
        <f>Tableau5[[#This Row],[GHG (kgCO2eq/GJ)]]*3.6</f>
        <v>101.30353530488391</v>
      </c>
      <c r="J65" t="s">
        <v>105</v>
      </c>
      <c r="K65" t="s">
        <v>108</v>
      </c>
    </row>
    <row r="66" spans="1:11" x14ac:dyDescent="0.3">
      <c r="A66" t="s">
        <v>10</v>
      </c>
      <c r="B66" t="s">
        <v>46</v>
      </c>
      <c r="C66" t="s">
        <v>81</v>
      </c>
      <c r="D66">
        <v>0.95489999999999997</v>
      </c>
      <c r="E66">
        <f>Tableau5[[#This Row],[Potential (PJ)]]/3.6</f>
        <v>0.26524999999999999</v>
      </c>
      <c r="F66">
        <v>1.078730904817861</v>
      </c>
      <c r="G66">
        <f>Tableau5[[#This Row],[Cost (€/GJ)]]*3.6</f>
        <v>3.8834312573442999</v>
      </c>
      <c r="H66">
        <v>8.9647473560517046</v>
      </c>
      <c r="I66">
        <f>Tableau5[[#This Row],[GHG (kgCO2eq/GJ)]]*3.6</f>
        <v>32.273090481786134</v>
      </c>
      <c r="J66" t="s">
        <v>105</v>
      </c>
      <c r="K66" t="s">
        <v>108</v>
      </c>
    </row>
    <row r="67" spans="1:11" x14ac:dyDescent="0.3">
      <c r="A67" t="s">
        <v>10</v>
      </c>
      <c r="B67" t="s">
        <v>46</v>
      </c>
      <c r="C67" t="s">
        <v>66</v>
      </c>
      <c r="D67">
        <v>0.9</v>
      </c>
      <c r="E67">
        <f>Tableau5[[#This Row],[Potential (PJ)]]/3.6</f>
        <v>0.25</v>
      </c>
      <c r="F67">
        <v>6.3323333333333336</v>
      </c>
      <c r="G67">
        <f>Tableau5[[#This Row],[Cost (€/GJ)]]*3.6</f>
        <v>22.796400000000002</v>
      </c>
      <c r="H67">
        <v>6.8428961748633883</v>
      </c>
      <c r="I67">
        <f>Tableau5[[#This Row],[GHG (kgCO2eq/GJ)]]*3.6</f>
        <v>24.634426229508197</v>
      </c>
      <c r="J67" t="s">
        <v>104</v>
      </c>
      <c r="K67" t="s">
        <v>108</v>
      </c>
    </row>
    <row r="68" spans="1:11" x14ac:dyDescent="0.3">
      <c r="A68" t="s">
        <v>10</v>
      </c>
      <c r="B68" t="s">
        <v>46</v>
      </c>
      <c r="C68" t="s">
        <v>82</v>
      </c>
      <c r="D68">
        <v>0.1</v>
      </c>
      <c r="E68">
        <f>Tableau5[[#This Row],[Potential (PJ)]]/3.6</f>
        <v>2.777777777777778E-2</v>
      </c>
      <c r="F68">
        <v>3.8170000000000002</v>
      </c>
      <c r="G68">
        <f>Tableau5[[#This Row],[Cost (€/GJ)]]*3.6</f>
        <v>13.741200000000001</v>
      </c>
      <c r="H68">
        <v>6.8428961748633883</v>
      </c>
      <c r="I68">
        <f>Tableau5[[#This Row],[GHG (kgCO2eq/GJ)]]*3.6</f>
        <v>24.634426229508197</v>
      </c>
      <c r="J68" t="s">
        <v>104</v>
      </c>
      <c r="K68" t="s">
        <v>108</v>
      </c>
    </row>
    <row r="69" spans="1:11" x14ac:dyDescent="0.3">
      <c r="A69" t="s">
        <v>10</v>
      </c>
      <c r="B69" t="s">
        <v>46</v>
      </c>
      <c r="C69" t="s">
        <v>83</v>
      </c>
      <c r="D69">
        <v>0.2</v>
      </c>
      <c r="E69">
        <f>Tableau5[[#This Row],[Potential (PJ)]]/3.6</f>
        <v>5.5555555555555559E-2</v>
      </c>
      <c r="F69">
        <v>0</v>
      </c>
      <c r="G69">
        <f>Tableau5[[#This Row],[Cost (€/GJ)]]*3.6</f>
        <v>0</v>
      </c>
      <c r="H69">
        <v>6.8428961748633883</v>
      </c>
      <c r="I69">
        <f>Tableau5[[#This Row],[GHG (kgCO2eq/GJ)]]*3.6</f>
        <v>24.634426229508197</v>
      </c>
      <c r="J69" t="s">
        <v>104</v>
      </c>
      <c r="K69" t="s">
        <v>108</v>
      </c>
    </row>
    <row r="70" spans="1:11" x14ac:dyDescent="0.3">
      <c r="A70" t="s">
        <v>10</v>
      </c>
      <c r="B70" t="s">
        <v>46</v>
      </c>
      <c r="C70" t="s">
        <v>84</v>
      </c>
      <c r="D70">
        <v>0.2</v>
      </c>
      <c r="E70">
        <f>Tableau5[[#This Row],[Potential (PJ)]]/3.6</f>
        <v>5.5555555555555559E-2</v>
      </c>
      <c r="F70">
        <v>3.261000000000001</v>
      </c>
      <c r="G70">
        <f>Tableau5[[#This Row],[Cost (€/GJ)]]*3.6</f>
        <v>11.739600000000005</v>
      </c>
      <c r="H70">
        <v>28.139870918023309</v>
      </c>
      <c r="I70">
        <f>Tableau5[[#This Row],[GHG (kgCO2eq/GJ)]]*3.6</f>
        <v>101.30353530488391</v>
      </c>
      <c r="J70" t="s">
        <v>105</v>
      </c>
      <c r="K70" t="s">
        <v>108</v>
      </c>
    </row>
    <row r="71" spans="1:11" x14ac:dyDescent="0.3">
      <c r="A71" t="s">
        <v>10</v>
      </c>
      <c r="B71" t="s">
        <v>55</v>
      </c>
      <c r="C71" t="s">
        <v>86</v>
      </c>
      <c r="D71">
        <v>1.0524</v>
      </c>
      <c r="E71">
        <f>Tableau5[[#This Row],[Potential (PJ)]]/3.6</f>
        <v>0.29233333333333333</v>
      </c>
      <c r="F71">
        <v>10.996</v>
      </c>
      <c r="G71">
        <f>Tableau5[[#This Row],[Cost (€/GJ)]]*3.6</f>
        <v>39.585599999999999</v>
      </c>
      <c r="H71">
        <v>26.8</v>
      </c>
      <c r="I71">
        <f>Tableau5[[#This Row],[GHG (kgCO2eq/GJ)]]*3.6</f>
        <v>96.48</v>
      </c>
      <c r="J71" t="s">
        <v>106</v>
      </c>
      <c r="K71" t="s">
        <v>109</v>
      </c>
    </row>
    <row r="72" spans="1:11" x14ac:dyDescent="0.3">
      <c r="A72" t="s">
        <v>10</v>
      </c>
      <c r="B72" t="s">
        <v>55</v>
      </c>
      <c r="C72" t="s">
        <v>88</v>
      </c>
      <c r="D72">
        <v>1.3568</v>
      </c>
      <c r="E72">
        <f>Tableau5[[#This Row],[Potential (PJ)]]/3.6</f>
        <v>0.37688888888888888</v>
      </c>
      <c r="F72">
        <v>6.9740000000000029</v>
      </c>
      <c r="G72">
        <f>Tableau5[[#This Row],[Cost (€/GJ)]]*3.6</f>
        <v>25.106400000000011</v>
      </c>
      <c r="H72">
        <v>26.8</v>
      </c>
      <c r="I72">
        <f>Tableau5[[#This Row],[GHG (kgCO2eq/GJ)]]*3.6</f>
        <v>96.48</v>
      </c>
      <c r="J72" t="s">
        <v>106</v>
      </c>
      <c r="K72" t="s">
        <v>109</v>
      </c>
    </row>
    <row r="73" spans="1:11" x14ac:dyDescent="0.3">
      <c r="A73" t="s">
        <v>10</v>
      </c>
      <c r="B73" t="s">
        <v>55</v>
      </c>
      <c r="C73" t="s">
        <v>92</v>
      </c>
      <c r="D73">
        <v>2.3259300000000001</v>
      </c>
      <c r="E73">
        <f>Tableau5[[#This Row],[Potential (PJ)]]/3.6</f>
        <v>0.64609166666666662</v>
      </c>
      <c r="F73">
        <v>12.066000000000001</v>
      </c>
      <c r="G73">
        <f>Tableau5[[#This Row],[Cost (€/GJ)]]*3.6</f>
        <v>43.437600000000003</v>
      </c>
      <c r="H73">
        <v>26.8</v>
      </c>
      <c r="I73">
        <f>Tableau5[[#This Row],[GHG (kgCO2eq/GJ)]]*3.6</f>
        <v>96.48</v>
      </c>
      <c r="J73" t="s">
        <v>106</v>
      </c>
      <c r="K73" t="s">
        <v>109</v>
      </c>
    </row>
    <row r="74" spans="1:11" x14ac:dyDescent="0.3">
      <c r="A74" t="s">
        <v>10</v>
      </c>
      <c r="B74" t="s">
        <v>56</v>
      </c>
      <c r="C74" t="s">
        <v>93</v>
      </c>
      <c r="D74">
        <v>17.3691</v>
      </c>
      <c r="E74">
        <f>Tableau5[[#This Row],[Potential (PJ)]]/3.6</f>
        <v>4.8247499999999999</v>
      </c>
      <c r="F74">
        <v>2.939759036144578</v>
      </c>
      <c r="G74">
        <f>Tableau5[[#This Row],[Cost (€/GJ)]]*3.6</f>
        <v>10.583132530120482</v>
      </c>
      <c r="H74">
        <v>31.2</v>
      </c>
      <c r="I74">
        <f>Tableau5[[#This Row],[GHG (kgCO2eq/GJ)]]*3.6</f>
        <v>112.32</v>
      </c>
      <c r="J74" t="s">
        <v>106</v>
      </c>
      <c r="K74" t="s">
        <v>109</v>
      </c>
    </row>
    <row r="75" spans="1:11" x14ac:dyDescent="0.3">
      <c r="A75" t="s">
        <v>10</v>
      </c>
      <c r="B75" t="s">
        <v>47</v>
      </c>
      <c r="C75" t="s">
        <v>68</v>
      </c>
      <c r="D75">
        <v>5</v>
      </c>
      <c r="E75">
        <f>Tableau5[[#This Row],[Potential (PJ)]]/3.6</f>
        <v>1.3888888888888888</v>
      </c>
      <c r="F75">
        <v>6.2901399999999992</v>
      </c>
      <c r="G75">
        <f>Tableau5[[#This Row],[Cost (€/GJ)]]*3.6</f>
        <v>22.644503999999998</v>
      </c>
      <c r="H75">
        <v>20.5</v>
      </c>
      <c r="I75">
        <f>Tableau5[[#This Row],[GHG (kgCO2eq/GJ)]]*3.6</f>
        <v>73.8</v>
      </c>
      <c r="J75" t="s">
        <v>104</v>
      </c>
      <c r="K75" t="s">
        <v>109</v>
      </c>
    </row>
    <row r="76" spans="1:11" x14ac:dyDescent="0.3">
      <c r="A76" t="s">
        <v>10</v>
      </c>
      <c r="B76" t="s">
        <v>47</v>
      </c>
      <c r="C76" t="s">
        <v>69</v>
      </c>
      <c r="D76">
        <v>6</v>
      </c>
      <c r="E76">
        <f>Tableau5[[#This Row],[Potential (PJ)]]/3.6</f>
        <v>1.6666666666666665</v>
      </c>
      <c r="F76">
        <v>5.1684166666666664</v>
      </c>
      <c r="G76">
        <f>Tableau5[[#This Row],[Cost (€/GJ)]]*3.6</f>
        <v>18.606300000000001</v>
      </c>
      <c r="H76">
        <v>20.5</v>
      </c>
      <c r="I76">
        <f>Tableau5[[#This Row],[GHG (kgCO2eq/GJ)]]*3.6</f>
        <v>73.8</v>
      </c>
      <c r="J76" t="s">
        <v>104</v>
      </c>
      <c r="K76" t="s">
        <v>109</v>
      </c>
    </row>
    <row r="77" spans="1:11" x14ac:dyDescent="0.3">
      <c r="A77" t="s">
        <v>10</v>
      </c>
      <c r="B77" t="s">
        <v>57</v>
      </c>
      <c r="C77" t="s">
        <v>94</v>
      </c>
      <c r="D77">
        <v>5.3</v>
      </c>
      <c r="E77">
        <f>Tableau5[[#This Row],[Potential (PJ)]]/3.6</f>
        <v>1.4722222222222221</v>
      </c>
      <c r="F77">
        <v>9.764188679245283</v>
      </c>
      <c r="G77">
        <f>Tableau5[[#This Row],[Cost (€/GJ)]]*3.6</f>
        <v>35.151079245283022</v>
      </c>
      <c r="H77">
        <v>16.399999999999999</v>
      </c>
      <c r="I77">
        <f>Tableau5[[#This Row],[GHG (kgCO2eq/GJ)]]*3.6</f>
        <v>59.04</v>
      </c>
      <c r="J77" t="s">
        <v>104</v>
      </c>
      <c r="K77" t="s">
        <v>109</v>
      </c>
    </row>
    <row r="78" spans="1:11" x14ac:dyDescent="0.3">
      <c r="A78" t="s">
        <v>10</v>
      </c>
      <c r="B78" t="s">
        <v>49</v>
      </c>
      <c r="C78" t="s">
        <v>71</v>
      </c>
      <c r="D78">
        <v>10.038880000000001</v>
      </c>
      <c r="E78">
        <f>Tableau5[[#This Row],[Potential (PJ)]]/3.6</f>
        <v>2.7885777777777778</v>
      </c>
      <c r="F78">
        <v>6.3919192698787111</v>
      </c>
      <c r="G78">
        <f>Tableau5[[#This Row],[Cost (€/GJ)]]*3.6</f>
        <v>23.010909371563361</v>
      </c>
      <c r="H78">
        <v>3.86607608129234</v>
      </c>
      <c r="I78">
        <f>Tableau5[[#This Row],[GHG (kgCO2eq/GJ)]]*3.6</f>
        <v>13.917873892652425</v>
      </c>
      <c r="J78" t="s">
        <v>104</v>
      </c>
      <c r="K78" t="s">
        <v>108</v>
      </c>
    </row>
    <row r="79" spans="1:11" x14ac:dyDescent="0.3">
      <c r="A79" t="s">
        <v>10</v>
      </c>
      <c r="B79" t="s">
        <v>49</v>
      </c>
      <c r="C79" t="s">
        <v>72</v>
      </c>
      <c r="D79">
        <v>0.9</v>
      </c>
      <c r="E79">
        <f>Tableau5[[#This Row],[Potential (PJ)]]/3.6</f>
        <v>0.25</v>
      </c>
      <c r="F79">
        <v>5.1201111111111111</v>
      </c>
      <c r="G79">
        <f>Tableau5[[#This Row],[Cost (€/GJ)]]*3.6</f>
        <v>18.432400000000001</v>
      </c>
      <c r="H79">
        <v>3.86607608129234</v>
      </c>
      <c r="I79">
        <f>Tableau5[[#This Row],[GHG (kgCO2eq/GJ)]]*3.6</f>
        <v>13.917873892652425</v>
      </c>
      <c r="J79" t="s">
        <v>104</v>
      </c>
      <c r="K79" t="s">
        <v>108</v>
      </c>
    </row>
    <row r="80" spans="1:11" x14ac:dyDescent="0.3">
      <c r="A80" t="s">
        <v>10</v>
      </c>
      <c r="B80" t="s">
        <v>58</v>
      </c>
      <c r="C80" t="s">
        <v>95</v>
      </c>
      <c r="D80">
        <v>4.3008499999999996</v>
      </c>
      <c r="E80">
        <f>Tableau5[[#This Row],[Potential (PJ)]]/3.6</f>
        <v>1.1946805555555555</v>
      </c>
      <c r="F80">
        <v>3.5110064126858651</v>
      </c>
      <c r="G80">
        <f>Tableau5[[#This Row],[Cost (€/GJ)]]*3.6</f>
        <v>12.639623085669115</v>
      </c>
      <c r="H80">
        <v>2.9521711768407801</v>
      </c>
      <c r="I80">
        <f>Tableau5[[#This Row],[GHG (kgCO2eq/GJ)]]*3.6</f>
        <v>10.627816236626808</v>
      </c>
      <c r="J80" t="s">
        <v>104</v>
      </c>
      <c r="K80" t="s">
        <v>108</v>
      </c>
    </row>
    <row r="81" spans="1:11" x14ac:dyDescent="0.3">
      <c r="A81" t="s">
        <v>10</v>
      </c>
      <c r="B81" t="s">
        <v>50</v>
      </c>
      <c r="C81" t="s">
        <v>73</v>
      </c>
      <c r="D81">
        <v>3.7</v>
      </c>
      <c r="E81">
        <f>Tableau5[[#This Row],[Potential (PJ)]]/3.6</f>
        <v>1.0277777777777779</v>
      </c>
      <c r="F81">
        <v>5.6718378378378373</v>
      </c>
      <c r="G81">
        <f>Tableau5[[#This Row],[Cost (€/GJ)]]*3.6</f>
        <v>20.418616216216215</v>
      </c>
      <c r="H81">
        <v>20.723404255319149</v>
      </c>
      <c r="I81">
        <f>Tableau5[[#This Row],[GHG (kgCO2eq/GJ)]]*3.6</f>
        <v>74.604255319148933</v>
      </c>
      <c r="J81" t="s">
        <v>105</v>
      </c>
      <c r="K81" t="s">
        <v>108</v>
      </c>
    </row>
    <row r="82" spans="1:11" x14ac:dyDescent="0.3">
      <c r="A82" t="s">
        <v>10</v>
      </c>
      <c r="B82" t="s">
        <v>50</v>
      </c>
      <c r="C82" t="s">
        <v>74</v>
      </c>
      <c r="D82">
        <v>7.1</v>
      </c>
      <c r="E82">
        <f>Tableau5[[#This Row],[Potential (PJ)]]/3.6</f>
        <v>1.9722222222222221</v>
      </c>
      <c r="F82">
        <v>6.3043521126760567</v>
      </c>
      <c r="G82">
        <f>Tableau5[[#This Row],[Cost (€/GJ)]]*3.6</f>
        <v>22.695667605633805</v>
      </c>
      <c r="H82">
        <v>2.0635593220338988</v>
      </c>
      <c r="I82">
        <f>Tableau5[[#This Row],[GHG (kgCO2eq/GJ)]]*3.6</f>
        <v>7.4288135593220357</v>
      </c>
      <c r="J82" t="s">
        <v>105</v>
      </c>
      <c r="K82" t="s">
        <v>108</v>
      </c>
    </row>
    <row r="83" spans="1:11" x14ac:dyDescent="0.3">
      <c r="A83" t="s">
        <v>10</v>
      </c>
      <c r="B83" t="s">
        <v>51</v>
      </c>
      <c r="C83" t="s">
        <v>75</v>
      </c>
      <c r="D83">
        <v>22.841370000000001</v>
      </c>
      <c r="E83">
        <f>Tableau5[[#This Row],[Potential (PJ)]]/3.6</f>
        <v>6.3448250000000002</v>
      </c>
      <c r="F83">
        <v>7.0430664164949003E-2</v>
      </c>
      <c r="G83">
        <f>Tableau5[[#This Row],[Cost (€/GJ)]]*3.6</f>
        <v>0.25355039099381643</v>
      </c>
      <c r="H83">
        <v>11.74</v>
      </c>
      <c r="I83">
        <f>Tableau5[[#This Row],[GHG (kgCO2eq/GJ)]]*3.6</f>
        <v>42.264000000000003</v>
      </c>
      <c r="J83" t="s">
        <v>104</v>
      </c>
      <c r="K83" t="s">
        <v>108</v>
      </c>
    </row>
    <row r="84" spans="1:11" x14ac:dyDescent="0.3">
      <c r="A84" t="s">
        <v>10</v>
      </c>
      <c r="B84" t="s">
        <v>60</v>
      </c>
      <c r="C84" t="s">
        <v>98</v>
      </c>
      <c r="D84">
        <v>2.2595000000000001</v>
      </c>
      <c r="E84">
        <f>Tableau5[[#This Row],[Potential (PJ)]]/3.6</f>
        <v>0.62763888888888886</v>
      </c>
      <c r="F84">
        <v>24.86573576799141</v>
      </c>
      <c r="G84">
        <f>Tableau5[[#This Row],[Cost (€/GJ)]]*3.6</f>
        <v>89.516648764769073</v>
      </c>
      <c r="H84">
        <v>37.799999999999997</v>
      </c>
      <c r="I84">
        <f>Tableau5[[#This Row],[GHG (kgCO2eq/GJ)]]*3.6</f>
        <v>136.07999999999998</v>
      </c>
      <c r="J84" t="s">
        <v>107</v>
      </c>
      <c r="K84" t="s">
        <v>109</v>
      </c>
    </row>
    <row r="85" spans="1:11" x14ac:dyDescent="0.3">
      <c r="A85" t="s">
        <v>10</v>
      </c>
      <c r="B85" t="s">
        <v>52</v>
      </c>
      <c r="C85" t="s">
        <v>76</v>
      </c>
      <c r="D85">
        <v>7.8760000000000003</v>
      </c>
      <c r="E85">
        <f>Tableau5[[#This Row],[Potential (PJ)]]/3.6</f>
        <v>2.1877777777777778</v>
      </c>
      <c r="F85">
        <v>8.4824999999999999</v>
      </c>
      <c r="G85">
        <f>Tableau5[[#This Row],[Cost (€/GJ)]]*3.6</f>
        <v>30.536999999999999</v>
      </c>
      <c r="H85">
        <v>12.68872359754714</v>
      </c>
      <c r="I85">
        <f>Tableau5[[#This Row],[GHG (kgCO2eq/GJ)]]*3.6</f>
        <v>45.679404951169708</v>
      </c>
      <c r="J85" t="s">
        <v>105</v>
      </c>
      <c r="K85" t="s">
        <v>108</v>
      </c>
    </row>
    <row r="86" spans="1:11" x14ac:dyDescent="0.3">
      <c r="A86" t="s">
        <v>10</v>
      </c>
      <c r="B86" t="s">
        <v>53</v>
      </c>
      <c r="C86" t="s">
        <v>77</v>
      </c>
      <c r="D86">
        <v>1.4906200000000001</v>
      </c>
      <c r="E86">
        <f>Tableau5[[#This Row],[Potential (PJ)]]/3.6</f>
        <v>0.4140611111111111</v>
      </c>
      <c r="F86">
        <v>5.1212094296333071</v>
      </c>
      <c r="G86">
        <f>Tableau5[[#This Row],[Cost (€/GJ)]]*3.6</f>
        <v>18.436353946679905</v>
      </c>
      <c r="H86">
        <v>3.86607608129234</v>
      </c>
      <c r="I86">
        <f>Tableau5[[#This Row],[GHG (kgCO2eq/GJ)]]*3.6</f>
        <v>13.917873892652425</v>
      </c>
      <c r="J86" t="s">
        <v>104</v>
      </c>
      <c r="K86" t="s">
        <v>108</v>
      </c>
    </row>
    <row r="87" spans="1:11" x14ac:dyDescent="0.3">
      <c r="A87" t="s">
        <v>10</v>
      </c>
      <c r="B87" t="s">
        <v>61</v>
      </c>
      <c r="C87" t="s">
        <v>99</v>
      </c>
      <c r="D87">
        <v>8.1</v>
      </c>
      <c r="E87">
        <f>Tableau5[[#This Row],[Potential (PJ)]]/3.6</f>
        <v>2.25</v>
      </c>
      <c r="F87">
        <v>2.554728395061729</v>
      </c>
      <c r="G87">
        <f>Tableau5[[#This Row],[Cost (€/GJ)]]*3.6</f>
        <v>9.1970222222222251</v>
      </c>
      <c r="H87">
        <v>2.9245635910224439</v>
      </c>
      <c r="I87">
        <f>Tableau5[[#This Row],[GHG (kgCO2eq/GJ)]]*3.6</f>
        <v>10.528428927680798</v>
      </c>
      <c r="J87" t="s">
        <v>104</v>
      </c>
      <c r="K87" t="s">
        <v>108</v>
      </c>
    </row>
    <row r="88" spans="1:11" x14ac:dyDescent="0.3">
      <c r="A88" t="s">
        <v>10</v>
      </c>
      <c r="B88" t="s">
        <v>62</v>
      </c>
      <c r="C88" t="s">
        <v>100</v>
      </c>
      <c r="D88">
        <v>4.0999999999999996</v>
      </c>
      <c r="E88">
        <f>Tableau5[[#This Row],[Potential (PJ)]]/3.6</f>
        <v>1.1388888888888888</v>
      </c>
      <c r="F88">
        <v>0.5536585365853659</v>
      </c>
      <c r="G88">
        <f>Tableau5[[#This Row],[Cost (€/GJ)]]*3.6</f>
        <v>1.9931707317073173</v>
      </c>
      <c r="H88">
        <v>2.6764106050305911</v>
      </c>
      <c r="I88">
        <f>Tableau5[[#This Row],[GHG (kgCO2eq/GJ)]]*3.6</f>
        <v>9.6350781781101276</v>
      </c>
      <c r="J88" t="s">
        <v>104</v>
      </c>
      <c r="K88" t="s">
        <v>108</v>
      </c>
    </row>
    <row r="89" spans="1:11" x14ac:dyDescent="0.3">
      <c r="A89" t="s">
        <v>10</v>
      </c>
      <c r="B89" t="s">
        <v>54</v>
      </c>
      <c r="C89" t="s">
        <v>78</v>
      </c>
      <c r="D89">
        <v>14.3</v>
      </c>
      <c r="E89">
        <f>Tableau5[[#This Row],[Potential (PJ)]]/3.6</f>
        <v>3.9722222222222223</v>
      </c>
      <c r="F89">
        <v>10.72997902097902</v>
      </c>
      <c r="G89">
        <f>Tableau5[[#This Row],[Cost (€/GJ)]]*3.6</f>
        <v>38.627924475524473</v>
      </c>
      <c r="H89">
        <v>3.86607608129234</v>
      </c>
      <c r="I89">
        <f>Tableau5[[#This Row],[GHG (kgCO2eq/GJ)]]*3.6</f>
        <v>13.917873892652425</v>
      </c>
      <c r="J89" t="s">
        <v>104</v>
      </c>
      <c r="K89" t="s">
        <v>108</v>
      </c>
    </row>
    <row r="90" spans="1:11" x14ac:dyDescent="0.3">
      <c r="A90" t="s">
        <v>11</v>
      </c>
      <c r="B90" t="s">
        <v>46</v>
      </c>
      <c r="C90" t="s">
        <v>64</v>
      </c>
      <c r="D90">
        <v>1.7420000000000001E-2</v>
      </c>
      <c r="E90">
        <f>Tableau5[[#This Row],[Potential (PJ)]]/3.6</f>
        <v>4.8388888888888891E-3</v>
      </c>
      <c r="F90">
        <v>5.5032296211251444</v>
      </c>
      <c r="G90">
        <f>Tableau5[[#This Row],[Cost (€/GJ)]]*3.6</f>
        <v>19.811626636050519</v>
      </c>
      <c r="H90">
        <v>2.9521711768407801</v>
      </c>
      <c r="I90">
        <f>Tableau5[[#This Row],[GHG (kgCO2eq/GJ)]]*3.6</f>
        <v>10.627816236626808</v>
      </c>
      <c r="J90" t="s">
        <v>104</v>
      </c>
      <c r="K90" t="s">
        <v>108</v>
      </c>
    </row>
    <row r="91" spans="1:11" x14ac:dyDescent="0.3">
      <c r="A91" t="s">
        <v>11</v>
      </c>
      <c r="B91" t="s">
        <v>46</v>
      </c>
      <c r="C91" t="s">
        <v>79</v>
      </c>
      <c r="D91">
        <v>13.8</v>
      </c>
      <c r="E91">
        <f>Tableau5[[#This Row],[Potential (PJ)]]/3.6</f>
        <v>3.8333333333333335</v>
      </c>
      <c r="F91">
        <v>3.4630652173913039</v>
      </c>
      <c r="G91">
        <f>Tableau5[[#This Row],[Cost (€/GJ)]]*3.6</f>
        <v>12.467034782608694</v>
      </c>
      <c r="H91">
        <v>6.8428961748633883</v>
      </c>
      <c r="I91">
        <f>Tableau5[[#This Row],[GHG (kgCO2eq/GJ)]]*3.6</f>
        <v>24.634426229508197</v>
      </c>
      <c r="J91" t="s">
        <v>104</v>
      </c>
      <c r="K91" t="s">
        <v>108</v>
      </c>
    </row>
    <row r="92" spans="1:11" x14ac:dyDescent="0.3">
      <c r="A92" t="s">
        <v>11</v>
      </c>
      <c r="B92" t="s">
        <v>46</v>
      </c>
      <c r="C92" t="s">
        <v>80</v>
      </c>
      <c r="D92">
        <v>0.25009999999999999</v>
      </c>
      <c r="E92">
        <f>Tableau5[[#This Row],[Potential (PJ)]]/3.6</f>
        <v>6.9472222222222213E-2</v>
      </c>
      <c r="F92">
        <v>0.44234659474039112</v>
      </c>
      <c r="G92">
        <f>Tableau5[[#This Row],[Cost (€/GJ)]]*3.6</f>
        <v>1.5924477410654081</v>
      </c>
      <c r="H92">
        <v>28.139870918023309</v>
      </c>
      <c r="I92">
        <f>Tableau5[[#This Row],[GHG (kgCO2eq/GJ)]]*3.6</f>
        <v>101.30353530488391</v>
      </c>
      <c r="J92" t="s">
        <v>105</v>
      </c>
      <c r="K92" t="s">
        <v>108</v>
      </c>
    </row>
    <row r="93" spans="1:11" x14ac:dyDescent="0.3">
      <c r="A93" t="s">
        <v>11</v>
      </c>
      <c r="B93" t="s">
        <v>46</v>
      </c>
      <c r="C93" t="s">
        <v>81</v>
      </c>
      <c r="D93">
        <v>5.0000000000000001E-3</v>
      </c>
      <c r="E93">
        <f>Tableau5[[#This Row],[Potential (PJ)]]/3.6</f>
        <v>1.3888888888888889E-3</v>
      </c>
      <c r="F93">
        <v>2.839600470035252</v>
      </c>
      <c r="G93">
        <f>Tableau5[[#This Row],[Cost (€/GJ)]]*3.6</f>
        <v>10.222561692126908</v>
      </c>
      <c r="H93">
        <v>8.9647473560517046</v>
      </c>
      <c r="I93">
        <f>Tableau5[[#This Row],[GHG (kgCO2eq/GJ)]]*3.6</f>
        <v>32.273090481786134</v>
      </c>
      <c r="J93" t="s">
        <v>105</v>
      </c>
      <c r="K93" t="s">
        <v>108</v>
      </c>
    </row>
    <row r="94" spans="1:11" x14ac:dyDescent="0.3">
      <c r="A94" t="s">
        <v>11</v>
      </c>
      <c r="B94" t="s">
        <v>46</v>
      </c>
      <c r="C94" t="s">
        <v>66</v>
      </c>
      <c r="D94">
        <v>2.2000000000000002</v>
      </c>
      <c r="E94">
        <f>Tableau5[[#This Row],[Potential (PJ)]]/3.6</f>
        <v>0.61111111111111116</v>
      </c>
      <c r="F94">
        <v>3.5745909090909089</v>
      </c>
      <c r="G94">
        <f>Tableau5[[#This Row],[Cost (€/GJ)]]*3.6</f>
        <v>12.868527272727272</v>
      </c>
      <c r="H94">
        <v>6.8428961748633883</v>
      </c>
      <c r="I94">
        <f>Tableau5[[#This Row],[GHG (kgCO2eq/GJ)]]*3.6</f>
        <v>24.634426229508197</v>
      </c>
      <c r="J94" t="s">
        <v>104</v>
      </c>
      <c r="K94" t="s">
        <v>108</v>
      </c>
    </row>
    <row r="95" spans="1:11" x14ac:dyDescent="0.3">
      <c r="A95" t="s">
        <v>11</v>
      </c>
      <c r="B95" t="s">
        <v>46</v>
      </c>
      <c r="C95" t="s">
        <v>82</v>
      </c>
      <c r="D95">
        <v>4</v>
      </c>
      <c r="E95">
        <f>Tableau5[[#This Row],[Potential (PJ)]]/3.6</f>
        <v>1.1111111111111112</v>
      </c>
      <c r="F95">
        <v>2.1829999999999998</v>
      </c>
      <c r="G95">
        <f>Tableau5[[#This Row],[Cost (€/GJ)]]*3.6</f>
        <v>7.8587999999999996</v>
      </c>
      <c r="H95">
        <v>6.8428961748633883</v>
      </c>
      <c r="I95">
        <f>Tableau5[[#This Row],[GHG (kgCO2eq/GJ)]]*3.6</f>
        <v>24.634426229508197</v>
      </c>
      <c r="J95" t="s">
        <v>104</v>
      </c>
      <c r="K95" t="s">
        <v>108</v>
      </c>
    </row>
    <row r="96" spans="1:11" x14ac:dyDescent="0.3">
      <c r="A96" t="s">
        <v>11</v>
      </c>
      <c r="B96" t="s">
        <v>46</v>
      </c>
      <c r="C96" t="s">
        <v>83</v>
      </c>
      <c r="D96">
        <v>0.14219000000000001</v>
      </c>
      <c r="E96">
        <f>Tableau5[[#This Row],[Potential (PJ)]]/3.6</f>
        <v>3.9497222222222225E-2</v>
      </c>
      <c r="F96">
        <v>3.3170000000000002</v>
      </c>
      <c r="G96">
        <f>Tableau5[[#This Row],[Cost (€/GJ)]]*3.6</f>
        <v>11.9412</v>
      </c>
      <c r="H96">
        <v>6.8428961748633883</v>
      </c>
      <c r="I96">
        <f>Tableau5[[#This Row],[GHG (kgCO2eq/GJ)]]*3.6</f>
        <v>24.634426229508197</v>
      </c>
      <c r="J96" t="s">
        <v>104</v>
      </c>
      <c r="K96" t="s">
        <v>108</v>
      </c>
    </row>
    <row r="97" spans="1:11" x14ac:dyDescent="0.3">
      <c r="A97" t="s">
        <v>11</v>
      </c>
      <c r="B97" t="s">
        <v>46</v>
      </c>
      <c r="C97" t="s">
        <v>85</v>
      </c>
      <c r="D97">
        <v>0.1</v>
      </c>
      <c r="E97">
        <f>Tableau5[[#This Row],[Potential (PJ)]]/3.6</f>
        <v>2.777777777777778E-2</v>
      </c>
      <c r="F97">
        <v>3.7170000000000001</v>
      </c>
      <c r="G97">
        <f>Tableau5[[#This Row],[Cost (€/GJ)]]*3.6</f>
        <v>13.3812</v>
      </c>
      <c r="H97">
        <v>2.9521711768407801</v>
      </c>
      <c r="I97">
        <f>Tableau5[[#This Row],[GHG (kgCO2eq/GJ)]]*3.6</f>
        <v>10.627816236626808</v>
      </c>
      <c r="J97" t="s">
        <v>104</v>
      </c>
      <c r="K97" t="s">
        <v>108</v>
      </c>
    </row>
    <row r="98" spans="1:11" x14ac:dyDescent="0.3">
      <c r="A98" t="s">
        <v>11</v>
      </c>
      <c r="B98" t="s">
        <v>55</v>
      </c>
      <c r="C98" t="s">
        <v>86</v>
      </c>
      <c r="D98">
        <v>2.1966999999999999</v>
      </c>
      <c r="E98">
        <f>Tableau5[[#This Row],[Potential (PJ)]]/3.6</f>
        <v>0.61019444444444437</v>
      </c>
      <c r="F98">
        <v>10.028</v>
      </c>
      <c r="G98">
        <f>Tableau5[[#This Row],[Cost (€/GJ)]]*3.6</f>
        <v>36.1008</v>
      </c>
      <c r="H98">
        <v>9.1</v>
      </c>
      <c r="I98">
        <f>Tableau5[[#This Row],[GHG (kgCO2eq/GJ)]]*3.6</f>
        <v>32.76</v>
      </c>
      <c r="J98" t="s">
        <v>106</v>
      </c>
      <c r="K98" t="s">
        <v>109</v>
      </c>
    </row>
    <row r="99" spans="1:11" x14ac:dyDescent="0.3">
      <c r="A99" t="s">
        <v>11</v>
      </c>
      <c r="B99" t="s">
        <v>55</v>
      </c>
      <c r="C99" t="s">
        <v>87</v>
      </c>
      <c r="D99">
        <v>1.9383999999999999</v>
      </c>
      <c r="E99">
        <f>Tableau5[[#This Row],[Potential (PJ)]]/3.6</f>
        <v>0.53844444444444439</v>
      </c>
      <c r="F99">
        <v>10.538</v>
      </c>
      <c r="G99">
        <f>Tableau5[[#This Row],[Cost (€/GJ)]]*3.6</f>
        <v>37.936800000000005</v>
      </c>
      <c r="H99">
        <v>9.1</v>
      </c>
      <c r="I99">
        <f>Tableau5[[#This Row],[GHG (kgCO2eq/GJ)]]*3.6</f>
        <v>32.76</v>
      </c>
      <c r="J99" t="s">
        <v>106</v>
      </c>
      <c r="K99" t="s">
        <v>109</v>
      </c>
    </row>
    <row r="100" spans="1:11" x14ac:dyDescent="0.3">
      <c r="A100" t="s">
        <v>11</v>
      </c>
      <c r="B100" t="s">
        <v>55</v>
      </c>
      <c r="C100" t="s">
        <v>88</v>
      </c>
      <c r="D100">
        <v>2.3174999999999999</v>
      </c>
      <c r="E100">
        <f>Tableau5[[#This Row],[Potential (PJ)]]/3.6</f>
        <v>0.64374999999999993</v>
      </c>
      <c r="F100">
        <v>11.048999999999999</v>
      </c>
      <c r="G100">
        <f>Tableau5[[#This Row],[Cost (€/GJ)]]*3.6</f>
        <v>39.776400000000002</v>
      </c>
      <c r="H100">
        <v>9.1</v>
      </c>
      <c r="I100">
        <f>Tableau5[[#This Row],[GHG (kgCO2eq/GJ)]]*3.6</f>
        <v>32.76</v>
      </c>
      <c r="J100" t="s">
        <v>106</v>
      </c>
      <c r="K100" t="s">
        <v>109</v>
      </c>
    </row>
    <row r="101" spans="1:11" x14ac:dyDescent="0.3">
      <c r="A101" t="s">
        <v>11</v>
      </c>
      <c r="B101" t="s">
        <v>55</v>
      </c>
      <c r="C101" t="s">
        <v>92</v>
      </c>
      <c r="D101">
        <v>2.10982</v>
      </c>
      <c r="E101">
        <f>Tableau5[[#This Row],[Potential (PJ)]]/3.6</f>
        <v>0.58606111111111114</v>
      </c>
      <c r="F101">
        <v>10.538</v>
      </c>
      <c r="G101">
        <f>Tableau5[[#This Row],[Cost (€/GJ)]]*3.6</f>
        <v>37.936800000000005</v>
      </c>
      <c r="H101">
        <v>9.1</v>
      </c>
      <c r="I101">
        <f>Tableau5[[#This Row],[GHG (kgCO2eq/GJ)]]*3.6</f>
        <v>32.76</v>
      </c>
      <c r="J101" t="s">
        <v>106</v>
      </c>
      <c r="K101" t="s">
        <v>109</v>
      </c>
    </row>
    <row r="102" spans="1:11" x14ac:dyDescent="0.3">
      <c r="A102" t="s">
        <v>11</v>
      </c>
      <c r="B102" t="s">
        <v>56</v>
      </c>
      <c r="C102" t="s">
        <v>93</v>
      </c>
      <c r="D102">
        <v>8.5778999999999996</v>
      </c>
      <c r="E102">
        <f>Tableau5[[#This Row],[Potential (PJ)]]/3.6</f>
        <v>2.3827499999999997</v>
      </c>
      <c r="F102">
        <v>6.7759036144578308</v>
      </c>
      <c r="G102">
        <f>Tableau5[[#This Row],[Cost (€/GJ)]]*3.6</f>
        <v>24.393253012048191</v>
      </c>
      <c r="H102">
        <v>22.9</v>
      </c>
      <c r="I102">
        <f>Tableau5[[#This Row],[GHG (kgCO2eq/GJ)]]*3.6</f>
        <v>82.44</v>
      </c>
      <c r="J102" t="s">
        <v>106</v>
      </c>
      <c r="K102" t="s">
        <v>109</v>
      </c>
    </row>
    <row r="103" spans="1:11" x14ac:dyDescent="0.3">
      <c r="A103" t="s">
        <v>11</v>
      </c>
      <c r="B103" t="s">
        <v>47</v>
      </c>
      <c r="C103" t="s">
        <v>68</v>
      </c>
      <c r="D103">
        <v>14.9</v>
      </c>
      <c r="E103">
        <f>Tableau5[[#This Row],[Potential (PJ)]]/3.6</f>
        <v>4.1388888888888893</v>
      </c>
      <c r="F103">
        <v>3.0635436241610741</v>
      </c>
      <c r="G103">
        <f>Tableau5[[#This Row],[Cost (€/GJ)]]*3.6</f>
        <v>11.028757046979868</v>
      </c>
      <c r="H103">
        <v>15</v>
      </c>
      <c r="I103">
        <f>Tableau5[[#This Row],[GHG (kgCO2eq/GJ)]]*3.6</f>
        <v>54</v>
      </c>
      <c r="J103" t="s">
        <v>104</v>
      </c>
      <c r="K103" t="s">
        <v>109</v>
      </c>
    </row>
    <row r="104" spans="1:11" x14ac:dyDescent="0.3">
      <c r="A104" t="s">
        <v>11</v>
      </c>
      <c r="B104" t="s">
        <v>47</v>
      </c>
      <c r="C104" t="s">
        <v>69</v>
      </c>
      <c r="D104">
        <v>11.5</v>
      </c>
      <c r="E104">
        <f>Tableau5[[#This Row],[Potential (PJ)]]/3.6</f>
        <v>3.1944444444444442</v>
      </c>
      <c r="F104">
        <v>2.970808695652174</v>
      </c>
      <c r="G104">
        <f>Tableau5[[#This Row],[Cost (€/GJ)]]*3.6</f>
        <v>10.694911304347826</v>
      </c>
      <c r="H104">
        <v>15</v>
      </c>
      <c r="I104">
        <f>Tableau5[[#This Row],[GHG (kgCO2eq/GJ)]]*3.6</f>
        <v>54</v>
      </c>
      <c r="J104" t="s">
        <v>104</v>
      </c>
      <c r="K104" t="s">
        <v>109</v>
      </c>
    </row>
    <row r="105" spans="1:11" x14ac:dyDescent="0.3">
      <c r="A105" t="s">
        <v>11</v>
      </c>
      <c r="B105" t="s">
        <v>57</v>
      </c>
      <c r="C105" t="s">
        <v>94</v>
      </c>
      <c r="D105">
        <v>9.1</v>
      </c>
      <c r="E105">
        <f>Tableau5[[#This Row],[Potential (PJ)]]/3.6</f>
        <v>2.5277777777777777</v>
      </c>
      <c r="F105">
        <v>7.3197032967032971</v>
      </c>
      <c r="G105">
        <f>Tableau5[[#This Row],[Cost (€/GJ)]]*3.6</f>
        <v>26.35093186813187</v>
      </c>
      <c r="H105">
        <v>15.5</v>
      </c>
      <c r="I105">
        <f>Tableau5[[#This Row],[GHG (kgCO2eq/GJ)]]*3.6</f>
        <v>55.800000000000004</v>
      </c>
      <c r="J105" t="s">
        <v>104</v>
      </c>
      <c r="K105" t="s">
        <v>109</v>
      </c>
    </row>
    <row r="106" spans="1:11" x14ac:dyDescent="0.3">
      <c r="A106" t="s">
        <v>11</v>
      </c>
      <c r="B106" t="s">
        <v>49</v>
      </c>
      <c r="C106" t="s">
        <v>71</v>
      </c>
      <c r="D106">
        <v>44.686660000000003</v>
      </c>
      <c r="E106">
        <f>Tableau5[[#This Row],[Potential (PJ)]]/3.6</f>
        <v>12.412961111111112</v>
      </c>
      <c r="F106">
        <v>3.086831660052463</v>
      </c>
      <c r="G106">
        <f>Tableau5[[#This Row],[Cost (€/GJ)]]*3.6</f>
        <v>11.112593976188867</v>
      </c>
      <c r="H106">
        <v>3.86607608129234</v>
      </c>
      <c r="I106">
        <f>Tableau5[[#This Row],[GHG (kgCO2eq/GJ)]]*3.6</f>
        <v>13.917873892652425</v>
      </c>
      <c r="J106" t="s">
        <v>104</v>
      </c>
      <c r="K106" t="s">
        <v>108</v>
      </c>
    </row>
    <row r="107" spans="1:11" x14ac:dyDescent="0.3">
      <c r="A107" t="s">
        <v>11</v>
      </c>
      <c r="B107" t="s">
        <v>49</v>
      </c>
      <c r="C107" t="s">
        <v>72</v>
      </c>
      <c r="D107">
        <v>6.4</v>
      </c>
      <c r="E107">
        <f>Tableau5[[#This Row],[Potential (PJ)]]/3.6</f>
        <v>1.7777777777777779</v>
      </c>
      <c r="F107">
        <v>4.2385937499999997</v>
      </c>
      <c r="G107">
        <f>Tableau5[[#This Row],[Cost (€/GJ)]]*3.6</f>
        <v>15.2589375</v>
      </c>
      <c r="H107">
        <v>3.86607608129234</v>
      </c>
      <c r="I107">
        <f>Tableau5[[#This Row],[GHG (kgCO2eq/GJ)]]*3.6</f>
        <v>13.917873892652425</v>
      </c>
      <c r="J107" t="s">
        <v>104</v>
      </c>
      <c r="K107" t="s">
        <v>108</v>
      </c>
    </row>
    <row r="108" spans="1:11" x14ac:dyDescent="0.3">
      <c r="A108" t="s">
        <v>11</v>
      </c>
      <c r="B108" t="s">
        <v>58</v>
      </c>
      <c r="C108" t="s">
        <v>95</v>
      </c>
      <c r="D108">
        <v>2.8697300000000001</v>
      </c>
      <c r="E108">
        <f>Tableau5[[#This Row],[Potential (PJ)]]/3.6</f>
        <v>0.79714722222222223</v>
      </c>
      <c r="F108">
        <v>3.5569999999999999</v>
      </c>
      <c r="G108">
        <f>Tableau5[[#This Row],[Cost (€/GJ)]]*3.6</f>
        <v>12.805199999999999</v>
      </c>
      <c r="H108">
        <v>2.9521711768407801</v>
      </c>
      <c r="I108">
        <f>Tableau5[[#This Row],[GHG (kgCO2eq/GJ)]]*3.6</f>
        <v>10.627816236626808</v>
      </c>
      <c r="J108" t="s">
        <v>104</v>
      </c>
      <c r="K108" t="s">
        <v>108</v>
      </c>
    </row>
    <row r="109" spans="1:11" x14ac:dyDescent="0.3">
      <c r="A109" t="s">
        <v>11</v>
      </c>
      <c r="B109" t="s">
        <v>50</v>
      </c>
      <c r="C109" t="s">
        <v>74</v>
      </c>
      <c r="D109">
        <v>2.7</v>
      </c>
      <c r="E109">
        <f>Tableau5[[#This Row],[Potential (PJ)]]/3.6</f>
        <v>0.75</v>
      </c>
      <c r="F109">
        <v>3.320555555555555</v>
      </c>
      <c r="G109">
        <f>Tableau5[[#This Row],[Cost (€/GJ)]]*3.6</f>
        <v>11.953999999999999</v>
      </c>
      <c r="H109">
        <v>2.0635593220338988</v>
      </c>
      <c r="I109">
        <f>Tableau5[[#This Row],[GHG (kgCO2eq/GJ)]]*3.6</f>
        <v>7.4288135593220357</v>
      </c>
      <c r="J109" t="s">
        <v>105</v>
      </c>
      <c r="K109" t="s">
        <v>108</v>
      </c>
    </row>
    <row r="110" spans="1:11" x14ac:dyDescent="0.3">
      <c r="A110" t="s">
        <v>11</v>
      </c>
      <c r="B110" t="s">
        <v>59</v>
      </c>
      <c r="C110" t="s">
        <v>96</v>
      </c>
      <c r="D110">
        <v>0.2102</v>
      </c>
      <c r="E110">
        <f>Tableau5[[#This Row],[Potential (PJ)]]/3.6</f>
        <v>5.8388888888888886E-2</v>
      </c>
      <c r="F110">
        <v>19.167000000000002</v>
      </c>
      <c r="G110">
        <f>Tableau5[[#This Row],[Cost (€/GJ)]]*3.6</f>
        <v>69.001200000000011</v>
      </c>
      <c r="H110">
        <v>15.2</v>
      </c>
      <c r="I110">
        <f>Tableau5[[#This Row],[GHG (kgCO2eq/GJ)]]*3.6</f>
        <v>54.72</v>
      </c>
      <c r="J110" t="s">
        <v>107</v>
      </c>
      <c r="K110" t="s">
        <v>109</v>
      </c>
    </row>
    <row r="111" spans="1:11" x14ac:dyDescent="0.3">
      <c r="A111" t="s">
        <v>11</v>
      </c>
      <c r="B111" t="s">
        <v>59</v>
      </c>
      <c r="C111" t="s">
        <v>97</v>
      </c>
      <c r="D111">
        <v>5.5411000000000001</v>
      </c>
      <c r="E111">
        <f>Tableau5[[#This Row],[Potential (PJ)]]/3.6</f>
        <v>1.5391944444444445</v>
      </c>
      <c r="F111">
        <v>13.4020618556701</v>
      </c>
      <c r="G111">
        <f>Tableau5[[#This Row],[Cost (€/GJ)]]*3.6</f>
        <v>48.247422680412363</v>
      </c>
      <c r="H111">
        <v>15.2</v>
      </c>
      <c r="I111">
        <f>Tableau5[[#This Row],[GHG (kgCO2eq/GJ)]]*3.6</f>
        <v>54.72</v>
      </c>
      <c r="J111" t="s">
        <v>107</v>
      </c>
      <c r="K111" t="s">
        <v>109</v>
      </c>
    </row>
    <row r="112" spans="1:11" x14ac:dyDescent="0.3">
      <c r="A112" t="s">
        <v>11</v>
      </c>
      <c r="B112" t="s">
        <v>51</v>
      </c>
      <c r="C112" t="s">
        <v>75</v>
      </c>
      <c r="D112">
        <v>2.1548419999999999</v>
      </c>
      <c r="E112">
        <f>Tableau5[[#This Row],[Potential (PJ)]]/3.6</f>
        <v>0.59856722222222214</v>
      </c>
      <c r="F112">
        <v>6.3434622016612103E-5</v>
      </c>
      <c r="G112">
        <f>Tableau5[[#This Row],[Cost (€/GJ)]]*3.6</f>
        <v>2.2836463925980356E-4</v>
      </c>
      <c r="H112">
        <v>11.74</v>
      </c>
      <c r="I112">
        <f>Tableau5[[#This Row],[GHG (kgCO2eq/GJ)]]*3.6</f>
        <v>42.264000000000003</v>
      </c>
      <c r="J112" t="s">
        <v>104</v>
      </c>
      <c r="K112" t="s">
        <v>108</v>
      </c>
    </row>
    <row r="113" spans="1:11" x14ac:dyDescent="0.3">
      <c r="A113" t="s">
        <v>11</v>
      </c>
      <c r="B113" t="s">
        <v>60</v>
      </c>
      <c r="C113" t="s">
        <v>98</v>
      </c>
      <c r="D113">
        <v>3.7305100000000002</v>
      </c>
      <c r="E113">
        <f>Tableau5[[#This Row],[Potential (PJ)]]/3.6</f>
        <v>1.0362527777777779</v>
      </c>
      <c r="F113">
        <v>15.789473684210529</v>
      </c>
      <c r="G113">
        <f>Tableau5[[#This Row],[Cost (€/GJ)]]*3.6</f>
        <v>56.842105263157904</v>
      </c>
      <c r="H113">
        <v>1.5</v>
      </c>
      <c r="I113">
        <f>Tableau5[[#This Row],[GHG (kgCO2eq/GJ)]]*3.6</f>
        <v>5.4</v>
      </c>
      <c r="J113" t="s">
        <v>107</v>
      </c>
      <c r="K113" t="s">
        <v>109</v>
      </c>
    </row>
    <row r="114" spans="1:11" x14ac:dyDescent="0.3">
      <c r="A114" t="s">
        <v>11</v>
      </c>
      <c r="B114" t="s">
        <v>53</v>
      </c>
      <c r="C114" t="s">
        <v>77</v>
      </c>
      <c r="D114">
        <v>3.2073</v>
      </c>
      <c r="E114">
        <f>Tableau5[[#This Row],[Potential (PJ)]]/3.6</f>
        <v>0.89091666666666669</v>
      </c>
      <c r="F114">
        <v>4.2386346054313604</v>
      </c>
      <c r="G114">
        <f>Tableau5[[#This Row],[Cost (€/GJ)]]*3.6</f>
        <v>15.259084579552898</v>
      </c>
      <c r="H114">
        <v>3.86607608129234</v>
      </c>
      <c r="I114">
        <f>Tableau5[[#This Row],[GHG (kgCO2eq/GJ)]]*3.6</f>
        <v>13.917873892652425</v>
      </c>
      <c r="J114" t="s">
        <v>104</v>
      </c>
      <c r="K114" t="s">
        <v>108</v>
      </c>
    </row>
    <row r="115" spans="1:11" x14ac:dyDescent="0.3">
      <c r="A115" t="s">
        <v>11</v>
      </c>
      <c r="B115" t="s">
        <v>61</v>
      </c>
      <c r="C115" t="s">
        <v>99</v>
      </c>
      <c r="D115">
        <v>1.5</v>
      </c>
      <c r="E115">
        <f>Tableau5[[#This Row],[Potential (PJ)]]/3.6</f>
        <v>0.41666666666666663</v>
      </c>
      <c r="F115">
        <v>1.843666666666667</v>
      </c>
      <c r="G115">
        <f>Tableau5[[#This Row],[Cost (€/GJ)]]*3.6</f>
        <v>6.6372000000000018</v>
      </c>
      <c r="H115">
        <v>2.9245635910224439</v>
      </c>
      <c r="I115">
        <f>Tableau5[[#This Row],[GHG (kgCO2eq/GJ)]]*3.6</f>
        <v>10.528428927680798</v>
      </c>
      <c r="J115" t="s">
        <v>104</v>
      </c>
      <c r="K115" t="s">
        <v>108</v>
      </c>
    </row>
    <row r="116" spans="1:11" x14ac:dyDescent="0.3">
      <c r="A116" t="s">
        <v>11</v>
      </c>
      <c r="B116" t="s">
        <v>62</v>
      </c>
      <c r="C116" t="s">
        <v>100</v>
      </c>
      <c r="D116">
        <v>0.3</v>
      </c>
      <c r="E116">
        <f>Tableau5[[#This Row],[Potential (PJ)]]/3.6</f>
        <v>8.3333333333333329E-2</v>
      </c>
      <c r="F116">
        <v>0.46666666666666662</v>
      </c>
      <c r="G116">
        <f>Tableau5[[#This Row],[Cost (€/GJ)]]*3.6</f>
        <v>1.68</v>
      </c>
      <c r="H116">
        <v>2.6764106050305911</v>
      </c>
      <c r="I116">
        <f>Tableau5[[#This Row],[GHG (kgCO2eq/GJ)]]*3.6</f>
        <v>9.6350781781101276</v>
      </c>
      <c r="J116" t="s">
        <v>104</v>
      </c>
      <c r="K116" t="s">
        <v>108</v>
      </c>
    </row>
    <row r="117" spans="1:11" x14ac:dyDescent="0.3">
      <c r="A117" t="s">
        <v>11</v>
      </c>
      <c r="B117" t="s">
        <v>54</v>
      </c>
      <c r="C117" t="s">
        <v>78</v>
      </c>
      <c r="D117">
        <v>22.9</v>
      </c>
      <c r="E117">
        <f>Tableau5[[#This Row],[Potential (PJ)]]/3.6</f>
        <v>6.3611111111111107</v>
      </c>
      <c r="F117">
        <v>4.1578515283842794</v>
      </c>
      <c r="G117">
        <f>Tableau5[[#This Row],[Cost (€/GJ)]]*3.6</f>
        <v>14.968265502183407</v>
      </c>
      <c r="H117">
        <v>3.86607608129234</v>
      </c>
      <c r="I117">
        <f>Tableau5[[#This Row],[GHG (kgCO2eq/GJ)]]*3.6</f>
        <v>13.917873892652425</v>
      </c>
      <c r="J117" t="s">
        <v>104</v>
      </c>
      <c r="K117" t="s">
        <v>108</v>
      </c>
    </row>
    <row r="118" spans="1:11" x14ac:dyDescent="0.3">
      <c r="A118" t="s">
        <v>12</v>
      </c>
      <c r="B118" t="s">
        <v>49</v>
      </c>
      <c r="C118" t="s">
        <v>71</v>
      </c>
      <c r="D118">
        <v>30.98048</v>
      </c>
      <c r="E118">
        <f>Tableau5[[#This Row],[Potential (PJ)]]/3.6</f>
        <v>8.6056888888888885</v>
      </c>
      <c r="F118">
        <v>0</v>
      </c>
      <c r="G118">
        <f>Tableau5[[#This Row],[Cost (€/GJ)]]*3.6</f>
        <v>0</v>
      </c>
      <c r="H118">
        <v>3.86607608129234</v>
      </c>
      <c r="I118">
        <f>Tableau5[[#This Row],[GHG (kgCO2eq/GJ)]]*3.6</f>
        <v>13.917873892652425</v>
      </c>
      <c r="J118" t="s">
        <v>104</v>
      </c>
      <c r="K118" t="s">
        <v>108</v>
      </c>
    </row>
    <row r="119" spans="1:11" x14ac:dyDescent="0.3">
      <c r="A119" t="s">
        <v>12</v>
      </c>
      <c r="B119" t="s">
        <v>49</v>
      </c>
      <c r="C119" t="s">
        <v>72</v>
      </c>
      <c r="D119">
        <v>2.5</v>
      </c>
      <c r="E119">
        <f>Tableau5[[#This Row],[Potential (PJ)]]/3.6</f>
        <v>0.69444444444444442</v>
      </c>
      <c r="F119">
        <v>0</v>
      </c>
      <c r="G119">
        <f>Tableau5[[#This Row],[Cost (€/GJ)]]*3.6</f>
        <v>0</v>
      </c>
      <c r="H119">
        <v>3.86607608129234</v>
      </c>
      <c r="I119">
        <f>Tableau5[[#This Row],[GHG (kgCO2eq/GJ)]]*3.6</f>
        <v>13.917873892652425</v>
      </c>
      <c r="J119" t="s">
        <v>104</v>
      </c>
      <c r="K119" t="s">
        <v>108</v>
      </c>
    </row>
    <row r="120" spans="1:11" x14ac:dyDescent="0.3">
      <c r="A120" t="s">
        <v>12</v>
      </c>
      <c r="B120" t="s">
        <v>51</v>
      </c>
      <c r="C120" t="s">
        <v>75</v>
      </c>
      <c r="D120">
        <v>17.26183</v>
      </c>
      <c r="E120">
        <f>Tableau5[[#This Row],[Potential (PJ)]]/3.6</f>
        <v>4.7949527777777776</v>
      </c>
      <c r="F120">
        <v>0.207710251090232</v>
      </c>
      <c r="G120">
        <f>Tableau5[[#This Row],[Cost (€/GJ)]]*3.6</f>
        <v>0.74775690392483518</v>
      </c>
      <c r="H120">
        <v>11.74</v>
      </c>
      <c r="I120">
        <f>Tableau5[[#This Row],[GHG (kgCO2eq/GJ)]]*3.6</f>
        <v>42.264000000000003</v>
      </c>
      <c r="J120" t="s">
        <v>104</v>
      </c>
      <c r="K120" t="s">
        <v>108</v>
      </c>
    </row>
    <row r="121" spans="1:11" x14ac:dyDescent="0.3">
      <c r="A121" t="s">
        <v>12</v>
      </c>
      <c r="B121" t="s">
        <v>53</v>
      </c>
      <c r="C121" t="s">
        <v>77</v>
      </c>
      <c r="D121">
        <v>2.5092699999999999</v>
      </c>
      <c r="E121">
        <f>Tableau5[[#This Row],[Potential (PJ)]]/3.6</f>
        <v>0.69701944444444441</v>
      </c>
      <c r="F121">
        <v>0</v>
      </c>
      <c r="G121">
        <f>Tableau5[[#This Row],[Cost (€/GJ)]]*3.6</f>
        <v>0</v>
      </c>
      <c r="H121">
        <v>3.86607608129234</v>
      </c>
      <c r="I121">
        <f>Tableau5[[#This Row],[GHG (kgCO2eq/GJ)]]*3.6</f>
        <v>13.917873892652425</v>
      </c>
      <c r="J121" t="s">
        <v>104</v>
      </c>
      <c r="K121" t="s">
        <v>108</v>
      </c>
    </row>
    <row r="122" spans="1:11" x14ac:dyDescent="0.3">
      <c r="A122" t="s">
        <v>12</v>
      </c>
      <c r="B122" t="s">
        <v>54</v>
      </c>
      <c r="C122" t="s">
        <v>78</v>
      </c>
      <c r="D122">
        <v>30.8</v>
      </c>
      <c r="E122">
        <f>Tableau5[[#This Row],[Potential (PJ)]]/3.6</f>
        <v>8.5555555555555554</v>
      </c>
      <c r="F122">
        <v>0</v>
      </c>
      <c r="G122">
        <f>Tableau5[[#This Row],[Cost (€/GJ)]]*3.6</f>
        <v>0</v>
      </c>
      <c r="H122">
        <v>3.86607608129234</v>
      </c>
      <c r="I122">
        <f>Tableau5[[#This Row],[GHG (kgCO2eq/GJ)]]*3.6</f>
        <v>13.917873892652425</v>
      </c>
      <c r="J122" t="s">
        <v>104</v>
      </c>
      <c r="K122" t="s">
        <v>108</v>
      </c>
    </row>
    <row r="123" spans="1:11" x14ac:dyDescent="0.3">
      <c r="A123" t="s">
        <v>13</v>
      </c>
      <c r="B123" t="s">
        <v>46</v>
      </c>
      <c r="C123" t="s">
        <v>63</v>
      </c>
      <c r="D123">
        <v>2.3400000000000001E-2</v>
      </c>
      <c r="E123">
        <f>Tableau5[[#This Row],[Potential (PJ)]]/3.6</f>
        <v>6.4999999999999997E-3</v>
      </c>
      <c r="F123">
        <v>2.9286474973375931</v>
      </c>
      <c r="G123">
        <f>Tableau5[[#This Row],[Cost (€/GJ)]]*3.6</f>
        <v>10.543130990415335</v>
      </c>
      <c r="H123">
        <v>3.950479233226837</v>
      </c>
      <c r="I123">
        <f>Tableau5[[#This Row],[GHG (kgCO2eq/GJ)]]*3.6</f>
        <v>14.221725239616614</v>
      </c>
      <c r="J123" t="s">
        <v>104</v>
      </c>
      <c r="K123" t="s">
        <v>108</v>
      </c>
    </row>
    <row r="124" spans="1:11" x14ac:dyDescent="0.3">
      <c r="A124" t="s">
        <v>13</v>
      </c>
      <c r="B124" t="s">
        <v>46</v>
      </c>
      <c r="C124" t="s">
        <v>64</v>
      </c>
      <c r="D124">
        <v>4.7000000000000002E-3</v>
      </c>
      <c r="E124">
        <f>Tableau5[[#This Row],[Potential (PJ)]]/3.6</f>
        <v>1.3055555555555557E-3</v>
      </c>
      <c r="F124">
        <v>7.9840000000000009</v>
      </c>
      <c r="G124">
        <f>Tableau5[[#This Row],[Cost (€/GJ)]]*3.6</f>
        <v>28.742400000000004</v>
      </c>
      <c r="H124">
        <v>2.9521711768407801</v>
      </c>
      <c r="I124">
        <f>Tableau5[[#This Row],[GHG (kgCO2eq/GJ)]]*3.6</f>
        <v>10.627816236626808</v>
      </c>
      <c r="J124" t="s">
        <v>104</v>
      </c>
      <c r="K124" t="s">
        <v>108</v>
      </c>
    </row>
    <row r="125" spans="1:11" x14ac:dyDescent="0.3">
      <c r="A125" t="s">
        <v>13</v>
      </c>
      <c r="B125" t="s">
        <v>46</v>
      </c>
      <c r="C125" t="s">
        <v>80</v>
      </c>
      <c r="D125">
        <v>0.08</v>
      </c>
      <c r="E125">
        <f>Tableau5[[#This Row],[Potential (PJ)]]/3.6</f>
        <v>2.2222222222222223E-2</v>
      </c>
      <c r="F125">
        <v>1.2157788267026299</v>
      </c>
      <c r="G125">
        <f>Tableau5[[#This Row],[Cost (€/GJ)]]*3.6</f>
        <v>4.376803776129468</v>
      </c>
      <c r="H125">
        <v>28.139870918023309</v>
      </c>
      <c r="I125">
        <f>Tableau5[[#This Row],[GHG (kgCO2eq/GJ)]]*3.6</f>
        <v>101.30353530488391</v>
      </c>
      <c r="J125" t="s">
        <v>105</v>
      </c>
      <c r="K125" t="s">
        <v>108</v>
      </c>
    </row>
    <row r="126" spans="1:11" x14ac:dyDescent="0.3">
      <c r="A126" t="s">
        <v>13</v>
      </c>
      <c r="B126" t="s">
        <v>46</v>
      </c>
      <c r="C126" t="s">
        <v>81</v>
      </c>
      <c r="D126">
        <v>1E-3</v>
      </c>
      <c r="E126">
        <f>Tableau5[[#This Row],[Potential (PJ)]]/3.6</f>
        <v>2.7777777777777778E-4</v>
      </c>
      <c r="F126">
        <v>3.252643948296122</v>
      </c>
      <c r="G126">
        <f>Tableau5[[#This Row],[Cost (€/GJ)]]*3.6</f>
        <v>11.709518213866039</v>
      </c>
      <c r="H126">
        <v>8.9647473560517046</v>
      </c>
      <c r="I126">
        <f>Tableau5[[#This Row],[GHG (kgCO2eq/GJ)]]*3.6</f>
        <v>32.273090481786134</v>
      </c>
      <c r="J126" t="s">
        <v>105</v>
      </c>
      <c r="K126" t="s">
        <v>108</v>
      </c>
    </row>
    <row r="127" spans="1:11" x14ac:dyDescent="0.3">
      <c r="A127" t="s">
        <v>13</v>
      </c>
      <c r="B127" t="s">
        <v>47</v>
      </c>
      <c r="C127" t="s">
        <v>68</v>
      </c>
      <c r="D127">
        <v>0.4</v>
      </c>
      <c r="E127">
        <f>Tableau5[[#This Row],[Potential (PJ)]]/3.6</f>
        <v>0.11111111111111112</v>
      </c>
      <c r="F127">
        <v>5.5860000000000003</v>
      </c>
      <c r="G127">
        <f>Tableau5[[#This Row],[Cost (€/GJ)]]*3.6</f>
        <v>20.1096</v>
      </c>
      <c r="H127">
        <v>13.8</v>
      </c>
      <c r="I127">
        <f>Tableau5[[#This Row],[GHG (kgCO2eq/GJ)]]*3.6</f>
        <v>49.680000000000007</v>
      </c>
      <c r="J127" t="s">
        <v>104</v>
      </c>
      <c r="K127" t="s">
        <v>109</v>
      </c>
    </row>
    <row r="128" spans="1:11" x14ac:dyDescent="0.3">
      <c r="A128" t="s">
        <v>13</v>
      </c>
      <c r="B128" t="s">
        <v>48</v>
      </c>
      <c r="C128" t="s">
        <v>70</v>
      </c>
      <c r="D128">
        <v>0.2</v>
      </c>
      <c r="E128">
        <f>Tableau5[[#This Row],[Potential (PJ)]]/3.6</f>
        <v>5.5555555555555559E-2</v>
      </c>
      <c r="F128">
        <v>13.162000000000001</v>
      </c>
      <c r="G128">
        <f>Tableau5[[#This Row],[Cost (€/GJ)]]*3.6</f>
        <v>47.383200000000002</v>
      </c>
      <c r="H128">
        <v>0</v>
      </c>
      <c r="I128">
        <f>Tableau5[[#This Row],[GHG (kgCO2eq/GJ)]]*3.6</f>
        <v>0</v>
      </c>
      <c r="J128" t="s">
        <v>104</v>
      </c>
      <c r="K128" t="s">
        <v>109</v>
      </c>
    </row>
    <row r="129" spans="1:11" x14ac:dyDescent="0.3">
      <c r="A129" t="s">
        <v>13</v>
      </c>
      <c r="B129" t="s">
        <v>50</v>
      </c>
      <c r="C129" t="s">
        <v>73</v>
      </c>
      <c r="D129">
        <v>0.5</v>
      </c>
      <c r="E129">
        <f>Tableau5[[#This Row],[Potential (PJ)]]/3.6</f>
        <v>0.1388888888888889</v>
      </c>
      <c r="F129">
        <v>5.37</v>
      </c>
      <c r="G129">
        <f>Tableau5[[#This Row],[Cost (€/GJ)]]*3.6</f>
        <v>19.332000000000001</v>
      </c>
      <c r="H129">
        <v>20.723404255319149</v>
      </c>
      <c r="I129">
        <f>Tableau5[[#This Row],[GHG (kgCO2eq/GJ)]]*3.6</f>
        <v>74.604255319148933</v>
      </c>
      <c r="J129" t="s">
        <v>105</v>
      </c>
      <c r="K129" t="s">
        <v>108</v>
      </c>
    </row>
    <row r="130" spans="1:11" x14ac:dyDescent="0.3">
      <c r="A130" t="s">
        <v>13</v>
      </c>
      <c r="B130" t="s">
        <v>50</v>
      </c>
      <c r="C130" t="s">
        <v>74</v>
      </c>
      <c r="D130">
        <v>2.4</v>
      </c>
      <c r="E130">
        <f>Tableau5[[#This Row],[Potential (PJ)]]/3.6</f>
        <v>0.66666666666666663</v>
      </c>
      <c r="F130">
        <v>4.0579999999999998</v>
      </c>
      <c r="G130">
        <f>Tableau5[[#This Row],[Cost (€/GJ)]]*3.6</f>
        <v>14.6088</v>
      </c>
      <c r="H130">
        <v>2.0635593220338988</v>
      </c>
      <c r="I130">
        <f>Tableau5[[#This Row],[GHG (kgCO2eq/GJ)]]*3.6</f>
        <v>7.4288135593220357</v>
      </c>
      <c r="J130" t="s">
        <v>105</v>
      </c>
      <c r="K130" t="s">
        <v>108</v>
      </c>
    </row>
    <row r="131" spans="1:11" x14ac:dyDescent="0.3">
      <c r="A131" t="s">
        <v>13</v>
      </c>
      <c r="B131" t="s">
        <v>51</v>
      </c>
      <c r="C131" t="s">
        <v>75</v>
      </c>
      <c r="D131">
        <v>1.2647999999999999</v>
      </c>
      <c r="E131">
        <f>Tableau5[[#This Row],[Potential (PJ)]]/3.6</f>
        <v>0.35133333333333333</v>
      </c>
      <c r="F131">
        <v>6.9640781685982797E-3</v>
      </c>
      <c r="G131">
        <f>Tableau5[[#This Row],[Cost (€/GJ)]]*3.6</f>
        <v>2.5070681406953808E-2</v>
      </c>
      <c r="H131">
        <v>11.74</v>
      </c>
      <c r="I131">
        <f>Tableau5[[#This Row],[GHG (kgCO2eq/GJ)]]*3.6</f>
        <v>42.264000000000003</v>
      </c>
      <c r="J131" t="s">
        <v>104</v>
      </c>
      <c r="K131" t="s">
        <v>108</v>
      </c>
    </row>
    <row r="132" spans="1:11" x14ac:dyDescent="0.3">
      <c r="A132" t="s">
        <v>13</v>
      </c>
      <c r="B132" t="s">
        <v>52</v>
      </c>
      <c r="C132" t="s">
        <v>76</v>
      </c>
      <c r="D132">
        <v>1E-3</v>
      </c>
      <c r="E132">
        <f>Tableau5[[#This Row],[Potential (PJ)]]/3.6</f>
        <v>2.7777777777777778E-4</v>
      </c>
      <c r="F132">
        <v>8.4824999999999999</v>
      </c>
      <c r="G132">
        <f>Tableau5[[#This Row],[Cost (€/GJ)]]*3.6</f>
        <v>30.536999999999999</v>
      </c>
      <c r="H132">
        <v>12.68872359754714</v>
      </c>
      <c r="I132">
        <f>Tableau5[[#This Row],[GHG (kgCO2eq/GJ)]]*3.6</f>
        <v>45.679404951169708</v>
      </c>
      <c r="J132" t="s">
        <v>105</v>
      </c>
      <c r="K132" t="s">
        <v>108</v>
      </c>
    </row>
    <row r="133" spans="1:11" x14ac:dyDescent="0.3">
      <c r="A133" t="s">
        <v>14</v>
      </c>
      <c r="B133" t="s">
        <v>46</v>
      </c>
      <c r="C133" t="s">
        <v>64</v>
      </c>
      <c r="D133">
        <v>4.5620000000000001E-2</v>
      </c>
      <c r="E133">
        <f>Tableau5[[#This Row],[Potential (PJ)]]/3.6</f>
        <v>1.2672222222222222E-2</v>
      </c>
      <c r="F133">
        <v>7.1819125383603692</v>
      </c>
      <c r="G133">
        <f>Tableau5[[#This Row],[Cost (€/GJ)]]*3.6</f>
        <v>25.85488513809733</v>
      </c>
      <c r="H133">
        <v>2.9521711768407801</v>
      </c>
      <c r="I133">
        <f>Tableau5[[#This Row],[GHG (kgCO2eq/GJ)]]*3.6</f>
        <v>10.627816236626808</v>
      </c>
      <c r="J133" t="s">
        <v>104</v>
      </c>
      <c r="K133" t="s">
        <v>108</v>
      </c>
    </row>
    <row r="134" spans="1:11" x14ac:dyDescent="0.3">
      <c r="A134" t="s">
        <v>14</v>
      </c>
      <c r="B134" t="s">
        <v>46</v>
      </c>
      <c r="C134" t="s">
        <v>79</v>
      </c>
      <c r="D134">
        <v>20.9</v>
      </c>
      <c r="E134">
        <f>Tableau5[[#This Row],[Potential (PJ)]]/3.6</f>
        <v>5.8055555555555554</v>
      </c>
      <c r="F134">
        <v>5.3570000000000002</v>
      </c>
      <c r="G134">
        <f>Tableau5[[#This Row],[Cost (€/GJ)]]*3.6</f>
        <v>19.2852</v>
      </c>
      <c r="H134">
        <v>6.8428961748633883</v>
      </c>
      <c r="I134">
        <f>Tableau5[[#This Row],[GHG (kgCO2eq/GJ)]]*3.6</f>
        <v>24.634426229508197</v>
      </c>
      <c r="J134" t="s">
        <v>104</v>
      </c>
      <c r="K134" t="s">
        <v>108</v>
      </c>
    </row>
    <row r="135" spans="1:11" x14ac:dyDescent="0.3">
      <c r="A135" t="s">
        <v>14</v>
      </c>
      <c r="B135" t="s">
        <v>46</v>
      </c>
      <c r="C135" t="s">
        <v>80</v>
      </c>
      <c r="D135">
        <v>0.28460000000000002</v>
      </c>
      <c r="E135">
        <f>Tableau5[[#This Row],[Potential (PJ)]]/3.6</f>
        <v>7.9055555555555559E-2</v>
      </c>
      <c r="F135">
        <v>0.48482805124747141</v>
      </c>
      <c r="G135">
        <f>Tableau5[[#This Row],[Cost (€/GJ)]]*3.6</f>
        <v>1.7453809844908972</v>
      </c>
      <c r="H135">
        <v>28.139870918023309</v>
      </c>
      <c r="I135">
        <f>Tableau5[[#This Row],[GHG (kgCO2eq/GJ)]]*3.6</f>
        <v>101.30353530488391</v>
      </c>
      <c r="J135" t="s">
        <v>105</v>
      </c>
      <c r="K135" t="s">
        <v>108</v>
      </c>
    </row>
    <row r="136" spans="1:11" x14ac:dyDescent="0.3">
      <c r="A136" t="s">
        <v>14</v>
      </c>
      <c r="B136" t="s">
        <v>46</v>
      </c>
      <c r="C136" t="s">
        <v>81</v>
      </c>
      <c r="D136">
        <v>0.67969999999999997</v>
      </c>
      <c r="E136">
        <f>Tableau5[[#This Row],[Potential (PJ)]]/3.6</f>
        <v>0.18880555555555553</v>
      </c>
      <c r="F136">
        <v>1.2338425381903639</v>
      </c>
      <c r="G136">
        <f>Tableau5[[#This Row],[Cost (€/GJ)]]*3.6</f>
        <v>4.4418331374853102</v>
      </c>
      <c r="H136">
        <v>8.9647473560517046</v>
      </c>
      <c r="I136">
        <f>Tableau5[[#This Row],[GHG (kgCO2eq/GJ)]]*3.6</f>
        <v>32.273090481786134</v>
      </c>
      <c r="J136" t="s">
        <v>105</v>
      </c>
      <c r="K136" t="s">
        <v>108</v>
      </c>
    </row>
    <row r="137" spans="1:11" x14ac:dyDescent="0.3">
      <c r="A137" t="s">
        <v>14</v>
      </c>
      <c r="B137" t="s">
        <v>46</v>
      </c>
      <c r="C137" t="s">
        <v>66</v>
      </c>
      <c r="D137">
        <v>1.6</v>
      </c>
      <c r="E137">
        <f>Tableau5[[#This Row],[Potential (PJ)]]/3.6</f>
        <v>0.44444444444444448</v>
      </c>
      <c r="F137">
        <v>5.5353124999999999</v>
      </c>
      <c r="G137">
        <f>Tableau5[[#This Row],[Cost (€/GJ)]]*3.6</f>
        <v>19.927125</v>
      </c>
      <c r="H137">
        <v>6.8428961748633883</v>
      </c>
      <c r="I137">
        <f>Tableau5[[#This Row],[GHG (kgCO2eq/GJ)]]*3.6</f>
        <v>24.634426229508197</v>
      </c>
      <c r="J137" t="s">
        <v>104</v>
      </c>
      <c r="K137" t="s">
        <v>108</v>
      </c>
    </row>
    <row r="138" spans="1:11" x14ac:dyDescent="0.3">
      <c r="A138" t="s">
        <v>14</v>
      </c>
      <c r="B138" t="s">
        <v>46</v>
      </c>
      <c r="C138" t="s">
        <v>82</v>
      </c>
      <c r="D138">
        <v>1.7</v>
      </c>
      <c r="E138">
        <f>Tableau5[[#This Row],[Potential (PJ)]]/3.6</f>
        <v>0.47222222222222221</v>
      </c>
      <c r="F138">
        <v>3.3204117647058831</v>
      </c>
      <c r="G138">
        <f>Tableau5[[#This Row],[Cost (€/GJ)]]*3.6</f>
        <v>11.95348235294118</v>
      </c>
      <c r="H138">
        <v>6.8428961748633883</v>
      </c>
      <c r="I138">
        <f>Tableau5[[#This Row],[GHG (kgCO2eq/GJ)]]*3.6</f>
        <v>24.634426229508197</v>
      </c>
      <c r="J138" t="s">
        <v>104</v>
      </c>
      <c r="K138" t="s">
        <v>108</v>
      </c>
    </row>
    <row r="139" spans="1:11" x14ac:dyDescent="0.3">
      <c r="A139" t="s">
        <v>14</v>
      </c>
      <c r="B139" t="s">
        <v>46</v>
      </c>
      <c r="C139" t="s">
        <v>84</v>
      </c>
      <c r="D139">
        <v>0.3</v>
      </c>
      <c r="E139">
        <f>Tableau5[[#This Row],[Potential (PJ)]]/3.6</f>
        <v>8.3333333333333329E-2</v>
      </c>
      <c r="F139">
        <v>2.6503333333333332</v>
      </c>
      <c r="G139">
        <f>Tableau5[[#This Row],[Cost (€/GJ)]]*3.6</f>
        <v>9.5411999999999999</v>
      </c>
      <c r="H139">
        <v>28.139870918023309</v>
      </c>
      <c r="I139">
        <f>Tableau5[[#This Row],[GHG (kgCO2eq/GJ)]]*3.6</f>
        <v>101.30353530488391</v>
      </c>
      <c r="J139" t="s">
        <v>105</v>
      </c>
      <c r="K139" t="s">
        <v>108</v>
      </c>
    </row>
    <row r="140" spans="1:11" x14ac:dyDescent="0.3">
      <c r="A140" t="s">
        <v>14</v>
      </c>
      <c r="B140" t="s">
        <v>46</v>
      </c>
      <c r="C140" t="s">
        <v>85</v>
      </c>
      <c r="D140">
        <v>0.1</v>
      </c>
      <c r="E140">
        <f>Tableau5[[#This Row],[Potential (PJ)]]/3.6</f>
        <v>2.777777777777778E-2</v>
      </c>
      <c r="F140">
        <v>3.9420000000000002</v>
      </c>
      <c r="G140">
        <f>Tableau5[[#This Row],[Cost (€/GJ)]]*3.6</f>
        <v>14.1912</v>
      </c>
      <c r="H140">
        <v>2.9521711768407801</v>
      </c>
      <c r="I140">
        <f>Tableau5[[#This Row],[GHG (kgCO2eq/GJ)]]*3.6</f>
        <v>10.627816236626808</v>
      </c>
      <c r="J140" t="s">
        <v>104</v>
      </c>
      <c r="K140" t="s">
        <v>108</v>
      </c>
    </row>
    <row r="141" spans="1:11" x14ac:dyDescent="0.3">
      <c r="A141" t="s">
        <v>14</v>
      </c>
      <c r="B141" t="s">
        <v>55</v>
      </c>
      <c r="C141" t="s">
        <v>86</v>
      </c>
      <c r="D141">
        <v>0.41870000000000002</v>
      </c>
      <c r="E141">
        <f>Tableau5[[#This Row],[Potential (PJ)]]/3.6</f>
        <v>0.11630555555555555</v>
      </c>
      <c r="F141">
        <v>10.548</v>
      </c>
      <c r="G141">
        <f>Tableau5[[#This Row],[Cost (€/GJ)]]*3.6</f>
        <v>37.972799999999999</v>
      </c>
      <c r="H141">
        <v>11.9</v>
      </c>
      <c r="I141">
        <f>Tableau5[[#This Row],[GHG (kgCO2eq/GJ)]]*3.6</f>
        <v>42.84</v>
      </c>
      <c r="J141" t="s">
        <v>106</v>
      </c>
      <c r="K141" t="s">
        <v>109</v>
      </c>
    </row>
    <row r="142" spans="1:11" x14ac:dyDescent="0.3">
      <c r="A142" t="s">
        <v>14</v>
      </c>
      <c r="B142" t="s">
        <v>55</v>
      </c>
      <c r="C142" t="s">
        <v>88</v>
      </c>
      <c r="D142">
        <v>1.7263999999999999</v>
      </c>
      <c r="E142">
        <f>Tableau5[[#This Row],[Potential (PJ)]]/3.6</f>
        <v>0.47955555555555551</v>
      </c>
      <c r="F142">
        <v>10.798999999999999</v>
      </c>
      <c r="G142">
        <f>Tableau5[[#This Row],[Cost (€/GJ)]]*3.6</f>
        <v>38.876399999999997</v>
      </c>
      <c r="H142">
        <v>11.9</v>
      </c>
      <c r="I142">
        <f>Tableau5[[#This Row],[GHG (kgCO2eq/GJ)]]*3.6</f>
        <v>42.84</v>
      </c>
      <c r="J142" t="s">
        <v>106</v>
      </c>
      <c r="K142" t="s">
        <v>109</v>
      </c>
    </row>
    <row r="143" spans="1:11" x14ac:dyDescent="0.3">
      <c r="A143" t="s">
        <v>14</v>
      </c>
      <c r="B143" t="s">
        <v>55</v>
      </c>
      <c r="C143" t="s">
        <v>89</v>
      </c>
      <c r="D143">
        <v>0.1186</v>
      </c>
      <c r="E143">
        <f>Tableau5[[#This Row],[Potential (PJ)]]/3.6</f>
        <v>3.2944444444444443E-2</v>
      </c>
      <c r="F143">
        <v>0</v>
      </c>
      <c r="G143">
        <f>Tableau5[[#This Row],[Cost (€/GJ)]]*3.6</f>
        <v>0</v>
      </c>
      <c r="H143">
        <v>11.9</v>
      </c>
      <c r="I143">
        <f>Tableau5[[#This Row],[GHG (kgCO2eq/GJ)]]*3.6</f>
        <v>42.84</v>
      </c>
      <c r="J143" t="s">
        <v>106</v>
      </c>
      <c r="K143" t="s">
        <v>109</v>
      </c>
    </row>
    <row r="144" spans="1:11" x14ac:dyDescent="0.3">
      <c r="A144" t="s">
        <v>14</v>
      </c>
      <c r="B144" t="s">
        <v>55</v>
      </c>
      <c r="C144" t="s">
        <v>90</v>
      </c>
      <c r="D144">
        <v>5.7999999999999996E-3</v>
      </c>
      <c r="E144">
        <f>Tableau5[[#This Row],[Potential (PJ)]]/3.6</f>
        <v>1.6111111111111109E-3</v>
      </c>
      <c r="F144">
        <v>9.3460000000000019</v>
      </c>
      <c r="G144">
        <f>Tableau5[[#This Row],[Cost (€/GJ)]]*3.6</f>
        <v>33.645600000000009</v>
      </c>
      <c r="H144">
        <v>11.9</v>
      </c>
      <c r="I144">
        <f>Tableau5[[#This Row],[GHG (kgCO2eq/GJ)]]*3.6</f>
        <v>42.84</v>
      </c>
      <c r="J144" t="s">
        <v>106</v>
      </c>
      <c r="K144" t="s">
        <v>109</v>
      </c>
    </row>
    <row r="145" spans="1:11" x14ac:dyDescent="0.3">
      <c r="A145" t="s">
        <v>14</v>
      </c>
      <c r="B145" t="s">
        <v>55</v>
      </c>
      <c r="C145" t="s">
        <v>91</v>
      </c>
      <c r="D145">
        <v>0.13</v>
      </c>
      <c r="E145">
        <f>Tableau5[[#This Row],[Potential (PJ)]]/3.6</f>
        <v>3.6111111111111115E-2</v>
      </c>
      <c r="F145">
        <v>10.103999999999999</v>
      </c>
      <c r="G145">
        <f>Tableau5[[#This Row],[Cost (€/GJ)]]*3.6</f>
        <v>36.374400000000001</v>
      </c>
      <c r="H145">
        <v>11.9</v>
      </c>
      <c r="I145">
        <f>Tableau5[[#This Row],[GHG (kgCO2eq/GJ)]]*3.6</f>
        <v>42.84</v>
      </c>
      <c r="J145" t="s">
        <v>106</v>
      </c>
      <c r="K145" t="s">
        <v>109</v>
      </c>
    </row>
    <row r="146" spans="1:11" x14ac:dyDescent="0.3">
      <c r="A146" t="s">
        <v>14</v>
      </c>
      <c r="B146" t="s">
        <v>55</v>
      </c>
      <c r="C146" t="s">
        <v>92</v>
      </c>
      <c r="D146">
        <v>0.91498000000000002</v>
      </c>
      <c r="E146">
        <f>Tableau5[[#This Row],[Potential (PJ)]]/3.6</f>
        <v>0.25416111111111112</v>
      </c>
      <c r="F146">
        <v>9.7859999999999996</v>
      </c>
      <c r="G146">
        <f>Tableau5[[#This Row],[Cost (€/GJ)]]*3.6</f>
        <v>35.229599999999998</v>
      </c>
      <c r="H146">
        <v>11.9</v>
      </c>
      <c r="I146">
        <f>Tableau5[[#This Row],[GHG (kgCO2eq/GJ)]]*3.6</f>
        <v>42.84</v>
      </c>
      <c r="J146" t="s">
        <v>106</v>
      </c>
      <c r="K146" t="s">
        <v>109</v>
      </c>
    </row>
    <row r="147" spans="1:11" x14ac:dyDescent="0.3">
      <c r="A147" t="s">
        <v>14</v>
      </c>
      <c r="B147" t="s">
        <v>56</v>
      </c>
      <c r="C147" t="s">
        <v>93</v>
      </c>
      <c r="D147">
        <v>14.6416</v>
      </c>
      <c r="E147">
        <f>Tableau5[[#This Row],[Potential (PJ)]]/3.6</f>
        <v>4.0671111111111111</v>
      </c>
      <c r="F147">
        <v>2.9493975903614462</v>
      </c>
      <c r="G147">
        <f>Tableau5[[#This Row],[Cost (€/GJ)]]*3.6</f>
        <v>10.617831325301207</v>
      </c>
      <c r="H147">
        <v>20.3</v>
      </c>
      <c r="I147">
        <f>Tableau5[[#This Row],[GHG (kgCO2eq/GJ)]]*3.6</f>
        <v>73.08</v>
      </c>
      <c r="J147" t="s">
        <v>106</v>
      </c>
      <c r="K147" t="s">
        <v>109</v>
      </c>
    </row>
    <row r="148" spans="1:11" x14ac:dyDescent="0.3">
      <c r="A148" t="s">
        <v>14</v>
      </c>
      <c r="B148" t="s">
        <v>47</v>
      </c>
      <c r="C148" t="s">
        <v>68</v>
      </c>
      <c r="D148">
        <v>4.2</v>
      </c>
      <c r="E148">
        <f>Tableau5[[#This Row],[Potential (PJ)]]/3.6</f>
        <v>1.1666666666666667</v>
      </c>
      <c r="F148">
        <v>3.4689047619047622</v>
      </c>
      <c r="G148">
        <f>Tableau5[[#This Row],[Cost (€/GJ)]]*3.6</f>
        <v>12.488057142857144</v>
      </c>
      <c r="H148">
        <v>18.5</v>
      </c>
      <c r="I148">
        <f>Tableau5[[#This Row],[GHG (kgCO2eq/GJ)]]*3.6</f>
        <v>66.600000000000009</v>
      </c>
      <c r="J148" t="s">
        <v>104</v>
      </c>
      <c r="K148" t="s">
        <v>109</v>
      </c>
    </row>
    <row r="149" spans="1:11" x14ac:dyDescent="0.3">
      <c r="A149" t="s">
        <v>14</v>
      </c>
      <c r="B149" t="s">
        <v>47</v>
      </c>
      <c r="C149" t="s">
        <v>69</v>
      </c>
      <c r="D149">
        <v>5.9</v>
      </c>
      <c r="E149">
        <f>Tableau5[[#This Row],[Potential (PJ)]]/3.6</f>
        <v>1.6388888888888888</v>
      </c>
      <c r="F149">
        <v>3.0071694915254241</v>
      </c>
      <c r="G149">
        <f>Tableau5[[#This Row],[Cost (€/GJ)]]*3.6</f>
        <v>10.825810169491527</v>
      </c>
      <c r="H149">
        <v>18.5</v>
      </c>
      <c r="I149">
        <f>Tableau5[[#This Row],[GHG (kgCO2eq/GJ)]]*3.6</f>
        <v>66.600000000000009</v>
      </c>
      <c r="J149" t="s">
        <v>104</v>
      </c>
      <c r="K149" t="s">
        <v>109</v>
      </c>
    </row>
    <row r="150" spans="1:11" x14ac:dyDescent="0.3">
      <c r="A150" t="s">
        <v>14</v>
      </c>
      <c r="B150" t="s">
        <v>57</v>
      </c>
      <c r="C150" t="s">
        <v>94</v>
      </c>
      <c r="D150">
        <v>4.7</v>
      </c>
      <c r="E150">
        <f>Tableau5[[#This Row],[Potential (PJ)]]/3.6</f>
        <v>1.3055555555555556</v>
      </c>
      <c r="F150">
        <v>7.3995957446808509</v>
      </c>
      <c r="G150">
        <f>Tableau5[[#This Row],[Cost (€/GJ)]]*3.6</f>
        <v>26.638544680851062</v>
      </c>
      <c r="H150">
        <v>14.4</v>
      </c>
      <c r="I150">
        <f>Tableau5[[#This Row],[GHG (kgCO2eq/GJ)]]*3.6</f>
        <v>51.84</v>
      </c>
      <c r="J150" t="s">
        <v>104</v>
      </c>
      <c r="K150" t="s">
        <v>109</v>
      </c>
    </row>
    <row r="151" spans="1:11" x14ac:dyDescent="0.3">
      <c r="A151" t="s">
        <v>14</v>
      </c>
      <c r="B151" t="s">
        <v>49</v>
      </c>
      <c r="C151" t="s">
        <v>71</v>
      </c>
      <c r="D151">
        <v>39.880139999999997</v>
      </c>
      <c r="E151">
        <f>Tableau5[[#This Row],[Potential (PJ)]]/3.6</f>
        <v>11.077816666666665</v>
      </c>
      <c r="F151">
        <v>5.994148291355045</v>
      </c>
      <c r="G151">
        <f>Tableau5[[#This Row],[Cost (€/GJ)]]*3.6</f>
        <v>21.578933848878162</v>
      </c>
      <c r="H151">
        <v>3.86607608129234</v>
      </c>
      <c r="I151">
        <f>Tableau5[[#This Row],[GHG (kgCO2eq/GJ)]]*3.6</f>
        <v>13.917873892652425</v>
      </c>
      <c r="J151" t="s">
        <v>104</v>
      </c>
      <c r="K151" t="s">
        <v>108</v>
      </c>
    </row>
    <row r="152" spans="1:11" x14ac:dyDescent="0.3">
      <c r="A152" t="s">
        <v>14</v>
      </c>
      <c r="B152" t="s">
        <v>49</v>
      </c>
      <c r="C152" t="s">
        <v>72</v>
      </c>
      <c r="D152">
        <v>2.8</v>
      </c>
      <c r="E152">
        <f>Tableau5[[#This Row],[Potential (PJ)]]/3.6</f>
        <v>0.77777777777777768</v>
      </c>
      <c r="F152">
        <v>4.8066071428571426</v>
      </c>
      <c r="G152">
        <f>Tableau5[[#This Row],[Cost (€/GJ)]]*3.6</f>
        <v>17.303785714285713</v>
      </c>
      <c r="H152">
        <v>3.86607608129234</v>
      </c>
      <c r="I152">
        <f>Tableau5[[#This Row],[GHG (kgCO2eq/GJ)]]*3.6</f>
        <v>13.917873892652425</v>
      </c>
      <c r="J152" t="s">
        <v>104</v>
      </c>
      <c r="K152" t="s">
        <v>108</v>
      </c>
    </row>
    <row r="153" spans="1:11" x14ac:dyDescent="0.3">
      <c r="A153" t="s">
        <v>14</v>
      </c>
      <c r="B153" t="s">
        <v>58</v>
      </c>
      <c r="C153" t="s">
        <v>95</v>
      </c>
      <c r="D153">
        <v>6.1417800000000007</v>
      </c>
      <c r="E153">
        <f>Tableau5[[#This Row],[Potential (PJ)]]/3.6</f>
        <v>1.7060500000000001</v>
      </c>
      <c r="F153">
        <v>3.5569999999999999</v>
      </c>
      <c r="G153">
        <f>Tableau5[[#This Row],[Cost (€/GJ)]]*3.6</f>
        <v>12.805199999999999</v>
      </c>
      <c r="H153">
        <v>2.9521711768407801</v>
      </c>
      <c r="I153">
        <f>Tableau5[[#This Row],[GHG (kgCO2eq/GJ)]]*3.6</f>
        <v>10.627816236626808</v>
      </c>
      <c r="J153" t="s">
        <v>104</v>
      </c>
      <c r="K153" t="s">
        <v>108</v>
      </c>
    </row>
    <row r="154" spans="1:11" x14ac:dyDescent="0.3">
      <c r="A154" t="s">
        <v>14</v>
      </c>
      <c r="B154" t="s">
        <v>50</v>
      </c>
      <c r="C154" t="s">
        <v>73</v>
      </c>
      <c r="D154">
        <v>3.7</v>
      </c>
      <c r="E154">
        <f>Tableau5[[#This Row],[Potential (PJ)]]/3.6</f>
        <v>1.0277777777777779</v>
      </c>
      <c r="F154">
        <v>5.0943243243243241</v>
      </c>
      <c r="G154">
        <f>Tableau5[[#This Row],[Cost (€/GJ)]]*3.6</f>
        <v>18.339567567567567</v>
      </c>
      <c r="H154">
        <v>20.723404255319149</v>
      </c>
      <c r="I154">
        <f>Tableau5[[#This Row],[GHG (kgCO2eq/GJ)]]*3.6</f>
        <v>74.604255319148933</v>
      </c>
      <c r="J154" t="s">
        <v>105</v>
      </c>
      <c r="K154" t="s">
        <v>108</v>
      </c>
    </row>
    <row r="155" spans="1:11" x14ac:dyDescent="0.3">
      <c r="A155" t="s">
        <v>14</v>
      </c>
      <c r="B155" t="s">
        <v>50</v>
      </c>
      <c r="C155" t="s">
        <v>74</v>
      </c>
      <c r="D155">
        <v>38.200000000000003</v>
      </c>
      <c r="E155">
        <f>Tableau5[[#This Row],[Potential (PJ)]]/3.6</f>
        <v>10.611111111111112</v>
      </c>
      <c r="F155">
        <v>3.6191492146596849</v>
      </c>
      <c r="G155">
        <f>Tableau5[[#This Row],[Cost (€/GJ)]]*3.6</f>
        <v>13.028937172774866</v>
      </c>
      <c r="H155">
        <v>2.0635593220338988</v>
      </c>
      <c r="I155">
        <f>Tableau5[[#This Row],[GHG (kgCO2eq/GJ)]]*3.6</f>
        <v>7.4288135593220357</v>
      </c>
      <c r="J155" t="s">
        <v>105</v>
      </c>
      <c r="K155" t="s">
        <v>108</v>
      </c>
    </row>
    <row r="156" spans="1:11" x14ac:dyDescent="0.3">
      <c r="A156" t="s">
        <v>14</v>
      </c>
      <c r="B156" t="s">
        <v>59</v>
      </c>
      <c r="C156" t="s">
        <v>96</v>
      </c>
      <c r="D156">
        <v>0.43809999999999999</v>
      </c>
      <c r="E156">
        <f>Tableau5[[#This Row],[Potential (PJ)]]/3.6</f>
        <v>0.12169444444444444</v>
      </c>
      <c r="F156">
        <v>18.337</v>
      </c>
      <c r="G156">
        <f>Tableau5[[#This Row],[Cost (€/GJ)]]*3.6</f>
        <v>66.013199999999998</v>
      </c>
      <c r="H156">
        <v>5.5</v>
      </c>
      <c r="I156">
        <f>Tableau5[[#This Row],[GHG (kgCO2eq/GJ)]]*3.6</f>
        <v>19.8</v>
      </c>
      <c r="J156" t="s">
        <v>107</v>
      </c>
      <c r="K156" t="s">
        <v>109</v>
      </c>
    </row>
    <row r="157" spans="1:11" x14ac:dyDescent="0.3">
      <c r="A157" t="s">
        <v>14</v>
      </c>
      <c r="B157" t="s">
        <v>59</v>
      </c>
      <c r="C157" t="s">
        <v>97</v>
      </c>
      <c r="D157">
        <v>0.2029</v>
      </c>
      <c r="E157">
        <f>Tableau5[[#This Row],[Potential (PJ)]]/3.6</f>
        <v>5.6361111111111112E-2</v>
      </c>
      <c r="F157">
        <v>14.81280520889853</v>
      </c>
      <c r="G157">
        <f>Tableau5[[#This Row],[Cost (€/GJ)]]*3.6</f>
        <v>53.32609875203471</v>
      </c>
      <c r="H157">
        <v>5.5</v>
      </c>
      <c r="I157">
        <f>Tableau5[[#This Row],[GHG (kgCO2eq/GJ)]]*3.6</f>
        <v>19.8</v>
      </c>
      <c r="J157" t="s">
        <v>107</v>
      </c>
      <c r="K157" t="s">
        <v>109</v>
      </c>
    </row>
    <row r="158" spans="1:11" x14ac:dyDescent="0.3">
      <c r="A158" t="s">
        <v>14</v>
      </c>
      <c r="B158" t="s">
        <v>51</v>
      </c>
      <c r="C158" t="s">
        <v>75</v>
      </c>
      <c r="D158">
        <v>2.2185579999999998</v>
      </c>
      <c r="E158">
        <f>Tableau5[[#This Row],[Potential (PJ)]]/3.6</f>
        <v>0.61626611111111107</v>
      </c>
      <c r="F158">
        <v>3.50815453216986E-4</v>
      </c>
      <c r="G158">
        <f>Tableau5[[#This Row],[Cost (€/GJ)]]*3.6</f>
        <v>1.2629356315811495E-3</v>
      </c>
      <c r="H158">
        <v>11.74</v>
      </c>
      <c r="I158">
        <f>Tableau5[[#This Row],[GHG (kgCO2eq/GJ)]]*3.6</f>
        <v>42.264000000000003</v>
      </c>
      <c r="J158" t="s">
        <v>104</v>
      </c>
      <c r="K158" t="s">
        <v>108</v>
      </c>
    </row>
    <row r="159" spans="1:11" x14ac:dyDescent="0.3">
      <c r="A159" t="s">
        <v>14</v>
      </c>
      <c r="B159" t="s">
        <v>60</v>
      </c>
      <c r="C159" t="s">
        <v>98</v>
      </c>
      <c r="D159">
        <v>6.1114100000000002</v>
      </c>
      <c r="E159">
        <f>Tableau5[[#This Row],[Potential (PJ)]]/3.6</f>
        <v>1.697613888888889</v>
      </c>
      <c r="F159">
        <v>16.380236305048339</v>
      </c>
      <c r="G159">
        <f>Tableau5[[#This Row],[Cost (€/GJ)]]*3.6</f>
        <v>58.968850698174023</v>
      </c>
      <c r="H159">
        <v>27.8</v>
      </c>
      <c r="I159">
        <f>Tableau5[[#This Row],[GHG (kgCO2eq/GJ)]]*3.6</f>
        <v>100.08</v>
      </c>
      <c r="J159" t="s">
        <v>107</v>
      </c>
      <c r="K159" t="s">
        <v>109</v>
      </c>
    </row>
    <row r="160" spans="1:11" x14ac:dyDescent="0.3">
      <c r="A160" t="s">
        <v>14</v>
      </c>
      <c r="B160" t="s">
        <v>52</v>
      </c>
      <c r="C160" t="s">
        <v>76</v>
      </c>
      <c r="D160">
        <v>0.26400000000000001</v>
      </c>
      <c r="E160">
        <f>Tableau5[[#This Row],[Potential (PJ)]]/3.6</f>
        <v>7.3333333333333334E-2</v>
      </c>
      <c r="F160">
        <v>8.4824999999999999</v>
      </c>
      <c r="G160">
        <f>Tableau5[[#This Row],[Cost (€/GJ)]]*3.6</f>
        <v>30.536999999999999</v>
      </c>
      <c r="H160">
        <v>12.68872359754714</v>
      </c>
      <c r="I160">
        <f>Tableau5[[#This Row],[GHG (kgCO2eq/GJ)]]*3.6</f>
        <v>45.679404951169708</v>
      </c>
      <c r="J160" t="s">
        <v>105</v>
      </c>
      <c r="K160" t="s">
        <v>108</v>
      </c>
    </row>
    <row r="161" spans="1:11" x14ac:dyDescent="0.3">
      <c r="A161" t="s">
        <v>14</v>
      </c>
      <c r="B161" t="s">
        <v>53</v>
      </c>
      <c r="C161" t="s">
        <v>77</v>
      </c>
      <c r="D161">
        <v>4.3482900000000004</v>
      </c>
      <c r="E161">
        <f>Tableau5[[#This Row],[Potential (PJ)]]/3.6</f>
        <v>1.2078583333333335</v>
      </c>
      <c r="F161">
        <v>4.8066485629983271</v>
      </c>
      <c r="G161">
        <f>Tableau5[[#This Row],[Cost (€/GJ)]]*3.6</f>
        <v>17.303934826793977</v>
      </c>
      <c r="H161">
        <v>3.86607608129234</v>
      </c>
      <c r="I161">
        <f>Tableau5[[#This Row],[GHG (kgCO2eq/GJ)]]*3.6</f>
        <v>13.917873892652425</v>
      </c>
      <c r="J161" t="s">
        <v>104</v>
      </c>
      <c r="K161" t="s">
        <v>108</v>
      </c>
    </row>
    <row r="162" spans="1:11" x14ac:dyDescent="0.3">
      <c r="A162" t="s">
        <v>14</v>
      </c>
      <c r="B162" t="s">
        <v>61</v>
      </c>
      <c r="C162" t="s">
        <v>99</v>
      </c>
      <c r="D162">
        <v>12</v>
      </c>
      <c r="E162">
        <f>Tableau5[[#This Row],[Potential (PJ)]]/3.6</f>
        <v>3.333333333333333</v>
      </c>
      <c r="F162">
        <v>1.9988250000000001</v>
      </c>
      <c r="G162">
        <f>Tableau5[[#This Row],[Cost (€/GJ)]]*3.6</f>
        <v>7.1957700000000004</v>
      </c>
      <c r="H162">
        <v>2.9245635910224439</v>
      </c>
      <c r="I162">
        <f>Tableau5[[#This Row],[GHG (kgCO2eq/GJ)]]*3.6</f>
        <v>10.528428927680798</v>
      </c>
      <c r="J162" t="s">
        <v>104</v>
      </c>
      <c r="K162" t="s">
        <v>108</v>
      </c>
    </row>
    <row r="163" spans="1:11" x14ac:dyDescent="0.3">
      <c r="A163" t="s">
        <v>14</v>
      </c>
      <c r="B163" t="s">
        <v>62</v>
      </c>
      <c r="C163" t="s">
        <v>100</v>
      </c>
      <c r="D163">
        <v>4.2</v>
      </c>
      <c r="E163">
        <f>Tableau5[[#This Row],[Potential (PJ)]]/3.6</f>
        <v>1.1666666666666667</v>
      </c>
      <c r="F163">
        <v>0.57857142857142863</v>
      </c>
      <c r="G163">
        <f>Tableau5[[#This Row],[Cost (€/GJ)]]*3.6</f>
        <v>2.0828571428571432</v>
      </c>
      <c r="H163">
        <v>2.6764106050305911</v>
      </c>
      <c r="I163">
        <f>Tableau5[[#This Row],[GHG (kgCO2eq/GJ)]]*3.6</f>
        <v>9.6350781781101276</v>
      </c>
      <c r="J163" t="s">
        <v>104</v>
      </c>
      <c r="K163" t="s">
        <v>108</v>
      </c>
    </row>
    <row r="164" spans="1:11" x14ac:dyDescent="0.3">
      <c r="A164" t="s">
        <v>14</v>
      </c>
      <c r="B164" t="s">
        <v>54</v>
      </c>
      <c r="C164" t="s">
        <v>78</v>
      </c>
      <c r="D164">
        <v>63.400000000000013</v>
      </c>
      <c r="E164">
        <f>Tableau5[[#This Row],[Potential (PJ)]]/3.6</f>
        <v>17.611111111111114</v>
      </c>
      <c r="F164">
        <v>10.148473186119871</v>
      </c>
      <c r="G164">
        <f>Tableau5[[#This Row],[Cost (€/GJ)]]*3.6</f>
        <v>36.534503470031538</v>
      </c>
      <c r="H164">
        <v>3.86607608129234</v>
      </c>
      <c r="I164">
        <f>Tableau5[[#This Row],[GHG (kgCO2eq/GJ)]]*3.6</f>
        <v>13.917873892652425</v>
      </c>
      <c r="J164" t="s">
        <v>104</v>
      </c>
      <c r="K164" t="s">
        <v>108</v>
      </c>
    </row>
    <row r="165" spans="1:11" x14ac:dyDescent="0.3">
      <c r="A165" t="s">
        <v>15</v>
      </c>
      <c r="B165" t="s">
        <v>46</v>
      </c>
      <c r="C165" t="s">
        <v>64</v>
      </c>
      <c r="D165">
        <v>0.10174</v>
      </c>
      <c r="E165">
        <f>Tableau5[[#This Row],[Potential (PJ)]]/3.6</f>
        <v>2.8261111111111108E-2</v>
      </c>
      <c r="F165">
        <v>7.1738173776292511</v>
      </c>
      <c r="G165">
        <f>Tableau5[[#This Row],[Cost (€/GJ)]]*3.6</f>
        <v>25.825742559465304</v>
      </c>
      <c r="H165">
        <v>2.9521711768407801</v>
      </c>
      <c r="I165">
        <f>Tableau5[[#This Row],[GHG (kgCO2eq/GJ)]]*3.6</f>
        <v>10.627816236626808</v>
      </c>
      <c r="J165" t="s">
        <v>104</v>
      </c>
      <c r="K165" t="s">
        <v>108</v>
      </c>
    </row>
    <row r="166" spans="1:11" x14ac:dyDescent="0.3">
      <c r="A166" t="s">
        <v>15</v>
      </c>
      <c r="B166" t="s">
        <v>46</v>
      </c>
      <c r="C166" t="s">
        <v>79</v>
      </c>
      <c r="D166">
        <v>65.3</v>
      </c>
      <c r="E166">
        <f>Tableau5[[#This Row],[Potential (PJ)]]/3.6</f>
        <v>18.138888888888889</v>
      </c>
      <c r="F166">
        <v>6.9701439509954062</v>
      </c>
      <c r="G166">
        <f>Tableau5[[#This Row],[Cost (€/GJ)]]*3.6</f>
        <v>25.092518223583461</v>
      </c>
      <c r="H166">
        <v>6.8428961748633883</v>
      </c>
      <c r="I166">
        <f>Tableau5[[#This Row],[GHG (kgCO2eq/GJ)]]*3.6</f>
        <v>24.634426229508197</v>
      </c>
      <c r="J166" t="s">
        <v>104</v>
      </c>
      <c r="K166" t="s">
        <v>108</v>
      </c>
    </row>
    <row r="167" spans="1:11" x14ac:dyDescent="0.3">
      <c r="A167" t="s">
        <v>15</v>
      </c>
      <c r="B167" t="s">
        <v>46</v>
      </c>
      <c r="C167" t="s">
        <v>80</v>
      </c>
      <c r="D167">
        <v>20.98</v>
      </c>
      <c r="E167">
        <f>Tableau5[[#This Row],[Potential (PJ)]]/3.6</f>
        <v>5.8277777777777775</v>
      </c>
      <c r="F167">
        <v>1.21105866486851</v>
      </c>
      <c r="G167">
        <f>Tableau5[[#This Row],[Cost (€/GJ)]]*3.6</f>
        <v>4.3598111935266362</v>
      </c>
      <c r="H167">
        <v>28.139870918023309</v>
      </c>
      <c r="I167">
        <f>Tableau5[[#This Row],[GHG (kgCO2eq/GJ)]]*3.6</f>
        <v>101.30353530488391</v>
      </c>
      <c r="J167" t="s">
        <v>105</v>
      </c>
      <c r="K167" t="s">
        <v>108</v>
      </c>
    </row>
    <row r="168" spans="1:11" x14ac:dyDescent="0.3">
      <c r="A168" t="s">
        <v>15</v>
      </c>
      <c r="B168" t="s">
        <v>46</v>
      </c>
      <c r="C168" t="s">
        <v>81</v>
      </c>
      <c r="D168">
        <v>44.371699999999997</v>
      </c>
      <c r="E168">
        <f>Tableau5[[#This Row],[Potential (PJ)]]/3.6</f>
        <v>12.325472222222221</v>
      </c>
      <c r="F168">
        <v>1.7549941245593419</v>
      </c>
      <c r="G168">
        <f>Tableau5[[#This Row],[Cost (€/GJ)]]*3.6</f>
        <v>6.317978848413631</v>
      </c>
      <c r="H168">
        <v>8.9647473560517046</v>
      </c>
      <c r="I168">
        <f>Tableau5[[#This Row],[GHG (kgCO2eq/GJ)]]*3.6</f>
        <v>32.273090481786134</v>
      </c>
      <c r="J168" t="s">
        <v>105</v>
      </c>
      <c r="K168" t="s">
        <v>108</v>
      </c>
    </row>
    <row r="169" spans="1:11" x14ac:dyDescent="0.3">
      <c r="A169" t="s">
        <v>15</v>
      </c>
      <c r="B169" t="s">
        <v>46</v>
      </c>
      <c r="C169" t="s">
        <v>66</v>
      </c>
      <c r="D169">
        <v>5.8</v>
      </c>
      <c r="E169">
        <f>Tableau5[[#This Row],[Potential (PJ)]]/3.6</f>
        <v>1.6111111111111109</v>
      </c>
      <c r="F169">
        <v>7.2023103448275867</v>
      </c>
      <c r="G169">
        <f>Tableau5[[#This Row],[Cost (€/GJ)]]*3.6</f>
        <v>25.928317241379311</v>
      </c>
      <c r="H169">
        <v>6.8428961748633883</v>
      </c>
      <c r="I169">
        <f>Tableau5[[#This Row],[GHG (kgCO2eq/GJ)]]*3.6</f>
        <v>24.634426229508197</v>
      </c>
      <c r="J169" t="s">
        <v>104</v>
      </c>
      <c r="K169" t="s">
        <v>108</v>
      </c>
    </row>
    <row r="170" spans="1:11" x14ac:dyDescent="0.3">
      <c r="A170" t="s">
        <v>15</v>
      </c>
      <c r="B170" t="s">
        <v>46</v>
      </c>
      <c r="C170" t="s">
        <v>82</v>
      </c>
      <c r="D170">
        <v>6.5</v>
      </c>
      <c r="E170">
        <f>Tableau5[[#This Row],[Potential (PJ)]]/3.6</f>
        <v>1.8055555555555556</v>
      </c>
      <c r="F170">
        <v>4.3176615384615378</v>
      </c>
      <c r="G170">
        <f>Tableau5[[#This Row],[Cost (€/GJ)]]*3.6</f>
        <v>15.543581538461536</v>
      </c>
      <c r="H170">
        <v>6.8428961748633883</v>
      </c>
      <c r="I170">
        <f>Tableau5[[#This Row],[GHG (kgCO2eq/GJ)]]*3.6</f>
        <v>24.634426229508197</v>
      </c>
      <c r="J170" t="s">
        <v>104</v>
      </c>
      <c r="K170" t="s">
        <v>108</v>
      </c>
    </row>
    <row r="171" spans="1:11" x14ac:dyDescent="0.3">
      <c r="A171" t="s">
        <v>15</v>
      </c>
      <c r="B171" t="s">
        <v>46</v>
      </c>
      <c r="C171" t="s">
        <v>84</v>
      </c>
      <c r="D171">
        <v>1.1000000000000001</v>
      </c>
      <c r="E171">
        <f>Tableau5[[#This Row],[Potential (PJ)]]/3.6</f>
        <v>0.30555555555555558</v>
      </c>
      <c r="F171">
        <v>3.458636363636364</v>
      </c>
      <c r="G171">
        <f>Tableau5[[#This Row],[Cost (€/GJ)]]*3.6</f>
        <v>12.45109090909091</v>
      </c>
      <c r="H171">
        <v>28.139870918023309</v>
      </c>
      <c r="I171">
        <f>Tableau5[[#This Row],[GHG (kgCO2eq/GJ)]]*3.6</f>
        <v>101.30353530488391</v>
      </c>
      <c r="J171" t="s">
        <v>105</v>
      </c>
      <c r="K171" t="s">
        <v>108</v>
      </c>
    </row>
    <row r="172" spans="1:11" x14ac:dyDescent="0.3">
      <c r="A172" t="s">
        <v>15</v>
      </c>
      <c r="B172" t="s">
        <v>46</v>
      </c>
      <c r="C172" t="s">
        <v>85</v>
      </c>
      <c r="D172">
        <v>0.2</v>
      </c>
      <c r="E172">
        <f>Tableau5[[#This Row],[Potential (PJ)]]/3.6</f>
        <v>5.5555555555555559E-2</v>
      </c>
      <c r="F172">
        <v>4.915</v>
      </c>
      <c r="G172">
        <f>Tableau5[[#This Row],[Cost (€/GJ)]]*3.6</f>
        <v>17.693999999999999</v>
      </c>
      <c r="H172">
        <v>2.9521711768407801</v>
      </c>
      <c r="I172">
        <f>Tableau5[[#This Row],[GHG (kgCO2eq/GJ)]]*3.6</f>
        <v>10.627816236626808</v>
      </c>
      <c r="J172" t="s">
        <v>104</v>
      </c>
      <c r="K172" t="s">
        <v>108</v>
      </c>
    </row>
    <row r="173" spans="1:11" x14ac:dyDescent="0.3">
      <c r="A173" t="s">
        <v>15</v>
      </c>
      <c r="B173" t="s">
        <v>55</v>
      </c>
      <c r="C173" t="s">
        <v>86</v>
      </c>
      <c r="D173">
        <v>0.13639999999999999</v>
      </c>
      <c r="E173">
        <f>Tableau5[[#This Row],[Potential (PJ)]]/3.6</f>
        <v>3.7888888888888889E-2</v>
      </c>
      <c r="F173">
        <v>11.824000000000011</v>
      </c>
      <c r="G173">
        <f>Tableau5[[#This Row],[Cost (€/GJ)]]*3.6</f>
        <v>42.566400000000037</v>
      </c>
      <c r="H173">
        <v>7.7</v>
      </c>
      <c r="I173">
        <f>Tableau5[[#This Row],[GHG (kgCO2eq/GJ)]]*3.6</f>
        <v>27.720000000000002</v>
      </c>
      <c r="J173" t="s">
        <v>106</v>
      </c>
      <c r="K173" t="s">
        <v>109</v>
      </c>
    </row>
    <row r="174" spans="1:11" x14ac:dyDescent="0.3">
      <c r="A174" t="s">
        <v>15</v>
      </c>
      <c r="B174" t="s">
        <v>55</v>
      </c>
      <c r="C174" t="s">
        <v>89</v>
      </c>
      <c r="D174">
        <v>2.98E-2</v>
      </c>
      <c r="E174">
        <f>Tableau5[[#This Row],[Potential (PJ)]]/3.6</f>
        <v>8.277777777777778E-3</v>
      </c>
      <c r="F174">
        <v>0</v>
      </c>
      <c r="G174">
        <f>Tableau5[[#This Row],[Cost (€/GJ)]]*3.6</f>
        <v>0</v>
      </c>
      <c r="H174">
        <v>7.7</v>
      </c>
      <c r="I174">
        <f>Tableau5[[#This Row],[GHG (kgCO2eq/GJ)]]*3.6</f>
        <v>27.720000000000002</v>
      </c>
      <c r="J174" t="s">
        <v>106</v>
      </c>
      <c r="K174" t="s">
        <v>109</v>
      </c>
    </row>
    <row r="175" spans="1:11" x14ac:dyDescent="0.3">
      <c r="A175" t="s">
        <v>15</v>
      </c>
      <c r="B175" t="s">
        <v>55</v>
      </c>
      <c r="C175" t="s">
        <v>91</v>
      </c>
      <c r="D175">
        <v>0.4264</v>
      </c>
      <c r="E175">
        <f>Tableau5[[#This Row],[Potential (PJ)]]/3.6</f>
        <v>0.11844444444444444</v>
      </c>
      <c r="F175">
        <v>11.48199999999999</v>
      </c>
      <c r="G175">
        <f>Tableau5[[#This Row],[Cost (€/GJ)]]*3.6</f>
        <v>41.335199999999965</v>
      </c>
      <c r="H175">
        <v>7.7</v>
      </c>
      <c r="I175">
        <f>Tableau5[[#This Row],[GHG (kgCO2eq/GJ)]]*3.6</f>
        <v>27.720000000000002</v>
      </c>
      <c r="J175" t="s">
        <v>106</v>
      </c>
      <c r="K175" t="s">
        <v>109</v>
      </c>
    </row>
    <row r="176" spans="1:11" x14ac:dyDescent="0.3">
      <c r="A176" t="s">
        <v>15</v>
      </c>
      <c r="B176" t="s">
        <v>55</v>
      </c>
      <c r="C176" t="s">
        <v>92</v>
      </c>
      <c r="D176">
        <v>1.925</v>
      </c>
      <c r="E176">
        <f>Tableau5[[#This Row],[Potential (PJ)]]/3.6</f>
        <v>0.53472222222222221</v>
      </c>
      <c r="F176">
        <v>12.74599999999999</v>
      </c>
      <c r="G176">
        <f>Tableau5[[#This Row],[Cost (€/GJ)]]*3.6</f>
        <v>45.885599999999961</v>
      </c>
      <c r="H176">
        <v>7.7</v>
      </c>
      <c r="I176">
        <f>Tableau5[[#This Row],[GHG (kgCO2eq/GJ)]]*3.6</f>
        <v>27.720000000000002</v>
      </c>
      <c r="J176" t="s">
        <v>106</v>
      </c>
      <c r="K176" t="s">
        <v>109</v>
      </c>
    </row>
    <row r="177" spans="1:11" x14ac:dyDescent="0.3">
      <c r="A177" t="s">
        <v>15</v>
      </c>
      <c r="B177" t="s">
        <v>56</v>
      </c>
      <c r="C177" t="s">
        <v>93</v>
      </c>
      <c r="D177">
        <v>48.939900000000002</v>
      </c>
      <c r="E177">
        <f>Tableau5[[#This Row],[Potential (PJ)]]/3.6</f>
        <v>13.594416666666667</v>
      </c>
      <c r="F177">
        <v>2.939759036144578</v>
      </c>
      <c r="G177">
        <f>Tableau5[[#This Row],[Cost (€/GJ)]]*3.6</f>
        <v>10.583132530120482</v>
      </c>
      <c r="H177">
        <v>22.3</v>
      </c>
      <c r="I177">
        <f>Tableau5[[#This Row],[GHG (kgCO2eq/GJ)]]*3.6</f>
        <v>80.28</v>
      </c>
      <c r="J177" t="s">
        <v>106</v>
      </c>
      <c r="K177" t="s">
        <v>109</v>
      </c>
    </row>
    <row r="178" spans="1:11" x14ac:dyDescent="0.3">
      <c r="A178" t="s">
        <v>15</v>
      </c>
      <c r="B178" t="s">
        <v>47</v>
      </c>
      <c r="C178" t="s">
        <v>68</v>
      </c>
      <c r="D178">
        <v>28.4</v>
      </c>
      <c r="E178">
        <f>Tableau5[[#This Row],[Potential (PJ)]]/3.6</f>
        <v>7.8888888888888884</v>
      </c>
      <c r="F178">
        <v>6.6039542253521129</v>
      </c>
      <c r="G178">
        <f>Tableau5[[#This Row],[Cost (€/GJ)]]*3.6</f>
        <v>23.774235211267605</v>
      </c>
      <c r="H178">
        <v>25.4</v>
      </c>
      <c r="I178">
        <f>Tableau5[[#This Row],[GHG (kgCO2eq/GJ)]]*3.6</f>
        <v>91.44</v>
      </c>
      <c r="J178" t="s">
        <v>104</v>
      </c>
      <c r="K178" t="s">
        <v>109</v>
      </c>
    </row>
    <row r="179" spans="1:11" x14ac:dyDescent="0.3">
      <c r="A179" t="s">
        <v>15</v>
      </c>
      <c r="B179" t="s">
        <v>47</v>
      </c>
      <c r="C179" t="s">
        <v>69</v>
      </c>
      <c r="D179">
        <v>31.3</v>
      </c>
      <c r="E179">
        <f>Tableau5[[#This Row],[Potential (PJ)]]/3.6</f>
        <v>8.6944444444444446</v>
      </c>
      <c r="F179">
        <v>5.7361118210862623</v>
      </c>
      <c r="G179">
        <f>Tableau5[[#This Row],[Cost (€/GJ)]]*3.6</f>
        <v>20.650002555910543</v>
      </c>
      <c r="H179">
        <v>25.4</v>
      </c>
      <c r="I179">
        <f>Tableau5[[#This Row],[GHG (kgCO2eq/GJ)]]*3.6</f>
        <v>91.44</v>
      </c>
      <c r="J179" t="s">
        <v>104</v>
      </c>
      <c r="K179" t="s">
        <v>109</v>
      </c>
    </row>
    <row r="180" spans="1:11" x14ac:dyDescent="0.3">
      <c r="A180" t="s">
        <v>15</v>
      </c>
      <c r="B180" t="s">
        <v>57</v>
      </c>
      <c r="C180" t="s">
        <v>94</v>
      </c>
      <c r="D180">
        <v>23.9</v>
      </c>
      <c r="E180">
        <f>Tableau5[[#This Row],[Potential (PJ)]]/3.6</f>
        <v>6.6388888888888884</v>
      </c>
      <c r="F180">
        <v>11.02219665271967</v>
      </c>
      <c r="G180">
        <f>Tableau5[[#This Row],[Cost (€/GJ)]]*3.6</f>
        <v>39.67990794979081</v>
      </c>
      <c r="H180">
        <v>23.7</v>
      </c>
      <c r="I180">
        <f>Tableau5[[#This Row],[GHG (kgCO2eq/GJ)]]*3.6</f>
        <v>85.32</v>
      </c>
      <c r="J180" t="s">
        <v>104</v>
      </c>
      <c r="K180" t="s">
        <v>109</v>
      </c>
    </row>
    <row r="181" spans="1:11" x14ac:dyDescent="0.3">
      <c r="A181" t="s">
        <v>15</v>
      </c>
      <c r="B181" t="s">
        <v>49</v>
      </c>
      <c r="C181" t="s">
        <v>71</v>
      </c>
      <c r="D181">
        <v>223.17126999999999</v>
      </c>
      <c r="E181">
        <f>Tableau5[[#This Row],[Potential (PJ)]]/3.6</f>
        <v>61.992019444444438</v>
      </c>
      <c r="F181">
        <v>6.3572003290566927</v>
      </c>
      <c r="G181">
        <f>Tableau5[[#This Row],[Cost (€/GJ)]]*3.6</f>
        <v>22.885921184604094</v>
      </c>
      <c r="H181">
        <v>3.86607608129234</v>
      </c>
      <c r="I181">
        <f>Tableau5[[#This Row],[GHG (kgCO2eq/GJ)]]*3.6</f>
        <v>13.917873892652425</v>
      </c>
      <c r="J181" t="s">
        <v>104</v>
      </c>
      <c r="K181" t="s">
        <v>108</v>
      </c>
    </row>
    <row r="182" spans="1:11" x14ac:dyDescent="0.3">
      <c r="A182" t="s">
        <v>15</v>
      </c>
      <c r="B182" t="s">
        <v>49</v>
      </c>
      <c r="C182" t="s">
        <v>72</v>
      </c>
      <c r="D182">
        <v>14</v>
      </c>
      <c r="E182">
        <f>Tableau5[[#This Row],[Potential (PJ)]]/3.6</f>
        <v>3.8888888888888888</v>
      </c>
      <c r="F182">
        <v>5.0940500000000002</v>
      </c>
      <c r="G182">
        <f>Tableau5[[#This Row],[Cost (€/GJ)]]*3.6</f>
        <v>18.33858</v>
      </c>
      <c r="H182">
        <v>3.86607608129234</v>
      </c>
      <c r="I182">
        <f>Tableau5[[#This Row],[GHG (kgCO2eq/GJ)]]*3.6</f>
        <v>13.917873892652425</v>
      </c>
      <c r="J182" t="s">
        <v>104</v>
      </c>
      <c r="K182" t="s">
        <v>108</v>
      </c>
    </row>
    <row r="183" spans="1:11" x14ac:dyDescent="0.3">
      <c r="A183" t="s">
        <v>15</v>
      </c>
      <c r="B183" t="s">
        <v>58</v>
      </c>
      <c r="C183" t="s">
        <v>95</v>
      </c>
      <c r="D183">
        <v>11.273960000000001</v>
      </c>
      <c r="E183">
        <f>Tableau5[[#This Row],[Potential (PJ)]]/3.6</f>
        <v>3.1316555555555556</v>
      </c>
      <c r="F183">
        <v>3.4218512785214781</v>
      </c>
      <c r="G183">
        <f>Tableau5[[#This Row],[Cost (€/GJ)]]*3.6</f>
        <v>12.318664602677321</v>
      </c>
      <c r="H183">
        <v>2.9521711768407801</v>
      </c>
      <c r="I183">
        <f>Tableau5[[#This Row],[GHG (kgCO2eq/GJ)]]*3.6</f>
        <v>10.627816236626808</v>
      </c>
      <c r="J183" t="s">
        <v>104</v>
      </c>
      <c r="K183" t="s">
        <v>108</v>
      </c>
    </row>
    <row r="184" spans="1:11" x14ac:dyDescent="0.3">
      <c r="A184" t="s">
        <v>15</v>
      </c>
      <c r="B184" t="s">
        <v>50</v>
      </c>
      <c r="C184" t="s">
        <v>73</v>
      </c>
      <c r="D184">
        <v>19</v>
      </c>
      <c r="E184">
        <f>Tableau5[[#This Row],[Potential (PJ)]]/3.6</f>
        <v>5.2777777777777777</v>
      </c>
      <c r="F184">
        <v>5.6621736842105266</v>
      </c>
      <c r="G184">
        <f>Tableau5[[#This Row],[Cost (€/GJ)]]*3.6</f>
        <v>20.383825263157895</v>
      </c>
      <c r="H184">
        <v>20.723404255319149</v>
      </c>
      <c r="I184">
        <f>Tableau5[[#This Row],[GHG (kgCO2eq/GJ)]]*3.6</f>
        <v>74.604255319148933</v>
      </c>
      <c r="J184" t="s">
        <v>105</v>
      </c>
      <c r="K184" t="s">
        <v>108</v>
      </c>
    </row>
    <row r="185" spans="1:11" x14ac:dyDescent="0.3">
      <c r="A185" t="s">
        <v>15</v>
      </c>
      <c r="B185" t="s">
        <v>50</v>
      </c>
      <c r="C185" t="s">
        <v>74</v>
      </c>
      <c r="D185">
        <v>23.8</v>
      </c>
      <c r="E185">
        <f>Tableau5[[#This Row],[Potential (PJ)]]/3.6</f>
        <v>6.6111111111111107</v>
      </c>
      <c r="F185">
        <v>6.1122815126050423</v>
      </c>
      <c r="G185">
        <f>Tableau5[[#This Row],[Cost (€/GJ)]]*3.6</f>
        <v>22.004213445378152</v>
      </c>
      <c r="H185">
        <v>2.0635593220338988</v>
      </c>
      <c r="I185">
        <f>Tableau5[[#This Row],[GHG (kgCO2eq/GJ)]]*3.6</f>
        <v>7.4288135593220357</v>
      </c>
      <c r="J185" t="s">
        <v>105</v>
      </c>
      <c r="K185" t="s">
        <v>108</v>
      </c>
    </row>
    <row r="186" spans="1:11" x14ac:dyDescent="0.3">
      <c r="A186" t="s">
        <v>15</v>
      </c>
      <c r="B186" t="s">
        <v>51</v>
      </c>
      <c r="C186" t="s">
        <v>75</v>
      </c>
      <c r="D186">
        <v>89.726150000000004</v>
      </c>
      <c r="E186">
        <f>Tableau5[[#This Row],[Potential (PJ)]]/3.6</f>
        <v>24.923930555555557</v>
      </c>
      <c r="F186">
        <v>8.4386211192343602E-2</v>
      </c>
      <c r="G186">
        <f>Tableau5[[#This Row],[Cost (€/GJ)]]*3.6</f>
        <v>0.303790360292437</v>
      </c>
      <c r="H186">
        <v>11.74</v>
      </c>
      <c r="I186">
        <f>Tableau5[[#This Row],[GHG (kgCO2eq/GJ)]]*3.6</f>
        <v>42.264000000000003</v>
      </c>
      <c r="J186" t="s">
        <v>104</v>
      </c>
      <c r="K186" t="s">
        <v>108</v>
      </c>
    </row>
    <row r="187" spans="1:11" x14ac:dyDescent="0.3">
      <c r="A187" t="s">
        <v>15</v>
      </c>
      <c r="B187" t="s">
        <v>60</v>
      </c>
      <c r="C187" t="s">
        <v>98</v>
      </c>
      <c r="D187">
        <v>73.611180000000004</v>
      </c>
      <c r="E187">
        <f>Tableau5[[#This Row],[Potential (PJ)]]/3.6</f>
        <v>20.44755</v>
      </c>
      <c r="F187">
        <v>18.259935553168631</v>
      </c>
      <c r="G187">
        <f>Tableau5[[#This Row],[Cost (€/GJ)]]*3.6</f>
        <v>65.735767991407073</v>
      </c>
      <c r="H187">
        <v>19.399999999999999</v>
      </c>
      <c r="I187">
        <f>Tableau5[[#This Row],[GHG (kgCO2eq/GJ)]]*3.6</f>
        <v>69.84</v>
      </c>
      <c r="J187" t="s">
        <v>107</v>
      </c>
      <c r="K187" t="s">
        <v>109</v>
      </c>
    </row>
    <row r="188" spans="1:11" x14ac:dyDescent="0.3">
      <c r="A188" t="s">
        <v>15</v>
      </c>
      <c r="B188" t="s">
        <v>52</v>
      </c>
      <c r="C188" t="s">
        <v>76</v>
      </c>
      <c r="D188">
        <v>5.9930000000000003</v>
      </c>
      <c r="E188">
        <f>Tableau5[[#This Row],[Potential (PJ)]]/3.6</f>
        <v>1.6647222222222222</v>
      </c>
      <c r="F188">
        <v>8.4824999999999999</v>
      </c>
      <c r="G188">
        <f>Tableau5[[#This Row],[Cost (€/GJ)]]*3.6</f>
        <v>30.536999999999999</v>
      </c>
      <c r="H188">
        <v>12.68872359754714</v>
      </c>
      <c r="I188">
        <f>Tableau5[[#This Row],[GHG (kgCO2eq/GJ)]]*3.6</f>
        <v>45.679404951169708</v>
      </c>
      <c r="J188" t="s">
        <v>105</v>
      </c>
      <c r="K188" t="s">
        <v>108</v>
      </c>
    </row>
    <row r="189" spans="1:11" x14ac:dyDescent="0.3">
      <c r="A189" t="s">
        <v>15</v>
      </c>
      <c r="B189" t="s">
        <v>53</v>
      </c>
      <c r="C189" t="s">
        <v>77</v>
      </c>
      <c r="D189">
        <v>17.51155</v>
      </c>
      <c r="E189">
        <f>Tableau5[[#This Row],[Potential (PJ)]]/3.6</f>
        <v>4.864319444444444</v>
      </c>
      <c r="F189">
        <v>5.0943995437297103</v>
      </c>
      <c r="G189">
        <f>Tableau5[[#This Row],[Cost (€/GJ)]]*3.6</f>
        <v>18.339838357426956</v>
      </c>
      <c r="H189">
        <v>3.86607608129234</v>
      </c>
      <c r="I189">
        <f>Tableau5[[#This Row],[GHG (kgCO2eq/GJ)]]*3.6</f>
        <v>13.917873892652425</v>
      </c>
      <c r="J189" t="s">
        <v>104</v>
      </c>
      <c r="K189" t="s">
        <v>108</v>
      </c>
    </row>
    <row r="190" spans="1:11" x14ac:dyDescent="0.3">
      <c r="A190" t="s">
        <v>15</v>
      </c>
      <c r="B190" t="s">
        <v>61</v>
      </c>
      <c r="C190" t="s">
        <v>99</v>
      </c>
      <c r="D190">
        <v>34.9</v>
      </c>
      <c r="E190">
        <f>Tableau5[[#This Row],[Potential (PJ)]]/3.6</f>
        <v>9.6944444444444446</v>
      </c>
      <c r="F190">
        <v>2.540988538681948</v>
      </c>
      <c r="G190">
        <f>Tableau5[[#This Row],[Cost (€/GJ)]]*3.6</f>
        <v>9.1475587392550128</v>
      </c>
      <c r="H190">
        <v>2.9245635910224439</v>
      </c>
      <c r="I190">
        <f>Tableau5[[#This Row],[GHG (kgCO2eq/GJ)]]*3.6</f>
        <v>10.528428927680798</v>
      </c>
      <c r="J190" t="s">
        <v>104</v>
      </c>
      <c r="K190" t="s">
        <v>108</v>
      </c>
    </row>
    <row r="191" spans="1:11" x14ac:dyDescent="0.3">
      <c r="A191" t="s">
        <v>15</v>
      </c>
      <c r="B191" t="s">
        <v>62</v>
      </c>
      <c r="C191" t="s">
        <v>100</v>
      </c>
      <c r="D191">
        <v>10</v>
      </c>
      <c r="E191">
        <f>Tableau5[[#This Row],[Potential (PJ)]]/3.6</f>
        <v>2.7777777777777777</v>
      </c>
      <c r="F191">
        <v>0.108</v>
      </c>
      <c r="G191">
        <f>Tableau5[[#This Row],[Cost (€/GJ)]]*3.6</f>
        <v>0.38879999999999998</v>
      </c>
      <c r="H191">
        <v>2.6764106050305911</v>
      </c>
      <c r="I191">
        <f>Tableau5[[#This Row],[GHG (kgCO2eq/GJ)]]*3.6</f>
        <v>9.6350781781101276</v>
      </c>
      <c r="J191" t="s">
        <v>104</v>
      </c>
      <c r="K191" t="s">
        <v>108</v>
      </c>
    </row>
    <row r="192" spans="1:11" x14ac:dyDescent="0.3">
      <c r="A192" t="s">
        <v>15</v>
      </c>
      <c r="B192" t="s">
        <v>54</v>
      </c>
      <c r="C192" t="s">
        <v>78</v>
      </c>
      <c r="D192">
        <v>275.39999999999998</v>
      </c>
      <c r="E192">
        <f>Tableau5[[#This Row],[Potential (PJ)]]/3.6</f>
        <v>76.499999999999986</v>
      </c>
      <c r="F192">
        <v>10.065375816993461</v>
      </c>
      <c r="G192">
        <f>Tableau5[[#This Row],[Cost (€/GJ)]]*3.6</f>
        <v>36.235352941176458</v>
      </c>
      <c r="H192">
        <v>3.86607608129234</v>
      </c>
      <c r="I192">
        <f>Tableau5[[#This Row],[GHG (kgCO2eq/GJ)]]*3.6</f>
        <v>13.917873892652425</v>
      </c>
      <c r="J192" t="s">
        <v>104</v>
      </c>
      <c r="K192" t="s">
        <v>108</v>
      </c>
    </row>
    <row r="193" spans="1:11" x14ac:dyDescent="0.3">
      <c r="A193" t="s">
        <v>16</v>
      </c>
      <c r="B193" t="s">
        <v>46</v>
      </c>
      <c r="C193" t="s">
        <v>64</v>
      </c>
      <c r="D193">
        <v>4.7499999999999999E-3</v>
      </c>
      <c r="E193">
        <f>Tableau5[[#This Row],[Potential (PJ)]]/3.6</f>
        <v>1.3194444444444445E-3</v>
      </c>
      <c r="F193">
        <v>11.499989473684209</v>
      </c>
      <c r="G193">
        <f>Tableau5[[#This Row],[Cost (€/GJ)]]*3.6</f>
        <v>41.399962105263157</v>
      </c>
      <c r="H193">
        <v>2.9521711768407801</v>
      </c>
      <c r="I193">
        <f>Tableau5[[#This Row],[GHG (kgCO2eq/GJ)]]*3.6</f>
        <v>10.627816236626808</v>
      </c>
      <c r="J193" t="s">
        <v>104</v>
      </c>
      <c r="K193" t="s">
        <v>108</v>
      </c>
    </row>
    <row r="194" spans="1:11" x14ac:dyDescent="0.3">
      <c r="A194" t="s">
        <v>16</v>
      </c>
      <c r="B194" t="s">
        <v>46</v>
      </c>
      <c r="C194" t="s">
        <v>79</v>
      </c>
      <c r="D194">
        <v>13.6</v>
      </c>
      <c r="E194">
        <f>Tableau5[[#This Row],[Potential (PJ)]]/3.6</f>
        <v>3.7777777777777777</v>
      </c>
      <c r="F194">
        <v>5.7279705882352934</v>
      </c>
      <c r="G194">
        <f>Tableau5[[#This Row],[Cost (€/GJ)]]*3.6</f>
        <v>20.620694117647055</v>
      </c>
      <c r="H194">
        <v>6.8428961748633883</v>
      </c>
      <c r="I194">
        <f>Tableau5[[#This Row],[GHG (kgCO2eq/GJ)]]*3.6</f>
        <v>24.634426229508197</v>
      </c>
      <c r="J194" t="s">
        <v>104</v>
      </c>
      <c r="K194" t="s">
        <v>108</v>
      </c>
    </row>
    <row r="195" spans="1:11" x14ac:dyDescent="0.3">
      <c r="A195" t="s">
        <v>16</v>
      </c>
      <c r="B195" t="s">
        <v>46</v>
      </c>
      <c r="C195" t="s">
        <v>80</v>
      </c>
      <c r="D195">
        <v>0.13789999999999999</v>
      </c>
      <c r="E195">
        <f>Tableau5[[#This Row],[Potential (PJ)]]/3.6</f>
        <v>3.8305555555555551E-2</v>
      </c>
      <c r="F195">
        <v>0.58125421443020897</v>
      </c>
      <c r="G195">
        <f>Tableau5[[#This Row],[Cost (€/GJ)]]*3.6</f>
        <v>2.0925151719487523</v>
      </c>
      <c r="H195">
        <v>28.139870918023309</v>
      </c>
      <c r="I195">
        <f>Tableau5[[#This Row],[GHG (kgCO2eq/GJ)]]*3.6</f>
        <v>101.30353530488391</v>
      </c>
      <c r="J195" t="s">
        <v>105</v>
      </c>
      <c r="K195" t="s">
        <v>108</v>
      </c>
    </row>
    <row r="196" spans="1:11" x14ac:dyDescent="0.3">
      <c r="A196" t="s">
        <v>16</v>
      </c>
      <c r="B196" t="s">
        <v>46</v>
      </c>
      <c r="C196" t="s">
        <v>81</v>
      </c>
      <c r="D196">
        <v>0.87290000000000001</v>
      </c>
      <c r="E196">
        <f>Tableau5[[#This Row],[Potential (PJ)]]/3.6</f>
        <v>0.24247222222222223</v>
      </c>
      <c r="F196">
        <v>1.7121034077555819</v>
      </c>
      <c r="G196">
        <f>Tableau5[[#This Row],[Cost (€/GJ)]]*3.6</f>
        <v>6.1635722679200953</v>
      </c>
      <c r="H196">
        <v>8.9647473560517046</v>
      </c>
      <c r="I196">
        <f>Tableau5[[#This Row],[GHG (kgCO2eq/GJ)]]*3.6</f>
        <v>32.273090481786134</v>
      </c>
      <c r="J196" t="s">
        <v>105</v>
      </c>
      <c r="K196" t="s">
        <v>108</v>
      </c>
    </row>
    <row r="197" spans="1:11" x14ac:dyDescent="0.3">
      <c r="A197" t="s">
        <v>16</v>
      </c>
      <c r="B197" t="s">
        <v>46</v>
      </c>
      <c r="C197" t="s">
        <v>82</v>
      </c>
      <c r="D197">
        <v>0.60000000000000009</v>
      </c>
      <c r="E197">
        <f>Tableau5[[#This Row],[Potential (PJ)]]/3.6</f>
        <v>0.16666666666666669</v>
      </c>
      <c r="F197">
        <v>3.6364999999999998</v>
      </c>
      <c r="G197">
        <f>Tableau5[[#This Row],[Cost (€/GJ)]]*3.6</f>
        <v>13.0914</v>
      </c>
      <c r="H197">
        <v>6.8428961748633883</v>
      </c>
      <c r="I197">
        <f>Tableau5[[#This Row],[GHG (kgCO2eq/GJ)]]*3.6</f>
        <v>24.634426229508197</v>
      </c>
      <c r="J197" t="s">
        <v>104</v>
      </c>
      <c r="K197" t="s">
        <v>108</v>
      </c>
    </row>
    <row r="198" spans="1:11" x14ac:dyDescent="0.3">
      <c r="A198" t="s">
        <v>16</v>
      </c>
      <c r="B198" t="s">
        <v>46</v>
      </c>
      <c r="C198" t="s">
        <v>84</v>
      </c>
      <c r="D198">
        <v>0.2</v>
      </c>
      <c r="E198">
        <f>Tableau5[[#This Row],[Potential (PJ)]]/3.6</f>
        <v>5.5555555555555559E-2</v>
      </c>
      <c r="F198">
        <v>3.468</v>
      </c>
      <c r="G198">
        <f>Tableau5[[#This Row],[Cost (€/GJ)]]*3.6</f>
        <v>12.4848</v>
      </c>
      <c r="H198">
        <v>28.139870918023309</v>
      </c>
      <c r="I198">
        <f>Tableau5[[#This Row],[GHG (kgCO2eq/GJ)]]*3.6</f>
        <v>101.30353530488391</v>
      </c>
      <c r="J198" t="s">
        <v>105</v>
      </c>
      <c r="K198" t="s">
        <v>108</v>
      </c>
    </row>
    <row r="199" spans="1:11" x14ac:dyDescent="0.3">
      <c r="A199" t="s">
        <v>16</v>
      </c>
      <c r="B199" t="s">
        <v>55</v>
      </c>
      <c r="C199" t="s">
        <v>86</v>
      </c>
      <c r="D199">
        <v>0.5071</v>
      </c>
      <c r="E199">
        <f>Tableau5[[#This Row],[Potential (PJ)]]/3.6</f>
        <v>0.1408611111111111</v>
      </c>
      <c r="F199">
        <v>12.321999999999999</v>
      </c>
      <c r="G199">
        <f>Tableau5[[#This Row],[Cost (€/GJ)]]*3.6</f>
        <v>44.359200000000001</v>
      </c>
      <c r="H199">
        <v>20.7</v>
      </c>
      <c r="I199">
        <f>Tableau5[[#This Row],[GHG (kgCO2eq/GJ)]]*3.6</f>
        <v>74.52</v>
      </c>
      <c r="J199" t="s">
        <v>106</v>
      </c>
      <c r="K199" t="s">
        <v>109</v>
      </c>
    </row>
    <row r="200" spans="1:11" x14ac:dyDescent="0.3">
      <c r="A200" t="s">
        <v>16</v>
      </c>
      <c r="B200" t="s">
        <v>55</v>
      </c>
      <c r="C200" t="s">
        <v>91</v>
      </c>
      <c r="D200">
        <v>0.43559999999999999</v>
      </c>
      <c r="E200">
        <f>Tableau5[[#This Row],[Potential (PJ)]]/3.6</f>
        <v>0.121</v>
      </c>
      <c r="F200">
        <v>11.154999999999999</v>
      </c>
      <c r="G200">
        <f>Tableau5[[#This Row],[Cost (€/GJ)]]*3.6</f>
        <v>40.158000000000001</v>
      </c>
      <c r="H200">
        <v>20.7</v>
      </c>
      <c r="I200">
        <f>Tableau5[[#This Row],[GHG (kgCO2eq/GJ)]]*3.6</f>
        <v>74.52</v>
      </c>
      <c r="J200" t="s">
        <v>106</v>
      </c>
      <c r="K200" t="s">
        <v>109</v>
      </c>
    </row>
    <row r="201" spans="1:11" x14ac:dyDescent="0.3">
      <c r="A201" t="s">
        <v>16</v>
      </c>
      <c r="B201" t="s">
        <v>55</v>
      </c>
      <c r="C201" t="s">
        <v>92</v>
      </c>
      <c r="D201">
        <v>0.66549999999999998</v>
      </c>
      <c r="E201">
        <f>Tableau5[[#This Row],[Potential (PJ)]]/3.6</f>
        <v>0.18486111111111111</v>
      </c>
      <c r="F201">
        <v>12.113</v>
      </c>
      <c r="G201">
        <f>Tableau5[[#This Row],[Cost (€/GJ)]]*3.6</f>
        <v>43.6068</v>
      </c>
      <c r="H201">
        <v>20.7</v>
      </c>
      <c r="I201">
        <f>Tableau5[[#This Row],[GHG (kgCO2eq/GJ)]]*3.6</f>
        <v>74.52</v>
      </c>
      <c r="J201" t="s">
        <v>106</v>
      </c>
      <c r="K201" t="s">
        <v>109</v>
      </c>
    </row>
    <row r="202" spans="1:11" x14ac:dyDescent="0.3">
      <c r="A202" t="s">
        <v>16</v>
      </c>
      <c r="B202" t="s">
        <v>56</v>
      </c>
      <c r="C202" t="s">
        <v>93</v>
      </c>
      <c r="D202">
        <v>0.6714</v>
      </c>
      <c r="E202">
        <f>Tableau5[[#This Row],[Potential (PJ)]]/3.6</f>
        <v>0.1865</v>
      </c>
      <c r="F202">
        <v>4.3084337349397588</v>
      </c>
      <c r="G202">
        <f>Tableau5[[#This Row],[Cost (€/GJ)]]*3.6</f>
        <v>15.510361445783133</v>
      </c>
      <c r="H202">
        <v>29.8</v>
      </c>
      <c r="I202">
        <f>Tableau5[[#This Row],[GHG (kgCO2eq/GJ)]]*3.6</f>
        <v>107.28</v>
      </c>
      <c r="J202" t="s">
        <v>106</v>
      </c>
      <c r="K202" t="s">
        <v>109</v>
      </c>
    </row>
    <row r="203" spans="1:11" x14ac:dyDescent="0.3">
      <c r="A203" t="s">
        <v>16</v>
      </c>
      <c r="B203" t="s">
        <v>49</v>
      </c>
      <c r="C203" t="s">
        <v>71</v>
      </c>
      <c r="D203">
        <v>9.1707300000000007</v>
      </c>
      <c r="E203">
        <f>Tableau5[[#This Row],[Potential (PJ)]]/3.6</f>
        <v>2.5474250000000001</v>
      </c>
      <c r="F203">
        <v>5.4095099975683496</v>
      </c>
      <c r="G203">
        <f>Tableau5[[#This Row],[Cost (€/GJ)]]*3.6</f>
        <v>19.474235991246058</v>
      </c>
      <c r="H203">
        <v>3.86607608129234</v>
      </c>
      <c r="I203">
        <f>Tableau5[[#This Row],[GHG (kgCO2eq/GJ)]]*3.6</f>
        <v>13.917873892652425</v>
      </c>
      <c r="J203" t="s">
        <v>104</v>
      </c>
      <c r="K203" t="s">
        <v>108</v>
      </c>
    </row>
    <row r="204" spans="1:11" x14ac:dyDescent="0.3">
      <c r="A204" t="s">
        <v>16</v>
      </c>
      <c r="B204" t="s">
        <v>49</v>
      </c>
      <c r="C204" t="s">
        <v>72</v>
      </c>
      <c r="D204">
        <v>2.4</v>
      </c>
      <c r="E204">
        <f>Tableau5[[#This Row],[Potential (PJ)]]/3.6</f>
        <v>0.66666666666666663</v>
      </c>
      <c r="F204">
        <v>4.3465833333333341</v>
      </c>
      <c r="G204">
        <f>Tableau5[[#This Row],[Cost (€/GJ)]]*3.6</f>
        <v>15.647700000000004</v>
      </c>
      <c r="H204">
        <v>3.86607608129234</v>
      </c>
      <c r="I204">
        <f>Tableau5[[#This Row],[GHG (kgCO2eq/GJ)]]*3.6</f>
        <v>13.917873892652425</v>
      </c>
      <c r="J204" t="s">
        <v>104</v>
      </c>
      <c r="K204" t="s">
        <v>108</v>
      </c>
    </row>
    <row r="205" spans="1:11" x14ac:dyDescent="0.3">
      <c r="A205" t="s">
        <v>16</v>
      </c>
      <c r="B205" t="s">
        <v>58</v>
      </c>
      <c r="C205" t="s">
        <v>95</v>
      </c>
      <c r="D205">
        <v>1.63984</v>
      </c>
      <c r="E205">
        <f>Tableau5[[#This Row],[Potential (PJ)]]/3.6</f>
        <v>0.45551111111111109</v>
      </c>
      <c r="F205">
        <v>3.666778527173383</v>
      </c>
      <c r="G205">
        <f>Tableau5[[#This Row],[Cost (€/GJ)]]*3.6</f>
        <v>13.200402697824179</v>
      </c>
      <c r="H205">
        <v>2.9521711768407801</v>
      </c>
      <c r="I205">
        <f>Tableau5[[#This Row],[GHG (kgCO2eq/GJ)]]*3.6</f>
        <v>10.627816236626808</v>
      </c>
      <c r="J205" t="s">
        <v>104</v>
      </c>
      <c r="K205" t="s">
        <v>108</v>
      </c>
    </row>
    <row r="206" spans="1:11" x14ac:dyDescent="0.3">
      <c r="A206" t="s">
        <v>16</v>
      </c>
      <c r="B206" t="s">
        <v>50</v>
      </c>
      <c r="C206" t="s">
        <v>73</v>
      </c>
      <c r="D206">
        <v>12.6</v>
      </c>
      <c r="E206">
        <f>Tableau5[[#This Row],[Potential (PJ)]]/3.6</f>
        <v>3.5</v>
      </c>
      <c r="F206">
        <v>6.6304365079365084</v>
      </c>
      <c r="G206">
        <f>Tableau5[[#This Row],[Cost (€/GJ)]]*3.6</f>
        <v>23.86957142857143</v>
      </c>
      <c r="H206">
        <v>20.723404255319149</v>
      </c>
      <c r="I206">
        <f>Tableau5[[#This Row],[GHG (kgCO2eq/GJ)]]*3.6</f>
        <v>74.604255319148933</v>
      </c>
      <c r="J206" t="s">
        <v>105</v>
      </c>
      <c r="K206" t="s">
        <v>108</v>
      </c>
    </row>
    <row r="207" spans="1:11" x14ac:dyDescent="0.3">
      <c r="A207" t="s">
        <v>16</v>
      </c>
      <c r="B207" t="s">
        <v>50</v>
      </c>
      <c r="C207" t="s">
        <v>74</v>
      </c>
      <c r="D207">
        <v>18.8</v>
      </c>
      <c r="E207">
        <f>Tableau5[[#This Row],[Potential (PJ)]]/3.6</f>
        <v>5.2222222222222223</v>
      </c>
      <c r="F207">
        <v>7.2486914893617032</v>
      </c>
      <c r="G207">
        <f>Tableau5[[#This Row],[Cost (€/GJ)]]*3.6</f>
        <v>26.095289361702132</v>
      </c>
      <c r="H207">
        <v>2.0635593220338988</v>
      </c>
      <c r="I207">
        <f>Tableau5[[#This Row],[GHG (kgCO2eq/GJ)]]*3.6</f>
        <v>7.4288135593220357</v>
      </c>
      <c r="J207" t="s">
        <v>105</v>
      </c>
      <c r="K207" t="s">
        <v>108</v>
      </c>
    </row>
    <row r="208" spans="1:11" x14ac:dyDescent="0.3">
      <c r="A208" t="s">
        <v>16</v>
      </c>
      <c r="B208" t="s">
        <v>51</v>
      </c>
      <c r="C208" t="s">
        <v>75</v>
      </c>
      <c r="D208">
        <v>16.58821</v>
      </c>
      <c r="E208">
        <f>Tableau5[[#This Row],[Potential (PJ)]]/3.6</f>
        <v>4.6078361111111112</v>
      </c>
      <c r="F208">
        <v>4.5688454260772197E-3</v>
      </c>
      <c r="G208">
        <f>Tableau5[[#This Row],[Cost (€/GJ)]]*3.6</f>
        <v>1.6447843533877991E-2</v>
      </c>
      <c r="H208">
        <v>11.74</v>
      </c>
      <c r="I208">
        <f>Tableau5[[#This Row],[GHG (kgCO2eq/GJ)]]*3.6</f>
        <v>42.264000000000003</v>
      </c>
      <c r="J208" t="s">
        <v>104</v>
      </c>
      <c r="K208" t="s">
        <v>108</v>
      </c>
    </row>
    <row r="209" spans="1:11" x14ac:dyDescent="0.3">
      <c r="A209" t="s">
        <v>16</v>
      </c>
      <c r="B209" t="s">
        <v>60</v>
      </c>
      <c r="C209" t="s">
        <v>98</v>
      </c>
      <c r="D209">
        <v>2.90537</v>
      </c>
      <c r="E209">
        <f>Tableau5[[#This Row],[Potential (PJ)]]/3.6</f>
        <v>0.80704722222222225</v>
      </c>
      <c r="F209">
        <v>18.421052631578949</v>
      </c>
      <c r="G209">
        <f>Tableau5[[#This Row],[Cost (€/GJ)]]*3.6</f>
        <v>66.31578947368422</v>
      </c>
      <c r="H209">
        <v>32.6</v>
      </c>
      <c r="I209">
        <f>Tableau5[[#This Row],[GHG (kgCO2eq/GJ)]]*3.6</f>
        <v>117.36000000000001</v>
      </c>
      <c r="J209" t="s">
        <v>107</v>
      </c>
      <c r="K209" t="s">
        <v>109</v>
      </c>
    </row>
    <row r="210" spans="1:11" x14ac:dyDescent="0.3">
      <c r="A210" t="s">
        <v>16</v>
      </c>
      <c r="B210" t="s">
        <v>52</v>
      </c>
      <c r="C210" t="s">
        <v>76</v>
      </c>
      <c r="D210">
        <v>0.153</v>
      </c>
      <c r="E210">
        <f>Tableau5[[#This Row],[Potential (PJ)]]/3.6</f>
        <v>4.2499999999999996E-2</v>
      </c>
      <c r="F210">
        <v>8.4824999999999999</v>
      </c>
      <c r="G210">
        <f>Tableau5[[#This Row],[Cost (€/GJ)]]*3.6</f>
        <v>30.536999999999999</v>
      </c>
      <c r="H210">
        <v>12.68872359754714</v>
      </c>
      <c r="I210">
        <f>Tableau5[[#This Row],[GHG (kgCO2eq/GJ)]]*3.6</f>
        <v>45.679404951169708</v>
      </c>
      <c r="J210" t="s">
        <v>105</v>
      </c>
      <c r="K210" t="s">
        <v>108</v>
      </c>
    </row>
    <row r="211" spans="1:11" x14ac:dyDescent="0.3">
      <c r="A211" t="s">
        <v>16</v>
      </c>
      <c r="B211" t="s">
        <v>53</v>
      </c>
      <c r="C211" t="s">
        <v>77</v>
      </c>
      <c r="D211">
        <v>2.0067300000000001</v>
      </c>
      <c r="E211">
        <f>Tableau5[[#This Row],[Potential (PJ)]]/3.6</f>
        <v>0.55742500000000006</v>
      </c>
      <c r="F211">
        <v>4.3469178165473181</v>
      </c>
      <c r="G211">
        <f>Tableau5[[#This Row],[Cost (€/GJ)]]*3.6</f>
        <v>15.648904139570346</v>
      </c>
      <c r="H211">
        <v>3.86607608129234</v>
      </c>
      <c r="I211">
        <f>Tableau5[[#This Row],[GHG (kgCO2eq/GJ)]]*3.6</f>
        <v>13.917873892652425</v>
      </c>
      <c r="J211" t="s">
        <v>104</v>
      </c>
      <c r="K211" t="s">
        <v>108</v>
      </c>
    </row>
    <row r="212" spans="1:11" x14ac:dyDescent="0.3">
      <c r="A212" t="s">
        <v>16</v>
      </c>
      <c r="B212" t="s">
        <v>61</v>
      </c>
      <c r="C212" t="s">
        <v>99</v>
      </c>
      <c r="D212">
        <v>0.5</v>
      </c>
      <c r="E212">
        <f>Tableau5[[#This Row],[Potential (PJ)]]/3.6</f>
        <v>0.1388888888888889</v>
      </c>
      <c r="F212">
        <v>2.5194000000000001</v>
      </c>
      <c r="G212">
        <f>Tableau5[[#This Row],[Cost (€/GJ)]]*3.6</f>
        <v>9.069840000000001</v>
      </c>
      <c r="H212">
        <v>2.9245635910224439</v>
      </c>
      <c r="I212">
        <f>Tableau5[[#This Row],[GHG (kgCO2eq/GJ)]]*3.6</f>
        <v>10.528428927680798</v>
      </c>
      <c r="J212" t="s">
        <v>104</v>
      </c>
      <c r="K212" t="s">
        <v>108</v>
      </c>
    </row>
    <row r="213" spans="1:11" x14ac:dyDescent="0.3">
      <c r="A213" t="s">
        <v>16</v>
      </c>
      <c r="B213" t="s">
        <v>54</v>
      </c>
      <c r="C213" t="s">
        <v>78</v>
      </c>
      <c r="D213">
        <v>7.9</v>
      </c>
      <c r="E213">
        <f>Tableau5[[#This Row],[Potential (PJ)]]/3.6</f>
        <v>2.1944444444444446</v>
      </c>
      <c r="F213">
        <v>8.4116455696202532</v>
      </c>
      <c r="G213">
        <f>Tableau5[[#This Row],[Cost (€/GJ)]]*3.6</f>
        <v>30.281924050632913</v>
      </c>
      <c r="H213">
        <v>3.86607608129234</v>
      </c>
      <c r="I213">
        <f>Tableau5[[#This Row],[GHG (kgCO2eq/GJ)]]*3.6</f>
        <v>13.917873892652425</v>
      </c>
      <c r="J213" t="s">
        <v>104</v>
      </c>
      <c r="K213" t="s">
        <v>108</v>
      </c>
    </row>
    <row r="214" spans="1:11" x14ac:dyDescent="0.3">
      <c r="A214" t="s">
        <v>17</v>
      </c>
      <c r="B214" t="s">
        <v>46</v>
      </c>
      <c r="C214" t="s">
        <v>64</v>
      </c>
      <c r="D214">
        <v>4.64E-3</v>
      </c>
      <c r="E214">
        <f>Tableau5[[#This Row],[Potential (PJ)]]/3.6</f>
        <v>1.2888888888888889E-3</v>
      </c>
      <c r="F214">
        <v>11.762</v>
      </c>
      <c r="G214">
        <f>Tableau5[[#This Row],[Cost (€/GJ)]]*3.6</f>
        <v>42.343200000000003</v>
      </c>
      <c r="H214">
        <v>2.9521711768407801</v>
      </c>
      <c r="I214">
        <f>Tableau5[[#This Row],[GHG (kgCO2eq/GJ)]]*3.6</f>
        <v>10.627816236626808</v>
      </c>
      <c r="J214" t="s">
        <v>104</v>
      </c>
      <c r="K214" t="s">
        <v>108</v>
      </c>
    </row>
    <row r="215" spans="1:11" x14ac:dyDescent="0.3">
      <c r="A215" t="s">
        <v>17</v>
      </c>
      <c r="B215" t="s">
        <v>46</v>
      </c>
      <c r="C215" t="s">
        <v>79</v>
      </c>
      <c r="D215">
        <v>1.8</v>
      </c>
      <c r="E215">
        <f>Tableau5[[#This Row],[Potential (PJ)]]/3.6</f>
        <v>0.5</v>
      </c>
      <c r="F215">
        <v>3.3740000000000001</v>
      </c>
      <c r="G215">
        <f>Tableau5[[#This Row],[Cost (€/GJ)]]*3.6</f>
        <v>12.1464</v>
      </c>
      <c r="H215">
        <v>6.8428961748633883</v>
      </c>
      <c r="I215">
        <f>Tableau5[[#This Row],[GHG (kgCO2eq/GJ)]]*3.6</f>
        <v>24.634426229508197</v>
      </c>
      <c r="J215" t="s">
        <v>104</v>
      </c>
      <c r="K215" t="s">
        <v>108</v>
      </c>
    </row>
    <row r="216" spans="1:11" x14ac:dyDescent="0.3">
      <c r="A216" t="s">
        <v>17</v>
      </c>
      <c r="B216" t="s">
        <v>46</v>
      </c>
      <c r="C216" t="s">
        <v>80</v>
      </c>
      <c r="D216">
        <v>2.3599999999999999E-2</v>
      </c>
      <c r="E216">
        <f>Tableau5[[#This Row],[Potential (PJ)]]/3.6</f>
        <v>6.5555555555555549E-3</v>
      </c>
      <c r="F216">
        <v>0.28186109238031021</v>
      </c>
      <c r="G216">
        <f>Tableau5[[#This Row],[Cost (€/GJ)]]*3.6</f>
        <v>1.0146999325691168</v>
      </c>
      <c r="H216">
        <v>28.139870918023309</v>
      </c>
      <c r="I216">
        <f>Tableau5[[#This Row],[GHG (kgCO2eq/GJ)]]*3.6</f>
        <v>101.30353530488391</v>
      </c>
      <c r="J216" t="s">
        <v>105</v>
      </c>
      <c r="K216" t="s">
        <v>108</v>
      </c>
    </row>
    <row r="217" spans="1:11" x14ac:dyDescent="0.3">
      <c r="A217" t="s">
        <v>17</v>
      </c>
      <c r="B217" t="s">
        <v>46</v>
      </c>
      <c r="C217" t="s">
        <v>81</v>
      </c>
      <c r="D217">
        <v>0.19320000000000001</v>
      </c>
      <c r="E217">
        <f>Tableau5[[#This Row],[Potential (PJ)]]/3.6</f>
        <v>5.3666666666666668E-2</v>
      </c>
      <c r="F217">
        <v>2.0681551116333732</v>
      </c>
      <c r="G217">
        <f>Tableau5[[#This Row],[Cost (€/GJ)]]*3.6</f>
        <v>7.445358401880144</v>
      </c>
      <c r="H217">
        <v>8.9647473560517046</v>
      </c>
      <c r="I217">
        <f>Tableau5[[#This Row],[GHG (kgCO2eq/GJ)]]*3.6</f>
        <v>32.273090481786134</v>
      </c>
      <c r="J217" t="s">
        <v>105</v>
      </c>
      <c r="K217" t="s">
        <v>108</v>
      </c>
    </row>
    <row r="218" spans="1:11" x14ac:dyDescent="0.3">
      <c r="A218" t="s">
        <v>17</v>
      </c>
      <c r="B218" t="s">
        <v>46</v>
      </c>
      <c r="C218" t="s">
        <v>82</v>
      </c>
      <c r="D218">
        <v>0.3</v>
      </c>
      <c r="E218">
        <f>Tableau5[[#This Row],[Potential (PJ)]]/3.6</f>
        <v>8.3333333333333329E-2</v>
      </c>
      <c r="F218">
        <v>2.1389999999999998</v>
      </c>
      <c r="G218">
        <f>Tableau5[[#This Row],[Cost (€/GJ)]]*3.6</f>
        <v>7.7003999999999992</v>
      </c>
      <c r="H218">
        <v>6.8428961748633883</v>
      </c>
      <c r="I218">
        <f>Tableau5[[#This Row],[GHG (kgCO2eq/GJ)]]*3.6</f>
        <v>24.634426229508197</v>
      </c>
      <c r="J218" t="s">
        <v>104</v>
      </c>
      <c r="K218" t="s">
        <v>108</v>
      </c>
    </row>
    <row r="219" spans="1:11" x14ac:dyDescent="0.3">
      <c r="A219" t="s">
        <v>17</v>
      </c>
      <c r="B219" t="s">
        <v>55</v>
      </c>
      <c r="C219" t="s">
        <v>86</v>
      </c>
      <c r="D219">
        <v>0.1321</v>
      </c>
      <c r="E219">
        <f>Tableau5[[#This Row],[Potential (PJ)]]/3.6</f>
        <v>3.6694444444444439E-2</v>
      </c>
      <c r="F219">
        <v>8.9179999999999993</v>
      </c>
      <c r="G219">
        <f>Tableau5[[#This Row],[Cost (€/GJ)]]*3.6</f>
        <v>32.104799999999997</v>
      </c>
      <c r="H219">
        <v>27.4</v>
      </c>
      <c r="I219">
        <f>Tableau5[[#This Row],[GHG (kgCO2eq/GJ)]]*3.6</f>
        <v>98.64</v>
      </c>
      <c r="J219" t="s">
        <v>106</v>
      </c>
      <c r="K219" t="s">
        <v>109</v>
      </c>
    </row>
    <row r="220" spans="1:11" x14ac:dyDescent="0.3">
      <c r="A220" t="s">
        <v>17</v>
      </c>
      <c r="B220" t="s">
        <v>55</v>
      </c>
      <c r="C220" t="s">
        <v>89</v>
      </c>
      <c r="D220">
        <v>3.8999999999999998E-3</v>
      </c>
      <c r="E220">
        <f>Tableau5[[#This Row],[Potential (PJ)]]/3.6</f>
        <v>1.0833333333333333E-3</v>
      </c>
      <c r="F220">
        <v>0</v>
      </c>
      <c r="G220">
        <f>Tableau5[[#This Row],[Cost (€/GJ)]]*3.6</f>
        <v>0</v>
      </c>
      <c r="H220">
        <v>27.4</v>
      </c>
      <c r="I220">
        <f>Tableau5[[#This Row],[GHG (kgCO2eq/GJ)]]*3.6</f>
        <v>98.64</v>
      </c>
      <c r="J220" t="s">
        <v>106</v>
      </c>
      <c r="K220" t="s">
        <v>109</v>
      </c>
    </row>
    <row r="221" spans="1:11" x14ac:dyDescent="0.3">
      <c r="A221" t="s">
        <v>17</v>
      </c>
      <c r="B221" t="s">
        <v>55</v>
      </c>
      <c r="C221" t="s">
        <v>91</v>
      </c>
      <c r="D221">
        <v>9.2200000000000004E-2</v>
      </c>
      <c r="E221">
        <f>Tableau5[[#This Row],[Potential (PJ)]]/3.6</f>
        <v>2.5611111111111112E-2</v>
      </c>
      <c r="F221">
        <v>10.147</v>
      </c>
      <c r="G221">
        <f>Tableau5[[#This Row],[Cost (€/GJ)]]*3.6</f>
        <v>36.529200000000003</v>
      </c>
      <c r="H221">
        <v>27.4</v>
      </c>
      <c r="I221">
        <f>Tableau5[[#This Row],[GHG (kgCO2eq/GJ)]]*3.6</f>
        <v>98.64</v>
      </c>
      <c r="J221" t="s">
        <v>106</v>
      </c>
      <c r="K221" t="s">
        <v>109</v>
      </c>
    </row>
    <row r="222" spans="1:11" x14ac:dyDescent="0.3">
      <c r="A222" t="s">
        <v>17</v>
      </c>
      <c r="B222" t="s">
        <v>55</v>
      </c>
      <c r="C222" t="s">
        <v>92</v>
      </c>
      <c r="D222">
        <v>0.13063</v>
      </c>
      <c r="E222">
        <f>Tableau5[[#This Row],[Potential (PJ)]]/3.6</f>
        <v>3.6286111111111109E-2</v>
      </c>
      <c r="F222">
        <v>10.837999999999999</v>
      </c>
      <c r="G222">
        <f>Tableau5[[#This Row],[Cost (€/GJ)]]*3.6</f>
        <v>39.016799999999996</v>
      </c>
      <c r="H222">
        <v>27.4</v>
      </c>
      <c r="I222">
        <f>Tableau5[[#This Row],[GHG (kgCO2eq/GJ)]]*3.6</f>
        <v>98.64</v>
      </c>
      <c r="J222" t="s">
        <v>106</v>
      </c>
      <c r="K222" t="s">
        <v>109</v>
      </c>
    </row>
    <row r="223" spans="1:11" x14ac:dyDescent="0.3">
      <c r="A223" t="s">
        <v>17</v>
      </c>
      <c r="B223" t="s">
        <v>47</v>
      </c>
      <c r="C223" t="s">
        <v>101</v>
      </c>
      <c r="D223">
        <v>3.1</v>
      </c>
      <c r="E223">
        <f>Tableau5[[#This Row],[Potential (PJ)]]/3.6</f>
        <v>0.86111111111111116</v>
      </c>
      <c r="F223">
        <v>2.9849999999999999</v>
      </c>
      <c r="G223">
        <f>Tableau5[[#This Row],[Cost (€/GJ)]]*3.6</f>
        <v>10.746</v>
      </c>
      <c r="H223">
        <v>43.8</v>
      </c>
      <c r="I223">
        <f>Tableau5[[#This Row],[GHG (kgCO2eq/GJ)]]*3.6</f>
        <v>157.68</v>
      </c>
      <c r="J223" t="s">
        <v>104</v>
      </c>
      <c r="K223" t="s">
        <v>109</v>
      </c>
    </row>
    <row r="224" spans="1:11" x14ac:dyDescent="0.3">
      <c r="A224" t="s">
        <v>17</v>
      </c>
      <c r="B224" t="s">
        <v>57</v>
      </c>
      <c r="C224" t="s">
        <v>94</v>
      </c>
      <c r="D224">
        <v>2.2999999999999998</v>
      </c>
      <c r="E224">
        <f>Tableau5[[#This Row],[Potential (PJ)]]/3.6</f>
        <v>0.63888888888888884</v>
      </c>
      <c r="F224">
        <v>7.8860000000000001</v>
      </c>
      <c r="G224">
        <f>Tableau5[[#This Row],[Cost (€/GJ)]]*3.6</f>
        <v>28.389600000000002</v>
      </c>
      <c r="H224">
        <v>19.8</v>
      </c>
      <c r="I224">
        <f>Tableau5[[#This Row],[GHG (kgCO2eq/GJ)]]*3.6</f>
        <v>71.28</v>
      </c>
      <c r="J224" t="s">
        <v>104</v>
      </c>
      <c r="K224" t="s">
        <v>109</v>
      </c>
    </row>
    <row r="225" spans="1:11" x14ac:dyDescent="0.3">
      <c r="A225" t="s">
        <v>17</v>
      </c>
      <c r="B225" t="s">
        <v>49</v>
      </c>
      <c r="C225" t="s">
        <v>71</v>
      </c>
      <c r="D225">
        <v>22.209779999999999</v>
      </c>
      <c r="E225">
        <f>Tableau5[[#This Row],[Potential (PJ)]]/3.6</f>
        <v>6.1693833333333323</v>
      </c>
      <c r="F225">
        <v>3.2120000000000002</v>
      </c>
      <c r="G225">
        <f>Tableau5[[#This Row],[Cost (€/GJ)]]*3.6</f>
        <v>11.5632</v>
      </c>
      <c r="H225">
        <v>3.86607608129234</v>
      </c>
      <c r="I225">
        <f>Tableau5[[#This Row],[GHG (kgCO2eq/GJ)]]*3.6</f>
        <v>13.917873892652425</v>
      </c>
      <c r="J225" t="s">
        <v>104</v>
      </c>
      <c r="K225" t="s">
        <v>108</v>
      </c>
    </row>
    <row r="226" spans="1:11" x14ac:dyDescent="0.3">
      <c r="A226" t="s">
        <v>17</v>
      </c>
      <c r="B226" t="s">
        <v>49</v>
      </c>
      <c r="C226" t="s">
        <v>72</v>
      </c>
      <c r="D226">
        <v>2.7</v>
      </c>
      <c r="E226">
        <f>Tableau5[[#This Row],[Potential (PJ)]]/3.6</f>
        <v>0.75</v>
      </c>
      <c r="F226">
        <v>4.3730000000000002</v>
      </c>
      <c r="G226">
        <f>Tableau5[[#This Row],[Cost (€/GJ)]]*3.6</f>
        <v>15.742800000000001</v>
      </c>
      <c r="H226">
        <v>3.86607608129234</v>
      </c>
      <c r="I226">
        <f>Tableau5[[#This Row],[GHG (kgCO2eq/GJ)]]*3.6</f>
        <v>13.917873892652425</v>
      </c>
      <c r="J226" t="s">
        <v>104</v>
      </c>
      <c r="K226" t="s">
        <v>108</v>
      </c>
    </row>
    <row r="227" spans="1:11" x14ac:dyDescent="0.3">
      <c r="A227" t="s">
        <v>17</v>
      </c>
      <c r="B227" t="s">
        <v>58</v>
      </c>
      <c r="C227" t="s">
        <v>95</v>
      </c>
      <c r="D227">
        <v>2.9219599999999999</v>
      </c>
      <c r="E227">
        <f>Tableau5[[#This Row],[Potential (PJ)]]/3.6</f>
        <v>0.81165555555555546</v>
      </c>
      <c r="F227">
        <v>3.6970000000000001</v>
      </c>
      <c r="G227">
        <f>Tableau5[[#This Row],[Cost (€/GJ)]]*3.6</f>
        <v>13.309200000000001</v>
      </c>
      <c r="H227">
        <v>2.9521711768407801</v>
      </c>
      <c r="I227">
        <f>Tableau5[[#This Row],[GHG (kgCO2eq/GJ)]]*3.6</f>
        <v>10.627816236626808</v>
      </c>
      <c r="J227" t="s">
        <v>104</v>
      </c>
      <c r="K227" t="s">
        <v>108</v>
      </c>
    </row>
    <row r="228" spans="1:11" x14ac:dyDescent="0.3">
      <c r="A228" t="s">
        <v>17</v>
      </c>
      <c r="B228" t="s">
        <v>50</v>
      </c>
      <c r="C228" t="s">
        <v>73</v>
      </c>
      <c r="D228">
        <v>0.7</v>
      </c>
      <c r="E228">
        <f>Tableau5[[#This Row],[Potential (PJ)]]/3.6</f>
        <v>0.19444444444444442</v>
      </c>
      <c r="F228">
        <v>5.0869999999999997</v>
      </c>
      <c r="G228">
        <f>Tableau5[[#This Row],[Cost (€/GJ)]]*3.6</f>
        <v>18.313199999999998</v>
      </c>
      <c r="H228">
        <v>20.723404255319149</v>
      </c>
      <c r="I228">
        <f>Tableau5[[#This Row],[GHG (kgCO2eq/GJ)]]*3.6</f>
        <v>74.604255319148933</v>
      </c>
      <c r="J228" t="s">
        <v>105</v>
      </c>
      <c r="K228" t="s">
        <v>108</v>
      </c>
    </row>
    <row r="229" spans="1:11" x14ac:dyDescent="0.3">
      <c r="A229" t="s">
        <v>17</v>
      </c>
      <c r="B229" t="s">
        <v>50</v>
      </c>
      <c r="C229" t="s">
        <v>74</v>
      </c>
      <c r="D229">
        <v>5.5</v>
      </c>
      <c r="E229">
        <f>Tableau5[[#This Row],[Potential (PJ)]]/3.6</f>
        <v>1.5277777777777777</v>
      </c>
      <c r="F229">
        <v>3.625</v>
      </c>
      <c r="G229">
        <f>Tableau5[[#This Row],[Cost (€/GJ)]]*3.6</f>
        <v>13.05</v>
      </c>
      <c r="H229">
        <v>2.0635593220338988</v>
      </c>
      <c r="I229">
        <f>Tableau5[[#This Row],[GHG (kgCO2eq/GJ)]]*3.6</f>
        <v>7.4288135593220357</v>
      </c>
      <c r="J229" t="s">
        <v>105</v>
      </c>
      <c r="K229" t="s">
        <v>108</v>
      </c>
    </row>
    <row r="230" spans="1:11" x14ac:dyDescent="0.3">
      <c r="A230" t="s">
        <v>17</v>
      </c>
      <c r="B230" t="s">
        <v>51</v>
      </c>
      <c r="C230" t="s">
        <v>75</v>
      </c>
      <c r="D230">
        <v>1.8446070000000001</v>
      </c>
      <c r="E230">
        <f>Tableau5[[#This Row],[Potential (PJ)]]/3.6</f>
        <v>0.51239083333333335</v>
      </c>
      <c r="F230">
        <v>6.3375317272285001E-3</v>
      </c>
      <c r="G230">
        <f>Tableau5[[#This Row],[Cost (€/GJ)]]*3.6</f>
        <v>2.2815114218022601E-2</v>
      </c>
      <c r="H230">
        <v>11.74</v>
      </c>
      <c r="I230">
        <f>Tableau5[[#This Row],[GHG (kgCO2eq/GJ)]]*3.6</f>
        <v>42.264000000000003</v>
      </c>
      <c r="J230" t="s">
        <v>104</v>
      </c>
      <c r="K230" t="s">
        <v>108</v>
      </c>
    </row>
    <row r="231" spans="1:11" x14ac:dyDescent="0.3">
      <c r="A231" t="s">
        <v>17</v>
      </c>
      <c r="B231" t="s">
        <v>60</v>
      </c>
      <c r="C231" t="s">
        <v>98</v>
      </c>
      <c r="D231">
        <v>1.53975</v>
      </c>
      <c r="E231">
        <f>Tableau5[[#This Row],[Potential (PJ)]]/3.6</f>
        <v>0.4277083333333333</v>
      </c>
      <c r="F231">
        <v>18.045112781954892</v>
      </c>
      <c r="G231">
        <f>Tableau5[[#This Row],[Cost (€/GJ)]]*3.6</f>
        <v>64.962406015037615</v>
      </c>
      <c r="H231">
        <v>41.8</v>
      </c>
      <c r="I231">
        <f>Tableau5[[#This Row],[GHG (kgCO2eq/GJ)]]*3.6</f>
        <v>150.47999999999999</v>
      </c>
      <c r="J231" t="s">
        <v>107</v>
      </c>
      <c r="K231" t="s">
        <v>109</v>
      </c>
    </row>
    <row r="232" spans="1:11" x14ac:dyDescent="0.3">
      <c r="A232" t="s">
        <v>17</v>
      </c>
      <c r="B232" t="s">
        <v>53</v>
      </c>
      <c r="C232" t="s">
        <v>77</v>
      </c>
      <c r="D232">
        <v>4.1403400000000001</v>
      </c>
      <c r="E232">
        <f>Tableau5[[#This Row],[Potential (PJ)]]/3.6</f>
        <v>1.1500944444444445</v>
      </c>
      <c r="F232">
        <v>4.3730000000000002</v>
      </c>
      <c r="G232">
        <f>Tableau5[[#This Row],[Cost (€/GJ)]]*3.6</f>
        <v>15.742800000000001</v>
      </c>
      <c r="H232">
        <v>3.86607608129234</v>
      </c>
      <c r="I232">
        <f>Tableau5[[#This Row],[GHG (kgCO2eq/GJ)]]*3.6</f>
        <v>13.917873892652425</v>
      </c>
      <c r="J232" t="s">
        <v>104</v>
      </c>
      <c r="K232" t="s">
        <v>108</v>
      </c>
    </row>
    <row r="233" spans="1:11" x14ac:dyDescent="0.3">
      <c r="A233" t="s">
        <v>17</v>
      </c>
      <c r="B233" t="s">
        <v>61</v>
      </c>
      <c r="C233" t="s">
        <v>99</v>
      </c>
      <c r="D233">
        <v>1.8</v>
      </c>
      <c r="E233">
        <f>Tableau5[[#This Row],[Potential (PJ)]]/3.6</f>
        <v>0.5</v>
      </c>
      <c r="F233">
        <v>1.958</v>
      </c>
      <c r="G233">
        <f>Tableau5[[#This Row],[Cost (€/GJ)]]*3.6</f>
        <v>7.0488</v>
      </c>
      <c r="H233">
        <v>2.9245635910224439</v>
      </c>
      <c r="I233">
        <f>Tableau5[[#This Row],[GHG (kgCO2eq/GJ)]]*3.6</f>
        <v>10.528428927680798</v>
      </c>
      <c r="J233" t="s">
        <v>104</v>
      </c>
      <c r="K233" t="s">
        <v>108</v>
      </c>
    </row>
    <row r="234" spans="1:11" x14ac:dyDescent="0.3">
      <c r="A234" t="s">
        <v>17</v>
      </c>
      <c r="B234" t="s">
        <v>62</v>
      </c>
      <c r="C234" t="s">
        <v>100</v>
      </c>
      <c r="D234">
        <v>0.8</v>
      </c>
      <c r="E234">
        <f>Tableau5[[#This Row],[Potential (PJ)]]/3.6</f>
        <v>0.22222222222222224</v>
      </c>
      <c r="F234">
        <v>2</v>
      </c>
      <c r="G234">
        <f>Tableau5[[#This Row],[Cost (€/GJ)]]*3.6</f>
        <v>7.2</v>
      </c>
      <c r="H234">
        <v>2.6764106050305911</v>
      </c>
      <c r="I234">
        <f>Tableau5[[#This Row],[GHG (kgCO2eq/GJ)]]*3.6</f>
        <v>9.6350781781101276</v>
      </c>
      <c r="J234" t="s">
        <v>104</v>
      </c>
      <c r="K234" t="s">
        <v>108</v>
      </c>
    </row>
    <row r="235" spans="1:11" x14ac:dyDescent="0.3">
      <c r="A235" t="s">
        <v>17</v>
      </c>
      <c r="B235" t="s">
        <v>54</v>
      </c>
      <c r="C235" t="s">
        <v>78</v>
      </c>
      <c r="D235">
        <v>34.6</v>
      </c>
      <c r="E235">
        <f>Tableau5[[#This Row],[Potential (PJ)]]/3.6</f>
        <v>9.6111111111111107</v>
      </c>
      <c r="F235">
        <v>4.3140000000000001</v>
      </c>
      <c r="G235">
        <f>Tableau5[[#This Row],[Cost (€/GJ)]]*3.6</f>
        <v>15.5304</v>
      </c>
      <c r="H235">
        <v>3.86607608129234</v>
      </c>
      <c r="I235">
        <f>Tableau5[[#This Row],[GHG (kgCO2eq/GJ)]]*3.6</f>
        <v>13.917873892652425</v>
      </c>
      <c r="J235" t="s">
        <v>104</v>
      </c>
      <c r="K235" t="s">
        <v>108</v>
      </c>
    </row>
    <row r="236" spans="1:11" x14ac:dyDescent="0.3">
      <c r="A236" t="s">
        <v>18</v>
      </c>
      <c r="B236" t="s">
        <v>46</v>
      </c>
      <c r="C236" t="s">
        <v>63</v>
      </c>
      <c r="D236">
        <v>1.8080000000000001</v>
      </c>
      <c r="E236">
        <f>Tableau5[[#This Row],[Potential (PJ)]]/3.6</f>
        <v>0.50222222222222224</v>
      </c>
      <c r="F236">
        <v>2.9286474973375931</v>
      </c>
      <c r="G236">
        <f>Tableau5[[#This Row],[Cost (€/GJ)]]*3.6</f>
        <v>10.543130990415335</v>
      </c>
      <c r="H236">
        <v>3.950479233226837</v>
      </c>
      <c r="I236">
        <f>Tableau5[[#This Row],[GHG (kgCO2eq/GJ)]]*3.6</f>
        <v>14.221725239616614</v>
      </c>
      <c r="J236" t="s">
        <v>104</v>
      </c>
      <c r="K236" t="s">
        <v>108</v>
      </c>
    </row>
    <row r="237" spans="1:11" x14ac:dyDescent="0.3">
      <c r="A237" t="s">
        <v>18</v>
      </c>
      <c r="B237" t="s">
        <v>46</v>
      </c>
      <c r="C237" t="s">
        <v>64</v>
      </c>
      <c r="D237">
        <v>0.18532999999999999</v>
      </c>
      <c r="E237">
        <f>Tableau5[[#This Row],[Potential (PJ)]]/3.6</f>
        <v>5.148055555555555E-2</v>
      </c>
      <c r="F237">
        <v>9.9205567366319549</v>
      </c>
      <c r="G237">
        <f>Tableau5[[#This Row],[Cost (€/GJ)]]*3.6</f>
        <v>35.714004251875039</v>
      </c>
      <c r="H237">
        <v>2.9521711768407801</v>
      </c>
      <c r="I237">
        <f>Tableau5[[#This Row],[GHG (kgCO2eq/GJ)]]*3.6</f>
        <v>10.627816236626808</v>
      </c>
      <c r="J237" t="s">
        <v>104</v>
      </c>
      <c r="K237" t="s">
        <v>108</v>
      </c>
    </row>
    <row r="238" spans="1:11" x14ac:dyDescent="0.3">
      <c r="A238" t="s">
        <v>18</v>
      </c>
      <c r="B238" t="s">
        <v>46</v>
      </c>
      <c r="C238" t="s">
        <v>79</v>
      </c>
      <c r="D238">
        <v>1.5</v>
      </c>
      <c r="E238">
        <f>Tableau5[[#This Row],[Potential (PJ)]]/3.6</f>
        <v>0.41666666666666663</v>
      </c>
      <c r="F238">
        <v>4.5376000000000003</v>
      </c>
      <c r="G238">
        <f>Tableau5[[#This Row],[Cost (€/GJ)]]*3.6</f>
        <v>16.335360000000001</v>
      </c>
      <c r="H238">
        <v>6.8428961748633883</v>
      </c>
      <c r="I238">
        <f>Tableau5[[#This Row],[GHG (kgCO2eq/GJ)]]*3.6</f>
        <v>24.634426229508197</v>
      </c>
      <c r="J238" t="s">
        <v>104</v>
      </c>
      <c r="K238" t="s">
        <v>108</v>
      </c>
    </row>
    <row r="239" spans="1:11" x14ac:dyDescent="0.3">
      <c r="A239" t="s">
        <v>18</v>
      </c>
      <c r="B239" t="s">
        <v>46</v>
      </c>
      <c r="C239" t="s">
        <v>65</v>
      </c>
      <c r="D239">
        <v>0.1</v>
      </c>
      <c r="E239">
        <f>Tableau5[[#This Row],[Potential (PJ)]]/3.6</f>
        <v>2.777777777777778E-2</v>
      </c>
      <c r="F239">
        <v>6.024</v>
      </c>
      <c r="G239">
        <f>Tableau5[[#This Row],[Cost (€/GJ)]]*3.6</f>
        <v>21.686399999999999</v>
      </c>
      <c r="H239">
        <v>2.9521711768407801</v>
      </c>
      <c r="I239">
        <f>Tableau5[[#This Row],[GHG (kgCO2eq/GJ)]]*3.6</f>
        <v>10.627816236626808</v>
      </c>
      <c r="J239" t="s">
        <v>104</v>
      </c>
      <c r="K239" t="s">
        <v>108</v>
      </c>
    </row>
    <row r="240" spans="1:11" x14ac:dyDescent="0.3">
      <c r="A240" t="s">
        <v>18</v>
      </c>
      <c r="B240" t="s">
        <v>46</v>
      </c>
      <c r="C240" t="s">
        <v>102</v>
      </c>
      <c r="D240">
        <v>0.1</v>
      </c>
      <c r="E240">
        <f>Tableau5[[#This Row],[Potential (PJ)]]/3.6</f>
        <v>2.777777777777778E-2</v>
      </c>
      <c r="F240">
        <v>5.1989999999999998</v>
      </c>
      <c r="G240">
        <f>Tableau5[[#This Row],[Cost (€/GJ)]]*3.6</f>
        <v>18.7164</v>
      </c>
      <c r="H240">
        <v>2.9521711768407801</v>
      </c>
      <c r="I240">
        <f>Tableau5[[#This Row],[GHG (kgCO2eq/GJ)]]*3.6</f>
        <v>10.627816236626808</v>
      </c>
      <c r="J240" t="s">
        <v>104</v>
      </c>
      <c r="K240" t="s">
        <v>108</v>
      </c>
    </row>
    <row r="241" spans="1:11" x14ac:dyDescent="0.3">
      <c r="A241" t="s">
        <v>18</v>
      </c>
      <c r="B241" t="s">
        <v>46</v>
      </c>
      <c r="C241" t="s">
        <v>80</v>
      </c>
      <c r="D241">
        <v>0.248</v>
      </c>
      <c r="E241">
        <f>Tableau5[[#This Row],[Potential (PJ)]]/3.6</f>
        <v>6.8888888888888888E-2</v>
      </c>
      <c r="F241">
        <v>1.2016183412002699</v>
      </c>
      <c r="G241">
        <f>Tableau5[[#This Row],[Cost (€/GJ)]]*3.6</f>
        <v>4.3258260283209715</v>
      </c>
      <c r="H241">
        <v>28.139870918023309</v>
      </c>
      <c r="I241">
        <f>Tableau5[[#This Row],[GHG (kgCO2eq/GJ)]]*3.6</f>
        <v>101.30353530488391</v>
      </c>
      <c r="J241" t="s">
        <v>105</v>
      </c>
      <c r="K241" t="s">
        <v>108</v>
      </c>
    </row>
    <row r="242" spans="1:11" x14ac:dyDescent="0.3">
      <c r="A242" t="s">
        <v>18</v>
      </c>
      <c r="B242" t="s">
        <v>46</v>
      </c>
      <c r="C242" t="s">
        <v>81</v>
      </c>
      <c r="D242">
        <v>7.8299999999999995E-2</v>
      </c>
      <c r="E242">
        <f>Tableau5[[#This Row],[Potential (PJ)]]/3.6</f>
        <v>2.1749999999999999E-2</v>
      </c>
      <c r="F242">
        <v>2.6686251468860172</v>
      </c>
      <c r="G242">
        <f>Tableau5[[#This Row],[Cost (€/GJ)]]*3.6</f>
        <v>9.6070505287896619</v>
      </c>
      <c r="H242">
        <v>8.9647473560517046</v>
      </c>
      <c r="I242">
        <f>Tableau5[[#This Row],[GHG (kgCO2eq/GJ)]]*3.6</f>
        <v>32.273090481786134</v>
      </c>
      <c r="J242" t="s">
        <v>105</v>
      </c>
      <c r="K242" t="s">
        <v>108</v>
      </c>
    </row>
    <row r="243" spans="1:11" x14ac:dyDescent="0.3">
      <c r="A243" t="s">
        <v>18</v>
      </c>
      <c r="B243" t="s">
        <v>46</v>
      </c>
      <c r="C243" t="s">
        <v>66</v>
      </c>
      <c r="D243">
        <v>2.1</v>
      </c>
      <c r="E243">
        <f>Tableau5[[#This Row],[Potential (PJ)]]/3.6</f>
        <v>0.58333333333333337</v>
      </c>
      <c r="F243">
        <v>4.6859999999999999</v>
      </c>
      <c r="G243">
        <f>Tableau5[[#This Row],[Cost (€/GJ)]]*3.6</f>
        <v>16.869600000000002</v>
      </c>
      <c r="H243">
        <v>6.8428961748633883</v>
      </c>
      <c r="I243">
        <f>Tableau5[[#This Row],[GHG (kgCO2eq/GJ)]]*3.6</f>
        <v>24.634426229508197</v>
      </c>
      <c r="J243" t="s">
        <v>104</v>
      </c>
      <c r="K243" t="s">
        <v>108</v>
      </c>
    </row>
    <row r="244" spans="1:11" x14ac:dyDescent="0.3">
      <c r="A244" t="s">
        <v>18</v>
      </c>
      <c r="B244" t="s">
        <v>46</v>
      </c>
      <c r="C244" t="s">
        <v>67</v>
      </c>
      <c r="D244">
        <v>1.9</v>
      </c>
      <c r="E244">
        <f>Tableau5[[#This Row],[Potential (PJ)]]/3.6</f>
        <v>0.52777777777777779</v>
      </c>
      <c r="F244">
        <v>8.6498947368421071</v>
      </c>
      <c r="G244">
        <f>Tableau5[[#This Row],[Cost (€/GJ)]]*3.6</f>
        <v>31.139621052631586</v>
      </c>
      <c r="H244">
        <v>2.9521711768407801</v>
      </c>
      <c r="I244">
        <f>Tableau5[[#This Row],[GHG (kgCO2eq/GJ)]]*3.6</f>
        <v>10.627816236626808</v>
      </c>
      <c r="J244" t="s">
        <v>104</v>
      </c>
      <c r="K244" t="s">
        <v>108</v>
      </c>
    </row>
    <row r="245" spans="1:11" x14ac:dyDescent="0.3">
      <c r="A245" t="s">
        <v>18</v>
      </c>
      <c r="B245" t="s">
        <v>46</v>
      </c>
      <c r="C245" t="s">
        <v>82</v>
      </c>
      <c r="D245">
        <v>0.3</v>
      </c>
      <c r="E245">
        <f>Tableau5[[#This Row],[Potential (PJ)]]/3.6</f>
        <v>8.3333333333333329E-2</v>
      </c>
      <c r="F245">
        <v>2.8523333333333332</v>
      </c>
      <c r="G245">
        <f>Tableau5[[#This Row],[Cost (€/GJ)]]*3.6</f>
        <v>10.2684</v>
      </c>
      <c r="H245">
        <v>6.8428961748633883</v>
      </c>
      <c r="I245">
        <f>Tableau5[[#This Row],[GHG (kgCO2eq/GJ)]]*3.6</f>
        <v>24.634426229508197</v>
      </c>
      <c r="J245" t="s">
        <v>104</v>
      </c>
      <c r="K245" t="s">
        <v>108</v>
      </c>
    </row>
    <row r="246" spans="1:11" x14ac:dyDescent="0.3">
      <c r="A246" t="s">
        <v>18</v>
      </c>
      <c r="B246" t="s">
        <v>46</v>
      </c>
      <c r="C246" t="s">
        <v>83</v>
      </c>
      <c r="D246">
        <v>0.45582</v>
      </c>
      <c r="E246">
        <f>Tableau5[[#This Row],[Potential (PJ)]]/3.6</f>
        <v>0.12661666666666666</v>
      </c>
      <c r="F246">
        <v>4.3419863981396167</v>
      </c>
      <c r="G246">
        <f>Tableau5[[#This Row],[Cost (€/GJ)]]*3.6</f>
        <v>15.63115103330262</v>
      </c>
      <c r="H246">
        <v>6.8428961748633883</v>
      </c>
      <c r="I246">
        <f>Tableau5[[#This Row],[GHG (kgCO2eq/GJ)]]*3.6</f>
        <v>24.634426229508197</v>
      </c>
      <c r="J246" t="s">
        <v>104</v>
      </c>
      <c r="K246" t="s">
        <v>108</v>
      </c>
    </row>
    <row r="247" spans="1:11" x14ac:dyDescent="0.3">
      <c r="A247" t="s">
        <v>18</v>
      </c>
      <c r="B247" t="s">
        <v>46</v>
      </c>
      <c r="C247" t="s">
        <v>84</v>
      </c>
      <c r="D247">
        <v>0.2</v>
      </c>
      <c r="E247">
        <f>Tableau5[[#This Row],[Potential (PJ)]]/3.6</f>
        <v>5.5555555555555559E-2</v>
      </c>
      <c r="F247">
        <v>2.5590000000000002</v>
      </c>
      <c r="G247">
        <f>Tableau5[[#This Row],[Cost (€/GJ)]]*3.6</f>
        <v>9.2124000000000006</v>
      </c>
      <c r="H247">
        <v>28.139870918023309</v>
      </c>
      <c r="I247">
        <f>Tableau5[[#This Row],[GHG (kgCO2eq/GJ)]]*3.6</f>
        <v>101.30353530488391</v>
      </c>
      <c r="J247" t="s">
        <v>105</v>
      </c>
      <c r="K247" t="s">
        <v>108</v>
      </c>
    </row>
    <row r="248" spans="1:11" x14ac:dyDescent="0.3">
      <c r="A248" t="s">
        <v>18</v>
      </c>
      <c r="B248" t="s">
        <v>46</v>
      </c>
      <c r="C248" t="s">
        <v>85</v>
      </c>
      <c r="D248">
        <v>0.1</v>
      </c>
      <c r="E248">
        <f>Tableau5[[#This Row],[Potential (PJ)]]/3.6</f>
        <v>2.777777777777778E-2</v>
      </c>
      <c r="F248">
        <v>4.4279999999999999</v>
      </c>
      <c r="G248">
        <f>Tableau5[[#This Row],[Cost (€/GJ)]]*3.6</f>
        <v>15.940799999999999</v>
      </c>
      <c r="H248">
        <v>2.9521711768407801</v>
      </c>
      <c r="I248">
        <f>Tableau5[[#This Row],[GHG (kgCO2eq/GJ)]]*3.6</f>
        <v>10.627816236626808</v>
      </c>
      <c r="J248" t="s">
        <v>104</v>
      </c>
      <c r="K248" t="s">
        <v>108</v>
      </c>
    </row>
    <row r="249" spans="1:11" x14ac:dyDescent="0.3">
      <c r="A249" t="s">
        <v>18</v>
      </c>
      <c r="B249" t="s">
        <v>55</v>
      </c>
      <c r="C249" t="s">
        <v>86</v>
      </c>
      <c r="D249">
        <v>0.92080000000000006</v>
      </c>
      <c r="E249">
        <f>Tableau5[[#This Row],[Potential (PJ)]]/3.6</f>
        <v>0.25577777777777777</v>
      </c>
      <c r="F249">
        <v>14.109</v>
      </c>
      <c r="G249">
        <f>Tableau5[[#This Row],[Cost (€/GJ)]]*3.6</f>
        <v>50.792400000000001</v>
      </c>
      <c r="I249">
        <f>Tableau5[[#This Row],[GHG (kgCO2eq/GJ)]]*3.6</f>
        <v>0</v>
      </c>
      <c r="J249" t="s">
        <v>106</v>
      </c>
      <c r="K249" t="s">
        <v>109</v>
      </c>
    </row>
    <row r="250" spans="1:11" x14ac:dyDescent="0.3">
      <c r="A250" t="s">
        <v>18</v>
      </c>
      <c r="B250" t="s">
        <v>55</v>
      </c>
      <c r="C250" t="s">
        <v>87</v>
      </c>
      <c r="D250">
        <v>3.4325999999999999</v>
      </c>
      <c r="E250">
        <f>Tableau5[[#This Row],[Potential (PJ)]]/3.6</f>
        <v>0.9534999999999999</v>
      </c>
      <c r="F250">
        <v>19.335000000000001</v>
      </c>
      <c r="G250">
        <f>Tableau5[[#This Row],[Cost (€/GJ)]]*3.6</f>
        <v>69.606000000000009</v>
      </c>
      <c r="I250">
        <f>Tableau5[[#This Row],[GHG (kgCO2eq/GJ)]]*3.6</f>
        <v>0</v>
      </c>
      <c r="J250" t="s">
        <v>106</v>
      </c>
      <c r="K250" t="s">
        <v>109</v>
      </c>
    </row>
    <row r="251" spans="1:11" x14ac:dyDescent="0.3">
      <c r="A251" t="s">
        <v>18</v>
      </c>
      <c r="B251" t="s">
        <v>55</v>
      </c>
      <c r="C251" t="s">
        <v>88</v>
      </c>
      <c r="D251">
        <v>1.3866000000000001</v>
      </c>
      <c r="E251">
        <f>Tableau5[[#This Row],[Potential (PJ)]]/3.6</f>
        <v>0.38516666666666666</v>
      </c>
      <c r="F251">
        <v>16.361999999999998</v>
      </c>
      <c r="G251">
        <f>Tableau5[[#This Row],[Cost (€/GJ)]]*3.6</f>
        <v>58.903199999999998</v>
      </c>
      <c r="I251">
        <f>Tableau5[[#This Row],[GHG (kgCO2eq/GJ)]]*3.6</f>
        <v>0</v>
      </c>
      <c r="J251" t="s">
        <v>106</v>
      </c>
      <c r="K251" t="s">
        <v>109</v>
      </c>
    </row>
    <row r="252" spans="1:11" x14ac:dyDescent="0.3">
      <c r="A252" t="s">
        <v>18</v>
      </c>
      <c r="B252" t="s">
        <v>55</v>
      </c>
      <c r="C252" t="s">
        <v>91</v>
      </c>
      <c r="D252">
        <v>1.8E-3</v>
      </c>
      <c r="E252">
        <f>Tableau5[[#This Row],[Potential (PJ)]]/3.6</f>
        <v>5.0000000000000001E-4</v>
      </c>
      <c r="F252">
        <v>13.2</v>
      </c>
      <c r="G252">
        <f>Tableau5[[#This Row],[Cost (€/GJ)]]*3.6</f>
        <v>47.519999999999996</v>
      </c>
      <c r="I252">
        <f>Tableau5[[#This Row],[GHG (kgCO2eq/GJ)]]*3.6</f>
        <v>0</v>
      </c>
      <c r="J252" t="s">
        <v>106</v>
      </c>
      <c r="K252" t="s">
        <v>109</v>
      </c>
    </row>
    <row r="253" spans="1:11" x14ac:dyDescent="0.3">
      <c r="A253" t="s">
        <v>18</v>
      </c>
      <c r="B253" t="s">
        <v>56</v>
      </c>
      <c r="C253" t="s">
        <v>93</v>
      </c>
      <c r="D253">
        <v>14.722899999999999</v>
      </c>
      <c r="E253">
        <f>Tableau5[[#This Row],[Potential (PJ)]]/3.6</f>
        <v>4.0896944444444445</v>
      </c>
      <c r="F253">
        <v>2.939759036144578</v>
      </c>
      <c r="G253">
        <f>Tableau5[[#This Row],[Cost (€/GJ)]]*3.6</f>
        <v>10.583132530120482</v>
      </c>
      <c r="I253">
        <f>Tableau5[[#This Row],[GHG (kgCO2eq/GJ)]]*3.6</f>
        <v>0</v>
      </c>
      <c r="J253" t="s">
        <v>106</v>
      </c>
      <c r="K253" t="s">
        <v>109</v>
      </c>
    </row>
    <row r="254" spans="1:11" x14ac:dyDescent="0.3">
      <c r="A254" t="s">
        <v>18</v>
      </c>
      <c r="B254" t="s">
        <v>47</v>
      </c>
      <c r="C254" t="s">
        <v>68</v>
      </c>
      <c r="D254">
        <v>5.8</v>
      </c>
      <c r="E254">
        <f>Tableau5[[#This Row],[Potential (PJ)]]/3.6</f>
        <v>1.6111111111111109</v>
      </c>
      <c r="F254">
        <v>7.3589137931034481</v>
      </c>
      <c r="G254">
        <f>Tableau5[[#This Row],[Cost (€/GJ)]]*3.6</f>
        <v>26.492089655172414</v>
      </c>
      <c r="I254">
        <f>Tableau5[[#This Row],[GHG (kgCO2eq/GJ)]]*3.6</f>
        <v>0</v>
      </c>
      <c r="J254" t="s">
        <v>104</v>
      </c>
      <c r="K254" t="s">
        <v>109</v>
      </c>
    </row>
    <row r="255" spans="1:11" x14ac:dyDescent="0.3">
      <c r="A255" t="s">
        <v>18</v>
      </c>
      <c r="B255" t="s">
        <v>47</v>
      </c>
      <c r="C255" t="s">
        <v>69</v>
      </c>
      <c r="D255">
        <v>3.1</v>
      </c>
      <c r="E255">
        <f>Tableau5[[#This Row],[Potential (PJ)]]/3.6</f>
        <v>0.86111111111111116</v>
      </c>
      <c r="F255">
        <v>11.409645161290319</v>
      </c>
      <c r="G255">
        <f>Tableau5[[#This Row],[Cost (€/GJ)]]*3.6</f>
        <v>41.074722580645151</v>
      </c>
      <c r="I255">
        <f>Tableau5[[#This Row],[GHG (kgCO2eq/GJ)]]*3.6</f>
        <v>0</v>
      </c>
      <c r="J255" t="s">
        <v>104</v>
      </c>
      <c r="K255" t="s">
        <v>109</v>
      </c>
    </row>
    <row r="256" spans="1:11" x14ac:dyDescent="0.3">
      <c r="A256" t="s">
        <v>18</v>
      </c>
      <c r="B256" t="s">
        <v>48</v>
      </c>
      <c r="C256" t="s">
        <v>70</v>
      </c>
      <c r="D256">
        <v>2.8</v>
      </c>
      <c r="E256">
        <f>Tableau5[[#This Row],[Potential (PJ)]]/3.6</f>
        <v>0.77777777777777768</v>
      </c>
      <c r="F256">
        <v>17.05535714285714</v>
      </c>
      <c r="G256">
        <f>Tableau5[[#This Row],[Cost (€/GJ)]]*3.6</f>
        <v>61.399285714285703</v>
      </c>
      <c r="I256">
        <f>Tableau5[[#This Row],[GHG (kgCO2eq/GJ)]]*3.6</f>
        <v>0</v>
      </c>
      <c r="J256" t="s">
        <v>104</v>
      </c>
      <c r="K256" t="s">
        <v>109</v>
      </c>
    </row>
    <row r="257" spans="1:11" x14ac:dyDescent="0.3">
      <c r="A257" t="s">
        <v>18</v>
      </c>
      <c r="B257" t="s">
        <v>49</v>
      </c>
      <c r="C257" t="s">
        <v>71</v>
      </c>
      <c r="D257">
        <v>4.4055</v>
      </c>
      <c r="E257">
        <f>Tableau5[[#This Row],[Potential (PJ)]]/3.6</f>
        <v>1.2237499999999999</v>
      </c>
      <c r="F257">
        <v>5.8131218022925886</v>
      </c>
      <c r="G257">
        <f>Tableau5[[#This Row],[Cost (€/GJ)]]*3.6</f>
        <v>20.92723848825332</v>
      </c>
      <c r="H257">
        <v>3.86607608129234</v>
      </c>
      <c r="I257">
        <f>Tableau5[[#This Row],[GHG (kgCO2eq/GJ)]]*3.6</f>
        <v>13.917873892652425</v>
      </c>
      <c r="J257" t="s">
        <v>104</v>
      </c>
      <c r="K257" t="s">
        <v>108</v>
      </c>
    </row>
    <row r="258" spans="1:11" x14ac:dyDescent="0.3">
      <c r="A258" t="s">
        <v>18</v>
      </c>
      <c r="B258" t="s">
        <v>49</v>
      </c>
      <c r="C258" t="s">
        <v>72</v>
      </c>
      <c r="D258">
        <v>0.9</v>
      </c>
      <c r="E258">
        <f>Tableau5[[#This Row],[Potential (PJ)]]/3.6</f>
        <v>0.25</v>
      </c>
      <c r="F258">
        <v>4.6617777777777771</v>
      </c>
      <c r="G258">
        <f>Tableau5[[#This Row],[Cost (€/GJ)]]*3.6</f>
        <v>16.782399999999999</v>
      </c>
      <c r="H258">
        <v>3.86607608129234</v>
      </c>
      <c r="I258">
        <f>Tableau5[[#This Row],[GHG (kgCO2eq/GJ)]]*3.6</f>
        <v>13.917873892652425</v>
      </c>
      <c r="J258" t="s">
        <v>104</v>
      </c>
      <c r="K258" t="s">
        <v>108</v>
      </c>
    </row>
    <row r="259" spans="1:11" x14ac:dyDescent="0.3">
      <c r="A259" t="s">
        <v>18</v>
      </c>
      <c r="B259" t="s">
        <v>58</v>
      </c>
      <c r="C259" t="s">
        <v>95</v>
      </c>
      <c r="D259">
        <v>3.48468</v>
      </c>
      <c r="E259">
        <f>Tableau5[[#This Row],[Potential (PJ)]]/3.6</f>
        <v>0.96796666666666664</v>
      </c>
      <c r="F259">
        <v>3.719997382829987</v>
      </c>
      <c r="G259">
        <f>Tableau5[[#This Row],[Cost (€/GJ)]]*3.6</f>
        <v>13.391990578187954</v>
      </c>
      <c r="H259">
        <v>2.9521711768407801</v>
      </c>
      <c r="I259">
        <f>Tableau5[[#This Row],[GHG (kgCO2eq/GJ)]]*3.6</f>
        <v>10.627816236626808</v>
      </c>
      <c r="J259" t="s">
        <v>104</v>
      </c>
      <c r="K259" t="s">
        <v>108</v>
      </c>
    </row>
    <row r="260" spans="1:11" x14ac:dyDescent="0.3">
      <c r="A260" t="s">
        <v>18</v>
      </c>
      <c r="B260" t="s">
        <v>50</v>
      </c>
      <c r="C260" t="s">
        <v>73</v>
      </c>
      <c r="D260">
        <v>0.4</v>
      </c>
      <c r="E260">
        <f>Tableau5[[#This Row],[Potential (PJ)]]/3.6</f>
        <v>0.11111111111111112</v>
      </c>
      <c r="F260">
        <v>5.3465000000000007</v>
      </c>
      <c r="G260">
        <f>Tableau5[[#This Row],[Cost (€/GJ)]]*3.6</f>
        <v>19.247400000000003</v>
      </c>
      <c r="H260">
        <v>20.723404255319149</v>
      </c>
      <c r="I260">
        <f>Tableau5[[#This Row],[GHG (kgCO2eq/GJ)]]*3.6</f>
        <v>74.604255319148933</v>
      </c>
      <c r="J260" t="s">
        <v>105</v>
      </c>
      <c r="K260" t="s">
        <v>108</v>
      </c>
    </row>
    <row r="261" spans="1:11" x14ac:dyDescent="0.3">
      <c r="A261" t="s">
        <v>18</v>
      </c>
      <c r="B261" t="s">
        <v>50</v>
      </c>
      <c r="C261" t="s">
        <v>74</v>
      </c>
      <c r="D261">
        <v>2.1</v>
      </c>
      <c r="E261">
        <f>Tableau5[[#This Row],[Potential (PJ)]]/3.6</f>
        <v>0.58333333333333337</v>
      </c>
      <c r="F261">
        <v>4.1098571428571429</v>
      </c>
      <c r="G261">
        <f>Tableau5[[#This Row],[Cost (€/GJ)]]*3.6</f>
        <v>14.795485714285714</v>
      </c>
      <c r="H261">
        <v>2.0635593220338988</v>
      </c>
      <c r="I261">
        <f>Tableau5[[#This Row],[GHG (kgCO2eq/GJ)]]*3.6</f>
        <v>7.4288135593220357</v>
      </c>
      <c r="J261" t="s">
        <v>105</v>
      </c>
      <c r="K261" t="s">
        <v>108</v>
      </c>
    </row>
    <row r="262" spans="1:11" x14ac:dyDescent="0.3">
      <c r="A262" t="s">
        <v>18</v>
      </c>
      <c r="B262" t="s">
        <v>59</v>
      </c>
      <c r="C262" t="s">
        <v>96</v>
      </c>
      <c r="D262">
        <v>0.23580000000000001</v>
      </c>
      <c r="E262">
        <f>Tableau5[[#This Row],[Potential (PJ)]]/3.6</f>
        <v>6.5500000000000003E-2</v>
      </c>
      <c r="F262">
        <v>17.279</v>
      </c>
      <c r="G262">
        <f>Tableau5[[#This Row],[Cost (€/GJ)]]*3.6</f>
        <v>62.2044</v>
      </c>
      <c r="I262">
        <f>Tableau5[[#This Row],[GHG (kgCO2eq/GJ)]]*3.6</f>
        <v>0</v>
      </c>
      <c r="J262" t="s">
        <v>107</v>
      </c>
      <c r="K262" t="s">
        <v>109</v>
      </c>
    </row>
    <row r="263" spans="1:11" x14ac:dyDescent="0.3">
      <c r="A263" t="s">
        <v>18</v>
      </c>
      <c r="B263" t="s">
        <v>59</v>
      </c>
      <c r="C263" t="s">
        <v>97</v>
      </c>
      <c r="D263">
        <v>0.34429999999999999</v>
      </c>
      <c r="E263">
        <f>Tableau5[[#This Row],[Potential (PJ)]]/3.6</f>
        <v>9.5638888888888884E-2</v>
      </c>
      <c r="F263">
        <v>19.96744438415627</v>
      </c>
      <c r="G263">
        <f>Tableau5[[#This Row],[Cost (€/GJ)]]*3.6</f>
        <v>71.882799782962579</v>
      </c>
      <c r="I263">
        <f>Tableau5[[#This Row],[GHG (kgCO2eq/GJ)]]*3.6</f>
        <v>0</v>
      </c>
      <c r="J263" t="s">
        <v>107</v>
      </c>
      <c r="K263" t="s">
        <v>109</v>
      </c>
    </row>
    <row r="264" spans="1:11" x14ac:dyDescent="0.3">
      <c r="A264" t="s">
        <v>18</v>
      </c>
      <c r="B264" t="s">
        <v>51</v>
      </c>
      <c r="C264" t="s">
        <v>75</v>
      </c>
      <c r="D264">
        <v>1.9776670000000001</v>
      </c>
      <c r="E264">
        <f>Tableau5[[#This Row],[Potential (PJ)]]/3.6</f>
        <v>0.54935194444444446</v>
      </c>
      <c r="F264">
        <v>0.106125203555838</v>
      </c>
      <c r="G264">
        <f>Tableau5[[#This Row],[Cost (€/GJ)]]*3.6</f>
        <v>0.38205073280101681</v>
      </c>
      <c r="H264">
        <v>11.74</v>
      </c>
      <c r="I264">
        <f>Tableau5[[#This Row],[GHG (kgCO2eq/GJ)]]*3.6</f>
        <v>42.264000000000003</v>
      </c>
      <c r="J264" t="s">
        <v>104</v>
      </c>
      <c r="K264" t="s">
        <v>108</v>
      </c>
    </row>
    <row r="265" spans="1:11" x14ac:dyDescent="0.3">
      <c r="A265" t="s">
        <v>18</v>
      </c>
      <c r="B265" t="s">
        <v>52</v>
      </c>
      <c r="C265" t="s">
        <v>76</v>
      </c>
      <c r="D265">
        <v>0.33600000000000002</v>
      </c>
      <c r="E265">
        <f>Tableau5[[#This Row],[Potential (PJ)]]/3.6</f>
        <v>9.3333333333333338E-2</v>
      </c>
      <c r="F265">
        <v>0</v>
      </c>
      <c r="G265">
        <f>Tableau5[[#This Row],[Cost (€/GJ)]]*3.6</f>
        <v>0</v>
      </c>
      <c r="H265">
        <v>12.68872359754714</v>
      </c>
      <c r="I265">
        <f>Tableau5[[#This Row],[GHG (kgCO2eq/GJ)]]*3.6</f>
        <v>45.679404951169708</v>
      </c>
      <c r="J265" t="s">
        <v>105</v>
      </c>
      <c r="K265" t="s">
        <v>108</v>
      </c>
    </row>
    <row r="266" spans="1:11" x14ac:dyDescent="0.3">
      <c r="A266" t="s">
        <v>18</v>
      </c>
      <c r="B266" t="s">
        <v>53</v>
      </c>
      <c r="C266" t="s">
        <v>77</v>
      </c>
      <c r="D266">
        <v>2.4478599999999999</v>
      </c>
      <c r="E266">
        <f>Tableau5[[#This Row],[Potential (PJ)]]/3.6</f>
        <v>0.67996111111111113</v>
      </c>
      <c r="F266">
        <v>4.6586589469986031</v>
      </c>
      <c r="G266">
        <f>Tableau5[[#This Row],[Cost (€/GJ)]]*3.6</f>
        <v>16.771172209194972</v>
      </c>
      <c r="H266">
        <v>3.86607608129234</v>
      </c>
      <c r="I266">
        <f>Tableau5[[#This Row],[GHG (kgCO2eq/GJ)]]*3.6</f>
        <v>13.917873892652425</v>
      </c>
      <c r="J266" t="s">
        <v>104</v>
      </c>
      <c r="K266" t="s">
        <v>108</v>
      </c>
    </row>
    <row r="267" spans="1:11" x14ac:dyDescent="0.3">
      <c r="A267" t="s">
        <v>18</v>
      </c>
      <c r="B267" t="s">
        <v>61</v>
      </c>
      <c r="C267" t="s">
        <v>99</v>
      </c>
      <c r="D267">
        <v>0.8</v>
      </c>
      <c r="E267">
        <f>Tableau5[[#This Row],[Potential (PJ)]]/3.6</f>
        <v>0.22222222222222224</v>
      </c>
      <c r="F267">
        <v>2.1859999999999999</v>
      </c>
      <c r="G267">
        <f>Tableau5[[#This Row],[Cost (€/GJ)]]*3.6</f>
        <v>7.8696000000000002</v>
      </c>
      <c r="H267">
        <v>2.9245635910224439</v>
      </c>
      <c r="I267">
        <f>Tableau5[[#This Row],[GHG (kgCO2eq/GJ)]]*3.6</f>
        <v>10.528428927680798</v>
      </c>
      <c r="J267" t="s">
        <v>104</v>
      </c>
      <c r="K267" t="s">
        <v>108</v>
      </c>
    </row>
    <row r="268" spans="1:11" x14ac:dyDescent="0.3">
      <c r="A268" t="s">
        <v>18</v>
      </c>
      <c r="B268" t="s">
        <v>54</v>
      </c>
      <c r="C268" t="s">
        <v>78</v>
      </c>
      <c r="D268">
        <v>10.6</v>
      </c>
      <c r="E268">
        <f>Tableau5[[#This Row],[Potential (PJ)]]/3.6</f>
        <v>2.9444444444444442</v>
      </c>
      <c r="F268">
        <v>9.7804716981132085</v>
      </c>
      <c r="G268">
        <f>Tableau5[[#This Row],[Cost (€/GJ)]]*3.6</f>
        <v>35.209698113207551</v>
      </c>
      <c r="H268">
        <v>3.86607608129234</v>
      </c>
      <c r="I268">
        <f>Tableau5[[#This Row],[GHG (kgCO2eq/GJ)]]*3.6</f>
        <v>13.917873892652425</v>
      </c>
      <c r="J268" t="s">
        <v>104</v>
      </c>
      <c r="K268" t="s">
        <v>108</v>
      </c>
    </row>
    <row r="269" spans="1:11" x14ac:dyDescent="0.3">
      <c r="A269" t="s">
        <v>19</v>
      </c>
      <c r="B269" t="s">
        <v>46</v>
      </c>
      <c r="C269" t="s">
        <v>63</v>
      </c>
      <c r="D269">
        <v>4.8374000000000006</v>
      </c>
      <c r="E269">
        <f>Tableau5[[#This Row],[Potential (PJ)]]/3.6</f>
        <v>1.3437222222222223</v>
      </c>
      <c r="F269">
        <v>2.9286474973375931</v>
      </c>
      <c r="G269">
        <f>Tableau5[[#This Row],[Cost (€/GJ)]]*3.6</f>
        <v>10.543130990415335</v>
      </c>
      <c r="H269">
        <v>3.950479233226837</v>
      </c>
      <c r="I269">
        <f>Tableau5[[#This Row],[GHG (kgCO2eq/GJ)]]*3.6</f>
        <v>14.221725239616614</v>
      </c>
      <c r="J269" t="s">
        <v>104</v>
      </c>
      <c r="K269" t="s">
        <v>108</v>
      </c>
    </row>
    <row r="270" spans="1:11" x14ac:dyDescent="0.3">
      <c r="A270" t="s">
        <v>19</v>
      </c>
      <c r="B270" t="s">
        <v>46</v>
      </c>
      <c r="C270" t="s">
        <v>64</v>
      </c>
      <c r="D270">
        <v>0.31258999999999998</v>
      </c>
      <c r="E270">
        <f>Tableau5[[#This Row],[Potential (PJ)]]/3.6</f>
        <v>8.683055555555555E-2</v>
      </c>
      <c r="F270">
        <v>10.2874604433923</v>
      </c>
      <c r="G270">
        <f>Tableau5[[#This Row],[Cost (€/GJ)]]*3.6</f>
        <v>37.034857596212284</v>
      </c>
      <c r="H270">
        <v>2.9521711768407801</v>
      </c>
      <c r="I270">
        <f>Tableau5[[#This Row],[GHG (kgCO2eq/GJ)]]*3.6</f>
        <v>10.627816236626808</v>
      </c>
      <c r="J270" t="s">
        <v>104</v>
      </c>
      <c r="K270" t="s">
        <v>108</v>
      </c>
    </row>
    <row r="271" spans="1:11" x14ac:dyDescent="0.3">
      <c r="A271" t="s">
        <v>19</v>
      </c>
      <c r="B271" t="s">
        <v>46</v>
      </c>
      <c r="C271" t="s">
        <v>79</v>
      </c>
      <c r="D271">
        <v>20.8</v>
      </c>
      <c r="E271">
        <f>Tableau5[[#This Row],[Potential (PJ)]]/3.6</f>
        <v>5.7777777777777777</v>
      </c>
      <c r="F271">
        <v>3.031278846153846</v>
      </c>
      <c r="G271">
        <f>Tableau5[[#This Row],[Cost (€/GJ)]]*3.6</f>
        <v>10.912603846153846</v>
      </c>
      <c r="H271">
        <v>6.8428961748633883</v>
      </c>
      <c r="I271">
        <f>Tableau5[[#This Row],[GHG (kgCO2eq/GJ)]]*3.6</f>
        <v>24.634426229508197</v>
      </c>
      <c r="J271" t="s">
        <v>104</v>
      </c>
      <c r="K271" t="s">
        <v>108</v>
      </c>
    </row>
    <row r="272" spans="1:11" x14ac:dyDescent="0.3">
      <c r="A272" t="s">
        <v>19</v>
      </c>
      <c r="B272" t="s">
        <v>46</v>
      </c>
      <c r="C272" t="s">
        <v>65</v>
      </c>
      <c r="D272">
        <v>2.2999999999999998</v>
      </c>
      <c r="E272">
        <f>Tableau5[[#This Row],[Potential (PJ)]]/3.6</f>
        <v>0.63888888888888884</v>
      </c>
      <c r="F272">
        <v>6.7070869565217386</v>
      </c>
      <c r="G272">
        <f>Tableau5[[#This Row],[Cost (€/GJ)]]*3.6</f>
        <v>24.14551304347826</v>
      </c>
      <c r="H272">
        <v>2.9521711768407801</v>
      </c>
      <c r="I272">
        <f>Tableau5[[#This Row],[GHG (kgCO2eq/GJ)]]*3.6</f>
        <v>10.627816236626808</v>
      </c>
      <c r="J272" t="s">
        <v>104</v>
      </c>
      <c r="K272" t="s">
        <v>108</v>
      </c>
    </row>
    <row r="273" spans="1:11" x14ac:dyDescent="0.3">
      <c r="A273" t="s">
        <v>19</v>
      </c>
      <c r="B273" t="s">
        <v>46</v>
      </c>
      <c r="C273" t="s">
        <v>102</v>
      </c>
      <c r="D273">
        <v>1.1000000000000001</v>
      </c>
      <c r="E273">
        <f>Tableau5[[#This Row],[Potential (PJ)]]/3.6</f>
        <v>0.30555555555555558</v>
      </c>
      <c r="F273">
        <v>5.6550909090909087</v>
      </c>
      <c r="G273">
        <f>Tableau5[[#This Row],[Cost (€/GJ)]]*3.6</f>
        <v>20.358327272727273</v>
      </c>
      <c r="H273">
        <v>2.9521711768407801</v>
      </c>
      <c r="I273">
        <f>Tableau5[[#This Row],[GHG (kgCO2eq/GJ)]]*3.6</f>
        <v>10.627816236626808</v>
      </c>
      <c r="J273" t="s">
        <v>104</v>
      </c>
      <c r="K273" t="s">
        <v>108</v>
      </c>
    </row>
    <row r="274" spans="1:11" x14ac:dyDescent="0.3">
      <c r="A274" t="s">
        <v>19</v>
      </c>
      <c r="B274" t="s">
        <v>46</v>
      </c>
      <c r="C274" t="s">
        <v>80</v>
      </c>
      <c r="D274">
        <v>1.9359999999999999</v>
      </c>
      <c r="E274">
        <f>Tableau5[[#This Row],[Potential (PJ)]]/3.6</f>
        <v>0.5377777777777778</v>
      </c>
      <c r="F274">
        <v>0.53674983142279165</v>
      </c>
      <c r="G274">
        <f>Tableau5[[#This Row],[Cost (€/GJ)]]*3.6</f>
        <v>1.93229939312205</v>
      </c>
      <c r="H274">
        <v>28.139870918023309</v>
      </c>
      <c r="I274">
        <f>Tableau5[[#This Row],[GHG (kgCO2eq/GJ)]]*3.6</f>
        <v>101.30353530488391</v>
      </c>
      <c r="J274" t="s">
        <v>105</v>
      </c>
      <c r="K274" t="s">
        <v>108</v>
      </c>
    </row>
    <row r="275" spans="1:11" x14ac:dyDescent="0.3">
      <c r="A275" t="s">
        <v>19</v>
      </c>
      <c r="B275" t="s">
        <v>46</v>
      </c>
      <c r="C275" t="s">
        <v>81</v>
      </c>
      <c r="D275">
        <v>0.44219999999999998</v>
      </c>
      <c r="E275">
        <f>Tableau5[[#This Row],[Potential (PJ)]]/3.6</f>
        <v>0.12283333333333332</v>
      </c>
      <c r="F275">
        <v>1.0987074030552291</v>
      </c>
      <c r="G275">
        <f>Tableau5[[#This Row],[Cost (€/GJ)]]*3.6</f>
        <v>3.9553466509988247</v>
      </c>
      <c r="H275">
        <v>8.9647473560517046</v>
      </c>
      <c r="I275">
        <f>Tableau5[[#This Row],[GHG (kgCO2eq/GJ)]]*3.6</f>
        <v>32.273090481786134</v>
      </c>
      <c r="J275" t="s">
        <v>105</v>
      </c>
      <c r="K275" t="s">
        <v>108</v>
      </c>
    </row>
    <row r="276" spans="1:11" x14ac:dyDescent="0.3">
      <c r="A276" t="s">
        <v>19</v>
      </c>
      <c r="B276" t="s">
        <v>46</v>
      </c>
      <c r="C276" t="s">
        <v>66</v>
      </c>
      <c r="D276">
        <v>2.7</v>
      </c>
      <c r="E276">
        <f>Tableau5[[#This Row],[Potential (PJ)]]/3.6</f>
        <v>0.75</v>
      </c>
      <c r="F276">
        <v>3.1258888888888881</v>
      </c>
      <c r="G276">
        <f>Tableau5[[#This Row],[Cost (€/GJ)]]*3.6</f>
        <v>11.253199999999998</v>
      </c>
      <c r="H276">
        <v>6.8428961748633883</v>
      </c>
      <c r="I276">
        <f>Tableau5[[#This Row],[GHG (kgCO2eq/GJ)]]*3.6</f>
        <v>24.634426229508197</v>
      </c>
      <c r="J276" t="s">
        <v>104</v>
      </c>
      <c r="K276" t="s">
        <v>108</v>
      </c>
    </row>
    <row r="277" spans="1:11" x14ac:dyDescent="0.3">
      <c r="A277" t="s">
        <v>19</v>
      </c>
      <c r="B277" t="s">
        <v>46</v>
      </c>
      <c r="C277" t="s">
        <v>67</v>
      </c>
      <c r="D277">
        <v>5.2</v>
      </c>
      <c r="E277">
        <f>Tableau5[[#This Row],[Potential (PJ)]]/3.6</f>
        <v>1.4444444444444444</v>
      </c>
      <c r="F277">
        <v>10.153884615384611</v>
      </c>
      <c r="G277">
        <f>Tableau5[[#This Row],[Cost (€/GJ)]]*3.6</f>
        <v>36.5539846153846</v>
      </c>
      <c r="H277">
        <v>2.9521711768407801</v>
      </c>
      <c r="I277">
        <f>Tableau5[[#This Row],[GHG (kgCO2eq/GJ)]]*3.6</f>
        <v>10.627816236626808</v>
      </c>
      <c r="J277" t="s">
        <v>104</v>
      </c>
      <c r="K277" t="s">
        <v>108</v>
      </c>
    </row>
    <row r="278" spans="1:11" x14ac:dyDescent="0.3">
      <c r="A278" t="s">
        <v>19</v>
      </c>
      <c r="B278" t="s">
        <v>46</v>
      </c>
      <c r="C278" t="s">
        <v>82</v>
      </c>
      <c r="D278">
        <v>3</v>
      </c>
      <c r="E278">
        <f>Tableau5[[#This Row],[Potential (PJ)]]/3.6</f>
        <v>0.83333333333333326</v>
      </c>
      <c r="F278">
        <v>1.9635666666666669</v>
      </c>
      <c r="G278">
        <f>Tableau5[[#This Row],[Cost (€/GJ)]]*3.6</f>
        <v>7.0688400000000007</v>
      </c>
      <c r="H278">
        <v>6.8428961748633883</v>
      </c>
      <c r="I278">
        <f>Tableau5[[#This Row],[GHG (kgCO2eq/GJ)]]*3.6</f>
        <v>24.634426229508197</v>
      </c>
      <c r="J278" t="s">
        <v>104</v>
      </c>
      <c r="K278" t="s">
        <v>108</v>
      </c>
    </row>
    <row r="279" spans="1:11" x14ac:dyDescent="0.3">
      <c r="A279" t="s">
        <v>19</v>
      </c>
      <c r="B279" t="s">
        <v>46</v>
      </c>
      <c r="C279" t="s">
        <v>83</v>
      </c>
      <c r="D279">
        <v>1.5202199999999999</v>
      </c>
      <c r="E279">
        <f>Tableau5[[#This Row],[Potential (PJ)]]/3.6</f>
        <v>0.42228333333333329</v>
      </c>
      <c r="F279">
        <v>2.9098338727289468</v>
      </c>
      <c r="G279">
        <f>Tableau5[[#This Row],[Cost (€/GJ)]]*3.6</f>
        <v>10.475401941824209</v>
      </c>
      <c r="H279">
        <v>6.8428961748633883</v>
      </c>
      <c r="I279">
        <f>Tableau5[[#This Row],[GHG (kgCO2eq/GJ)]]*3.6</f>
        <v>24.634426229508197</v>
      </c>
      <c r="J279" t="s">
        <v>104</v>
      </c>
      <c r="K279" t="s">
        <v>108</v>
      </c>
    </row>
    <row r="280" spans="1:11" x14ac:dyDescent="0.3">
      <c r="A280" t="s">
        <v>19</v>
      </c>
      <c r="B280" t="s">
        <v>46</v>
      </c>
      <c r="C280" t="s">
        <v>84</v>
      </c>
      <c r="D280">
        <v>0.7</v>
      </c>
      <c r="E280">
        <f>Tableau5[[#This Row],[Potential (PJ)]]/3.6</f>
        <v>0.19444444444444442</v>
      </c>
      <c r="F280">
        <v>2.117</v>
      </c>
      <c r="G280">
        <f>Tableau5[[#This Row],[Cost (€/GJ)]]*3.6</f>
        <v>7.6212</v>
      </c>
      <c r="H280">
        <v>28.139870918023309</v>
      </c>
      <c r="I280">
        <f>Tableau5[[#This Row],[GHG (kgCO2eq/GJ)]]*3.6</f>
        <v>101.30353530488391</v>
      </c>
      <c r="J280" t="s">
        <v>105</v>
      </c>
      <c r="K280" t="s">
        <v>108</v>
      </c>
    </row>
    <row r="281" spans="1:11" x14ac:dyDescent="0.3">
      <c r="A281" t="s">
        <v>19</v>
      </c>
      <c r="B281" t="s">
        <v>46</v>
      </c>
      <c r="C281" t="s">
        <v>85</v>
      </c>
      <c r="D281">
        <v>2.8</v>
      </c>
      <c r="E281">
        <f>Tableau5[[#This Row],[Potential (PJ)]]/3.6</f>
        <v>0.77777777777777768</v>
      </c>
      <c r="F281">
        <v>4.6355357142857141</v>
      </c>
      <c r="G281">
        <f>Tableau5[[#This Row],[Cost (€/GJ)]]*3.6</f>
        <v>16.687928571428571</v>
      </c>
      <c r="H281">
        <v>2.9521711768407801</v>
      </c>
      <c r="I281">
        <f>Tableau5[[#This Row],[GHG (kgCO2eq/GJ)]]*3.6</f>
        <v>10.627816236626808</v>
      </c>
      <c r="J281" t="s">
        <v>104</v>
      </c>
      <c r="K281" t="s">
        <v>108</v>
      </c>
    </row>
    <row r="282" spans="1:11" x14ac:dyDescent="0.3">
      <c r="A282" t="s">
        <v>19</v>
      </c>
      <c r="B282" t="s">
        <v>55</v>
      </c>
      <c r="C282" t="s">
        <v>86</v>
      </c>
      <c r="D282">
        <v>13.4686</v>
      </c>
      <c r="E282">
        <f>Tableau5[[#This Row],[Potential (PJ)]]/3.6</f>
        <v>3.7412777777777779</v>
      </c>
      <c r="F282">
        <v>12.451000000000001</v>
      </c>
      <c r="G282">
        <f>Tableau5[[#This Row],[Cost (€/GJ)]]*3.6</f>
        <v>44.823600000000006</v>
      </c>
      <c r="H282">
        <v>11.3</v>
      </c>
      <c r="I282">
        <f>Tableau5[[#This Row],[GHG (kgCO2eq/GJ)]]*3.6</f>
        <v>40.680000000000007</v>
      </c>
      <c r="J282" t="s">
        <v>106</v>
      </c>
      <c r="K282" t="s">
        <v>109</v>
      </c>
    </row>
    <row r="283" spans="1:11" x14ac:dyDescent="0.3">
      <c r="A283" t="s">
        <v>19</v>
      </c>
      <c r="B283" t="s">
        <v>55</v>
      </c>
      <c r="C283" t="s">
        <v>87</v>
      </c>
      <c r="D283">
        <v>1.5038</v>
      </c>
      <c r="E283">
        <f>Tableau5[[#This Row],[Potential (PJ)]]/3.6</f>
        <v>0.41772222222222222</v>
      </c>
      <c r="F283">
        <v>14.749000000000001</v>
      </c>
      <c r="G283">
        <f>Tableau5[[#This Row],[Cost (€/GJ)]]*3.6</f>
        <v>53.096400000000003</v>
      </c>
      <c r="H283">
        <v>11.3</v>
      </c>
      <c r="I283">
        <f>Tableau5[[#This Row],[GHG (kgCO2eq/GJ)]]*3.6</f>
        <v>40.680000000000007</v>
      </c>
      <c r="J283" t="s">
        <v>106</v>
      </c>
      <c r="K283" t="s">
        <v>109</v>
      </c>
    </row>
    <row r="284" spans="1:11" x14ac:dyDescent="0.3">
      <c r="A284" t="s">
        <v>19</v>
      </c>
      <c r="B284" t="s">
        <v>55</v>
      </c>
      <c r="C284" t="s">
        <v>88</v>
      </c>
      <c r="D284">
        <v>3.5546000000000002</v>
      </c>
      <c r="E284">
        <f>Tableau5[[#This Row],[Potential (PJ)]]/3.6</f>
        <v>0.98738888888888887</v>
      </c>
      <c r="F284">
        <v>14.413999999999991</v>
      </c>
      <c r="G284">
        <f>Tableau5[[#This Row],[Cost (€/GJ)]]*3.6</f>
        <v>51.890399999999971</v>
      </c>
      <c r="H284">
        <v>11.3</v>
      </c>
      <c r="I284">
        <f>Tableau5[[#This Row],[GHG (kgCO2eq/GJ)]]*3.6</f>
        <v>40.680000000000007</v>
      </c>
      <c r="J284" t="s">
        <v>106</v>
      </c>
      <c r="K284" t="s">
        <v>109</v>
      </c>
    </row>
    <row r="285" spans="1:11" x14ac:dyDescent="0.3">
      <c r="A285" t="s">
        <v>19</v>
      </c>
      <c r="B285" t="s">
        <v>55</v>
      </c>
      <c r="C285" t="s">
        <v>89</v>
      </c>
      <c r="D285">
        <v>3.1576</v>
      </c>
      <c r="E285">
        <f>Tableau5[[#This Row],[Potential (PJ)]]/3.6</f>
        <v>0.87711111111111106</v>
      </c>
      <c r="F285">
        <v>0</v>
      </c>
      <c r="G285">
        <f>Tableau5[[#This Row],[Cost (€/GJ)]]*3.6</f>
        <v>0</v>
      </c>
      <c r="H285">
        <v>11.3</v>
      </c>
      <c r="I285">
        <f>Tableau5[[#This Row],[GHG (kgCO2eq/GJ)]]*3.6</f>
        <v>40.680000000000007</v>
      </c>
      <c r="J285" t="s">
        <v>106</v>
      </c>
      <c r="K285" t="s">
        <v>109</v>
      </c>
    </row>
    <row r="286" spans="1:11" x14ac:dyDescent="0.3">
      <c r="A286" t="s">
        <v>19</v>
      </c>
      <c r="B286" t="s">
        <v>55</v>
      </c>
      <c r="C286" t="s">
        <v>90</v>
      </c>
      <c r="D286">
        <v>0.105</v>
      </c>
      <c r="E286">
        <f>Tableau5[[#This Row],[Potential (PJ)]]/3.6</f>
        <v>2.9166666666666664E-2</v>
      </c>
      <c r="F286">
        <v>15.036</v>
      </c>
      <c r="G286">
        <f>Tableau5[[#This Row],[Cost (€/GJ)]]*3.6</f>
        <v>54.129599999999996</v>
      </c>
      <c r="H286">
        <v>11.3</v>
      </c>
      <c r="I286">
        <f>Tableau5[[#This Row],[GHG (kgCO2eq/GJ)]]*3.6</f>
        <v>40.680000000000007</v>
      </c>
      <c r="J286" t="s">
        <v>106</v>
      </c>
      <c r="K286" t="s">
        <v>109</v>
      </c>
    </row>
    <row r="287" spans="1:11" x14ac:dyDescent="0.3">
      <c r="A287" t="s">
        <v>19</v>
      </c>
      <c r="B287" t="s">
        <v>55</v>
      </c>
      <c r="C287" t="s">
        <v>91</v>
      </c>
      <c r="D287">
        <v>3.1450999999999998</v>
      </c>
      <c r="E287">
        <f>Tableau5[[#This Row],[Potential (PJ)]]/3.6</f>
        <v>0.87363888888888885</v>
      </c>
      <c r="F287">
        <v>13.113</v>
      </c>
      <c r="G287">
        <f>Tableau5[[#This Row],[Cost (€/GJ)]]*3.6</f>
        <v>47.206800000000001</v>
      </c>
      <c r="H287">
        <v>11.3</v>
      </c>
      <c r="I287">
        <f>Tableau5[[#This Row],[GHG (kgCO2eq/GJ)]]*3.6</f>
        <v>40.680000000000007</v>
      </c>
      <c r="J287" t="s">
        <v>106</v>
      </c>
      <c r="K287" t="s">
        <v>109</v>
      </c>
    </row>
    <row r="288" spans="1:11" x14ac:dyDescent="0.3">
      <c r="A288" t="s">
        <v>19</v>
      </c>
      <c r="B288" t="s">
        <v>55</v>
      </c>
      <c r="C288" t="s">
        <v>92</v>
      </c>
      <c r="D288">
        <v>0.93060999999999994</v>
      </c>
      <c r="E288">
        <f>Tableau5[[#This Row],[Potential (PJ)]]/3.6</f>
        <v>0.25850277777777775</v>
      </c>
      <c r="F288">
        <v>14.749000000000001</v>
      </c>
      <c r="G288">
        <f>Tableau5[[#This Row],[Cost (€/GJ)]]*3.6</f>
        <v>53.096400000000003</v>
      </c>
      <c r="H288">
        <v>11.3</v>
      </c>
      <c r="I288">
        <f>Tableau5[[#This Row],[GHG (kgCO2eq/GJ)]]*3.6</f>
        <v>40.680000000000007</v>
      </c>
      <c r="J288" t="s">
        <v>106</v>
      </c>
      <c r="K288" t="s">
        <v>109</v>
      </c>
    </row>
    <row r="289" spans="1:11" x14ac:dyDescent="0.3">
      <c r="A289" t="s">
        <v>19</v>
      </c>
      <c r="B289" t="s">
        <v>56</v>
      </c>
      <c r="C289" t="s">
        <v>93</v>
      </c>
      <c r="D289">
        <v>106.0793</v>
      </c>
      <c r="E289">
        <f>Tableau5[[#This Row],[Potential (PJ)]]/3.6</f>
        <v>29.466472222222222</v>
      </c>
      <c r="F289">
        <v>2.939759036144578</v>
      </c>
      <c r="G289">
        <f>Tableau5[[#This Row],[Cost (€/GJ)]]*3.6</f>
        <v>10.583132530120482</v>
      </c>
      <c r="H289">
        <v>23.6</v>
      </c>
      <c r="I289">
        <f>Tableau5[[#This Row],[GHG (kgCO2eq/GJ)]]*3.6</f>
        <v>84.960000000000008</v>
      </c>
      <c r="J289" t="s">
        <v>106</v>
      </c>
      <c r="K289" t="s">
        <v>109</v>
      </c>
    </row>
    <row r="290" spans="1:11" x14ac:dyDescent="0.3">
      <c r="A290" t="s">
        <v>19</v>
      </c>
      <c r="B290" t="s">
        <v>47</v>
      </c>
      <c r="C290" t="s">
        <v>68</v>
      </c>
      <c r="D290">
        <v>90</v>
      </c>
      <c r="E290">
        <f>Tableau5[[#This Row],[Potential (PJ)]]/3.6</f>
        <v>25</v>
      </c>
      <c r="F290">
        <v>6.7532800000000002</v>
      </c>
      <c r="G290">
        <f>Tableau5[[#This Row],[Cost (€/GJ)]]*3.6</f>
        <v>24.311808000000003</v>
      </c>
      <c r="H290">
        <v>14.9</v>
      </c>
      <c r="I290">
        <f>Tableau5[[#This Row],[GHG (kgCO2eq/GJ)]]*3.6</f>
        <v>53.64</v>
      </c>
      <c r="J290" t="s">
        <v>104</v>
      </c>
      <c r="K290" t="s">
        <v>109</v>
      </c>
    </row>
    <row r="291" spans="1:11" x14ac:dyDescent="0.3">
      <c r="A291" t="s">
        <v>19</v>
      </c>
      <c r="B291" t="s">
        <v>47</v>
      </c>
      <c r="C291" t="s">
        <v>69</v>
      </c>
      <c r="D291">
        <v>38.799999999999997</v>
      </c>
      <c r="E291">
        <f>Tableau5[[#This Row],[Potential (PJ)]]/3.6</f>
        <v>10.777777777777777</v>
      </c>
      <c r="F291">
        <v>11.30656958762887</v>
      </c>
      <c r="G291">
        <f>Tableau5[[#This Row],[Cost (€/GJ)]]*3.6</f>
        <v>40.703650515463934</v>
      </c>
      <c r="H291">
        <v>14.9</v>
      </c>
      <c r="I291">
        <f>Tableau5[[#This Row],[GHG (kgCO2eq/GJ)]]*3.6</f>
        <v>53.64</v>
      </c>
      <c r="J291" t="s">
        <v>104</v>
      </c>
      <c r="K291" t="s">
        <v>109</v>
      </c>
    </row>
    <row r="292" spans="1:11" x14ac:dyDescent="0.3">
      <c r="A292" t="s">
        <v>19</v>
      </c>
      <c r="B292" t="s">
        <v>48</v>
      </c>
      <c r="C292" t="s">
        <v>70</v>
      </c>
      <c r="D292">
        <v>34.299999999999997</v>
      </c>
      <c r="E292">
        <f>Tableau5[[#This Row],[Potential (PJ)]]/3.6</f>
        <v>9.5277777777777768</v>
      </c>
      <c r="F292">
        <v>17.098696793002919</v>
      </c>
      <c r="G292">
        <f>Tableau5[[#This Row],[Cost (€/GJ)]]*3.6</f>
        <v>61.555308454810508</v>
      </c>
      <c r="H292">
        <v>16.8</v>
      </c>
      <c r="I292">
        <f>Tableau5[[#This Row],[GHG (kgCO2eq/GJ)]]*3.6</f>
        <v>60.480000000000004</v>
      </c>
      <c r="J292" t="s">
        <v>104</v>
      </c>
      <c r="K292" t="s">
        <v>109</v>
      </c>
    </row>
    <row r="293" spans="1:11" x14ac:dyDescent="0.3">
      <c r="A293" t="s">
        <v>19</v>
      </c>
      <c r="B293" t="s">
        <v>49</v>
      </c>
      <c r="C293" t="s">
        <v>71</v>
      </c>
      <c r="D293">
        <v>77.388339999999999</v>
      </c>
      <c r="E293">
        <f>Tableau5[[#This Row],[Potential (PJ)]]/3.6</f>
        <v>21.496761111111109</v>
      </c>
      <c r="F293">
        <v>6.6687482123275936</v>
      </c>
      <c r="G293">
        <f>Tableau5[[#This Row],[Cost (€/GJ)]]*3.6</f>
        <v>24.007493564379338</v>
      </c>
      <c r="H293">
        <v>3.86607608129234</v>
      </c>
      <c r="I293">
        <f>Tableau5[[#This Row],[GHG (kgCO2eq/GJ)]]*3.6</f>
        <v>13.917873892652425</v>
      </c>
      <c r="J293" t="s">
        <v>104</v>
      </c>
      <c r="K293" t="s">
        <v>108</v>
      </c>
    </row>
    <row r="294" spans="1:11" x14ac:dyDescent="0.3">
      <c r="A294" t="s">
        <v>19</v>
      </c>
      <c r="B294" t="s">
        <v>49</v>
      </c>
      <c r="C294" t="s">
        <v>72</v>
      </c>
      <c r="D294">
        <v>9.3000000000000007</v>
      </c>
      <c r="E294">
        <f>Tableau5[[#This Row],[Potential (PJ)]]/3.6</f>
        <v>2.5833333333333335</v>
      </c>
      <c r="F294">
        <v>5.3484516129032258</v>
      </c>
      <c r="G294">
        <f>Tableau5[[#This Row],[Cost (€/GJ)]]*3.6</f>
        <v>19.254425806451614</v>
      </c>
      <c r="H294">
        <v>3.86607608129234</v>
      </c>
      <c r="I294">
        <f>Tableau5[[#This Row],[GHG (kgCO2eq/GJ)]]*3.6</f>
        <v>13.917873892652425</v>
      </c>
      <c r="J294" t="s">
        <v>104</v>
      </c>
      <c r="K294" t="s">
        <v>108</v>
      </c>
    </row>
    <row r="295" spans="1:11" x14ac:dyDescent="0.3">
      <c r="A295" t="s">
        <v>19</v>
      </c>
      <c r="B295" t="s">
        <v>58</v>
      </c>
      <c r="C295" t="s">
        <v>95</v>
      </c>
      <c r="D295">
        <v>14.55364</v>
      </c>
      <c r="E295">
        <f>Tableau5[[#This Row],[Potential (PJ)]]/3.6</f>
        <v>4.0426777777777776</v>
      </c>
      <c r="F295">
        <v>3.4474357397874349</v>
      </c>
      <c r="G295">
        <f>Tableau5[[#This Row],[Cost (€/GJ)]]*3.6</f>
        <v>12.410768663234766</v>
      </c>
      <c r="H295">
        <v>2.9521711768407801</v>
      </c>
      <c r="I295">
        <f>Tableau5[[#This Row],[GHG (kgCO2eq/GJ)]]*3.6</f>
        <v>10.627816236626808</v>
      </c>
      <c r="J295" t="s">
        <v>104</v>
      </c>
      <c r="K295" t="s">
        <v>108</v>
      </c>
    </row>
    <row r="296" spans="1:11" x14ac:dyDescent="0.3">
      <c r="A296" t="s">
        <v>19</v>
      </c>
      <c r="B296" t="s">
        <v>50</v>
      </c>
      <c r="C296" t="s">
        <v>73</v>
      </c>
      <c r="D296">
        <v>20.9</v>
      </c>
      <c r="E296">
        <f>Tableau5[[#This Row],[Potential (PJ)]]/3.6</f>
        <v>5.8055555555555554</v>
      </c>
      <c r="F296">
        <v>5.4890239234449769</v>
      </c>
      <c r="G296">
        <f>Tableau5[[#This Row],[Cost (€/GJ)]]*3.6</f>
        <v>19.760486124401918</v>
      </c>
      <c r="H296">
        <v>20.723404255319149</v>
      </c>
      <c r="I296">
        <f>Tableau5[[#This Row],[GHG (kgCO2eq/GJ)]]*3.6</f>
        <v>74.604255319148933</v>
      </c>
      <c r="J296" t="s">
        <v>105</v>
      </c>
      <c r="K296" t="s">
        <v>108</v>
      </c>
    </row>
    <row r="297" spans="1:11" x14ac:dyDescent="0.3">
      <c r="A297" t="s">
        <v>19</v>
      </c>
      <c r="B297" t="s">
        <v>50</v>
      </c>
      <c r="C297" t="s">
        <v>74</v>
      </c>
      <c r="D297">
        <v>44</v>
      </c>
      <c r="E297">
        <f>Tableau5[[#This Row],[Potential (PJ)]]/3.6</f>
        <v>12.222222222222221</v>
      </c>
      <c r="F297">
        <v>4.2121363636363638</v>
      </c>
      <c r="G297">
        <f>Tableau5[[#This Row],[Cost (€/GJ)]]*3.6</f>
        <v>15.16369090909091</v>
      </c>
      <c r="H297">
        <v>2.0635593220338988</v>
      </c>
      <c r="I297">
        <f>Tableau5[[#This Row],[GHG (kgCO2eq/GJ)]]*3.6</f>
        <v>7.4288135593220357</v>
      </c>
      <c r="J297" t="s">
        <v>105</v>
      </c>
      <c r="K297" t="s">
        <v>108</v>
      </c>
    </row>
    <row r="298" spans="1:11" x14ac:dyDescent="0.3">
      <c r="A298" t="s">
        <v>19</v>
      </c>
      <c r="B298" t="s">
        <v>59</v>
      </c>
      <c r="C298" t="s">
        <v>96</v>
      </c>
      <c r="D298">
        <v>1.7427999999999999</v>
      </c>
      <c r="E298">
        <f>Tableau5[[#This Row],[Potential (PJ)]]/3.6</f>
        <v>0.48411111111111105</v>
      </c>
      <c r="F298">
        <v>17.309999999999999</v>
      </c>
      <c r="G298">
        <f>Tableau5[[#This Row],[Cost (€/GJ)]]*3.6</f>
        <v>62.315999999999995</v>
      </c>
      <c r="H298">
        <v>33.700000000000003</v>
      </c>
      <c r="I298">
        <f>Tableau5[[#This Row],[GHG (kgCO2eq/GJ)]]*3.6</f>
        <v>121.32000000000001</v>
      </c>
      <c r="J298" t="s">
        <v>107</v>
      </c>
      <c r="K298" t="s">
        <v>109</v>
      </c>
    </row>
    <row r="299" spans="1:11" x14ac:dyDescent="0.3">
      <c r="A299" t="s">
        <v>19</v>
      </c>
      <c r="B299" t="s">
        <v>59</v>
      </c>
      <c r="C299" t="s">
        <v>97</v>
      </c>
      <c r="D299">
        <v>7.5465</v>
      </c>
      <c r="E299">
        <f>Tableau5[[#This Row],[Potential (PJ)]]/3.6</f>
        <v>2.0962499999999999</v>
      </c>
      <c r="F299">
        <v>20.835594139989151</v>
      </c>
      <c r="G299">
        <f>Tableau5[[#This Row],[Cost (€/GJ)]]*3.6</f>
        <v>75.008138903960941</v>
      </c>
      <c r="H299">
        <v>33.700000000000003</v>
      </c>
      <c r="I299">
        <f>Tableau5[[#This Row],[GHG (kgCO2eq/GJ)]]*3.6</f>
        <v>121.32000000000001</v>
      </c>
      <c r="J299" t="s">
        <v>107</v>
      </c>
      <c r="K299" t="s">
        <v>109</v>
      </c>
    </row>
    <row r="300" spans="1:11" x14ac:dyDescent="0.3">
      <c r="A300" t="s">
        <v>19</v>
      </c>
      <c r="B300" t="s">
        <v>51</v>
      </c>
      <c r="C300" t="s">
        <v>75</v>
      </c>
      <c r="D300">
        <v>19.562370000000001</v>
      </c>
      <c r="E300">
        <f>Tableau5[[#This Row],[Potential (PJ)]]/3.6</f>
        <v>5.4339916666666666</v>
      </c>
      <c r="F300">
        <v>2.6404200617494101E-4</v>
      </c>
      <c r="G300">
        <f>Tableau5[[#This Row],[Cost (€/GJ)]]*3.6</f>
        <v>9.5055122222978763E-4</v>
      </c>
      <c r="H300">
        <v>11.74</v>
      </c>
      <c r="I300">
        <f>Tableau5[[#This Row],[GHG (kgCO2eq/GJ)]]*3.6</f>
        <v>42.264000000000003</v>
      </c>
      <c r="J300" t="s">
        <v>104</v>
      </c>
      <c r="K300" t="s">
        <v>108</v>
      </c>
    </row>
    <row r="301" spans="1:11" x14ac:dyDescent="0.3">
      <c r="A301" t="s">
        <v>19</v>
      </c>
      <c r="B301" t="s">
        <v>60</v>
      </c>
      <c r="C301" t="s">
        <v>98</v>
      </c>
      <c r="D301">
        <v>1.5189600000000001</v>
      </c>
      <c r="E301">
        <f>Tableau5[[#This Row],[Potential (PJ)]]/3.6</f>
        <v>0.42193333333333333</v>
      </c>
      <c r="F301">
        <v>25.563909774436091</v>
      </c>
      <c r="G301">
        <f>Tableau5[[#This Row],[Cost (€/GJ)]]*3.6</f>
        <v>92.030075187969928</v>
      </c>
      <c r="H301">
        <v>19.899999999999999</v>
      </c>
      <c r="I301">
        <f>Tableau5[[#This Row],[GHG (kgCO2eq/GJ)]]*3.6</f>
        <v>71.64</v>
      </c>
      <c r="J301" t="s">
        <v>107</v>
      </c>
      <c r="K301" t="s">
        <v>109</v>
      </c>
    </row>
    <row r="302" spans="1:11" x14ac:dyDescent="0.3">
      <c r="A302" t="s">
        <v>19</v>
      </c>
      <c r="B302" t="s">
        <v>52</v>
      </c>
      <c r="C302" t="s">
        <v>76</v>
      </c>
      <c r="D302">
        <v>0.752</v>
      </c>
      <c r="E302">
        <f>Tableau5[[#This Row],[Potential (PJ)]]/3.6</f>
        <v>0.20888888888888887</v>
      </c>
      <c r="F302">
        <v>8.4824999999999999</v>
      </c>
      <c r="G302">
        <f>Tableau5[[#This Row],[Cost (€/GJ)]]*3.6</f>
        <v>30.536999999999999</v>
      </c>
      <c r="H302">
        <v>12.68872359754714</v>
      </c>
      <c r="I302">
        <f>Tableau5[[#This Row],[GHG (kgCO2eq/GJ)]]*3.6</f>
        <v>45.679404951169708</v>
      </c>
      <c r="J302" t="s">
        <v>105</v>
      </c>
      <c r="K302" t="s">
        <v>108</v>
      </c>
    </row>
    <row r="303" spans="1:11" x14ac:dyDescent="0.3">
      <c r="A303" t="s">
        <v>19</v>
      </c>
      <c r="B303" t="s">
        <v>53</v>
      </c>
      <c r="C303" t="s">
        <v>77</v>
      </c>
      <c r="D303">
        <v>7.8501399999999997</v>
      </c>
      <c r="E303">
        <f>Tableau5[[#This Row],[Potential (PJ)]]/3.6</f>
        <v>2.1805944444444445</v>
      </c>
      <c r="F303">
        <v>5.3484767405422078</v>
      </c>
      <c r="G303">
        <f>Tableau5[[#This Row],[Cost (€/GJ)]]*3.6</f>
        <v>19.254516265951949</v>
      </c>
      <c r="H303">
        <v>3.86607608129234</v>
      </c>
      <c r="I303">
        <f>Tableau5[[#This Row],[GHG (kgCO2eq/GJ)]]*3.6</f>
        <v>13.917873892652425</v>
      </c>
      <c r="J303" t="s">
        <v>104</v>
      </c>
      <c r="K303" t="s">
        <v>108</v>
      </c>
    </row>
    <row r="304" spans="1:11" x14ac:dyDescent="0.3">
      <c r="A304" t="s">
        <v>19</v>
      </c>
      <c r="B304" t="s">
        <v>61</v>
      </c>
      <c r="C304" t="s">
        <v>99</v>
      </c>
      <c r="D304">
        <v>8.4</v>
      </c>
      <c r="E304">
        <f>Tableau5[[#This Row],[Potential (PJ)]]/3.6</f>
        <v>2.3333333333333335</v>
      </c>
      <c r="F304">
        <v>2.7109404761904758</v>
      </c>
      <c r="G304">
        <f>Tableau5[[#This Row],[Cost (€/GJ)]]*3.6</f>
        <v>9.7593857142857132</v>
      </c>
      <c r="H304">
        <v>2.9245635910224439</v>
      </c>
      <c r="I304">
        <f>Tableau5[[#This Row],[GHG (kgCO2eq/GJ)]]*3.6</f>
        <v>10.528428927680798</v>
      </c>
      <c r="J304" t="s">
        <v>104</v>
      </c>
      <c r="K304" t="s">
        <v>108</v>
      </c>
    </row>
    <row r="305" spans="1:11" x14ac:dyDescent="0.3">
      <c r="A305" t="s">
        <v>19</v>
      </c>
      <c r="B305" t="s">
        <v>62</v>
      </c>
      <c r="C305" t="s">
        <v>100</v>
      </c>
      <c r="D305">
        <v>1.7</v>
      </c>
      <c r="E305">
        <f>Tableau5[[#This Row],[Potential (PJ)]]/3.6</f>
        <v>0.47222222222222221</v>
      </c>
      <c r="F305">
        <v>0.3352941176470588</v>
      </c>
      <c r="G305">
        <f>Tableau5[[#This Row],[Cost (€/GJ)]]*3.6</f>
        <v>1.2070588235294117</v>
      </c>
      <c r="H305">
        <v>2.6764106050305911</v>
      </c>
      <c r="I305">
        <f>Tableau5[[#This Row],[GHG (kgCO2eq/GJ)]]*3.6</f>
        <v>9.6350781781101276</v>
      </c>
      <c r="J305" t="s">
        <v>104</v>
      </c>
      <c r="K305" t="s">
        <v>108</v>
      </c>
    </row>
    <row r="306" spans="1:11" x14ac:dyDescent="0.3">
      <c r="A306" t="s">
        <v>19</v>
      </c>
      <c r="B306" t="s">
        <v>54</v>
      </c>
      <c r="C306" t="s">
        <v>78</v>
      </c>
      <c r="D306">
        <v>65.400000000000006</v>
      </c>
      <c r="E306">
        <f>Tableau5[[#This Row],[Potential (PJ)]]/3.6</f>
        <v>18.166666666666668</v>
      </c>
      <c r="F306">
        <v>11.253111620795099</v>
      </c>
      <c r="G306">
        <f>Tableau5[[#This Row],[Cost (€/GJ)]]*3.6</f>
        <v>40.511201834862362</v>
      </c>
      <c r="H306">
        <v>3.86607608129234</v>
      </c>
      <c r="I306">
        <f>Tableau5[[#This Row],[GHG (kgCO2eq/GJ)]]*3.6</f>
        <v>13.917873892652425</v>
      </c>
      <c r="J306" t="s">
        <v>104</v>
      </c>
      <c r="K306" t="s">
        <v>108</v>
      </c>
    </row>
    <row r="307" spans="1:11" x14ac:dyDescent="0.3">
      <c r="A307" t="s">
        <v>20</v>
      </c>
      <c r="B307" t="s">
        <v>46</v>
      </c>
      <c r="C307" t="s">
        <v>64</v>
      </c>
      <c r="D307">
        <v>3.7299999999999998E-3</v>
      </c>
      <c r="E307">
        <f>Tableau5[[#This Row],[Potential (PJ)]]/3.6</f>
        <v>1.0361111111111111E-3</v>
      </c>
      <c r="F307">
        <v>10.238249329758711</v>
      </c>
      <c r="G307">
        <f>Tableau5[[#This Row],[Cost (€/GJ)]]*3.6</f>
        <v>36.857697587131362</v>
      </c>
      <c r="H307">
        <v>2.9521711768407801</v>
      </c>
      <c r="I307">
        <f>Tableau5[[#This Row],[GHG (kgCO2eq/GJ)]]*3.6</f>
        <v>10.627816236626808</v>
      </c>
      <c r="J307" t="s">
        <v>104</v>
      </c>
      <c r="K307" t="s">
        <v>108</v>
      </c>
    </row>
    <row r="308" spans="1:11" x14ac:dyDescent="0.3">
      <c r="A308" t="s">
        <v>20</v>
      </c>
      <c r="B308" t="s">
        <v>46</v>
      </c>
      <c r="C308" t="s">
        <v>79</v>
      </c>
      <c r="D308">
        <v>11.4</v>
      </c>
      <c r="E308">
        <f>Tableau5[[#This Row],[Potential (PJ)]]/3.6</f>
        <v>3.1666666666666665</v>
      </c>
      <c r="F308">
        <v>5.6139210526315786</v>
      </c>
      <c r="G308">
        <f>Tableau5[[#This Row],[Cost (€/GJ)]]*3.6</f>
        <v>20.210115789473683</v>
      </c>
      <c r="H308">
        <v>6.8428961748633883</v>
      </c>
      <c r="I308">
        <f>Tableau5[[#This Row],[GHG (kgCO2eq/GJ)]]*3.6</f>
        <v>24.634426229508197</v>
      </c>
      <c r="J308" t="s">
        <v>104</v>
      </c>
      <c r="K308" t="s">
        <v>108</v>
      </c>
    </row>
    <row r="309" spans="1:11" x14ac:dyDescent="0.3">
      <c r="A309" t="s">
        <v>20</v>
      </c>
      <c r="B309" t="s">
        <v>46</v>
      </c>
      <c r="C309" t="s">
        <v>82</v>
      </c>
      <c r="D309">
        <v>0.2</v>
      </c>
      <c r="E309">
        <f>Tableau5[[#This Row],[Potential (PJ)]]/3.6</f>
        <v>5.5555555555555559E-2</v>
      </c>
      <c r="F309">
        <v>3.5215000000000001</v>
      </c>
      <c r="G309">
        <f>Tableau5[[#This Row],[Cost (€/GJ)]]*3.6</f>
        <v>12.6774</v>
      </c>
      <c r="H309">
        <v>6.8428961748633883</v>
      </c>
      <c r="I309">
        <f>Tableau5[[#This Row],[GHG (kgCO2eq/GJ)]]*3.6</f>
        <v>24.634426229508197</v>
      </c>
      <c r="J309" t="s">
        <v>104</v>
      </c>
      <c r="K309" t="s">
        <v>108</v>
      </c>
    </row>
    <row r="310" spans="1:11" x14ac:dyDescent="0.3">
      <c r="A310" t="s">
        <v>20</v>
      </c>
      <c r="B310" t="s">
        <v>55</v>
      </c>
      <c r="C310" t="s">
        <v>86</v>
      </c>
      <c r="D310">
        <v>0.27760000000000001</v>
      </c>
      <c r="E310">
        <f>Tableau5[[#This Row],[Potential (PJ)]]/3.6</f>
        <v>7.7111111111111116E-2</v>
      </c>
      <c r="F310">
        <v>11.166</v>
      </c>
      <c r="G310">
        <f>Tableau5[[#This Row],[Cost (€/GJ)]]*3.6</f>
        <v>40.197600000000001</v>
      </c>
      <c r="H310">
        <v>40.299999999999997</v>
      </c>
      <c r="I310">
        <f>Tableau5[[#This Row],[GHG (kgCO2eq/GJ)]]*3.6</f>
        <v>145.07999999999998</v>
      </c>
      <c r="J310" t="s">
        <v>106</v>
      </c>
      <c r="K310" t="s">
        <v>109</v>
      </c>
    </row>
    <row r="311" spans="1:11" x14ac:dyDescent="0.3">
      <c r="A311" t="s">
        <v>20</v>
      </c>
      <c r="B311" t="s">
        <v>55</v>
      </c>
      <c r="C311" t="s">
        <v>89</v>
      </c>
      <c r="D311">
        <v>0.1338</v>
      </c>
      <c r="E311">
        <f>Tableau5[[#This Row],[Potential (PJ)]]/3.6</f>
        <v>3.7166666666666667E-2</v>
      </c>
      <c r="F311">
        <v>0</v>
      </c>
      <c r="G311">
        <f>Tableau5[[#This Row],[Cost (€/GJ)]]*3.6</f>
        <v>0</v>
      </c>
      <c r="H311">
        <v>40.299999999999997</v>
      </c>
      <c r="I311">
        <f>Tableau5[[#This Row],[GHG (kgCO2eq/GJ)]]*3.6</f>
        <v>145.07999999999998</v>
      </c>
      <c r="J311" t="s">
        <v>106</v>
      </c>
      <c r="K311" t="s">
        <v>109</v>
      </c>
    </row>
    <row r="312" spans="1:11" x14ac:dyDescent="0.3">
      <c r="A312" t="s">
        <v>20</v>
      </c>
      <c r="B312" t="s">
        <v>55</v>
      </c>
      <c r="C312" t="s">
        <v>91</v>
      </c>
      <c r="D312">
        <v>4.2099999999999999E-2</v>
      </c>
      <c r="E312">
        <f>Tableau5[[#This Row],[Potential (PJ)]]/3.6</f>
        <v>1.1694444444444443E-2</v>
      </c>
      <c r="F312">
        <v>13.903</v>
      </c>
      <c r="G312">
        <f>Tableau5[[#This Row],[Cost (€/GJ)]]*3.6</f>
        <v>50.050800000000002</v>
      </c>
      <c r="H312">
        <v>40.299999999999997</v>
      </c>
      <c r="I312">
        <f>Tableau5[[#This Row],[GHG (kgCO2eq/GJ)]]*3.6</f>
        <v>145.07999999999998</v>
      </c>
      <c r="J312" t="s">
        <v>106</v>
      </c>
      <c r="K312" t="s">
        <v>109</v>
      </c>
    </row>
    <row r="313" spans="1:11" x14ac:dyDescent="0.3">
      <c r="A313" t="s">
        <v>20</v>
      </c>
      <c r="B313" t="s">
        <v>55</v>
      </c>
      <c r="C313" t="s">
        <v>92</v>
      </c>
      <c r="D313">
        <v>0.25703999999999999</v>
      </c>
      <c r="E313">
        <f>Tableau5[[#This Row],[Potential (PJ)]]/3.6</f>
        <v>7.1399999999999991E-2</v>
      </c>
      <c r="F313">
        <v>11.269</v>
      </c>
      <c r="G313">
        <f>Tableau5[[#This Row],[Cost (€/GJ)]]*3.6</f>
        <v>40.568400000000004</v>
      </c>
      <c r="H313">
        <v>40.299999999999997</v>
      </c>
      <c r="I313">
        <f>Tableau5[[#This Row],[GHG (kgCO2eq/GJ)]]*3.6</f>
        <v>145.07999999999998</v>
      </c>
      <c r="J313" t="s">
        <v>106</v>
      </c>
      <c r="K313" t="s">
        <v>109</v>
      </c>
    </row>
    <row r="314" spans="1:11" x14ac:dyDescent="0.3">
      <c r="A314" t="s">
        <v>20</v>
      </c>
      <c r="B314" t="s">
        <v>47</v>
      </c>
      <c r="C314" t="s">
        <v>101</v>
      </c>
      <c r="D314">
        <v>5</v>
      </c>
      <c r="E314">
        <f>Tableau5[[#This Row],[Potential (PJ)]]/3.6</f>
        <v>1.3888888888888888</v>
      </c>
      <c r="F314">
        <v>5.2987599999999997</v>
      </c>
      <c r="G314">
        <f>Tableau5[[#This Row],[Cost (€/GJ)]]*3.6</f>
        <v>19.075536</v>
      </c>
      <c r="H314">
        <v>42</v>
      </c>
      <c r="I314">
        <f>Tableau5[[#This Row],[GHG (kgCO2eq/GJ)]]*3.6</f>
        <v>151.20000000000002</v>
      </c>
      <c r="J314" t="s">
        <v>104</v>
      </c>
      <c r="K314" t="s">
        <v>109</v>
      </c>
    </row>
    <row r="315" spans="1:11" x14ac:dyDescent="0.3">
      <c r="A315" t="s">
        <v>20</v>
      </c>
      <c r="B315" t="s">
        <v>57</v>
      </c>
      <c r="C315" t="s">
        <v>94</v>
      </c>
      <c r="D315">
        <v>2</v>
      </c>
      <c r="E315">
        <f>Tableau5[[#This Row],[Potential (PJ)]]/3.6</f>
        <v>0.55555555555555558</v>
      </c>
      <c r="F315">
        <v>13.3691</v>
      </c>
      <c r="G315">
        <f>Tableau5[[#This Row],[Cost (€/GJ)]]*3.6</f>
        <v>48.12876</v>
      </c>
      <c r="H315">
        <v>24.6</v>
      </c>
      <c r="I315">
        <f>Tableau5[[#This Row],[GHG (kgCO2eq/GJ)]]*3.6</f>
        <v>88.56</v>
      </c>
      <c r="J315" t="s">
        <v>104</v>
      </c>
      <c r="K315" t="s">
        <v>109</v>
      </c>
    </row>
    <row r="316" spans="1:11" x14ac:dyDescent="0.3">
      <c r="A316" t="s">
        <v>20</v>
      </c>
      <c r="B316" t="s">
        <v>49</v>
      </c>
      <c r="C316" t="s">
        <v>71</v>
      </c>
      <c r="D316">
        <v>108.37653</v>
      </c>
      <c r="E316">
        <f>Tableau5[[#This Row],[Potential (PJ)]]/3.6</f>
        <v>30.104591666666668</v>
      </c>
      <c r="F316">
        <v>7.2729891548474566</v>
      </c>
      <c r="G316">
        <f>Tableau5[[#This Row],[Cost (€/GJ)]]*3.6</f>
        <v>26.182760957450846</v>
      </c>
      <c r="H316">
        <v>3.86607608129234</v>
      </c>
      <c r="I316">
        <f>Tableau5[[#This Row],[GHG (kgCO2eq/GJ)]]*3.6</f>
        <v>13.917873892652425</v>
      </c>
      <c r="J316" t="s">
        <v>104</v>
      </c>
      <c r="K316" t="s">
        <v>108</v>
      </c>
    </row>
    <row r="317" spans="1:11" x14ac:dyDescent="0.3">
      <c r="A317" t="s">
        <v>20</v>
      </c>
      <c r="B317" t="s">
        <v>49</v>
      </c>
      <c r="C317" t="s">
        <v>72</v>
      </c>
      <c r="D317">
        <v>7.2</v>
      </c>
      <c r="E317">
        <f>Tableau5[[#This Row],[Potential (PJ)]]/3.6</f>
        <v>2</v>
      </c>
      <c r="F317">
        <v>5.8081805555555546</v>
      </c>
      <c r="G317">
        <f>Tableau5[[#This Row],[Cost (€/GJ)]]*3.6</f>
        <v>20.909449999999996</v>
      </c>
      <c r="H317">
        <v>3.86607608129234</v>
      </c>
      <c r="I317">
        <f>Tableau5[[#This Row],[GHG (kgCO2eq/GJ)]]*3.6</f>
        <v>13.917873892652425</v>
      </c>
      <c r="J317" t="s">
        <v>104</v>
      </c>
      <c r="K317" t="s">
        <v>108</v>
      </c>
    </row>
    <row r="318" spans="1:11" x14ac:dyDescent="0.3">
      <c r="A318" t="s">
        <v>20</v>
      </c>
      <c r="B318" t="s">
        <v>58</v>
      </c>
      <c r="C318" t="s">
        <v>95</v>
      </c>
      <c r="D318">
        <v>4.9195500000000001</v>
      </c>
      <c r="E318">
        <f>Tableau5[[#This Row],[Potential (PJ)]]/3.6</f>
        <v>1.3665416666666668</v>
      </c>
      <c r="F318">
        <v>3.3780000000000001</v>
      </c>
      <c r="G318">
        <f>Tableau5[[#This Row],[Cost (€/GJ)]]*3.6</f>
        <v>12.1608</v>
      </c>
      <c r="H318">
        <v>2.9521711768407801</v>
      </c>
      <c r="I318">
        <f>Tableau5[[#This Row],[GHG (kgCO2eq/GJ)]]*3.6</f>
        <v>10.627816236626808</v>
      </c>
      <c r="J318" t="s">
        <v>104</v>
      </c>
      <c r="K318" t="s">
        <v>108</v>
      </c>
    </row>
    <row r="319" spans="1:11" x14ac:dyDescent="0.3">
      <c r="A319" t="s">
        <v>20</v>
      </c>
      <c r="B319" t="s">
        <v>50</v>
      </c>
      <c r="C319" t="s">
        <v>73</v>
      </c>
      <c r="D319">
        <v>0.2</v>
      </c>
      <c r="E319">
        <f>Tableau5[[#This Row],[Potential (PJ)]]/3.6</f>
        <v>5.5555555555555559E-2</v>
      </c>
      <c r="F319">
        <v>5.67</v>
      </c>
      <c r="G319">
        <f>Tableau5[[#This Row],[Cost (€/GJ)]]*3.6</f>
        <v>20.411999999999999</v>
      </c>
      <c r="H319">
        <v>20.723404255319149</v>
      </c>
      <c r="I319">
        <f>Tableau5[[#This Row],[GHG (kgCO2eq/GJ)]]*3.6</f>
        <v>74.604255319148933</v>
      </c>
      <c r="J319" t="s">
        <v>105</v>
      </c>
      <c r="K319" t="s">
        <v>108</v>
      </c>
    </row>
    <row r="320" spans="1:11" x14ac:dyDescent="0.3">
      <c r="A320" t="s">
        <v>20</v>
      </c>
      <c r="B320" t="s">
        <v>50</v>
      </c>
      <c r="C320" t="s">
        <v>74</v>
      </c>
      <c r="D320">
        <v>0.6</v>
      </c>
      <c r="E320">
        <f>Tableau5[[#This Row],[Potential (PJ)]]/3.6</f>
        <v>0.16666666666666666</v>
      </c>
      <c r="F320">
        <v>6.42</v>
      </c>
      <c r="G320">
        <f>Tableau5[[#This Row],[Cost (€/GJ)]]*3.6</f>
        <v>23.112000000000002</v>
      </c>
      <c r="H320">
        <v>2.0635593220338988</v>
      </c>
      <c r="I320">
        <f>Tableau5[[#This Row],[GHG (kgCO2eq/GJ)]]*3.6</f>
        <v>7.4288135593220357</v>
      </c>
      <c r="J320" t="s">
        <v>105</v>
      </c>
      <c r="K320" t="s">
        <v>108</v>
      </c>
    </row>
    <row r="321" spans="1:11" x14ac:dyDescent="0.3">
      <c r="A321" t="s">
        <v>20</v>
      </c>
      <c r="B321" t="s">
        <v>51</v>
      </c>
      <c r="C321" t="s">
        <v>75</v>
      </c>
      <c r="D321">
        <v>8.0220900000000004</v>
      </c>
      <c r="E321">
        <f>Tableau5[[#This Row],[Potential (PJ)]]/3.6</f>
        <v>2.2283583333333334</v>
      </c>
      <c r="F321">
        <v>6.4445053548415995E-2</v>
      </c>
      <c r="G321">
        <f>Tableau5[[#This Row],[Cost (€/GJ)]]*3.6</f>
        <v>0.23200219277429759</v>
      </c>
      <c r="H321">
        <v>11.74</v>
      </c>
      <c r="I321">
        <f>Tableau5[[#This Row],[GHG (kgCO2eq/GJ)]]*3.6</f>
        <v>42.264000000000003</v>
      </c>
      <c r="J321" t="s">
        <v>104</v>
      </c>
      <c r="K321" t="s">
        <v>108</v>
      </c>
    </row>
    <row r="322" spans="1:11" x14ac:dyDescent="0.3">
      <c r="A322" t="s">
        <v>20</v>
      </c>
      <c r="B322" t="s">
        <v>60</v>
      </c>
      <c r="C322" t="s">
        <v>98</v>
      </c>
      <c r="D322">
        <v>1.0769500000000001</v>
      </c>
      <c r="E322">
        <f>Tableau5[[#This Row],[Potential (PJ)]]/3.6</f>
        <v>0.29915277777777777</v>
      </c>
      <c r="F322">
        <v>19.01181525241676</v>
      </c>
      <c r="G322">
        <f>Tableau5[[#This Row],[Cost (€/GJ)]]*3.6</f>
        <v>68.442534908700338</v>
      </c>
      <c r="H322">
        <v>98.1</v>
      </c>
      <c r="I322">
        <f>Tableau5[[#This Row],[GHG (kgCO2eq/GJ)]]*3.6</f>
        <v>353.15999999999997</v>
      </c>
      <c r="J322" t="s">
        <v>107</v>
      </c>
      <c r="K322" t="s">
        <v>109</v>
      </c>
    </row>
    <row r="323" spans="1:11" x14ac:dyDescent="0.3">
      <c r="A323" t="s">
        <v>20</v>
      </c>
      <c r="B323" t="s">
        <v>52</v>
      </c>
      <c r="C323" t="s">
        <v>76</v>
      </c>
      <c r="D323">
        <v>2.1139999999999999</v>
      </c>
      <c r="E323">
        <f>Tableau5[[#This Row],[Potential (PJ)]]/3.6</f>
        <v>0.5872222222222222</v>
      </c>
      <c r="F323">
        <v>8.4824999999999999</v>
      </c>
      <c r="G323">
        <f>Tableau5[[#This Row],[Cost (€/GJ)]]*3.6</f>
        <v>30.536999999999999</v>
      </c>
      <c r="H323">
        <v>12.68872359754714</v>
      </c>
      <c r="I323">
        <f>Tableau5[[#This Row],[GHG (kgCO2eq/GJ)]]*3.6</f>
        <v>45.679404951169708</v>
      </c>
      <c r="J323" t="s">
        <v>105</v>
      </c>
      <c r="K323" t="s">
        <v>108</v>
      </c>
    </row>
    <row r="324" spans="1:11" x14ac:dyDescent="0.3">
      <c r="A324" t="s">
        <v>20</v>
      </c>
      <c r="B324" t="s">
        <v>53</v>
      </c>
      <c r="C324" t="s">
        <v>77</v>
      </c>
      <c r="D324">
        <v>10.66056</v>
      </c>
      <c r="E324">
        <f>Tableau5[[#This Row],[Potential (PJ)]]/3.6</f>
        <v>2.9612666666666665</v>
      </c>
      <c r="F324">
        <v>5.8083336850972183</v>
      </c>
      <c r="G324">
        <f>Tableau5[[#This Row],[Cost (€/GJ)]]*3.6</f>
        <v>20.910001266349987</v>
      </c>
      <c r="H324">
        <v>3.86607608129234</v>
      </c>
      <c r="I324">
        <f>Tableau5[[#This Row],[GHG (kgCO2eq/GJ)]]*3.6</f>
        <v>13.917873892652425</v>
      </c>
      <c r="J324" t="s">
        <v>104</v>
      </c>
      <c r="K324" t="s">
        <v>108</v>
      </c>
    </row>
    <row r="325" spans="1:11" x14ac:dyDescent="0.3">
      <c r="A325" t="s">
        <v>20</v>
      </c>
      <c r="B325" t="s">
        <v>61</v>
      </c>
      <c r="C325" t="s">
        <v>99</v>
      </c>
      <c r="D325">
        <v>22</v>
      </c>
      <c r="E325">
        <f>Tableau5[[#This Row],[Potential (PJ)]]/3.6</f>
        <v>6.1111111111111107</v>
      </c>
      <c r="F325">
        <v>2.0229227272727268</v>
      </c>
      <c r="G325">
        <f>Tableau5[[#This Row],[Cost (€/GJ)]]*3.6</f>
        <v>7.2825218181818165</v>
      </c>
      <c r="H325">
        <v>2.9245635910224439</v>
      </c>
      <c r="I325">
        <f>Tableau5[[#This Row],[GHG (kgCO2eq/GJ)]]*3.6</f>
        <v>10.528428927680798</v>
      </c>
      <c r="J325" t="s">
        <v>104</v>
      </c>
      <c r="K325" t="s">
        <v>108</v>
      </c>
    </row>
    <row r="326" spans="1:11" x14ac:dyDescent="0.3">
      <c r="A326" t="s">
        <v>20</v>
      </c>
      <c r="B326" t="s">
        <v>62</v>
      </c>
      <c r="C326" t="s">
        <v>100</v>
      </c>
      <c r="D326">
        <v>9.1999999999999993</v>
      </c>
      <c r="E326">
        <f>Tableau5[[#This Row],[Potential (PJ)]]/3.6</f>
        <v>2.5555555555555554</v>
      </c>
      <c r="F326">
        <v>0.71521739130434792</v>
      </c>
      <c r="G326">
        <f>Tableau5[[#This Row],[Cost (€/GJ)]]*3.6</f>
        <v>2.5747826086956525</v>
      </c>
      <c r="H326">
        <v>2.6764106050305911</v>
      </c>
      <c r="I326">
        <f>Tableau5[[#This Row],[GHG (kgCO2eq/GJ)]]*3.6</f>
        <v>9.6350781781101276</v>
      </c>
      <c r="J326" t="s">
        <v>104</v>
      </c>
      <c r="K326" t="s">
        <v>108</v>
      </c>
    </row>
    <row r="327" spans="1:11" x14ac:dyDescent="0.3">
      <c r="A327" t="s">
        <v>20</v>
      </c>
      <c r="B327" t="s">
        <v>54</v>
      </c>
      <c r="C327" t="s">
        <v>78</v>
      </c>
      <c r="D327">
        <v>160.4</v>
      </c>
      <c r="E327">
        <f>Tableau5[[#This Row],[Potential (PJ)]]/3.6</f>
        <v>44.555555555555557</v>
      </c>
      <c r="F327">
        <v>12.23336658354115</v>
      </c>
      <c r="G327">
        <f>Tableau5[[#This Row],[Cost (€/GJ)]]*3.6</f>
        <v>44.040119700748143</v>
      </c>
      <c r="H327">
        <v>3.86607608129234</v>
      </c>
      <c r="I327">
        <f>Tableau5[[#This Row],[GHG (kgCO2eq/GJ)]]*3.6</f>
        <v>13.917873892652425</v>
      </c>
      <c r="J327" t="s">
        <v>104</v>
      </c>
      <c r="K327" t="s">
        <v>108</v>
      </c>
    </row>
    <row r="328" spans="1:11" x14ac:dyDescent="0.3">
      <c r="A328" t="s">
        <v>21</v>
      </c>
      <c r="B328" t="s">
        <v>46</v>
      </c>
      <c r="C328" t="s">
        <v>63</v>
      </c>
      <c r="D328">
        <v>7.4300000000000005E-2</v>
      </c>
      <c r="E328">
        <f>Tableau5[[#This Row],[Potential (PJ)]]/3.6</f>
        <v>2.0638888888888891E-2</v>
      </c>
      <c r="F328">
        <v>2.9286474973375931</v>
      </c>
      <c r="G328">
        <f>Tableau5[[#This Row],[Cost (€/GJ)]]*3.6</f>
        <v>10.543130990415335</v>
      </c>
      <c r="H328">
        <v>3.950479233226837</v>
      </c>
      <c r="I328">
        <f>Tableau5[[#This Row],[GHG (kgCO2eq/GJ)]]*3.6</f>
        <v>14.221725239616614</v>
      </c>
      <c r="J328" t="s">
        <v>104</v>
      </c>
      <c r="K328" t="s">
        <v>108</v>
      </c>
    </row>
    <row r="329" spans="1:11" x14ac:dyDescent="0.3">
      <c r="A329" t="s">
        <v>21</v>
      </c>
      <c r="B329" t="s">
        <v>46</v>
      </c>
      <c r="C329" t="s">
        <v>64</v>
      </c>
      <c r="D329">
        <v>0.13944999999999999</v>
      </c>
      <c r="E329">
        <f>Tableau5[[#This Row],[Potential (PJ)]]/3.6</f>
        <v>3.873611111111111E-2</v>
      </c>
      <c r="F329">
        <v>9.4325014700609557</v>
      </c>
      <c r="G329">
        <f>Tableau5[[#This Row],[Cost (€/GJ)]]*3.6</f>
        <v>33.957005292219442</v>
      </c>
      <c r="H329">
        <v>2.9521711768407801</v>
      </c>
      <c r="I329">
        <f>Tableau5[[#This Row],[GHG (kgCO2eq/GJ)]]*3.6</f>
        <v>10.627816236626808</v>
      </c>
      <c r="J329" t="s">
        <v>104</v>
      </c>
      <c r="K329" t="s">
        <v>108</v>
      </c>
    </row>
    <row r="330" spans="1:11" x14ac:dyDescent="0.3">
      <c r="A330" t="s">
        <v>21</v>
      </c>
      <c r="B330" t="s">
        <v>46</v>
      </c>
      <c r="C330" t="s">
        <v>79</v>
      </c>
      <c r="D330">
        <v>99.8</v>
      </c>
      <c r="E330">
        <f>Tableau5[[#This Row],[Potential (PJ)]]/3.6</f>
        <v>27.722222222222221</v>
      </c>
      <c r="F330">
        <v>3.268683366733466</v>
      </c>
      <c r="G330">
        <f>Tableau5[[#This Row],[Cost (€/GJ)]]*3.6</f>
        <v>11.767260120240477</v>
      </c>
      <c r="H330">
        <v>6.8428961748633883</v>
      </c>
      <c r="I330">
        <f>Tableau5[[#This Row],[GHG (kgCO2eq/GJ)]]*3.6</f>
        <v>24.634426229508197</v>
      </c>
      <c r="J330" t="s">
        <v>104</v>
      </c>
      <c r="K330" t="s">
        <v>108</v>
      </c>
    </row>
    <row r="331" spans="1:11" x14ac:dyDescent="0.3">
      <c r="A331" t="s">
        <v>21</v>
      </c>
      <c r="B331" t="s">
        <v>46</v>
      </c>
      <c r="C331" t="s">
        <v>65</v>
      </c>
      <c r="D331">
        <v>0.3</v>
      </c>
      <c r="E331">
        <f>Tableau5[[#This Row],[Potential (PJ)]]/3.6</f>
        <v>8.3333333333333329E-2</v>
      </c>
      <c r="F331">
        <v>7.3706666666666667</v>
      </c>
      <c r="G331">
        <f>Tableau5[[#This Row],[Cost (€/GJ)]]*3.6</f>
        <v>26.534400000000002</v>
      </c>
      <c r="H331">
        <v>2.9521711768407801</v>
      </c>
      <c r="I331">
        <f>Tableau5[[#This Row],[GHG (kgCO2eq/GJ)]]*3.6</f>
        <v>10.627816236626808</v>
      </c>
      <c r="J331" t="s">
        <v>104</v>
      </c>
      <c r="K331" t="s">
        <v>108</v>
      </c>
    </row>
    <row r="332" spans="1:11" x14ac:dyDescent="0.3">
      <c r="A332" t="s">
        <v>21</v>
      </c>
      <c r="B332" t="s">
        <v>46</v>
      </c>
      <c r="C332" t="s">
        <v>80</v>
      </c>
      <c r="D332">
        <v>2.1061000000000001</v>
      </c>
      <c r="E332">
        <f>Tableau5[[#This Row],[Potential (PJ)]]/3.6</f>
        <v>0.58502777777777781</v>
      </c>
      <c r="F332">
        <v>0.72016183412002699</v>
      </c>
      <c r="G332">
        <f>Tableau5[[#This Row],[Cost (€/GJ)]]*3.6</f>
        <v>2.5925826028320973</v>
      </c>
      <c r="H332">
        <v>28.139870918023309</v>
      </c>
      <c r="I332">
        <f>Tableau5[[#This Row],[GHG (kgCO2eq/GJ)]]*3.6</f>
        <v>101.30353530488391</v>
      </c>
      <c r="J332" t="s">
        <v>105</v>
      </c>
      <c r="K332" t="s">
        <v>108</v>
      </c>
    </row>
    <row r="333" spans="1:11" x14ac:dyDescent="0.3">
      <c r="A333" t="s">
        <v>21</v>
      </c>
      <c r="B333" t="s">
        <v>46</v>
      </c>
      <c r="C333" t="s">
        <v>81</v>
      </c>
      <c r="D333">
        <v>6.0550000000000006</v>
      </c>
      <c r="E333">
        <f>Tableau5[[#This Row],[Potential (PJ)]]/3.6</f>
        <v>1.6819444444444445</v>
      </c>
      <c r="F333">
        <v>0.98883666274970616</v>
      </c>
      <c r="G333">
        <f>Tableau5[[#This Row],[Cost (€/GJ)]]*3.6</f>
        <v>3.5598119858989423</v>
      </c>
      <c r="H333">
        <v>8.9647473560517046</v>
      </c>
      <c r="I333">
        <f>Tableau5[[#This Row],[GHG (kgCO2eq/GJ)]]*3.6</f>
        <v>32.273090481786134</v>
      </c>
      <c r="J333" t="s">
        <v>105</v>
      </c>
      <c r="K333" t="s">
        <v>108</v>
      </c>
    </row>
    <row r="334" spans="1:11" x14ac:dyDescent="0.3">
      <c r="A334" t="s">
        <v>21</v>
      </c>
      <c r="B334" t="s">
        <v>46</v>
      </c>
      <c r="C334" t="s">
        <v>66</v>
      </c>
      <c r="D334">
        <v>15.7</v>
      </c>
      <c r="E334">
        <f>Tableau5[[#This Row],[Potential (PJ)]]/3.6</f>
        <v>4.3611111111111107</v>
      </c>
      <c r="F334">
        <v>3.3716178343949039</v>
      </c>
      <c r="G334">
        <f>Tableau5[[#This Row],[Cost (€/GJ)]]*3.6</f>
        <v>12.137824203821655</v>
      </c>
      <c r="H334">
        <v>6.8428961748633883</v>
      </c>
      <c r="I334">
        <f>Tableau5[[#This Row],[GHG (kgCO2eq/GJ)]]*3.6</f>
        <v>24.634426229508197</v>
      </c>
      <c r="J334" t="s">
        <v>104</v>
      </c>
      <c r="K334" t="s">
        <v>108</v>
      </c>
    </row>
    <row r="335" spans="1:11" x14ac:dyDescent="0.3">
      <c r="A335" t="s">
        <v>21</v>
      </c>
      <c r="B335" t="s">
        <v>46</v>
      </c>
      <c r="C335" t="s">
        <v>82</v>
      </c>
      <c r="D335">
        <v>13.7</v>
      </c>
      <c r="E335">
        <f>Tableau5[[#This Row],[Potential (PJ)]]/3.6</f>
        <v>3.8055555555555554</v>
      </c>
      <c r="F335">
        <v>2.1165328467153279</v>
      </c>
      <c r="G335">
        <f>Tableau5[[#This Row],[Cost (€/GJ)]]*3.6</f>
        <v>7.6195182481751811</v>
      </c>
      <c r="H335">
        <v>6.8428961748633883</v>
      </c>
      <c r="I335">
        <f>Tableau5[[#This Row],[GHG (kgCO2eq/GJ)]]*3.6</f>
        <v>24.634426229508197</v>
      </c>
      <c r="J335" t="s">
        <v>104</v>
      </c>
      <c r="K335" t="s">
        <v>108</v>
      </c>
    </row>
    <row r="336" spans="1:11" x14ac:dyDescent="0.3">
      <c r="A336" t="s">
        <v>21</v>
      </c>
      <c r="B336" t="s">
        <v>46</v>
      </c>
      <c r="C336" t="s">
        <v>83</v>
      </c>
      <c r="D336">
        <v>0.27134999999999998</v>
      </c>
      <c r="E336">
        <f>Tableau5[[#This Row],[Potential (PJ)]]/3.6</f>
        <v>7.5374999999999998E-2</v>
      </c>
      <c r="F336">
        <v>3.1480888888888892</v>
      </c>
      <c r="G336">
        <f>Tableau5[[#This Row],[Cost (€/GJ)]]*3.6</f>
        <v>11.333120000000001</v>
      </c>
      <c r="H336">
        <v>6.8428961748633883</v>
      </c>
      <c r="I336">
        <f>Tableau5[[#This Row],[GHG (kgCO2eq/GJ)]]*3.6</f>
        <v>24.634426229508197</v>
      </c>
      <c r="J336" t="s">
        <v>104</v>
      </c>
      <c r="K336" t="s">
        <v>108</v>
      </c>
    </row>
    <row r="337" spans="1:11" x14ac:dyDescent="0.3">
      <c r="A337" t="s">
        <v>21</v>
      </c>
      <c r="B337" t="s">
        <v>46</v>
      </c>
      <c r="C337" t="s">
        <v>84</v>
      </c>
      <c r="D337">
        <v>1.4</v>
      </c>
      <c r="E337">
        <f>Tableau5[[#This Row],[Potential (PJ)]]/3.6</f>
        <v>0.38888888888888884</v>
      </c>
      <c r="F337">
        <v>2.3029999999999999</v>
      </c>
      <c r="G337">
        <f>Tableau5[[#This Row],[Cost (€/GJ)]]*3.6</f>
        <v>8.2908000000000008</v>
      </c>
      <c r="H337">
        <v>28.139870918023309</v>
      </c>
      <c r="I337">
        <f>Tableau5[[#This Row],[GHG (kgCO2eq/GJ)]]*3.6</f>
        <v>101.30353530488391</v>
      </c>
      <c r="J337" t="s">
        <v>105</v>
      </c>
      <c r="K337" t="s">
        <v>108</v>
      </c>
    </row>
    <row r="338" spans="1:11" x14ac:dyDescent="0.3">
      <c r="A338" t="s">
        <v>21</v>
      </c>
      <c r="B338" t="s">
        <v>46</v>
      </c>
      <c r="C338" t="s">
        <v>85</v>
      </c>
      <c r="D338">
        <v>2.5</v>
      </c>
      <c r="E338">
        <f>Tableau5[[#This Row],[Potential (PJ)]]/3.6</f>
        <v>0.69444444444444442</v>
      </c>
      <c r="F338">
        <v>4.9442399999999997</v>
      </c>
      <c r="G338">
        <f>Tableau5[[#This Row],[Cost (€/GJ)]]*3.6</f>
        <v>17.799264000000001</v>
      </c>
      <c r="H338">
        <v>2.9521711768407801</v>
      </c>
      <c r="I338">
        <f>Tableau5[[#This Row],[GHG (kgCO2eq/GJ)]]*3.6</f>
        <v>10.627816236626808</v>
      </c>
      <c r="J338" t="s">
        <v>104</v>
      </c>
      <c r="K338" t="s">
        <v>108</v>
      </c>
    </row>
    <row r="339" spans="1:11" x14ac:dyDescent="0.3">
      <c r="A339" t="s">
        <v>21</v>
      </c>
      <c r="B339" t="s">
        <v>55</v>
      </c>
      <c r="C339" t="s">
        <v>86</v>
      </c>
      <c r="D339">
        <v>3.2273000000000001</v>
      </c>
      <c r="E339">
        <f>Tableau5[[#This Row],[Potential (PJ)]]/3.6</f>
        <v>0.89647222222222223</v>
      </c>
      <c r="F339">
        <v>11.15</v>
      </c>
      <c r="G339">
        <f>Tableau5[[#This Row],[Cost (€/GJ)]]*3.6</f>
        <v>40.14</v>
      </c>
      <c r="H339">
        <v>19.100000000000001</v>
      </c>
      <c r="I339">
        <f>Tableau5[[#This Row],[GHG (kgCO2eq/GJ)]]*3.6</f>
        <v>68.760000000000005</v>
      </c>
      <c r="J339" t="s">
        <v>106</v>
      </c>
      <c r="K339" t="s">
        <v>109</v>
      </c>
    </row>
    <row r="340" spans="1:11" x14ac:dyDescent="0.3">
      <c r="A340" t="s">
        <v>21</v>
      </c>
      <c r="B340" t="s">
        <v>55</v>
      </c>
      <c r="C340" t="s">
        <v>87</v>
      </c>
      <c r="D340">
        <v>11.291600000000001</v>
      </c>
      <c r="E340">
        <f>Tableau5[[#This Row],[Potential (PJ)]]/3.6</f>
        <v>3.1365555555555558</v>
      </c>
      <c r="F340">
        <v>12.73199999999999</v>
      </c>
      <c r="G340">
        <f>Tableau5[[#This Row],[Cost (€/GJ)]]*3.6</f>
        <v>45.835199999999965</v>
      </c>
      <c r="H340">
        <v>19.100000000000001</v>
      </c>
      <c r="I340">
        <f>Tableau5[[#This Row],[GHG (kgCO2eq/GJ)]]*3.6</f>
        <v>68.760000000000005</v>
      </c>
      <c r="J340" t="s">
        <v>106</v>
      </c>
      <c r="K340" t="s">
        <v>109</v>
      </c>
    </row>
    <row r="341" spans="1:11" x14ac:dyDescent="0.3">
      <c r="A341" t="s">
        <v>21</v>
      </c>
      <c r="B341" t="s">
        <v>55</v>
      </c>
      <c r="C341" t="s">
        <v>88</v>
      </c>
      <c r="D341">
        <v>8.475200000000001</v>
      </c>
      <c r="E341">
        <f>Tableau5[[#This Row],[Potential (PJ)]]/3.6</f>
        <v>2.3542222222222224</v>
      </c>
      <c r="F341">
        <v>12.164999999999999</v>
      </c>
      <c r="G341">
        <f>Tableau5[[#This Row],[Cost (€/GJ)]]*3.6</f>
        <v>43.793999999999997</v>
      </c>
      <c r="H341">
        <v>19.100000000000001</v>
      </c>
      <c r="I341">
        <f>Tableau5[[#This Row],[GHG (kgCO2eq/GJ)]]*3.6</f>
        <v>68.760000000000005</v>
      </c>
      <c r="J341" t="s">
        <v>106</v>
      </c>
      <c r="K341" t="s">
        <v>109</v>
      </c>
    </row>
    <row r="342" spans="1:11" x14ac:dyDescent="0.3">
      <c r="A342" t="s">
        <v>21</v>
      </c>
      <c r="B342" t="s">
        <v>55</v>
      </c>
      <c r="C342" t="s">
        <v>90</v>
      </c>
      <c r="D342">
        <v>3.4799999999999998E-2</v>
      </c>
      <c r="E342">
        <f>Tableau5[[#This Row],[Potential (PJ)]]/3.6</f>
        <v>9.6666666666666654E-3</v>
      </c>
      <c r="F342">
        <v>10.86000000000001</v>
      </c>
      <c r="G342">
        <f>Tableau5[[#This Row],[Cost (€/GJ)]]*3.6</f>
        <v>39.096000000000039</v>
      </c>
      <c r="H342">
        <v>19.100000000000001</v>
      </c>
      <c r="I342">
        <f>Tableau5[[#This Row],[GHG (kgCO2eq/GJ)]]*3.6</f>
        <v>68.760000000000005</v>
      </c>
      <c r="J342" t="s">
        <v>106</v>
      </c>
      <c r="K342" t="s">
        <v>109</v>
      </c>
    </row>
    <row r="343" spans="1:11" x14ac:dyDescent="0.3">
      <c r="A343" t="s">
        <v>21</v>
      </c>
      <c r="B343" t="s">
        <v>55</v>
      </c>
      <c r="C343" t="s">
        <v>91</v>
      </c>
      <c r="D343">
        <v>9.1000000000000004E-3</v>
      </c>
      <c r="E343">
        <f>Tableau5[[#This Row],[Potential (PJ)]]/3.6</f>
        <v>2.5277777777777777E-3</v>
      </c>
      <c r="F343">
        <v>12.561999999999999</v>
      </c>
      <c r="G343">
        <f>Tableau5[[#This Row],[Cost (€/GJ)]]*3.6</f>
        <v>45.223199999999999</v>
      </c>
      <c r="H343">
        <v>19.100000000000001</v>
      </c>
      <c r="I343">
        <f>Tableau5[[#This Row],[GHG (kgCO2eq/GJ)]]*3.6</f>
        <v>68.760000000000005</v>
      </c>
      <c r="J343" t="s">
        <v>106</v>
      </c>
      <c r="K343" t="s">
        <v>109</v>
      </c>
    </row>
    <row r="344" spans="1:11" x14ac:dyDescent="0.3">
      <c r="A344" t="s">
        <v>21</v>
      </c>
      <c r="B344" t="s">
        <v>55</v>
      </c>
      <c r="C344" t="s">
        <v>92</v>
      </c>
      <c r="D344">
        <v>4.0243200000000003</v>
      </c>
      <c r="E344">
        <f>Tableau5[[#This Row],[Potential (PJ)]]/3.6</f>
        <v>1.1178666666666668</v>
      </c>
      <c r="F344">
        <v>12.73199999999999</v>
      </c>
      <c r="G344">
        <f>Tableau5[[#This Row],[Cost (€/GJ)]]*3.6</f>
        <v>45.835199999999965</v>
      </c>
      <c r="H344">
        <v>19.100000000000001</v>
      </c>
      <c r="I344">
        <f>Tableau5[[#This Row],[GHG (kgCO2eq/GJ)]]*3.6</f>
        <v>68.760000000000005</v>
      </c>
      <c r="J344" t="s">
        <v>106</v>
      </c>
      <c r="K344" t="s">
        <v>109</v>
      </c>
    </row>
    <row r="345" spans="1:11" x14ac:dyDescent="0.3">
      <c r="A345" t="s">
        <v>21</v>
      </c>
      <c r="B345" t="s">
        <v>56</v>
      </c>
      <c r="C345" t="s">
        <v>93</v>
      </c>
      <c r="D345">
        <v>228.25909999999999</v>
      </c>
      <c r="E345">
        <f>Tableau5[[#This Row],[Potential (PJ)]]/3.6</f>
        <v>63.40530555555555</v>
      </c>
      <c r="F345">
        <v>2.939759036144578</v>
      </c>
      <c r="G345">
        <f>Tableau5[[#This Row],[Cost (€/GJ)]]*3.6</f>
        <v>10.583132530120482</v>
      </c>
      <c r="H345">
        <v>25.9</v>
      </c>
      <c r="I345">
        <f>Tableau5[[#This Row],[GHG (kgCO2eq/GJ)]]*3.6</f>
        <v>93.24</v>
      </c>
      <c r="J345" t="s">
        <v>106</v>
      </c>
      <c r="K345" t="s">
        <v>109</v>
      </c>
    </row>
    <row r="346" spans="1:11" x14ac:dyDescent="0.3">
      <c r="A346" t="s">
        <v>21</v>
      </c>
      <c r="B346" t="s">
        <v>47</v>
      </c>
      <c r="C346" t="s">
        <v>68</v>
      </c>
      <c r="D346">
        <v>56.7</v>
      </c>
      <c r="E346">
        <f>Tableau5[[#This Row],[Potential (PJ)]]/3.6</f>
        <v>15.75</v>
      </c>
      <c r="F346">
        <v>5.9633139329805998</v>
      </c>
      <c r="G346">
        <f>Tableau5[[#This Row],[Cost (€/GJ)]]*3.6</f>
        <v>21.467930158730159</v>
      </c>
      <c r="H346">
        <v>18.5</v>
      </c>
      <c r="I346">
        <f>Tableau5[[#This Row],[GHG (kgCO2eq/GJ)]]*3.6</f>
        <v>66.600000000000009</v>
      </c>
      <c r="J346" t="s">
        <v>104</v>
      </c>
      <c r="K346" t="s">
        <v>109</v>
      </c>
    </row>
    <row r="347" spans="1:11" x14ac:dyDescent="0.3">
      <c r="A347" t="s">
        <v>21</v>
      </c>
      <c r="B347" t="s">
        <v>47</v>
      </c>
      <c r="C347" t="s">
        <v>69</v>
      </c>
      <c r="D347">
        <v>54.8</v>
      </c>
      <c r="E347">
        <f>Tableau5[[#This Row],[Potential (PJ)]]/3.6</f>
        <v>15.222222222222221</v>
      </c>
      <c r="F347">
        <v>5.5955565693430662</v>
      </c>
      <c r="G347">
        <f>Tableau5[[#This Row],[Cost (€/GJ)]]*3.6</f>
        <v>20.144003649635039</v>
      </c>
      <c r="H347">
        <v>18.5</v>
      </c>
      <c r="I347">
        <f>Tableau5[[#This Row],[GHG (kgCO2eq/GJ)]]*3.6</f>
        <v>66.600000000000009</v>
      </c>
      <c r="J347" t="s">
        <v>104</v>
      </c>
      <c r="K347" t="s">
        <v>109</v>
      </c>
    </row>
    <row r="348" spans="1:11" x14ac:dyDescent="0.3">
      <c r="A348" t="s">
        <v>21</v>
      </c>
      <c r="B348" t="s">
        <v>57</v>
      </c>
      <c r="C348" t="s">
        <v>94</v>
      </c>
      <c r="D348">
        <v>45.7</v>
      </c>
      <c r="E348">
        <f>Tableau5[[#This Row],[Potential (PJ)]]/3.6</f>
        <v>12.694444444444445</v>
      </c>
      <c r="F348">
        <v>9.9455995623632383</v>
      </c>
      <c r="G348">
        <f>Tableau5[[#This Row],[Cost (€/GJ)]]*3.6</f>
        <v>35.804158424507662</v>
      </c>
      <c r="H348">
        <v>15</v>
      </c>
      <c r="I348">
        <f>Tableau5[[#This Row],[GHG (kgCO2eq/GJ)]]*3.6</f>
        <v>54</v>
      </c>
      <c r="J348" t="s">
        <v>104</v>
      </c>
      <c r="K348" t="s">
        <v>109</v>
      </c>
    </row>
    <row r="349" spans="1:11" x14ac:dyDescent="0.3">
      <c r="A349" t="s">
        <v>21</v>
      </c>
      <c r="B349" t="s">
        <v>48</v>
      </c>
      <c r="C349" t="s">
        <v>70</v>
      </c>
      <c r="D349">
        <v>4.2</v>
      </c>
      <c r="E349">
        <f>Tableau5[[#This Row],[Potential (PJ)]]/3.6</f>
        <v>1.1666666666666667</v>
      </c>
      <c r="F349">
        <v>11.874238095238089</v>
      </c>
      <c r="G349">
        <f>Tableau5[[#This Row],[Cost (€/GJ)]]*3.6</f>
        <v>42.747257142857123</v>
      </c>
      <c r="H349">
        <v>15</v>
      </c>
      <c r="I349">
        <f>Tableau5[[#This Row],[GHG (kgCO2eq/GJ)]]*3.6</f>
        <v>54</v>
      </c>
      <c r="J349" t="s">
        <v>104</v>
      </c>
      <c r="K349" t="s">
        <v>109</v>
      </c>
    </row>
    <row r="350" spans="1:11" x14ac:dyDescent="0.3">
      <c r="A350" t="s">
        <v>21</v>
      </c>
      <c r="B350" t="s">
        <v>49</v>
      </c>
      <c r="C350" t="s">
        <v>71</v>
      </c>
      <c r="D350">
        <v>84.983919999999998</v>
      </c>
      <c r="E350">
        <f>Tableau5[[#This Row],[Potential (PJ)]]/3.6</f>
        <v>23.606644444444445</v>
      </c>
      <c r="F350">
        <v>5.9790412032064424</v>
      </c>
      <c r="G350">
        <f>Tableau5[[#This Row],[Cost (€/GJ)]]*3.6</f>
        <v>21.524548331543194</v>
      </c>
      <c r="H350">
        <v>3.86607608129234</v>
      </c>
      <c r="I350">
        <f>Tableau5[[#This Row],[GHG (kgCO2eq/GJ)]]*3.6</f>
        <v>13.917873892652425</v>
      </c>
      <c r="J350" t="s">
        <v>104</v>
      </c>
      <c r="K350" t="s">
        <v>108</v>
      </c>
    </row>
    <row r="351" spans="1:11" x14ac:dyDescent="0.3">
      <c r="A351" t="s">
        <v>21</v>
      </c>
      <c r="B351" t="s">
        <v>49</v>
      </c>
      <c r="C351" t="s">
        <v>72</v>
      </c>
      <c r="D351">
        <v>31.3</v>
      </c>
      <c r="E351">
        <f>Tableau5[[#This Row],[Potential (PJ)]]/3.6</f>
        <v>8.6944444444444446</v>
      </c>
      <c r="F351">
        <v>4.7869680511182109</v>
      </c>
      <c r="G351">
        <f>Tableau5[[#This Row],[Cost (€/GJ)]]*3.6</f>
        <v>17.23308498402556</v>
      </c>
      <c r="H351">
        <v>3.86607608129234</v>
      </c>
      <c r="I351">
        <f>Tableau5[[#This Row],[GHG (kgCO2eq/GJ)]]*3.6</f>
        <v>13.917873892652425</v>
      </c>
      <c r="J351" t="s">
        <v>104</v>
      </c>
      <c r="K351" t="s">
        <v>108</v>
      </c>
    </row>
    <row r="352" spans="1:11" x14ac:dyDescent="0.3">
      <c r="A352" t="s">
        <v>21</v>
      </c>
      <c r="B352" t="s">
        <v>58</v>
      </c>
      <c r="C352" t="s">
        <v>95</v>
      </c>
      <c r="D352">
        <v>29.107299999999999</v>
      </c>
      <c r="E352">
        <f>Tableau5[[#This Row],[Potential (PJ)]]/3.6</f>
        <v>8.0853611111111103</v>
      </c>
      <c r="F352">
        <v>3.1565494071933848</v>
      </c>
      <c r="G352">
        <f>Tableau5[[#This Row],[Cost (€/GJ)]]*3.6</f>
        <v>11.363577865896186</v>
      </c>
      <c r="H352">
        <v>2.9521711768407801</v>
      </c>
      <c r="I352">
        <f>Tableau5[[#This Row],[GHG (kgCO2eq/GJ)]]*3.6</f>
        <v>10.627816236626808</v>
      </c>
      <c r="J352" t="s">
        <v>104</v>
      </c>
      <c r="K352" t="s">
        <v>108</v>
      </c>
    </row>
    <row r="353" spans="1:11" x14ac:dyDescent="0.3">
      <c r="A353" t="s">
        <v>21</v>
      </c>
      <c r="B353" t="s">
        <v>50</v>
      </c>
      <c r="C353" t="s">
        <v>73</v>
      </c>
      <c r="D353">
        <v>8.8000000000000007</v>
      </c>
      <c r="E353">
        <f>Tableau5[[#This Row],[Potential (PJ)]]/3.6</f>
        <v>2.4444444444444446</v>
      </c>
      <c r="F353">
        <v>5.5661136363636352</v>
      </c>
      <c r="G353">
        <f>Tableau5[[#This Row],[Cost (€/GJ)]]*3.6</f>
        <v>20.038009090909089</v>
      </c>
      <c r="H353">
        <v>20.723404255319149</v>
      </c>
      <c r="I353">
        <f>Tableau5[[#This Row],[GHG (kgCO2eq/GJ)]]*3.6</f>
        <v>74.604255319148933</v>
      </c>
      <c r="J353" t="s">
        <v>105</v>
      </c>
      <c r="K353" t="s">
        <v>108</v>
      </c>
    </row>
    <row r="354" spans="1:11" x14ac:dyDescent="0.3">
      <c r="A354" t="s">
        <v>21</v>
      </c>
      <c r="B354" t="s">
        <v>50</v>
      </c>
      <c r="C354" t="s">
        <v>74</v>
      </c>
      <c r="D354">
        <v>47.6</v>
      </c>
      <c r="E354">
        <f>Tableau5[[#This Row],[Potential (PJ)]]/3.6</f>
        <v>13.222222222222221</v>
      </c>
      <c r="F354">
        <v>6.3681218487394951</v>
      </c>
      <c r="G354">
        <f>Tableau5[[#This Row],[Cost (€/GJ)]]*3.6</f>
        <v>22.925238655462184</v>
      </c>
      <c r="H354">
        <v>2.0635593220338988</v>
      </c>
      <c r="I354">
        <f>Tableau5[[#This Row],[GHG (kgCO2eq/GJ)]]*3.6</f>
        <v>7.4288135593220357</v>
      </c>
      <c r="J354" t="s">
        <v>105</v>
      </c>
      <c r="K354" t="s">
        <v>108</v>
      </c>
    </row>
    <row r="355" spans="1:11" x14ac:dyDescent="0.3">
      <c r="A355" t="s">
        <v>21</v>
      </c>
      <c r="B355" t="s">
        <v>59</v>
      </c>
      <c r="C355" t="s">
        <v>96</v>
      </c>
      <c r="D355">
        <v>12.4503</v>
      </c>
      <c r="E355">
        <f>Tableau5[[#This Row],[Potential (PJ)]]/3.6</f>
        <v>3.4584166666666665</v>
      </c>
      <c r="F355">
        <v>17.413</v>
      </c>
      <c r="G355">
        <f>Tableau5[[#This Row],[Cost (€/GJ)]]*3.6</f>
        <v>62.686800000000005</v>
      </c>
      <c r="H355">
        <v>20</v>
      </c>
      <c r="I355">
        <f>Tableau5[[#This Row],[GHG (kgCO2eq/GJ)]]*3.6</f>
        <v>72</v>
      </c>
      <c r="J355" t="s">
        <v>107</v>
      </c>
      <c r="K355" t="s">
        <v>109</v>
      </c>
    </row>
    <row r="356" spans="1:11" x14ac:dyDescent="0.3">
      <c r="A356" t="s">
        <v>21</v>
      </c>
      <c r="B356" t="s">
        <v>59</v>
      </c>
      <c r="C356" t="s">
        <v>97</v>
      </c>
      <c r="D356">
        <v>19.6188</v>
      </c>
      <c r="E356">
        <f>Tableau5[[#This Row],[Potential (PJ)]]/3.6</f>
        <v>5.4496666666666664</v>
      </c>
      <c r="F356">
        <v>18.393922951709168</v>
      </c>
      <c r="G356">
        <f>Tableau5[[#This Row],[Cost (€/GJ)]]*3.6</f>
        <v>66.218122626153004</v>
      </c>
      <c r="H356">
        <v>20</v>
      </c>
      <c r="I356">
        <f>Tableau5[[#This Row],[GHG (kgCO2eq/GJ)]]*3.6</f>
        <v>72</v>
      </c>
      <c r="J356" t="s">
        <v>107</v>
      </c>
      <c r="K356" t="s">
        <v>109</v>
      </c>
    </row>
    <row r="357" spans="1:11" x14ac:dyDescent="0.3">
      <c r="A357" t="s">
        <v>21</v>
      </c>
      <c r="B357" t="s">
        <v>51</v>
      </c>
      <c r="C357" t="s">
        <v>75</v>
      </c>
      <c r="D357">
        <v>58.366529999999997</v>
      </c>
      <c r="E357">
        <f>Tableau5[[#This Row],[Potential (PJ)]]/3.6</f>
        <v>16.212924999999998</v>
      </c>
      <c r="F357">
        <v>9.7486631906593998E-2</v>
      </c>
      <c r="G357">
        <f>Tableau5[[#This Row],[Cost (€/GJ)]]*3.6</f>
        <v>0.35095187486373841</v>
      </c>
      <c r="H357">
        <v>11.74</v>
      </c>
      <c r="I357">
        <f>Tableau5[[#This Row],[GHG (kgCO2eq/GJ)]]*3.6</f>
        <v>42.264000000000003</v>
      </c>
      <c r="J357" t="s">
        <v>104</v>
      </c>
      <c r="K357" t="s">
        <v>108</v>
      </c>
    </row>
    <row r="358" spans="1:11" x14ac:dyDescent="0.3">
      <c r="A358" t="s">
        <v>21</v>
      </c>
      <c r="B358" t="s">
        <v>60</v>
      </c>
      <c r="C358" t="s">
        <v>98</v>
      </c>
      <c r="D358">
        <v>79.589129999999997</v>
      </c>
      <c r="E358">
        <f>Tableau5[[#This Row],[Potential (PJ)]]/3.6</f>
        <v>22.108091666666667</v>
      </c>
      <c r="F358">
        <v>17.3469387755102</v>
      </c>
      <c r="G358">
        <f>Tableau5[[#This Row],[Cost (€/GJ)]]*3.6</f>
        <v>62.448979591836718</v>
      </c>
      <c r="H358">
        <v>26.3</v>
      </c>
      <c r="I358">
        <f>Tableau5[[#This Row],[GHG (kgCO2eq/GJ)]]*3.6</f>
        <v>94.68</v>
      </c>
      <c r="J358" t="s">
        <v>107</v>
      </c>
      <c r="K358" t="s">
        <v>109</v>
      </c>
    </row>
    <row r="359" spans="1:11" x14ac:dyDescent="0.3">
      <c r="A359" t="s">
        <v>21</v>
      </c>
      <c r="B359" t="s">
        <v>52</v>
      </c>
      <c r="C359" t="s">
        <v>76</v>
      </c>
      <c r="D359">
        <v>4.0000000000000001E-3</v>
      </c>
      <c r="E359">
        <f>Tableau5[[#This Row],[Potential (PJ)]]/3.6</f>
        <v>1.1111111111111111E-3</v>
      </c>
      <c r="F359">
        <v>8.4824999999999999</v>
      </c>
      <c r="G359">
        <f>Tableau5[[#This Row],[Cost (€/GJ)]]*3.6</f>
        <v>30.536999999999999</v>
      </c>
      <c r="H359">
        <v>12.68872359754714</v>
      </c>
      <c r="I359">
        <f>Tableau5[[#This Row],[GHG (kgCO2eq/GJ)]]*3.6</f>
        <v>45.679404951169708</v>
      </c>
      <c r="J359" t="s">
        <v>105</v>
      </c>
      <c r="K359" t="s">
        <v>108</v>
      </c>
    </row>
    <row r="360" spans="1:11" x14ac:dyDescent="0.3">
      <c r="A360" t="s">
        <v>21</v>
      </c>
      <c r="B360" t="s">
        <v>53</v>
      </c>
      <c r="C360" t="s">
        <v>77</v>
      </c>
      <c r="D360">
        <v>76.843220000000002</v>
      </c>
      <c r="E360">
        <f>Tableau5[[#This Row],[Potential (PJ)]]/3.6</f>
        <v>21.34533888888889</v>
      </c>
      <c r="F360">
        <v>4.7871030129919081</v>
      </c>
      <c r="G360">
        <f>Tableau5[[#This Row],[Cost (€/GJ)]]*3.6</f>
        <v>17.233570846770871</v>
      </c>
      <c r="H360">
        <v>3.86607608129234</v>
      </c>
      <c r="I360">
        <f>Tableau5[[#This Row],[GHG (kgCO2eq/GJ)]]*3.6</f>
        <v>13.917873892652425</v>
      </c>
      <c r="J360" t="s">
        <v>104</v>
      </c>
      <c r="K360" t="s">
        <v>108</v>
      </c>
    </row>
    <row r="361" spans="1:11" x14ac:dyDescent="0.3">
      <c r="A361" t="s">
        <v>21</v>
      </c>
      <c r="B361" t="s">
        <v>61</v>
      </c>
      <c r="C361" t="s">
        <v>99</v>
      </c>
      <c r="D361">
        <v>15.2</v>
      </c>
      <c r="E361">
        <f>Tableau5[[#This Row],[Potential (PJ)]]/3.6</f>
        <v>4.2222222222222223</v>
      </c>
      <c r="F361">
        <v>2.3803552631578939</v>
      </c>
      <c r="G361">
        <f>Tableau5[[#This Row],[Cost (€/GJ)]]*3.6</f>
        <v>8.569278947368419</v>
      </c>
      <c r="H361">
        <v>2.9245635910224439</v>
      </c>
      <c r="I361">
        <f>Tableau5[[#This Row],[GHG (kgCO2eq/GJ)]]*3.6</f>
        <v>10.528428927680798</v>
      </c>
      <c r="J361" t="s">
        <v>104</v>
      </c>
      <c r="K361" t="s">
        <v>108</v>
      </c>
    </row>
    <row r="362" spans="1:11" x14ac:dyDescent="0.3">
      <c r="A362" t="s">
        <v>21</v>
      </c>
      <c r="B362" t="s">
        <v>62</v>
      </c>
      <c r="C362" t="s">
        <v>100</v>
      </c>
      <c r="D362">
        <v>4.5</v>
      </c>
      <c r="E362">
        <f>Tableau5[[#This Row],[Potential (PJ)]]/3.6</f>
        <v>1.25</v>
      </c>
      <c r="F362">
        <v>0.17333333333333331</v>
      </c>
      <c r="G362">
        <f>Tableau5[[#This Row],[Cost (€/GJ)]]*3.6</f>
        <v>0.62399999999999989</v>
      </c>
      <c r="H362">
        <v>2.6764106050305911</v>
      </c>
      <c r="I362">
        <f>Tableau5[[#This Row],[GHG (kgCO2eq/GJ)]]*3.6</f>
        <v>9.6350781781101276</v>
      </c>
      <c r="J362" t="s">
        <v>104</v>
      </c>
      <c r="K362" t="s">
        <v>108</v>
      </c>
    </row>
    <row r="363" spans="1:11" x14ac:dyDescent="0.3">
      <c r="A363" t="s">
        <v>21</v>
      </c>
      <c r="B363" t="s">
        <v>54</v>
      </c>
      <c r="C363" t="s">
        <v>78</v>
      </c>
      <c r="D363">
        <v>209.1</v>
      </c>
      <c r="E363">
        <f>Tableau5[[#This Row],[Potential (PJ)]]/3.6</f>
        <v>58.083333333333329</v>
      </c>
      <c r="F363">
        <v>10.018890004782399</v>
      </c>
      <c r="G363">
        <f>Tableau5[[#This Row],[Cost (€/GJ)]]*3.6</f>
        <v>36.068004017216637</v>
      </c>
      <c r="H363">
        <v>3.86607608129234</v>
      </c>
      <c r="I363">
        <f>Tableau5[[#This Row],[GHG (kgCO2eq/GJ)]]*3.6</f>
        <v>13.917873892652425</v>
      </c>
      <c r="J363" t="s">
        <v>104</v>
      </c>
      <c r="K363" t="s">
        <v>108</v>
      </c>
    </row>
    <row r="364" spans="1:11" x14ac:dyDescent="0.3">
      <c r="A364" t="s">
        <v>22</v>
      </c>
      <c r="B364" t="s">
        <v>46</v>
      </c>
      <c r="C364" t="s">
        <v>103</v>
      </c>
      <c r="D364">
        <v>5.367</v>
      </c>
      <c r="E364">
        <f>Tableau5[[#This Row],[Potential (PJ)]]/3.6</f>
        <v>1.4908333333333332</v>
      </c>
      <c r="F364">
        <v>0</v>
      </c>
      <c r="G364">
        <f>Tableau5[[#This Row],[Cost (€/GJ)]]*3.6</f>
        <v>0</v>
      </c>
      <c r="I364">
        <f>Tableau5[[#This Row],[GHG (kgCO2eq/GJ)]]*3.6</f>
        <v>0</v>
      </c>
    </row>
    <row r="365" spans="1:11" x14ac:dyDescent="0.3">
      <c r="A365" t="s">
        <v>22</v>
      </c>
      <c r="B365" t="s">
        <v>46</v>
      </c>
      <c r="C365" t="s">
        <v>63</v>
      </c>
      <c r="D365">
        <v>3.8100000000000002E-2</v>
      </c>
      <c r="E365">
        <f>Tableau5[[#This Row],[Potential (PJ)]]/3.6</f>
        <v>1.0583333333333333E-2</v>
      </c>
      <c r="F365">
        <v>2.9286474973375931</v>
      </c>
      <c r="G365">
        <f>Tableau5[[#This Row],[Cost (€/GJ)]]*3.6</f>
        <v>10.543130990415335</v>
      </c>
      <c r="H365">
        <v>3.950479233226837</v>
      </c>
      <c r="I365">
        <f>Tableau5[[#This Row],[GHG (kgCO2eq/GJ)]]*3.6</f>
        <v>14.221725239616614</v>
      </c>
      <c r="J365" t="s">
        <v>104</v>
      </c>
      <c r="K365" t="s">
        <v>108</v>
      </c>
    </row>
    <row r="366" spans="1:11" x14ac:dyDescent="0.3">
      <c r="A366" t="s">
        <v>22</v>
      </c>
      <c r="B366" t="s">
        <v>46</v>
      </c>
      <c r="C366" t="s">
        <v>80</v>
      </c>
      <c r="D366">
        <v>0.4143</v>
      </c>
      <c r="E366">
        <f>Tableau5[[#This Row],[Potential (PJ)]]/3.6</f>
        <v>0.11508333333333333</v>
      </c>
      <c r="F366">
        <v>0.91773432231962238</v>
      </c>
      <c r="G366">
        <f>Tableau5[[#This Row],[Cost (€/GJ)]]*3.6</f>
        <v>3.3038435603506406</v>
      </c>
      <c r="H366">
        <v>28.139870918023309</v>
      </c>
      <c r="I366">
        <f>Tableau5[[#This Row],[GHG (kgCO2eq/GJ)]]*3.6</f>
        <v>101.30353530488391</v>
      </c>
      <c r="J366" t="s">
        <v>105</v>
      </c>
      <c r="K366" t="s">
        <v>108</v>
      </c>
    </row>
    <row r="367" spans="1:11" x14ac:dyDescent="0.3">
      <c r="A367" t="s">
        <v>22</v>
      </c>
      <c r="B367" t="s">
        <v>46</v>
      </c>
      <c r="C367" t="s">
        <v>81</v>
      </c>
      <c r="D367">
        <v>0.33789999999999998</v>
      </c>
      <c r="E367">
        <f>Tableau5[[#This Row],[Potential (PJ)]]/3.6</f>
        <v>9.3861111111111103E-2</v>
      </c>
      <c r="F367">
        <v>3.6856639247943601</v>
      </c>
      <c r="G367">
        <f>Tableau5[[#This Row],[Cost (€/GJ)]]*3.6</f>
        <v>13.268390129259696</v>
      </c>
      <c r="H367">
        <v>8.9647473560517046</v>
      </c>
      <c r="I367">
        <f>Tableau5[[#This Row],[GHG (kgCO2eq/GJ)]]*3.6</f>
        <v>32.273090481786134</v>
      </c>
      <c r="J367" t="s">
        <v>105</v>
      </c>
      <c r="K367" t="s">
        <v>108</v>
      </c>
    </row>
    <row r="368" spans="1:11" x14ac:dyDescent="0.3">
      <c r="A368" t="s">
        <v>22</v>
      </c>
      <c r="B368" t="s">
        <v>55</v>
      </c>
      <c r="C368" t="s">
        <v>87</v>
      </c>
      <c r="D368">
        <v>25.9925</v>
      </c>
      <c r="E368">
        <f>Tableau5[[#This Row],[Potential (PJ)]]/3.6</f>
        <v>7.2201388888888882</v>
      </c>
      <c r="F368">
        <v>12.648999999999999</v>
      </c>
      <c r="G368">
        <f>Tableau5[[#This Row],[Cost (€/GJ)]]*3.6</f>
        <v>45.5364</v>
      </c>
      <c r="H368">
        <v>11.5</v>
      </c>
      <c r="I368">
        <f>Tableau5[[#This Row],[GHG (kgCO2eq/GJ)]]*3.6</f>
        <v>41.4</v>
      </c>
      <c r="J368" t="s">
        <v>106</v>
      </c>
      <c r="K368" t="s">
        <v>109</v>
      </c>
    </row>
    <row r="369" spans="1:11" x14ac:dyDescent="0.3">
      <c r="A369" t="s">
        <v>22</v>
      </c>
      <c r="B369" t="s">
        <v>55</v>
      </c>
      <c r="C369" t="s">
        <v>88</v>
      </c>
      <c r="D369">
        <v>0.47310000000000002</v>
      </c>
      <c r="E369">
        <f>Tableau5[[#This Row],[Potential (PJ)]]/3.6</f>
        <v>0.13141666666666668</v>
      </c>
      <c r="F369">
        <v>8.6709999999999994</v>
      </c>
      <c r="G369">
        <f>Tableau5[[#This Row],[Cost (€/GJ)]]*3.6</f>
        <v>31.215599999999998</v>
      </c>
      <c r="H369">
        <v>11.5</v>
      </c>
      <c r="I369">
        <f>Tableau5[[#This Row],[GHG (kgCO2eq/GJ)]]*3.6</f>
        <v>41.4</v>
      </c>
      <c r="J369" t="s">
        <v>106</v>
      </c>
      <c r="K369" t="s">
        <v>109</v>
      </c>
    </row>
    <row r="370" spans="1:11" x14ac:dyDescent="0.3">
      <c r="A370" t="s">
        <v>22</v>
      </c>
      <c r="B370" t="s">
        <v>55</v>
      </c>
      <c r="C370" t="s">
        <v>89</v>
      </c>
      <c r="D370">
        <v>8.0000000000000004E-4</v>
      </c>
      <c r="E370">
        <f>Tableau5[[#This Row],[Potential (PJ)]]/3.6</f>
        <v>2.2222222222222223E-4</v>
      </c>
      <c r="F370">
        <v>0</v>
      </c>
      <c r="G370">
        <f>Tableau5[[#This Row],[Cost (€/GJ)]]*3.6</f>
        <v>0</v>
      </c>
      <c r="H370">
        <v>11.5</v>
      </c>
      <c r="I370">
        <f>Tableau5[[#This Row],[GHG (kgCO2eq/GJ)]]*3.6</f>
        <v>41.4</v>
      </c>
      <c r="J370" t="s">
        <v>106</v>
      </c>
      <c r="K370" t="s">
        <v>109</v>
      </c>
    </row>
    <row r="371" spans="1:11" x14ac:dyDescent="0.3">
      <c r="A371" t="s">
        <v>22</v>
      </c>
      <c r="B371" t="s">
        <v>55</v>
      </c>
      <c r="C371" t="s">
        <v>92</v>
      </c>
      <c r="D371">
        <v>4.9500000000000002E-2</v>
      </c>
      <c r="E371">
        <f>Tableau5[[#This Row],[Potential (PJ)]]/3.6</f>
        <v>1.375E-2</v>
      </c>
      <c r="F371">
        <v>12.648999999999999</v>
      </c>
      <c r="G371">
        <f>Tableau5[[#This Row],[Cost (€/GJ)]]*3.6</f>
        <v>45.5364</v>
      </c>
      <c r="H371">
        <v>11.5</v>
      </c>
      <c r="I371">
        <f>Tableau5[[#This Row],[GHG (kgCO2eq/GJ)]]*3.6</f>
        <v>41.4</v>
      </c>
      <c r="J371" t="s">
        <v>106</v>
      </c>
      <c r="K371" t="s">
        <v>109</v>
      </c>
    </row>
    <row r="372" spans="1:11" x14ac:dyDescent="0.3">
      <c r="A372" t="s">
        <v>22</v>
      </c>
      <c r="B372" t="s">
        <v>49</v>
      </c>
      <c r="C372" t="s">
        <v>71</v>
      </c>
      <c r="D372">
        <v>11.071580000000001</v>
      </c>
      <c r="E372">
        <f>Tableau5[[#This Row],[Potential (PJ)]]/3.6</f>
        <v>3.0754388888888888</v>
      </c>
      <c r="F372">
        <v>3.2080000000000002</v>
      </c>
      <c r="G372">
        <f>Tableau5[[#This Row],[Cost (€/GJ)]]*3.6</f>
        <v>11.548800000000002</v>
      </c>
      <c r="H372">
        <v>3.86607608129234</v>
      </c>
      <c r="I372">
        <f>Tableau5[[#This Row],[GHG (kgCO2eq/GJ)]]*3.6</f>
        <v>13.917873892652425</v>
      </c>
      <c r="J372" t="s">
        <v>104</v>
      </c>
      <c r="K372" t="s">
        <v>108</v>
      </c>
    </row>
    <row r="373" spans="1:11" x14ac:dyDescent="0.3">
      <c r="A373" t="s">
        <v>22</v>
      </c>
      <c r="B373" t="s">
        <v>49</v>
      </c>
      <c r="C373" t="s">
        <v>72</v>
      </c>
      <c r="D373">
        <v>2</v>
      </c>
      <c r="E373">
        <f>Tableau5[[#This Row],[Potential (PJ)]]/3.6</f>
        <v>0.55555555555555558</v>
      </c>
      <c r="F373">
        <v>2.1844999999999999</v>
      </c>
      <c r="G373">
        <f>Tableau5[[#This Row],[Cost (€/GJ)]]*3.6</f>
        <v>7.8641999999999994</v>
      </c>
      <c r="H373">
        <v>3.86607608129234</v>
      </c>
      <c r="I373">
        <f>Tableau5[[#This Row],[GHG (kgCO2eq/GJ)]]*3.6</f>
        <v>13.917873892652425</v>
      </c>
      <c r="J373" t="s">
        <v>104</v>
      </c>
      <c r="K373" t="s">
        <v>108</v>
      </c>
    </row>
    <row r="374" spans="1:11" x14ac:dyDescent="0.3">
      <c r="A374" t="s">
        <v>22</v>
      </c>
      <c r="B374" t="s">
        <v>58</v>
      </c>
      <c r="C374" t="s">
        <v>103</v>
      </c>
      <c r="D374">
        <v>1.0837810000000001</v>
      </c>
      <c r="E374">
        <f>Tableau5[[#This Row],[Potential (PJ)]]/3.6</f>
        <v>0.30105027777777782</v>
      </c>
      <c r="F374">
        <v>0</v>
      </c>
      <c r="G374">
        <f>Tableau5[[#This Row],[Cost (€/GJ)]]*3.6</f>
        <v>0</v>
      </c>
      <c r="I374">
        <f>Tableau5[[#This Row],[GHG (kgCO2eq/GJ)]]*3.6</f>
        <v>0</v>
      </c>
    </row>
    <row r="375" spans="1:11" x14ac:dyDescent="0.3">
      <c r="A375" t="s">
        <v>22</v>
      </c>
      <c r="B375" t="s">
        <v>50</v>
      </c>
      <c r="C375" t="s">
        <v>103</v>
      </c>
      <c r="D375">
        <v>2.1116990000000002</v>
      </c>
      <c r="E375">
        <f>Tableau5[[#This Row],[Potential (PJ)]]/3.6</f>
        <v>0.58658305555555557</v>
      </c>
      <c r="F375">
        <v>0</v>
      </c>
      <c r="G375">
        <f>Tableau5[[#This Row],[Cost (€/GJ)]]*3.6</f>
        <v>0</v>
      </c>
      <c r="I375">
        <f>Tableau5[[#This Row],[GHG (kgCO2eq/GJ)]]*3.6</f>
        <v>0</v>
      </c>
    </row>
    <row r="376" spans="1:11" x14ac:dyDescent="0.3">
      <c r="A376" t="s">
        <v>22</v>
      </c>
      <c r="B376" t="s">
        <v>51</v>
      </c>
      <c r="C376" t="s">
        <v>75</v>
      </c>
      <c r="D376">
        <v>5.1743999999999998E-2</v>
      </c>
      <c r="E376">
        <f>Tableau5[[#This Row],[Potential (PJ)]]/3.6</f>
        <v>1.4373333333333332E-2</v>
      </c>
      <c r="F376">
        <v>4.0460041093785301E-2</v>
      </c>
      <c r="G376">
        <f>Tableau5[[#This Row],[Cost (€/GJ)]]*3.6</f>
        <v>0.1456561479376271</v>
      </c>
      <c r="H376">
        <v>11.74</v>
      </c>
      <c r="I376">
        <f>Tableau5[[#This Row],[GHG (kgCO2eq/GJ)]]*3.6</f>
        <v>42.264000000000003</v>
      </c>
      <c r="J376" t="s">
        <v>104</v>
      </c>
      <c r="K376" t="s">
        <v>108</v>
      </c>
    </row>
    <row r="377" spans="1:11" x14ac:dyDescent="0.3">
      <c r="A377" t="s">
        <v>22</v>
      </c>
      <c r="B377" t="s">
        <v>52</v>
      </c>
      <c r="C377" t="s">
        <v>76</v>
      </c>
      <c r="D377">
        <v>2.1000000000000001E-2</v>
      </c>
      <c r="E377">
        <f>Tableau5[[#This Row],[Potential (PJ)]]/3.6</f>
        <v>5.8333333333333336E-3</v>
      </c>
      <c r="F377">
        <v>8.4824999999999999</v>
      </c>
      <c r="G377">
        <f>Tableau5[[#This Row],[Cost (€/GJ)]]*3.6</f>
        <v>30.536999999999999</v>
      </c>
      <c r="H377">
        <v>12.68872359754714</v>
      </c>
      <c r="I377">
        <f>Tableau5[[#This Row],[GHG (kgCO2eq/GJ)]]*3.6</f>
        <v>45.679404951169708</v>
      </c>
      <c r="J377" t="s">
        <v>105</v>
      </c>
      <c r="K377" t="s">
        <v>108</v>
      </c>
    </row>
    <row r="378" spans="1:11" x14ac:dyDescent="0.3">
      <c r="A378" t="s">
        <v>22</v>
      </c>
      <c r="B378" t="s">
        <v>53</v>
      </c>
      <c r="C378" t="s">
        <v>77</v>
      </c>
      <c r="D378">
        <v>3.58649</v>
      </c>
      <c r="E378">
        <f>Tableau5[[#This Row],[Potential (PJ)]]/3.6</f>
        <v>0.99624722222222217</v>
      </c>
      <c r="F378">
        <v>2.1844817021656269</v>
      </c>
      <c r="G378">
        <f>Tableau5[[#This Row],[Cost (€/GJ)]]*3.6</f>
        <v>7.8641341277962571</v>
      </c>
      <c r="H378">
        <v>3.86607608129234</v>
      </c>
      <c r="I378">
        <f>Tableau5[[#This Row],[GHG (kgCO2eq/GJ)]]*3.6</f>
        <v>13.917873892652425</v>
      </c>
      <c r="J378" t="s">
        <v>104</v>
      </c>
      <c r="K378" t="s">
        <v>108</v>
      </c>
    </row>
    <row r="379" spans="1:11" x14ac:dyDescent="0.3">
      <c r="A379" t="s">
        <v>22</v>
      </c>
      <c r="B379" t="s">
        <v>61</v>
      </c>
      <c r="C379" t="s">
        <v>103</v>
      </c>
      <c r="D379">
        <v>0.29282200000000003</v>
      </c>
      <c r="E379">
        <f>Tableau5[[#This Row],[Potential (PJ)]]/3.6</f>
        <v>8.133944444444445E-2</v>
      </c>
      <c r="F379">
        <v>0</v>
      </c>
      <c r="G379">
        <f>Tableau5[[#This Row],[Cost (€/GJ)]]*3.6</f>
        <v>0</v>
      </c>
      <c r="I379">
        <f>Tableau5[[#This Row],[GHG (kgCO2eq/GJ)]]*3.6</f>
        <v>0</v>
      </c>
    </row>
    <row r="380" spans="1:11" x14ac:dyDescent="0.3">
      <c r="A380" t="s">
        <v>22</v>
      </c>
      <c r="B380" t="s">
        <v>62</v>
      </c>
      <c r="C380" t="s">
        <v>103</v>
      </c>
      <c r="D380">
        <v>9.1351999999999989E-2</v>
      </c>
      <c r="E380">
        <f>Tableau5[[#This Row],[Potential (PJ)]]/3.6</f>
        <v>2.5375555555555551E-2</v>
      </c>
      <c r="F380">
        <v>0</v>
      </c>
      <c r="G380">
        <f>Tableau5[[#This Row],[Cost (€/GJ)]]*3.6</f>
        <v>0</v>
      </c>
      <c r="I380">
        <f>Tableau5[[#This Row],[GHG (kgCO2eq/GJ)]]*3.6</f>
        <v>0</v>
      </c>
    </row>
    <row r="381" spans="1:11" x14ac:dyDescent="0.3">
      <c r="A381" t="s">
        <v>22</v>
      </c>
      <c r="B381" t="s">
        <v>54</v>
      </c>
      <c r="C381" t="s">
        <v>78</v>
      </c>
      <c r="D381">
        <v>19.8</v>
      </c>
      <c r="E381">
        <f>Tableau5[[#This Row],[Potential (PJ)]]/3.6</f>
        <v>5.5</v>
      </c>
      <c r="F381">
        <v>4.0129999999999999</v>
      </c>
      <c r="G381">
        <f>Tableau5[[#This Row],[Cost (€/GJ)]]*3.6</f>
        <v>14.4468</v>
      </c>
      <c r="H381">
        <v>3.86607608129234</v>
      </c>
      <c r="I381">
        <f>Tableau5[[#This Row],[GHG (kgCO2eq/GJ)]]*3.6</f>
        <v>13.917873892652425</v>
      </c>
      <c r="J381" t="s">
        <v>104</v>
      </c>
      <c r="K381" t="s">
        <v>108</v>
      </c>
    </row>
    <row r="382" spans="1:11" x14ac:dyDescent="0.3">
      <c r="A382" t="s">
        <v>23</v>
      </c>
      <c r="B382" t="s">
        <v>46</v>
      </c>
      <c r="C382" t="s">
        <v>64</v>
      </c>
      <c r="D382">
        <v>0.17266999999999999</v>
      </c>
      <c r="E382">
        <f>Tableau5[[#This Row],[Potential (PJ)]]/3.6</f>
        <v>4.7963888888888882E-2</v>
      </c>
      <c r="F382">
        <v>4.9883640470261197</v>
      </c>
      <c r="G382">
        <f>Tableau5[[#This Row],[Cost (€/GJ)]]*3.6</f>
        <v>17.958110569294032</v>
      </c>
      <c r="H382">
        <v>2.9521711768407801</v>
      </c>
      <c r="I382">
        <f>Tableau5[[#This Row],[GHG (kgCO2eq/GJ)]]*3.6</f>
        <v>10.627816236626808</v>
      </c>
      <c r="J382" t="s">
        <v>104</v>
      </c>
      <c r="K382" t="s">
        <v>108</v>
      </c>
    </row>
    <row r="383" spans="1:11" x14ac:dyDescent="0.3">
      <c r="A383" t="s">
        <v>23</v>
      </c>
      <c r="B383" t="s">
        <v>46</v>
      </c>
      <c r="C383" t="s">
        <v>79</v>
      </c>
      <c r="D383">
        <v>16.8</v>
      </c>
      <c r="E383">
        <f>Tableau5[[#This Row],[Potential (PJ)]]/3.6</f>
        <v>4.666666666666667</v>
      </c>
      <c r="F383">
        <v>4.3470000000000004</v>
      </c>
      <c r="G383">
        <f>Tableau5[[#This Row],[Cost (€/GJ)]]*3.6</f>
        <v>15.649200000000002</v>
      </c>
      <c r="H383">
        <v>6.8428961748633883</v>
      </c>
      <c r="I383">
        <f>Tableau5[[#This Row],[GHG (kgCO2eq/GJ)]]*3.6</f>
        <v>24.634426229508197</v>
      </c>
      <c r="J383" t="s">
        <v>104</v>
      </c>
      <c r="K383" t="s">
        <v>108</v>
      </c>
    </row>
    <row r="384" spans="1:11" x14ac:dyDescent="0.3">
      <c r="A384" t="s">
        <v>23</v>
      </c>
      <c r="B384" t="s">
        <v>46</v>
      </c>
      <c r="C384" t="s">
        <v>80</v>
      </c>
      <c r="D384">
        <v>0.53890000000000005</v>
      </c>
      <c r="E384">
        <f>Tableau5[[#This Row],[Potential (PJ)]]/3.6</f>
        <v>0.14969444444444446</v>
      </c>
      <c r="F384">
        <v>0.26432906271072149</v>
      </c>
      <c r="G384">
        <f>Tableau5[[#This Row],[Cost (€/GJ)]]*3.6</f>
        <v>0.95158462575859737</v>
      </c>
      <c r="H384">
        <v>28.139870918023309</v>
      </c>
      <c r="I384">
        <f>Tableau5[[#This Row],[GHG (kgCO2eq/GJ)]]*3.6</f>
        <v>101.30353530488391</v>
      </c>
      <c r="J384" t="s">
        <v>105</v>
      </c>
      <c r="K384" t="s">
        <v>108</v>
      </c>
    </row>
    <row r="385" spans="1:11" x14ac:dyDescent="0.3">
      <c r="A385" t="s">
        <v>23</v>
      </c>
      <c r="B385" t="s">
        <v>46</v>
      </c>
      <c r="C385" t="s">
        <v>81</v>
      </c>
      <c r="D385">
        <v>0.2883</v>
      </c>
      <c r="E385">
        <f>Tableau5[[#This Row],[Potential (PJ)]]/3.6</f>
        <v>8.0083333333333326E-2</v>
      </c>
      <c r="F385">
        <v>1.533490011750881</v>
      </c>
      <c r="G385">
        <f>Tableau5[[#This Row],[Cost (€/GJ)]]*3.6</f>
        <v>5.5205640423031719</v>
      </c>
      <c r="H385">
        <v>8.9647473560517046</v>
      </c>
      <c r="I385">
        <f>Tableau5[[#This Row],[GHG (kgCO2eq/GJ)]]*3.6</f>
        <v>32.273090481786134</v>
      </c>
      <c r="J385" t="s">
        <v>105</v>
      </c>
      <c r="K385" t="s">
        <v>108</v>
      </c>
    </row>
    <row r="386" spans="1:11" x14ac:dyDescent="0.3">
      <c r="A386" t="s">
        <v>23</v>
      </c>
      <c r="B386" t="s">
        <v>46</v>
      </c>
      <c r="C386" t="s">
        <v>66</v>
      </c>
      <c r="D386">
        <v>9.8000000000000007</v>
      </c>
      <c r="E386">
        <f>Tableau5[[#This Row],[Potential (PJ)]]/3.6</f>
        <v>2.7222222222222223</v>
      </c>
      <c r="F386">
        <v>4.4895714285714279</v>
      </c>
      <c r="G386">
        <f>Tableau5[[#This Row],[Cost (€/GJ)]]*3.6</f>
        <v>16.162457142857139</v>
      </c>
      <c r="H386">
        <v>6.8428961748633883</v>
      </c>
      <c r="I386">
        <f>Tableau5[[#This Row],[GHG (kgCO2eq/GJ)]]*3.6</f>
        <v>24.634426229508197</v>
      </c>
      <c r="J386" t="s">
        <v>104</v>
      </c>
      <c r="K386" t="s">
        <v>108</v>
      </c>
    </row>
    <row r="387" spans="1:11" x14ac:dyDescent="0.3">
      <c r="A387" t="s">
        <v>23</v>
      </c>
      <c r="B387" t="s">
        <v>46</v>
      </c>
      <c r="C387" t="s">
        <v>82</v>
      </c>
      <c r="D387">
        <v>4.4000000000000004</v>
      </c>
      <c r="E387">
        <f>Tableau5[[#This Row],[Potential (PJ)]]/3.6</f>
        <v>1.2222222222222223</v>
      </c>
      <c r="F387">
        <v>2.7160909090909091</v>
      </c>
      <c r="G387">
        <f>Tableau5[[#This Row],[Cost (€/GJ)]]*3.6</f>
        <v>9.7779272727272737</v>
      </c>
      <c r="H387">
        <v>6.8428961748633883</v>
      </c>
      <c r="I387">
        <f>Tableau5[[#This Row],[GHG (kgCO2eq/GJ)]]*3.6</f>
        <v>24.634426229508197</v>
      </c>
      <c r="J387" t="s">
        <v>104</v>
      </c>
      <c r="K387" t="s">
        <v>108</v>
      </c>
    </row>
    <row r="388" spans="1:11" x14ac:dyDescent="0.3">
      <c r="A388" t="s">
        <v>23</v>
      </c>
      <c r="B388" t="s">
        <v>46</v>
      </c>
      <c r="C388" t="s">
        <v>83</v>
      </c>
      <c r="D388">
        <v>2.0820000000000002E-2</v>
      </c>
      <c r="E388">
        <f>Tableau5[[#This Row],[Potential (PJ)]]/3.6</f>
        <v>5.7833333333333339E-3</v>
      </c>
      <c r="F388">
        <v>0</v>
      </c>
      <c r="G388">
        <f>Tableau5[[#This Row],[Cost (€/GJ)]]*3.6</f>
        <v>0</v>
      </c>
      <c r="H388">
        <v>6.8428961748633883</v>
      </c>
      <c r="I388">
        <f>Tableau5[[#This Row],[GHG (kgCO2eq/GJ)]]*3.6</f>
        <v>24.634426229508197</v>
      </c>
      <c r="J388" t="s">
        <v>104</v>
      </c>
      <c r="K388" t="s">
        <v>108</v>
      </c>
    </row>
    <row r="389" spans="1:11" x14ac:dyDescent="0.3">
      <c r="A389" t="s">
        <v>23</v>
      </c>
      <c r="B389" t="s">
        <v>46</v>
      </c>
      <c r="C389" t="s">
        <v>85</v>
      </c>
      <c r="D389">
        <v>0.1</v>
      </c>
      <c r="E389">
        <f>Tableau5[[#This Row],[Potential (PJ)]]/3.6</f>
        <v>2.777777777777778E-2</v>
      </c>
      <c r="F389">
        <v>3.7719999999999998</v>
      </c>
      <c r="G389">
        <f>Tableau5[[#This Row],[Cost (€/GJ)]]*3.6</f>
        <v>13.5792</v>
      </c>
      <c r="H389">
        <v>2.9521711768407801</v>
      </c>
      <c r="I389">
        <f>Tableau5[[#This Row],[GHG (kgCO2eq/GJ)]]*3.6</f>
        <v>10.627816236626808</v>
      </c>
      <c r="J389" t="s">
        <v>104</v>
      </c>
      <c r="K389" t="s">
        <v>108</v>
      </c>
    </row>
    <row r="390" spans="1:11" x14ac:dyDescent="0.3">
      <c r="A390" t="s">
        <v>23</v>
      </c>
      <c r="B390" t="s">
        <v>55</v>
      </c>
      <c r="C390" t="s">
        <v>86</v>
      </c>
      <c r="D390">
        <v>0.83260000000000001</v>
      </c>
      <c r="E390">
        <f>Tableau5[[#This Row],[Potential (PJ)]]/3.6</f>
        <v>0.23127777777777778</v>
      </c>
      <c r="F390">
        <v>10.669</v>
      </c>
      <c r="G390">
        <f>Tableau5[[#This Row],[Cost (€/GJ)]]*3.6</f>
        <v>38.4084</v>
      </c>
      <c r="H390">
        <v>22.1</v>
      </c>
      <c r="I390">
        <f>Tableau5[[#This Row],[GHG (kgCO2eq/GJ)]]*3.6</f>
        <v>79.56</v>
      </c>
      <c r="J390" t="s">
        <v>106</v>
      </c>
      <c r="K390" t="s">
        <v>109</v>
      </c>
    </row>
    <row r="391" spans="1:11" x14ac:dyDescent="0.3">
      <c r="A391" t="s">
        <v>23</v>
      </c>
      <c r="B391" t="s">
        <v>55</v>
      </c>
      <c r="C391" t="s">
        <v>87</v>
      </c>
      <c r="D391">
        <v>0.443</v>
      </c>
      <c r="E391">
        <f>Tableau5[[#This Row],[Potential (PJ)]]/3.6</f>
        <v>0.12305555555555556</v>
      </c>
      <c r="F391">
        <v>11.878</v>
      </c>
      <c r="G391">
        <f>Tableau5[[#This Row],[Cost (€/GJ)]]*3.6</f>
        <v>42.760800000000003</v>
      </c>
      <c r="H391">
        <v>22.1</v>
      </c>
      <c r="I391">
        <f>Tableau5[[#This Row],[GHG (kgCO2eq/GJ)]]*3.6</f>
        <v>79.56</v>
      </c>
      <c r="J391" t="s">
        <v>106</v>
      </c>
      <c r="K391" t="s">
        <v>109</v>
      </c>
    </row>
    <row r="392" spans="1:11" x14ac:dyDescent="0.3">
      <c r="A392" t="s">
        <v>23</v>
      </c>
      <c r="B392" t="s">
        <v>55</v>
      </c>
      <c r="C392" t="s">
        <v>88</v>
      </c>
      <c r="D392">
        <v>12.5617</v>
      </c>
      <c r="E392">
        <f>Tableau5[[#This Row],[Potential (PJ)]]/3.6</f>
        <v>3.4893611111111111</v>
      </c>
      <c r="F392">
        <v>10.557</v>
      </c>
      <c r="G392">
        <f>Tableau5[[#This Row],[Cost (€/GJ)]]*3.6</f>
        <v>38.005200000000002</v>
      </c>
      <c r="H392">
        <v>22.1</v>
      </c>
      <c r="I392">
        <f>Tableau5[[#This Row],[GHG (kgCO2eq/GJ)]]*3.6</f>
        <v>79.56</v>
      </c>
      <c r="J392" t="s">
        <v>106</v>
      </c>
      <c r="K392" t="s">
        <v>109</v>
      </c>
    </row>
    <row r="393" spans="1:11" x14ac:dyDescent="0.3">
      <c r="A393" t="s">
        <v>23</v>
      </c>
      <c r="B393" t="s">
        <v>55</v>
      </c>
      <c r="C393" t="s">
        <v>90</v>
      </c>
      <c r="D393">
        <v>0.2727</v>
      </c>
      <c r="E393">
        <f>Tableau5[[#This Row],[Potential (PJ)]]/3.6</f>
        <v>7.5749999999999998E-2</v>
      </c>
      <c r="F393">
        <v>11.625999999999999</v>
      </c>
      <c r="G393">
        <f>Tableau5[[#This Row],[Cost (€/GJ)]]*3.6</f>
        <v>41.8536</v>
      </c>
      <c r="H393">
        <v>22.1</v>
      </c>
      <c r="I393">
        <f>Tableau5[[#This Row],[GHG (kgCO2eq/GJ)]]*3.6</f>
        <v>79.56</v>
      </c>
      <c r="J393" t="s">
        <v>106</v>
      </c>
      <c r="K393" t="s">
        <v>109</v>
      </c>
    </row>
    <row r="394" spans="1:11" x14ac:dyDescent="0.3">
      <c r="A394" t="s">
        <v>23</v>
      </c>
      <c r="B394" t="s">
        <v>55</v>
      </c>
      <c r="C394" t="s">
        <v>92</v>
      </c>
      <c r="D394">
        <v>0.99047000000000007</v>
      </c>
      <c r="E394">
        <f>Tableau5[[#This Row],[Potential (PJ)]]/3.6</f>
        <v>0.27513055555555554</v>
      </c>
      <c r="F394">
        <v>11.878</v>
      </c>
      <c r="G394">
        <f>Tableau5[[#This Row],[Cost (€/GJ)]]*3.6</f>
        <v>42.760800000000003</v>
      </c>
      <c r="H394">
        <v>22.1</v>
      </c>
      <c r="I394">
        <f>Tableau5[[#This Row],[GHG (kgCO2eq/GJ)]]*3.6</f>
        <v>79.56</v>
      </c>
      <c r="J394" t="s">
        <v>106</v>
      </c>
      <c r="K394" t="s">
        <v>109</v>
      </c>
    </row>
    <row r="395" spans="1:11" x14ac:dyDescent="0.3">
      <c r="A395" t="s">
        <v>23</v>
      </c>
      <c r="B395" t="s">
        <v>56</v>
      </c>
      <c r="C395" t="s">
        <v>93</v>
      </c>
      <c r="D395">
        <v>4.2585999999999986</v>
      </c>
      <c r="E395">
        <f>Tableau5[[#This Row],[Potential (PJ)]]/3.6</f>
        <v>1.1829444444444441</v>
      </c>
      <c r="F395">
        <v>2.9493975903614462</v>
      </c>
      <c r="G395">
        <f>Tableau5[[#This Row],[Cost (€/GJ)]]*3.6</f>
        <v>10.617831325301207</v>
      </c>
      <c r="H395">
        <v>26.1</v>
      </c>
      <c r="I395">
        <f>Tableau5[[#This Row],[GHG (kgCO2eq/GJ)]]*3.6</f>
        <v>93.960000000000008</v>
      </c>
      <c r="J395" t="s">
        <v>106</v>
      </c>
      <c r="K395" t="s">
        <v>109</v>
      </c>
    </row>
    <row r="396" spans="1:11" x14ac:dyDescent="0.3">
      <c r="A396" t="s">
        <v>23</v>
      </c>
      <c r="B396" t="s">
        <v>47</v>
      </c>
      <c r="C396" t="s">
        <v>68</v>
      </c>
      <c r="D396">
        <v>27.5</v>
      </c>
      <c r="E396">
        <f>Tableau5[[#This Row],[Potential (PJ)]]/3.6</f>
        <v>7.6388888888888884</v>
      </c>
      <c r="F396">
        <v>3.1211818181818178</v>
      </c>
      <c r="G396">
        <f>Tableau5[[#This Row],[Cost (€/GJ)]]*3.6</f>
        <v>11.236254545454544</v>
      </c>
      <c r="H396">
        <v>41.3</v>
      </c>
      <c r="I396">
        <f>Tableau5[[#This Row],[GHG (kgCO2eq/GJ)]]*3.6</f>
        <v>148.68</v>
      </c>
      <c r="J396" t="s">
        <v>104</v>
      </c>
      <c r="K396" t="s">
        <v>109</v>
      </c>
    </row>
    <row r="397" spans="1:11" x14ac:dyDescent="0.3">
      <c r="A397" t="s">
        <v>23</v>
      </c>
      <c r="B397" t="s">
        <v>47</v>
      </c>
      <c r="C397" t="s">
        <v>69</v>
      </c>
      <c r="D397">
        <v>23.8</v>
      </c>
      <c r="E397">
        <f>Tableau5[[#This Row],[Potential (PJ)]]/3.6</f>
        <v>6.6111111111111107</v>
      </c>
      <c r="F397">
        <v>2.8909117647058822</v>
      </c>
      <c r="G397">
        <f>Tableau5[[#This Row],[Cost (€/GJ)]]*3.6</f>
        <v>10.407282352941175</v>
      </c>
      <c r="H397">
        <v>41.3</v>
      </c>
      <c r="I397">
        <f>Tableau5[[#This Row],[GHG (kgCO2eq/GJ)]]*3.6</f>
        <v>148.68</v>
      </c>
      <c r="J397" t="s">
        <v>104</v>
      </c>
      <c r="K397" t="s">
        <v>109</v>
      </c>
    </row>
    <row r="398" spans="1:11" x14ac:dyDescent="0.3">
      <c r="A398" t="s">
        <v>23</v>
      </c>
      <c r="B398" t="s">
        <v>57</v>
      </c>
      <c r="C398" t="s">
        <v>94</v>
      </c>
      <c r="D398">
        <v>17.399999999999999</v>
      </c>
      <c r="E398">
        <f>Tableau5[[#This Row],[Potential (PJ)]]/3.6</f>
        <v>4.833333333333333</v>
      </c>
      <c r="F398">
        <v>7.3531379310344827</v>
      </c>
      <c r="G398">
        <f>Tableau5[[#This Row],[Cost (€/GJ)]]*3.6</f>
        <v>26.471296551724137</v>
      </c>
      <c r="H398">
        <v>46.8</v>
      </c>
      <c r="I398">
        <f>Tableau5[[#This Row],[GHG (kgCO2eq/GJ)]]*3.6</f>
        <v>168.48</v>
      </c>
      <c r="J398" t="s">
        <v>104</v>
      </c>
      <c r="K398" t="s">
        <v>109</v>
      </c>
    </row>
    <row r="399" spans="1:11" x14ac:dyDescent="0.3">
      <c r="A399" t="s">
        <v>23</v>
      </c>
      <c r="B399" t="s">
        <v>49</v>
      </c>
      <c r="C399" t="s">
        <v>71</v>
      </c>
      <c r="D399">
        <v>27.097570000000001</v>
      </c>
      <c r="E399">
        <f>Tableau5[[#This Row],[Potential (PJ)]]/3.6</f>
        <v>7.5271027777777775</v>
      </c>
      <c r="F399">
        <v>2.6872751958939491</v>
      </c>
      <c r="G399">
        <f>Tableau5[[#This Row],[Cost (€/GJ)]]*3.6</f>
        <v>9.6741907052182174</v>
      </c>
      <c r="H399">
        <v>3.86607608129234</v>
      </c>
      <c r="I399">
        <f>Tableau5[[#This Row],[GHG (kgCO2eq/GJ)]]*3.6</f>
        <v>13.917873892652425</v>
      </c>
      <c r="J399" t="s">
        <v>104</v>
      </c>
      <c r="K399" t="s">
        <v>108</v>
      </c>
    </row>
    <row r="400" spans="1:11" x14ac:dyDescent="0.3">
      <c r="A400" t="s">
        <v>23</v>
      </c>
      <c r="B400" t="s">
        <v>49</v>
      </c>
      <c r="C400" t="s">
        <v>72</v>
      </c>
      <c r="D400">
        <v>6.4</v>
      </c>
      <c r="E400">
        <f>Tableau5[[#This Row],[Potential (PJ)]]/3.6</f>
        <v>1.7777777777777779</v>
      </c>
      <c r="F400">
        <v>3.6432656250000002</v>
      </c>
      <c r="G400">
        <f>Tableau5[[#This Row],[Cost (€/GJ)]]*3.6</f>
        <v>13.11575625</v>
      </c>
      <c r="H400">
        <v>3.86607608129234</v>
      </c>
      <c r="I400">
        <f>Tableau5[[#This Row],[GHG (kgCO2eq/GJ)]]*3.6</f>
        <v>13.917873892652425</v>
      </c>
      <c r="J400" t="s">
        <v>104</v>
      </c>
      <c r="K400" t="s">
        <v>108</v>
      </c>
    </row>
    <row r="401" spans="1:11" x14ac:dyDescent="0.3">
      <c r="A401" t="s">
        <v>23</v>
      </c>
      <c r="B401" t="s">
        <v>58</v>
      </c>
      <c r="C401" t="s">
        <v>95</v>
      </c>
      <c r="D401">
        <v>3.2797100000000001</v>
      </c>
      <c r="E401">
        <f>Tableau5[[#This Row],[Potential (PJ)]]/3.6</f>
        <v>0.91103055555555557</v>
      </c>
      <c r="F401">
        <v>3.3759999999999999</v>
      </c>
      <c r="G401">
        <f>Tableau5[[#This Row],[Cost (€/GJ)]]*3.6</f>
        <v>12.153599999999999</v>
      </c>
      <c r="H401">
        <v>2.9521711768407801</v>
      </c>
      <c r="I401">
        <f>Tableau5[[#This Row],[GHG (kgCO2eq/GJ)]]*3.6</f>
        <v>10.627816236626808</v>
      </c>
      <c r="J401" t="s">
        <v>104</v>
      </c>
      <c r="K401" t="s">
        <v>108</v>
      </c>
    </row>
    <row r="402" spans="1:11" x14ac:dyDescent="0.3">
      <c r="A402" t="s">
        <v>23</v>
      </c>
      <c r="B402" t="s">
        <v>50</v>
      </c>
      <c r="C402" t="s">
        <v>73</v>
      </c>
      <c r="D402">
        <v>1.7</v>
      </c>
      <c r="E402">
        <f>Tableau5[[#This Row],[Potential (PJ)]]/3.6</f>
        <v>0.47222222222222221</v>
      </c>
      <c r="F402">
        <v>5.1371176470588233</v>
      </c>
      <c r="G402">
        <f>Tableau5[[#This Row],[Cost (€/GJ)]]*3.6</f>
        <v>18.493623529411764</v>
      </c>
      <c r="H402">
        <v>20.723404255319149</v>
      </c>
      <c r="I402">
        <f>Tableau5[[#This Row],[GHG (kgCO2eq/GJ)]]*3.6</f>
        <v>74.604255319148933</v>
      </c>
      <c r="J402" t="s">
        <v>105</v>
      </c>
      <c r="K402" t="s">
        <v>108</v>
      </c>
    </row>
    <row r="403" spans="1:11" x14ac:dyDescent="0.3">
      <c r="A403" t="s">
        <v>23</v>
      </c>
      <c r="B403" t="s">
        <v>50</v>
      </c>
      <c r="C403" t="s">
        <v>74</v>
      </c>
      <c r="D403">
        <v>52.4</v>
      </c>
      <c r="E403">
        <f>Tableau5[[#This Row],[Potential (PJ)]]/3.6</f>
        <v>14.555555555555555</v>
      </c>
      <c r="F403">
        <v>3.5088129770992369</v>
      </c>
      <c r="G403">
        <f>Tableau5[[#This Row],[Cost (€/GJ)]]*3.6</f>
        <v>12.631726717557253</v>
      </c>
      <c r="H403">
        <v>2.0635593220338988</v>
      </c>
      <c r="I403">
        <f>Tableau5[[#This Row],[GHG (kgCO2eq/GJ)]]*3.6</f>
        <v>7.4288135593220357</v>
      </c>
      <c r="J403" t="s">
        <v>105</v>
      </c>
      <c r="K403" t="s">
        <v>108</v>
      </c>
    </row>
    <row r="404" spans="1:11" x14ac:dyDescent="0.3">
      <c r="A404" t="s">
        <v>23</v>
      </c>
      <c r="B404" t="s">
        <v>59</v>
      </c>
      <c r="C404" t="s">
        <v>96</v>
      </c>
      <c r="D404">
        <v>1.2579</v>
      </c>
      <c r="E404">
        <f>Tableau5[[#This Row],[Potential (PJ)]]/3.6</f>
        <v>0.34941666666666665</v>
      </c>
      <c r="F404">
        <v>18.27</v>
      </c>
      <c r="G404">
        <f>Tableau5[[#This Row],[Cost (€/GJ)]]*3.6</f>
        <v>65.772000000000006</v>
      </c>
      <c r="H404">
        <v>28.2</v>
      </c>
      <c r="I404">
        <f>Tableau5[[#This Row],[GHG (kgCO2eq/GJ)]]*3.6</f>
        <v>101.52</v>
      </c>
      <c r="J404" t="s">
        <v>107</v>
      </c>
      <c r="K404" t="s">
        <v>109</v>
      </c>
    </row>
    <row r="405" spans="1:11" x14ac:dyDescent="0.3">
      <c r="A405" t="s">
        <v>23</v>
      </c>
      <c r="B405" t="s">
        <v>59</v>
      </c>
      <c r="C405" t="s">
        <v>97</v>
      </c>
      <c r="D405">
        <v>6.2286999999999999</v>
      </c>
      <c r="E405">
        <f>Tableau5[[#This Row],[Potential (PJ)]]/3.6</f>
        <v>1.7301944444444444</v>
      </c>
      <c r="F405">
        <v>18.55670103092784</v>
      </c>
      <c r="G405">
        <f>Tableau5[[#This Row],[Cost (€/GJ)]]*3.6</f>
        <v>66.804123711340225</v>
      </c>
      <c r="H405">
        <v>28.2</v>
      </c>
      <c r="I405">
        <f>Tableau5[[#This Row],[GHG (kgCO2eq/GJ)]]*3.6</f>
        <v>101.52</v>
      </c>
      <c r="J405" t="s">
        <v>107</v>
      </c>
      <c r="K405" t="s">
        <v>109</v>
      </c>
    </row>
    <row r="406" spans="1:11" x14ac:dyDescent="0.3">
      <c r="A406" t="s">
        <v>23</v>
      </c>
      <c r="B406" t="s">
        <v>51</v>
      </c>
      <c r="C406" t="s">
        <v>75</v>
      </c>
      <c r="D406">
        <v>6.1182889999999999</v>
      </c>
      <c r="E406">
        <f>Tableau5[[#This Row],[Potential (PJ)]]/3.6</f>
        <v>1.6995247222222221</v>
      </c>
      <c r="F406">
        <v>4.7402723866509996E-3</v>
      </c>
      <c r="G406">
        <f>Tableau5[[#This Row],[Cost (€/GJ)]]*3.6</f>
        <v>1.7064980591943599E-2</v>
      </c>
      <c r="H406">
        <v>11.74</v>
      </c>
      <c r="I406">
        <f>Tableau5[[#This Row],[GHG (kgCO2eq/GJ)]]*3.6</f>
        <v>42.264000000000003</v>
      </c>
      <c r="J406" t="s">
        <v>104</v>
      </c>
      <c r="K406" t="s">
        <v>108</v>
      </c>
    </row>
    <row r="407" spans="1:11" x14ac:dyDescent="0.3">
      <c r="A407" t="s">
        <v>23</v>
      </c>
      <c r="B407" t="s">
        <v>60</v>
      </c>
      <c r="C407" t="s">
        <v>98</v>
      </c>
      <c r="D407">
        <v>2.5007100000000002</v>
      </c>
      <c r="E407">
        <f>Tableau5[[#This Row],[Potential (PJ)]]/3.6</f>
        <v>0.69464166666666671</v>
      </c>
      <c r="F407">
        <v>18.582169709989259</v>
      </c>
      <c r="G407">
        <f>Tableau5[[#This Row],[Cost (€/GJ)]]*3.6</f>
        <v>66.895810955961338</v>
      </c>
      <c r="H407">
        <v>47.4</v>
      </c>
      <c r="I407">
        <f>Tableau5[[#This Row],[GHG (kgCO2eq/GJ)]]*3.6</f>
        <v>170.64</v>
      </c>
      <c r="J407" t="s">
        <v>107</v>
      </c>
      <c r="K407" t="s">
        <v>109</v>
      </c>
    </row>
    <row r="408" spans="1:11" x14ac:dyDescent="0.3">
      <c r="A408" t="s">
        <v>23</v>
      </c>
      <c r="B408" t="s">
        <v>52</v>
      </c>
      <c r="C408" t="s">
        <v>76</v>
      </c>
      <c r="D408">
        <v>0.16500000000000001</v>
      </c>
      <c r="E408">
        <f>Tableau5[[#This Row],[Potential (PJ)]]/3.6</f>
        <v>4.5833333333333337E-2</v>
      </c>
      <c r="F408">
        <v>8.4824999999999999</v>
      </c>
      <c r="G408">
        <f>Tableau5[[#This Row],[Cost (€/GJ)]]*3.6</f>
        <v>30.536999999999999</v>
      </c>
      <c r="H408">
        <v>12.68872359754714</v>
      </c>
      <c r="I408">
        <f>Tableau5[[#This Row],[GHG (kgCO2eq/GJ)]]*3.6</f>
        <v>45.679404951169708</v>
      </c>
      <c r="J408" t="s">
        <v>105</v>
      </c>
      <c r="K408" t="s">
        <v>108</v>
      </c>
    </row>
    <row r="409" spans="1:11" x14ac:dyDescent="0.3">
      <c r="A409" t="s">
        <v>23</v>
      </c>
      <c r="B409" t="s">
        <v>53</v>
      </c>
      <c r="C409" t="s">
        <v>77</v>
      </c>
      <c r="D409">
        <v>7.2910500000000003</v>
      </c>
      <c r="E409">
        <f>Tableau5[[#This Row],[Potential (PJ)]]/3.6</f>
        <v>2.0252916666666665</v>
      </c>
      <c r="F409">
        <v>3.6433930503836902</v>
      </c>
      <c r="G409">
        <f>Tableau5[[#This Row],[Cost (€/GJ)]]*3.6</f>
        <v>13.116214981381285</v>
      </c>
      <c r="H409">
        <v>3.86607608129234</v>
      </c>
      <c r="I409">
        <f>Tableau5[[#This Row],[GHG (kgCO2eq/GJ)]]*3.6</f>
        <v>13.917873892652425</v>
      </c>
      <c r="J409" t="s">
        <v>104</v>
      </c>
      <c r="K409" t="s">
        <v>108</v>
      </c>
    </row>
    <row r="410" spans="1:11" x14ac:dyDescent="0.3">
      <c r="A410" t="s">
        <v>23</v>
      </c>
      <c r="B410" t="s">
        <v>61</v>
      </c>
      <c r="C410" t="s">
        <v>99</v>
      </c>
      <c r="D410">
        <v>1</v>
      </c>
      <c r="E410">
        <f>Tableau5[[#This Row],[Potential (PJ)]]/3.6</f>
        <v>0.27777777777777779</v>
      </c>
      <c r="F410">
        <v>2.4792999999999998</v>
      </c>
      <c r="G410">
        <f>Tableau5[[#This Row],[Cost (€/GJ)]]*3.6</f>
        <v>8.9254800000000003</v>
      </c>
      <c r="H410">
        <v>2.9245635910224439</v>
      </c>
      <c r="I410">
        <f>Tableau5[[#This Row],[GHG (kgCO2eq/GJ)]]*3.6</f>
        <v>10.528428927680798</v>
      </c>
      <c r="J410" t="s">
        <v>104</v>
      </c>
      <c r="K410" t="s">
        <v>108</v>
      </c>
    </row>
    <row r="411" spans="1:11" x14ac:dyDescent="0.3">
      <c r="A411" t="s">
        <v>23</v>
      </c>
      <c r="B411" t="s">
        <v>54</v>
      </c>
      <c r="C411" t="s">
        <v>78</v>
      </c>
      <c r="D411">
        <v>30.7</v>
      </c>
      <c r="E411">
        <f>Tableau5[[#This Row],[Potential (PJ)]]/3.6</f>
        <v>8.5277777777777768</v>
      </c>
      <c r="F411">
        <v>3.5933192182410418</v>
      </c>
      <c r="G411">
        <f>Tableau5[[#This Row],[Cost (€/GJ)]]*3.6</f>
        <v>12.93594918566775</v>
      </c>
      <c r="H411">
        <v>3.86607608129234</v>
      </c>
      <c r="I411">
        <f>Tableau5[[#This Row],[GHG (kgCO2eq/GJ)]]*3.6</f>
        <v>13.917873892652425</v>
      </c>
      <c r="J411" t="s">
        <v>104</v>
      </c>
      <c r="K411" t="s">
        <v>108</v>
      </c>
    </row>
    <row r="412" spans="1:11" x14ac:dyDescent="0.3">
      <c r="A412" t="s">
        <v>24</v>
      </c>
      <c r="B412" t="s">
        <v>46</v>
      </c>
      <c r="C412" t="s">
        <v>64</v>
      </c>
      <c r="D412">
        <v>9.7999999999999997E-4</v>
      </c>
      <c r="E412">
        <f>Tableau5[[#This Row],[Potential (PJ)]]/3.6</f>
        <v>2.722222222222222E-4</v>
      </c>
      <c r="F412">
        <v>5.1798163265306121</v>
      </c>
      <c r="G412">
        <f>Tableau5[[#This Row],[Cost (€/GJ)]]*3.6</f>
        <v>18.647338775510203</v>
      </c>
      <c r="H412">
        <v>2.9521711768407801</v>
      </c>
      <c r="I412">
        <f>Tableau5[[#This Row],[GHG (kgCO2eq/GJ)]]*3.6</f>
        <v>10.627816236626808</v>
      </c>
      <c r="J412" t="s">
        <v>104</v>
      </c>
      <c r="K412" t="s">
        <v>108</v>
      </c>
    </row>
    <row r="413" spans="1:11" x14ac:dyDescent="0.3">
      <c r="A413" t="s">
        <v>24</v>
      </c>
      <c r="B413" t="s">
        <v>46</v>
      </c>
      <c r="C413" t="s">
        <v>80</v>
      </c>
      <c r="D413">
        <v>5.2299999999999999E-2</v>
      </c>
      <c r="E413">
        <f>Tableau5[[#This Row],[Potential (PJ)]]/3.6</f>
        <v>1.4527777777777777E-2</v>
      </c>
      <c r="F413">
        <v>0.33378287255563049</v>
      </c>
      <c r="G413">
        <f>Tableau5[[#This Row],[Cost (€/GJ)]]*3.6</f>
        <v>1.2016183412002699</v>
      </c>
      <c r="H413">
        <v>28.139870918023309</v>
      </c>
      <c r="I413">
        <f>Tableau5[[#This Row],[GHG (kgCO2eq/GJ)]]*3.6</f>
        <v>101.30353530488391</v>
      </c>
      <c r="J413" t="s">
        <v>105</v>
      </c>
      <c r="K413" t="s">
        <v>108</v>
      </c>
    </row>
    <row r="414" spans="1:11" x14ac:dyDescent="0.3">
      <c r="A414" t="s">
        <v>24</v>
      </c>
      <c r="B414" t="s">
        <v>46</v>
      </c>
      <c r="C414" t="s">
        <v>81</v>
      </c>
      <c r="D414">
        <v>7.6800000000000007E-2</v>
      </c>
      <c r="E414">
        <f>Tableau5[[#This Row],[Potential (PJ)]]/3.6</f>
        <v>2.1333333333333336E-2</v>
      </c>
      <c r="F414">
        <v>2.6022326674500591</v>
      </c>
      <c r="G414">
        <f>Tableau5[[#This Row],[Cost (€/GJ)]]*3.6</f>
        <v>9.3680376028202126</v>
      </c>
      <c r="H414">
        <v>8.9647473560517046</v>
      </c>
      <c r="I414">
        <f>Tableau5[[#This Row],[GHG (kgCO2eq/GJ)]]*3.6</f>
        <v>32.273090481786134</v>
      </c>
      <c r="J414" t="s">
        <v>105</v>
      </c>
      <c r="K414" t="s">
        <v>108</v>
      </c>
    </row>
    <row r="415" spans="1:11" x14ac:dyDescent="0.3">
      <c r="A415" t="s">
        <v>24</v>
      </c>
      <c r="B415" t="s">
        <v>46</v>
      </c>
      <c r="C415" t="s">
        <v>82</v>
      </c>
      <c r="D415">
        <v>0.1</v>
      </c>
      <c r="E415">
        <f>Tableau5[[#This Row],[Potential (PJ)]]/3.6</f>
        <v>2.777777777777778E-2</v>
      </c>
      <c r="F415">
        <v>1.504</v>
      </c>
      <c r="G415">
        <f>Tableau5[[#This Row],[Cost (€/GJ)]]*3.6</f>
        <v>5.4144000000000005</v>
      </c>
      <c r="H415">
        <v>6.8428961748633883</v>
      </c>
      <c r="I415">
        <f>Tableau5[[#This Row],[GHG (kgCO2eq/GJ)]]*3.6</f>
        <v>24.634426229508197</v>
      </c>
      <c r="J415" t="s">
        <v>104</v>
      </c>
      <c r="K415" t="s">
        <v>108</v>
      </c>
    </row>
    <row r="416" spans="1:11" x14ac:dyDescent="0.3">
      <c r="A416" t="s">
        <v>24</v>
      </c>
      <c r="B416" t="s">
        <v>55</v>
      </c>
      <c r="C416" t="s">
        <v>86</v>
      </c>
      <c r="D416">
        <v>6.5099999999999991E-2</v>
      </c>
      <c r="E416">
        <f>Tableau5[[#This Row],[Potential (PJ)]]/3.6</f>
        <v>1.808333333333333E-2</v>
      </c>
      <c r="F416">
        <v>10.17</v>
      </c>
      <c r="G416">
        <f>Tableau5[[#This Row],[Cost (€/GJ)]]*3.6</f>
        <v>36.612000000000002</v>
      </c>
      <c r="H416">
        <v>10.199999999999999</v>
      </c>
      <c r="I416">
        <f>Tableau5[[#This Row],[GHG (kgCO2eq/GJ)]]*3.6</f>
        <v>36.72</v>
      </c>
      <c r="J416" t="s">
        <v>106</v>
      </c>
      <c r="K416" t="s">
        <v>109</v>
      </c>
    </row>
    <row r="417" spans="1:11" x14ac:dyDescent="0.3">
      <c r="A417" t="s">
        <v>24</v>
      </c>
      <c r="B417" t="s">
        <v>55</v>
      </c>
      <c r="C417" t="s">
        <v>89</v>
      </c>
      <c r="D417">
        <v>7.6899999999999996E-2</v>
      </c>
      <c r="E417">
        <f>Tableau5[[#This Row],[Potential (PJ)]]/3.6</f>
        <v>2.1361111111111108E-2</v>
      </c>
      <c r="F417">
        <v>0</v>
      </c>
      <c r="G417">
        <f>Tableau5[[#This Row],[Cost (€/GJ)]]*3.6</f>
        <v>0</v>
      </c>
      <c r="H417">
        <v>10.199999999999999</v>
      </c>
      <c r="I417">
        <f>Tableau5[[#This Row],[GHG (kgCO2eq/GJ)]]*3.6</f>
        <v>36.72</v>
      </c>
      <c r="J417" t="s">
        <v>106</v>
      </c>
      <c r="K417" t="s">
        <v>109</v>
      </c>
    </row>
    <row r="418" spans="1:11" x14ac:dyDescent="0.3">
      <c r="A418" t="s">
        <v>24</v>
      </c>
      <c r="B418" t="s">
        <v>55</v>
      </c>
      <c r="C418" t="s">
        <v>92</v>
      </c>
      <c r="D418">
        <v>9.0179999999999996E-2</v>
      </c>
      <c r="E418">
        <f>Tableau5[[#This Row],[Potential (PJ)]]/3.6</f>
        <v>2.5049999999999999E-2</v>
      </c>
      <c r="F418">
        <v>9.58</v>
      </c>
      <c r="G418">
        <f>Tableau5[[#This Row],[Cost (€/GJ)]]*3.6</f>
        <v>34.488</v>
      </c>
      <c r="H418">
        <v>10.199999999999999</v>
      </c>
      <c r="I418">
        <f>Tableau5[[#This Row],[GHG (kgCO2eq/GJ)]]*3.6</f>
        <v>36.72</v>
      </c>
      <c r="J418" t="s">
        <v>106</v>
      </c>
      <c r="K418" t="s">
        <v>109</v>
      </c>
    </row>
    <row r="419" spans="1:11" x14ac:dyDescent="0.3">
      <c r="A419" t="s">
        <v>24</v>
      </c>
      <c r="B419" t="s">
        <v>47</v>
      </c>
      <c r="C419" t="s">
        <v>101</v>
      </c>
      <c r="D419">
        <v>7.3</v>
      </c>
      <c r="E419">
        <f>Tableau5[[#This Row],[Potential (PJ)]]/3.6</f>
        <v>2.0277777777777777</v>
      </c>
      <c r="F419">
        <v>5.1467123287671228</v>
      </c>
      <c r="G419">
        <f>Tableau5[[#This Row],[Cost (€/GJ)]]*3.6</f>
        <v>18.528164383561641</v>
      </c>
      <c r="H419">
        <v>61.2</v>
      </c>
      <c r="I419">
        <f>Tableau5[[#This Row],[GHG (kgCO2eq/GJ)]]*3.6</f>
        <v>220.32000000000002</v>
      </c>
      <c r="J419" t="s">
        <v>104</v>
      </c>
      <c r="K419" t="s">
        <v>109</v>
      </c>
    </row>
    <row r="420" spans="1:11" x14ac:dyDescent="0.3">
      <c r="A420" t="s">
        <v>24</v>
      </c>
      <c r="B420" t="s">
        <v>57</v>
      </c>
      <c r="C420" t="s">
        <v>94</v>
      </c>
      <c r="D420">
        <v>6.4</v>
      </c>
      <c r="E420">
        <f>Tableau5[[#This Row],[Potential (PJ)]]/3.6</f>
        <v>1.7777777777777779</v>
      </c>
      <c r="F420">
        <v>10.011390625000001</v>
      </c>
      <c r="G420">
        <f>Tableau5[[#This Row],[Cost (€/GJ)]]*3.6</f>
        <v>36.041006250000002</v>
      </c>
      <c r="H420">
        <v>24.6</v>
      </c>
      <c r="I420">
        <f>Tableau5[[#This Row],[GHG (kgCO2eq/GJ)]]*3.6</f>
        <v>88.56</v>
      </c>
      <c r="J420" t="s">
        <v>104</v>
      </c>
      <c r="K420" t="s">
        <v>109</v>
      </c>
    </row>
    <row r="421" spans="1:11" x14ac:dyDescent="0.3">
      <c r="A421" t="s">
        <v>24</v>
      </c>
      <c r="B421" t="s">
        <v>49</v>
      </c>
      <c r="C421" t="s">
        <v>71</v>
      </c>
      <c r="D421">
        <v>5.9781199999999997</v>
      </c>
      <c r="E421">
        <f>Tableau5[[#This Row],[Potential (PJ)]]/3.6</f>
        <v>1.6605888888888887</v>
      </c>
      <c r="F421">
        <v>5.7996144021866396</v>
      </c>
      <c r="G421">
        <f>Tableau5[[#This Row],[Cost (€/GJ)]]*3.6</f>
        <v>20.878611847871902</v>
      </c>
      <c r="H421">
        <v>3.86607608129234</v>
      </c>
      <c r="I421">
        <f>Tableau5[[#This Row],[GHG (kgCO2eq/GJ)]]*3.6</f>
        <v>13.917873892652425</v>
      </c>
      <c r="J421" t="s">
        <v>104</v>
      </c>
      <c r="K421" t="s">
        <v>108</v>
      </c>
    </row>
    <row r="422" spans="1:11" x14ac:dyDescent="0.3">
      <c r="A422" t="s">
        <v>24</v>
      </c>
      <c r="B422" t="s">
        <v>49</v>
      </c>
      <c r="C422" t="s">
        <v>72</v>
      </c>
      <c r="D422">
        <v>0.2</v>
      </c>
      <c r="E422">
        <f>Tableau5[[#This Row],[Potential (PJ)]]/3.6</f>
        <v>5.5555555555555559E-2</v>
      </c>
      <c r="F422">
        <v>4.6440000000000001</v>
      </c>
      <c r="G422">
        <f>Tableau5[[#This Row],[Cost (€/GJ)]]*3.6</f>
        <v>16.718400000000003</v>
      </c>
      <c r="H422">
        <v>3.86607608129234</v>
      </c>
      <c r="I422">
        <f>Tableau5[[#This Row],[GHG (kgCO2eq/GJ)]]*3.6</f>
        <v>13.917873892652425</v>
      </c>
      <c r="J422" t="s">
        <v>104</v>
      </c>
      <c r="K422" t="s">
        <v>108</v>
      </c>
    </row>
    <row r="423" spans="1:11" x14ac:dyDescent="0.3">
      <c r="A423" t="s">
        <v>24</v>
      </c>
      <c r="B423" t="s">
        <v>58</v>
      </c>
      <c r="C423" t="s">
        <v>95</v>
      </c>
      <c r="D423">
        <v>2.4597699999999998</v>
      </c>
      <c r="E423">
        <f>Tableau5[[#This Row],[Potential (PJ)]]/3.6</f>
        <v>0.68326944444444437</v>
      </c>
      <c r="F423">
        <v>3.3759999999999999</v>
      </c>
      <c r="G423">
        <f>Tableau5[[#This Row],[Cost (€/GJ)]]*3.6</f>
        <v>12.153599999999999</v>
      </c>
      <c r="H423">
        <v>2.9521711768407801</v>
      </c>
      <c r="I423">
        <f>Tableau5[[#This Row],[GHG (kgCO2eq/GJ)]]*3.6</f>
        <v>10.627816236626808</v>
      </c>
      <c r="J423" t="s">
        <v>104</v>
      </c>
      <c r="K423" t="s">
        <v>108</v>
      </c>
    </row>
    <row r="424" spans="1:11" x14ac:dyDescent="0.3">
      <c r="A424" t="s">
        <v>24</v>
      </c>
      <c r="B424" t="s">
        <v>50</v>
      </c>
      <c r="C424" t="s">
        <v>73</v>
      </c>
      <c r="D424">
        <v>2</v>
      </c>
      <c r="E424">
        <f>Tableau5[[#This Row],[Potential (PJ)]]/3.6</f>
        <v>0.55555555555555558</v>
      </c>
      <c r="F424">
        <v>5.6319999999999997</v>
      </c>
      <c r="G424">
        <f>Tableau5[[#This Row],[Cost (€/GJ)]]*3.6</f>
        <v>20.275199999999998</v>
      </c>
      <c r="H424">
        <v>20.723404255319149</v>
      </c>
      <c r="I424">
        <f>Tableau5[[#This Row],[GHG (kgCO2eq/GJ)]]*3.6</f>
        <v>74.604255319148933</v>
      </c>
      <c r="J424" t="s">
        <v>105</v>
      </c>
      <c r="K424" t="s">
        <v>108</v>
      </c>
    </row>
    <row r="425" spans="1:11" x14ac:dyDescent="0.3">
      <c r="A425" t="s">
        <v>24</v>
      </c>
      <c r="B425" t="s">
        <v>50</v>
      </c>
      <c r="C425" t="s">
        <v>74</v>
      </c>
      <c r="D425">
        <v>1.9</v>
      </c>
      <c r="E425">
        <f>Tableau5[[#This Row],[Potential (PJ)]]/3.6</f>
        <v>0.52777777777777779</v>
      </c>
      <c r="F425">
        <v>6.1875263157894738</v>
      </c>
      <c r="G425">
        <f>Tableau5[[#This Row],[Cost (€/GJ)]]*3.6</f>
        <v>22.275094736842107</v>
      </c>
      <c r="H425">
        <v>2.0635593220338988</v>
      </c>
      <c r="I425">
        <f>Tableau5[[#This Row],[GHG (kgCO2eq/GJ)]]*3.6</f>
        <v>7.4288135593220357</v>
      </c>
      <c r="J425" t="s">
        <v>105</v>
      </c>
      <c r="K425" t="s">
        <v>108</v>
      </c>
    </row>
    <row r="426" spans="1:11" x14ac:dyDescent="0.3">
      <c r="A426" t="s">
        <v>24</v>
      </c>
      <c r="B426" t="s">
        <v>51</v>
      </c>
      <c r="C426" t="s">
        <v>75</v>
      </c>
      <c r="D426">
        <v>1.0225979999999999</v>
      </c>
      <c r="E426">
        <f>Tableau5[[#This Row],[Potential (PJ)]]/3.6</f>
        <v>0.28405499999999995</v>
      </c>
      <c r="F426">
        <v>4.9675196864339098E-2</v>
      </c>
      <c r="G426">
        <f>Tableau5[[#This Row],[Cost (€/GJ)]]*3.6</f>
        <v>0.17883070871162077</v>
      </c>
      <c r="H426">
        <v>11.74</v>
      </c>
      <c r="I426">
        <f>Tableau5[[#This Row],[GHG (kgCO2eq/GJ)]]*3.6</f>
        <v>42.264000000000003</v>
      </c>
      <c r="J426" t="s">
        <v>104</v>
      </c>
      <c r="K426" t="s">
        <v>108</v>
      </c>
    </row>
    <row r="427" spans="1:11" x14ac:dyDescent="0.3">
      <c r="A427" t="s">
        <v>24</v>
      </c>
      <c r="B427" t="s">
        <v>60</v>
      </c>
      <c r="C427" t="s">
        <v>98</v>
      </c>
      <c r="D427">
        <v>0.92274999999999996</v>
      </c>
      <c r="E427">
        <f>Tableau5[[#This Row],[Potential (PJ)]]/3.6</f>
        <v>0.25631944444444443</v>
      </c>
      <c r="F427">
        <v>26.262083780880769</v>
      </c>
      <c r="G427">
        <f>Tableau5[[#This Row],[Cost (€/GJ)]]*3.6</f>
        <v>94.543501611170768</v>
      </c>
      <c r="H427">
        <v>33.200000000000003</v>
      </c>
      <c r="I427">
        <f>Tableau5[[#This Row],[GHG (kgCO2eq/GJ)]]*3.6</f>
        <v>119.52000000000001</v>
      </c>
      <c r="J427" t="s">
        <v>107</v>
      </c>
      <c r="K427" t="s">
        <v>109</v>
      </c>
    </row>
    <row r="428" spans="1:11" x14ac:dyDescent="0.3">
      <c r="A428" t="s">
        <v>24</v>
      </c>
      <c r="B428" t="s">
        <v>52</v>
      </c>
      <c r="C428" t="s">
        <v>76</v>
      </c>
      <c r="D428">
        <v>1E-3</v>
      </c>
      <c r="E428">
        <f>Tableau5[[#This Row],[Potential (PJ)]]/3.6</f>
        <v>2.7777777777777778E-4</v>
      </c>
      <c r="F428">
        <v>8.4824999999999999</v>
      </c>
      <c r="G428">
        <f>Tableau5[[#This Row],[Cost (€/GJ)]]*3.6</f>
        <v>30.536999999999999</v>
      </c>
      <c r="H428">
        <v>12.68872359754714</v>
      </c>
      <c r="I428">
        <f>Tableau5[[#This Row],[GHG (kgCO2eq/GJ)]]*3.6</f>
        <v>45.679404951169708</v>
      </c>
      <c r="J428" t="s">
        <v>105</v>
      </c>
      <c r="K428" t="s">
        <v>108</v>
      </c>
    </row>
    <row r="429" spans="1:11" x14ac:dyDescent="0.3">
      <c r="A429" t="s">
        <v>24</v>
      </c>
      <c r="B429" t="s">
        <v>53</v>
      </c>
      <c r="C429" t="s">
        <v>77</v>
      </c>
      <c r="D429">
        <v>0.46348</v>
      </c>
      <c r="E429">
        <f>Tableau5[[#This Row],[Potential (PJ)]]/3.6</f>
        <v>0.12874444444444444</v>
      </c>
      <c r="F429">
        <v>4.6440000000000001</v>
      </c>
      <c r="G429">
        <f>Tableau5[[#This Row],[Cost (€/GJ)]]*3.6</f>
        <v>16.718400000000003</v>
      </c>
      <c r="H429">
        <v>3.86607608129234</v>
      </c>
      <c r="I429">
        <f>Tableau5[[#This Row],[GHG (kgCO2eq/GJ)]]*3.6</f>
        <v>13.917873892652425</v>
      </c>
      <c r="J429" t="s">
        <v>104</v>
      </c>
      <c r="K429" t="s">
        <v>108</v>
      </c>
    </row>
    <row r="430" spans="1:11" x14ac:dyDescent="0.3">
      <c r="A430" t="s">
        <v>24</v>
      </c>
      <c r="B430" t="s">
        <v>61</v>
      </c>
      <c r="C430" t="s">
        <v>99</v>
      </c>
      <c r="D430">
        <v>2.1</v>
      </c>
      <c r="E430">
        <f>Tableau5[[#This Row],[Potential (PJ)]]/3.6</f>
        <v>0.58333333333333337</v>
      </c>
      <c r="F430">
        <v>2.6850000000000001</v>
      </c>
      <c r="G430">
        <f>Tableau5[[#This Row],[Cost (€/GJ)]]*3.6</f>
        <v>9.6660000000000004</v>
      </c>
      <c r="H430">
        <v>2.9245635910224439</v>
      </c>
      <c r="I430">
        <f>Tableau5[[#This Row],[GHG (kgCO2eq/GJ)]]*3.6</f>
        <v>10.528428927680798</v>
      </c>
      <c r="J430" t="s">
        <v>104</v>
      </c>
      <c r="K430" t="s">
        <v>108</v>
      </c>
    </row>
    <row r="431" spans="1:11" x14ac:dyDescent="0.3">
      <c r="A431" t="s">
        <v>24</v>
      </c>
      <c r="B431" t="s">
        <v>62</v>
      </c>
      <c r="C431" t="s">
        <v>100</v>
      </c>
      <c r="D431">
        <v>0.7</v>
      </c>
      <c r="E431">
        <f>Tableau5[[#This Row],[Potential (PJ)]]/3.6</f>
        <v>0.19444444444444442</v>
      </c>
      <c r="F431">
        <v>1.342857142857143</v>
      </c>
      <c r="G431">
        <f>Tableau5[[#This Row],[Cost (€/GJ)]]*3.6</f>
        <v>4.8342857142857145</v>
      </c>
      <c r="H431">
        <v>2.6764106050305911</v>
      </c>
      <c r="I431">
        <f>Tableau5[[#This Row],[GHG (kgCO2eq/GJ)]]*3.6</f>
        <v>9.6350781781101276</v>
      </c>
      <c r="J431" t="s">
        <v>104</v>
      </c>
      <c r="K431" t="s">
        <v>108</v>
      </c>
    </row>
    <row r="432" spans="1:11" x14ac:dyDescent="0.3">
      <c r="A432" t="s">
        <v>24</v>
      </c>
      <c r="B432" t="s">
        <v>54</v>
      </c>
      <c r="C432" t="s">
        <v>78</v>
      </c>
      <c r="D432">
        <v>11.6</v>
      </c>
      <c r="E432">
        <f>Tableau5[[#This Row],[Potential (PJ)]]/3.6</f>
        <v>3.2222222222222219</v>
      </c>
      <c r="F432">
        <v>10.006</v>
      </c>
      <c r="G432">
        <f>Tableau5[[#This Row],[Cost (€/GJ)]]*3.6</f>
        <v>36.021599999999999</v>
      </c>
      <c r="H432">
        <v>3.86607608129234</v>
      </c>
      <c r="I432">
        <f>Tableau5[[#This Row],[GHG (kgCO2eq/GJ)]]*3.6</f>
        <v>13.917873892652425</v>
      </c>
      <c r="J432" t="s">
        <v>104</v>
      </c>
      <c r="K432" t="s">
        <v>108</v>
      </c>
    </row>
    <row r="433" spans="1:11" x14ac:dyDescent="0.3">
      <c r="A433" t="s">
        <v>25</v>
      </c>
      <c r="B433" t="s">
        <v>51</v>
      </c>
      <c r="C433" t="s">
        <v>75</v>
      </c>
      <c r="D433">
        <v>0.70660100000000003</v>
      </c>
      <c r="E433">
        <f>Tableau5[[#This Row],[Potential (PJ)]]/3.6</f>
        <v>0.19627805555555555</v>
      </c>
      <c r="F433">
        <v>3.6873466284242898E-3</v>
      </c>
      <c r="G433">
        <f>Tableau5[[#This Row],[Cost (€/GJ)]]*3.6</f>
        <v>1.3274447862327444E-2</v>
      </c>
      <c r="H433">
        <v>11.74</v>
      </c>
      <c r="I433">
        <f>Tableau5[[#This Row],[GHG (kgCO2eq/GJ)]]*3.6</f>
        <v>42.264000000000003</v>
      </c>
      <c r="J433" t="s">
        <v>104</v>
      </c>
      <c r="K433" t="s">
        <v>108</v>
      </c>
    </row>
    <row r="434" spans="1:11" x14ac:dyDescent="0.3">
      <c r="A434" t="s">
        <v>26</v>
      </c>
      <c r="B434" t="s">
        <v>46</v>
      </c>
      <c r="C434" t="s">
        <v>63</v>
      </c>
      <c r="D434">
        <v>2.3117000000000001</v>
      </c>
      <c r="E434">
        <f>Tableau5[[#This Row],[Potential (PJ)]]/3.6</f>
        <v>0.64213888888888893</v>
      </c>
      <c r="F434">
        <v>2.9286474973375931</v>
      </c>
      <c r="G434">
        <f>Tableau5[[#This Row],[Cost (€/GJ)]]*3.6</f>
        <v>10.543130990415335</v>
      </c>
      <c r="H434">
        <v>3.950479233226837</v>
      </c>
      <c r="I434">
        <f>Tableau5[[#This Row],[GHG (kgCO2eq/GJ)]]*3.6</f>
        <v>14.221725239616614</v>
      </c>
      <c r="J434" t="s">
        <v>104</v>
      </c>
      <c r="K434" t="s">
        <v>108</v>
      </c>
    </row>
    <row r="435" spans="1:11" x14ac:dyDescent="0.3">
      <c r="A435" t="s">
        <v>26</v>
      </c>
      <c r="B435" t="s">
        <v>46</v>
      </c>
      <c r="C435" t="s">
        <v>64</v>
      </c>
      <c r="D435">
        <v>0.37923000000000001</v>
      </c>
      <c r="E435">
        <f>Tableau5[[#This Row],[Potential (PJ)]]/3.6</f>
        <v>0.10534166666666667</v>
      </c>
      <c r="F435">
        <v>5.3186036705956816</v>
      </c>
      <c r="G435">
        <f>Tableau5[[#This Row],[Cost (€/GJ)]]*3.6</f>
        <v>19.146973214144456</v>
      </c>
      <c r="H435">
        <v>2.9521711768407801</v>
      </c>
      <c r="I435">
        <f>Tableau5[[#This Row],[GHG (kgCO2eq/GJ)]]*3.6</f>
        <v>10.627816236626808</v>
      </c>
      <c r="J435" t="s">
        <v>104</v>
      </c>
      <c r="K435" t="s">
        <v>108</v>
      </c>
    </row>
    <row r="436" spans="1:11" x14ac:dyDescent="0.3">
      <c r="A436" t="s">
        <v>26</v>
      </c>
      <c r="B436" t="s">
        <v>46</v>
      </c>
      <c r="C436" t="s">
        <v>79</v>
      </c>
      <c r="D436">
        <v>10</v>
      </c>
      <c r="E436">
        <f>Tableau5[[#This Row],[Potential (PJ)]]/3.6</f>
        <v>2.7777777777777777</v>
      </c>
      <c r="F436">
        <v>3.6150000000000011</v>
      </c>
      <c r="G436">
        <f>Tableau5[[#This Row],[Cost (€/GJ)]]*3.6</f>
        <v>13.014000000000005</v>
      </c>
      <c r="H436">
        <v>6.8428961748633883</v>
      </c>
      <c r="I436">
        <f>Tableau5[[#This Row],[GHG (kgCO2eq/GJ)]]*3.6</f>
        <v>24.634426229508197</v>
      </c>
      <c r="J436" t="s">
        <v>104</v>
      </c>
      <c r="K436" t="s">
        <v>108</v>
      </c>
    </row>
    <row r="437" spans="1:11" x14ac:dyDescent="0.3">
      <c r="A437" t="s">
        <v>26</v>
      </c>
      <c r="B437" t="s">
        <v>46</v>
      </c>
      <c r="C437" t="s">
        <v>65</v>
      </c>
      <c r="D437">
        <v>0.60000000000000009</v>
      </c>
      <c r="E437">
        <f>Tableau5[[#This Row],[Potential (PJ)]]/3.6</f>
        <v>0.16666666666666669</v>
      </c>
      <c r="F437">
        <v>7.4844999999999997</v>
      </c>
      <c r="G437">
        <f>Tableau5[[#This Row],[Cost (€/GJ)]]*3.6</f>
        <v>26.944199999999999</v>
      </c>
      <c r="H437">
        <v>2.9521711768407801</v>
      </c>
      <c r="I437">
        <f>Tableau5[[#This Row],[GHG (kgCO2eq/GJ)]]*3.6</f>
        <v>10.627816236626808</v>
      </c>
      <c r="J437" t="s">
        <v>104</v>
      </c>
      <c r="K437" t="s">
        <v>108</v>
      </c>
    </row>
    <row r="438" spans="1:11" x14ac:dyDescent="0.3">
      <c r="A438" t="s">
        <v>26</v>
      </c>
      <c r="B438" t="s">
        <v>46</v>
      </c>
      <c r="C438" t="s">
        <v>102</v>
      </c>
      <c r="D438">
        <v>0.4</v>
      </c>
      <c r="E438">
        <f>Tableau5[[#This Row],[Potential (PJ)]]/3.6</f>
        <v>0.11111111111111112</v>
      </c>
      <c r="F438">
        <v>6.2800000000000011</v>
      </c>
      <c r="G438">
        <f>Tableau5[[#This Row],[Cost (€/GJ)]]*3.6</f>
        <v>22.608000000000004</v>
      </c>
      <c r="H438">
        <v>2.9521711768407801</v>
      </c>
      <c r="I438">
        <f>Tableau5[[#This Row],[GHG (kgCO2eq/GJ)]]*3.6</f>
        <v>10.627816236626808</v>
      </c>
      <c r="J438" t="s">
        <v>104</v>
      </c>
      <c r="K438" t="s">
        <v>108</v>
      </c>
    </row>
    <row r="439" spans="1:11" x14ac:dyDescent="0.3">
      <c r="A439" t="s">
        <v>26</v>
      </c>
      <c r="B439" t="s">
        <v>46</v>
      </c>
      <c r="C439" t="s">
        <v>80</v>
      </c>
      <c r="D439">
        <v>3.0150999999999999</v>
      </c>
      <c r="E439">
        <f>Tableau5[[#This Row],[Potential (PJ)]]/3.6</f>
        <v>0.83752777777777776</v>
      </c>
      <c r="F439">
        <v>0.7329737019554956</v>
      </c>
      <c r="G439">
        <f>Tableau5[[#This Row],[Cost (€/GJ)]]*3.6</f>
        <v>2.6387053270397844</v>
      </c>
      <c r="H439">
        <v>28.139870918023309</v>
      </c>
      <c r="I439">
        <f>Tableau5[[#This Row],[GHG (kgCO2eq/GJ)]]*3.6</f>
        <v>101.30353530488391</v>
      </c>
      <c r="J439" t="s">
        <v>105</v>
      </c>
      <c r="K439" t="s">
        <v>108</v>
      </c>
    </row>
    <row r="440" spans="1:11" x14ac:dyDescent="0.3">
      <c r="A440" t="s">
        <v>26</v>
      </c>
      <c r="B440" t="s">
        <v>46</v>
      </c>
      <c r="C440" t="s">
        <v>81</v>
      </c>
      <c r="D440">
        <v>1.4512</v>
      </c>
      <c r="E440">
        <f>Tableau5[[#This Row],[Potential (PJ)]]/3.6</f>
        <v>0.40311111111111109</v>
      </c>
      <c r="F440">
        <v>1.2708578143360749</v>
      </c>
      <c r="G440">
        <f>Tableau5[[#This Row],[Cost (€/GJ)]]*3.6</f>
        <v>4.5750881316098697</v>
      </c>
      <c r="H440">
        <v>8.9647473560517046</v>
      </c>
      <c r="I440">
        <f>Tableau5[[#This Row],[GHG (kgCO2eq/GJ)]]*3.6</f>
        <v>32.273090481786134</v>
      </c>
      <c r="J440" t="s">
        <v>105</v>
      </c>
      <c r="K440" t="s">
        <v>108</v>
      </c>
    </row>
    <row r="441" spans="1:11" x14ac:dyDescent="0.3">
      <c r="A441" t="s">
        <v>26</v>
      </c>
      <c r="B441" t="s">
        <v>46</v>
      </c>
      <c r="C441" t="s">
        <v>66</v>
      </c>
      <c r="D441">
        <v>9.4</v>
      </c>
      <c r="E441">
        <f>Tableau5[[#This Row],[Potential (PJ)]]/3.6</f>
        <v>2.6111111111111112</v>
      </c>
      <c r="F441">
        <v>3.7454999999999998</v>
      </c>
      <c r="G441">
        <f>Tableau5[[#This Row],[Cost (€/GJ)]]*3.6</f>
        <v>13.4838</v>
      </c>
      <c r="H441">
        <v>6.8428961748633883</v>
      </c>
      <c r="I441">
        <f>Tableau5[[#This Row],[GHG (kgCO2eq/GJ)]]*3.6</f>
        <v>24.634426229508197</v>
      </c>
      <c r="J441" t="s">
        <v>104</v>
      </c>
      <c r="K441" t="s">
        <v>108</v>
      </c>
    </row>
    <row r="442" spans="1:11" x14ac:dyDescent="0.3">
      <c r="A442" t="s">
        <v>26</v>
      </c>
      <c r="B442" t="s">
        <v>46</v>
      </c>
      <c r="C442" t="s">
        <v>67</v>
      </c>
      <c r="D442">
        <v>2.4</v>
      </c>
      <c r="E442">
        <f>Tableau5[[#This Row],[Potential (PJ)]]/3.6</f>
        <v>0.66666666666666663</v>
      </c>
      <c r="F442">
        <v>11.47854166666667</v>
      </c>
      <c r="G442">
        <f>Tableau5[[#This Row],[Cost (€/GJ)]]*3.6</f>
        <v>41.322750000000013</v>
      </c>
      <c r="H442">
        <v>2.9521711768407801</v>
      </c>
      <c r="I442">
        <f>Tableau5[[#This Row],[GHG (kgCO2eq/GJ)]]*3.6</f>
        <v>10.627816236626808</v>
      </c>
      <c r="J442" t="s">
        <v>104</v>
      </c>
      <c r="K442" t="s">
        <v>108</v>
      </c>
    </row>
    <row r="443" spans="1:11" x14ac:dyDescent="0.3">
      <c r="A443" t="s">
        <v>26</v>
      </c>
      <c r="B443" t="s">
        <v>46</v>
      </c>
      <c r="C443" t="s">
        <v>82</v>
      </c>
      <c r="D443">
        <v>0.70000000000000007</v>
      </c>
      <c r="E443">
        <f>Tableau5[[#This Row],[Potential (PJ)]]/3.6</f>
        <v>0.19444444444444445</v>
      </c>
      <c r="F443">
        <v>2.3421428571428571</v>
      </c>
      <c r="G443">
        <f>Tableau5[[#This Row],[Cost (€/GJ)]]*3.6</f>
        <v>8.4317142857142855</v>
      </c>
      <c r="H443">
        <v>6.8428961748633883</v>
      </c>
      <c r="I443">
        <f>Tableau5[[#This Row],[GHG (kgCO2eq/GJ)]]*3.6</f>
        <v>24.634426229508197</v>
      </c>
      <c r="J443" t="s">
        <v>104</v>
      </c>
      <c r="K443" t="s">
        <v>108</v>
      </c>
    </row>
    <row r="444" spans="1:11" x14ac:dyDescent="0.3">
      <c r="A444" t="s">
        <v>26</v>
      </c>
      <c r="B444" t="s">
        <v>46</v>
      </c>
      <c r="C444" t="s">
        <v>83</v>
      </c>
      <c r="D444">
        <v>2.7533099999999999</v>
      </c>
      <c r="E444">
        <f>Tableau5[[#This Row],[Potential (PJ)]]/3.6</f>
        <v>0.76480833333333331</v>
      </c>
      <c r="F444">
        <v>3.4917478780086522</v>
      </c>
      <c r="G444">
        <f>Tableau5[[#This Row],[Cost (€/GJ)]]*3.6</f>
        <v>12.570292360831148</v>
      </c>
      <c r="H444">
        <v>6.8428961748633883</v>
      </c>
      <c r="I444">
        <f>Tableau5[[#This Row],[GHG (kgCO2eq/GJ)]]*3.6</f>
        <v>24.634426229508197</v>
      </c>
      <c r="J444" t="s">
        <v>104</v>
      </c>
      <c r="K444" t="s">
        <v>108</v>
      </c>
    </row>
    <row r="445" spans="1:11" x14ac:dyDescent="0.3">
      <c r="A445" t="s">
        <v>26</v>
      </c>
      <c r="B445" t="s">
        <v>46</v>
      </c>
      <c r="C445" t="s">
        <v>84</v>
      </c>
      <c r="D445">
        <v>0.5</v>
      </c>
      <c r="E445">
        <f>Tableau5[[#This Row],[Potential (PJ)]]/3.6</f>
        <v>0.1388888888888889</v>
      </c>
      <c r="F445">
        <v>2.5196000000000001</v>
      </c>
      <c r="G445">
        <f>Tableau5[[#This Row],[Cost (€/GJ)]]*3.6</f>
        <v>9.0705600000000004</v>
      </c>
      <c r="H445">
        <v>28.139870918023309</v>
      </c>
      <c r="I445">
        <f>Tableau5[[#This Row],[GHG (kgCO2eq/GJ)]]*3.6</f>
        <v>101.30353530488391</v>
      </c>
      <c r="J445" t="s">
        <v>105</v>
      </c>
      <c r="K445" t="s">
        <v>108</v>
      </c>
    </row>
    <row r="446" spans="1:11" x14ac:dyDescent="0.3">
      <c r="A446" t="s">
        <v>26</v>
      </c>
      <c r="B446" t="s">
        <v>46</v>
      </c>
      <c r="C446" t="s">
        <v>85</v>
      </c>
      <c r="D446">
        <v>2.2999999999999998</v>
      </c>
      <c r="E446">
        <f>Tableau5[[#This Row],[Potential (PJ)]]/3.6</f>
        <v>0.63888888888888884</v>
      </c>
      <c r="F446">
        <v>5.0792608695652177</v>
      </c>
      <c r="G446">
        <f>Tableau5[[#This Row],[Cost (€/GJ)]]*3.6</f>
        <v>18.285339130434785</v>
      </c>
      <c r="H446">
        <v>2.9521711768407801</v>
      </c>
      <c r="I446">
        <f>Tableau5[[#This Row],[GHG (kgCO2eq/GJ)]]*3.6</f>
        <v>10.627816236626808</v>
      </c>
      <c r="J446" t="s">
        <v>104</v>
      </c>
      <c r="K446" t="s">
        <v>108</v>
      </c>
    </row>
    <row r="447" spans="1:11" x14ac:dyDescent="0.3">
      <c r="A447" t="s">
        <v>26</v>
      </c>
      <c r="B447" t="s">
        <v>55</v>
      </c>
      <c r="C447" t="s">
        <v>86</v>
      </c>
      <c r="D447">
        <v>0.98509999999999998</v>
      </c>
      <c r="E447">
        <f>Tableau5[[#This Row],[Potential (PJ)]]/3.6</f>
        <v>0.27363888888888888</v>
      </c>
      <c r="F447">
        <v>13.37</v>
      </c>
      <c r="G447">
        <f>Tableau5[[#This Row],[Cost (€/GJ)]]*3.6</f>
        <v>48.131999999999998</v>
      </c>
      <c r="H447">
        <v>15.2</v>
      </c>
      <c r="I447">
        <f>Tableau5[[#This Row],[GHG (kgCO2eq/GJ)]]*3.6</f>
        <v>54.72</v>
      </c>
      <c r="J447" t="s">
        <v>106</v>
      </c>
      <c r="K447" t="s">
        <v>109</v>
      </c>
    </row>
    <row r="448" spans="1:11" x14ac:dyDescent="0.3">
      <c r="A448" t="s">
        <v>26</v>
      </c>
      <c r="B448" t="s">
        <v>55</v>
      </c>
      <c r="C448" t="s">
        <v>87</v>
      </c>
      <c r="D448">
        <v>6.0103</v>
      </c>
      <c r="E448">
        <f>Tableau5[[#This Row],[Potential (PJ)]]/3.6</f>
        <v>1.6695277777777777</v>
      </c>
      <c r="F448">
        <v>18.117000000000001</v>
      </c>
      <c r="G448">
        <f>Tableau5[[#This Row],[Cost (€/GJ)]]*3.6</f>
        <v>65.22120000000001</v>
      </c>
      <c r="H448">
        <v>15.2</v>
      </c>
      <c r="I448">
        <f>Tableau5[[#This Row],[GHG (kgCO2eq/GJ)]]*3.6</f>
        <v>54.72</v>
      </c>
      <c r="J448" t="s">
        <v>106</v>
      </c>
      <c r="K448" t="s">
        <v>109</v>
      </c>
    </row>
    <row r="449" spans="1:11" x14ac:dyDescent="0.3">
      <c r="A449" t="s">
        <v>26</v>
      </c>
      <c r="B449" t="s">
        <v>55</v>
      </c>
      <c r="C449" t="s">
        <v>88</v>
      </c>
      <c r="D449">
        <v>10.439399999999999</v>
      </c>
      <c r="E449">
        <f>Tableau5[[#This Row],[Potential (PJ)]]/3.6</f>
        <v>2.899833333333333</v>
      </c>
      <c r="F449">
        <v>14.14</v>
      </c>
      <c r="G449">
        <f>Tableau5[[#This Row],[Cost (€/GJ)]]*3.6</f>
        <v>50.904000000000003</v>
      </c>
      <c r="H449">
        <v>15.2</v>
      </c>
      <c r="I449">
        <f>Tableau5[[#This Row],[GHG (kgCO2eq/GJ)]]*3.6</f>
        <v>54.72</v>
      </c>
      <c r="J449" t="s">
        <v>106</v>
      </c>
      <c r="K449" t="s">
        <v>109</v>
      </c>
    </row>
    <row r="450" spans="1:11" x14ac:dyDescent="0.3">
      <c r="A450" t="s">
        <v>26</v>
      </c>
      <c r="B450" t="s">
        <v>55</v>
      </c>
      <c r="C450" t="s">
        <v>92</v>
      </c>
      <c r="D450">
        <v>2.0763699999999998</v>
      </c>
      <c r="E450">
        <f>Tableau5[[#This Row],[Potential (PJ)]]/3.6</f>
        <v>0.57676944444444433</v>
      </c>
      <c r="F450">
        <v>18.117000000000001</v>
      </c>
      <c r="G450">
        <f>Tableau5[[#This Row],[Cost (€/GJ)]]*3.6</f>
        <v>65.22120000000001</v>
      </c>
      <c r="H450">
        <v>15.2</v>
      </c>
      <c r="I450">
        <f>Tableau5[[#This Row],[GHG (kgCO2eq/GJ)]]*3.6</f>
        <v>54.72</v>
      </c>
      <c r="J450" t="s">
        <v>106</v>
      </c>
      <c r="K450" t="s">
        <v>109</v>
      </c>
    </row>
    <row r="451" spans="1:11" x14ac:dyDescent="0.3">
      <c r="A451" t="s">
        <v>26</v>
      </c>
      <c r="B451" t="s">
        <v>56</v>
      </c>
      <c r="C451" t="s">
        <v>93</v>
      </c>
      <c r="D451">
        <v>44.343400000000003</v>
      </c>
      <c r="E451">
        <f>Tableau5[[#This Row],[Potential (PJ)]]/3.6</f>
        <v>12.317611111111111</v>
      </c>
      <c r="F451">
        <v>2.939759036144578</v>
      </c>
      <c r="G451">
        <f>Tableau5[[#This Row],[Cost (€/GJ)]]*3.6</f>
        <v>10.583132530120482</v>
      </c>
      <c r="H451">
        <v>23.4</v>
      </c>
      <c r="I451">
        <f>Tableau5[[#This Row],[GHG (kgCO2eq/GJ)]]*3.6</f>
        <v>84.24</v>
      </c>
      <c r="J451" t="s">
        <v>106</v>
      </c>
      <c r="K451" t="s">
        <v>109</v>
      </c>
    </row>
    <row r="452" spans="1:11" x14ac:dyDescent="0.3">
      <c r="A452" t="s">
        <v>26</v>
      </c>
      <c r="B452" t="s">
        <v>47</v>
      </c>
      <c r="C452" t="s">
        <v>68</v>
      </c>
      <c r="D452">
        <v>47.4</v>
      </c>
      <c r="E452">
        <f>Tableau5[[#This Row],[Potential (PJ)]]/3.6</f>
        <v>13.166666666666666</v>
      </c>
      <c r="F452">
        <v>6.8632067510548529</v>
      </c>
      <c r="G452">
        <f>Tableau5[[#This Row],[Cost (€/GJ)]]*3.6</f>
        <v>24.707544303797469</v>
      </c>
      <c r="H452">
        <v>20.8</v>
      </c>
      <c r="I452">
        <f>Tableau5[[#This Row],[GHG (kgCO2eq/GJ)]]*3.6</f>
        <v>74.88000000000001</v>
      </c>
      <c r="J452" t="s">
        <v>104</v>
      </c>
      <c r="K452" t="s">
        <v>109</v>
      </c>
    </row>
    <row r="453" spans="1:11" x14ac:dyDescent="0.3">
      <c r="A453" t="s">
        <v>26</v>
      </c>
      <c r="B453" t="s">
        <v>47</v>
      </c>
      <c r="C453" t="s">
        <v>69</v>
      </c>
      <c r="D453">
        <v>31.4</v>
      </c>
      <c r="E453">
        <f>Tableau5[[#This Row],[Potential (PJ)]]/3.6</f>
        <v>8.7222222222222214</v>
      </c>
      <c r="F453">
        <v>8.7918280254777077</v>
      </c>
      <c r="G453">
        <f>Tableau5[[#This Row],[Cost (€/GJ)]]*3.6</f>
        <v>31.650580891719748</v>
      </c>
      <c r="H453">
        <v>20.8</v>
      </c>
      <c r="I453">
        <f>Tableau5[[#This Row],[GHG (kgCO2eq/GJ)]]*3.6</f>
        <v>74.88000000000001</v>
      </c>
      <c r="J453" t="s">
        <v>104</v>
      </c>
      <c r="K453" t="s">
        <v>109</v>
      </c>
    </row>
    <row r="454" spans="1:11" x14ac:dyDescent="0.3">
      <c r="A454" t="s">
        <v>26</v>
      </c>
      <c r="B454" t="s">
        <v>48</v>
      </c>
      <c r="C454" t="s">
        <v>70</v>
      </c>
      <c r="D454">
        <v>21.1</v>
      </c>
      <c r="E454">
        <f>Tableau5[[#This Row],[Potential (PJ)]]/3.6</f>
        <v>5.8611111111111116</v>
      </c>
      <c r="F454">
        <v>15.669815165876781</v>
      </c>
      <c r="G454">
        <f>Tableau5[[#This Row],[Cost (€/GJ)]]*3.6</f>
        <v>56.411334597156412</v>
      </c>
      <c r="H454">
        <v>0</v>
      </c>
      <c r="I454">
        <f>Tableau5[[#This Row],[GHG (kgCO2eq/GJ)]]*3.6</f>
        <v>0</v>
      </c>
      <c r="J454" t="s">
        <v>104</v>
      </c>
      <c r="K454" t="s">
        <v>109</v>
      </c>
    </row>
    <row r="455" spans="1:11" x14ac:dyDescent="0.3">
      <c r="A455" t="s">
        <v>26</v>
      </c>
      <c r="B455" t="s">
        <v>49</v>
      </c>
      <c r="C455" t="s">
        <v>71</v>
      </c>
      <c r="D455">
        <v>69.17295</v>
      </c>
      <c r="E455">
        <f>Tableau5[[#This Row],[Potential (PJ)]]/3.6</f>
        <v>19.214708333333334</v>
      </c>
      <c r="F455">
        <v>5.9542693087399039</v>
      </c>
      <c r="G455">
        <f>Tableau5[[#This Row],[Cost (€/GJ)]]*3.6</f>
        <v>21.435369511463655</v>
      </c>
      <c r="H455">
        <v>3.86607608129234</v>
      </c>
      <c r="I455">
        <f>Tableau5[[#This Row],[GHG (kgCO2eq/GJ)]]*3.6</f>
        <v>13.917873892652425</v>
      </c>
      <c r="J455" t="s">
        <v>104</v>
      </c>
      <c r="K455" t="s">
        <v>108</v>
      </c>
    </row>
    <row r="456" spans="1:11" x14ac:dyDescent="0.3">
      <c r="A456" t="s">
        <v>26</v>
      </c>
      <c r="B456" t="s">
        <v>49</v>
      </c>
      <c r="C456" t="s">
        <v>72</v>
      </c>
      <c r="D456">
        <v>11.8</v>
      </c>
      <c r="E456">
        <f>Tableau5[[#This Row],[Potential (PJ)]]/3.6</f>
        <v>3.2777777777777777</v>
      </c>
      <c r="F456">
        <v>4.7826864406779661</v>
      </c>
      <c r="G456">
        <f>Tableau5[[#This Row],[Cost (€/GJ)]]*3.6</f>
        <v>17.217671186440679</v>
      </c>
      <c r="H456">
        <v>3.86607608129234</v>
      </c>
      <c r="I456">
        <f>Tableau5[[#This Row],[GHG (kgCO2eq/GJ)]]*3.6</f>
        <v>13.917873892652425</v>
      </c>
      <c r="J456" t="s">
        <v>104</v>
      </c>
      <c r="K456" t="s">
        <v>108</v>
      </c>
    </row>
    <row r="457" spans="1:11" x14ac:dyDescent="0.3">
      <c r="A457" t="s">
        <v>26</v>
      </c>
      <c r="B457" t="s">
        <v>58</v>
      </c>
      <c r="C457" t="s">
        <v>95</v>
      </c>
      <c r="D457">
        <v>7.5843100000000003</v>
      </c>
      <c r="E457">
        <f>Tableau5[[#This Row],[Potential (PJ)]]/3.6</f>
        <v>2.1067527777777779</v>
      </c>
      <c r="F457">
        <v>3.6555127005620811</v>
      </c>
      <c r="G457">
        <f>Tableau5[[#This Row],[Cost (€/GJ)]]*3.6</f>
        <v>13.159845722023492</v>
      </c>
      <c r="H457">
        <v>2.9521711768407801</v>
      </c>
      <c r="I457">
        <f>Tableau5[[#This Row],[GHG (kgCO2eq/GJ)]]*3.6</f>
        <v>10.627816236626808</v>
      </c>
      <c r="J457" t="s">
        <v>104</v>
      </c>
      <c r="K457" t="s">
        <v>108</v>
      </c>
    </row>
    <row r="458" spans="1:11" x14ac:dyDescent="0.3">
      <c r="A458" t="s">
        <v>26</v>
      </c>
      <c r="B458" t="s">
        <v>50</v>
      </c>
      <c r="C458" t="s">
        <v>73</v>
      </c>
      <c r="D458">
        <v>14.3</v>
      </c>
      <c r="E458">
        <f>Tableau5[[#This Row],[Potential (PJ)]]/3.6</f>
        <v>3.9722222222222223</v>
      </c>
      <c r="F458">
        <v>5.895104895104895</v>
      </c>
      <c r="G458">
        <f>Tableau5[[#This Row],[Cost (€/GJ)]]*3.6</f>
        <v>21.222377622377621</v>
      </c>
      <c r="H458">
        <v>20.723404255319149</v>
      </c>
      <c r="I458">
        <f>Tableau5[[#This Row],[GHG (kgCO2eq/GJ)]]*3.6</f>
        <v>74.604255319148933</v>
      </c>
      <c r="J458" t="s">
        <v>105</v>
      </c>
      <c r="K458" t="s">
        <v>108</v>
      </c>
    </row>
    <row r="459" spans="1:11" x14ac:dyDescent="0.3">
      <c r="A459" t="s">
        <v>26</v>
      </c>
      <c r="B459" t="s">
        <v>50</v>
      </c>
      <c r="C459" t="s">
        <v>74</v>
      </c>
      <c r="D459">
        <v>45.3</v>
      </c>
      <c r="E459">
        <f>Tableau5[[#This Row],[Potential (PJ)]]/3.6</f>
        <v>12.583333333333332</v>
      </c>
      <c r="F459">
        <v>4.7957306843267116</v>
      </c>
      <c r="G459">
        <f>Tableau5[[#This Row],[Cost (€/GJ)]]*3.6</f>
        <v>17.264630463576161</v>
      </c>
      <c r="H459">
        <v>2.0635593220338988</v>
      </c>
      <c r="I459">
        <f>Tableau5[[#This Row],[GHG (kgCO2eq/GJ)]]*3.6</f>
        <v>7.4288135593220357</v>
      </c>
      <c r="J459" t="s">
        <v>105</v>
      </c>
      <c r="K459" t="s">
        <v>108</v>
      </c>
    </row>
    <row r="460" spans="1:11" x14ac:dyDescent="0.3">
      <c r="A460" t="s">
        <v>26</v>
      </c>
      <c r="B460" t="s">
        <v>59</v>
      </c>
      <c r="C460" t="s">
        <v>96</v>
      </c>
      <c r="D460">
        <v>1.0789</v>
      </c>
      <c r="E460">
        <f>Tableau5[[#This Row],[Potential (PJ)]]/3.6</f>
        <v>0.29969444444444443</v>
      </c>
      <c r="F460">
        <v>17.364000000000001</v>
      </c>
      <c r="G460">
        <f>Tableau5[[#This Row],[Cost (€/GJ)]]*3.6</f>
        <v>62.510400000000004</v>
      </c>
      <c r="H460">
        <v>18.600000000000001</v>
      </c>
      <c r="I460">
        <f>Tableau5[[#This Row],[GHG (kgCO2eq/GJ)]]*3.6</f>
        <v>66.960000000000008</v>
      </c>
      <c r="J460" t="s">
        <v>107</v>
      </c>
      <c r="K460" t="s">
        <v>109</v>
      </c>
    </row>
    <row r="461" spans="1:11" x14ac:dyDescent="0.3">
      <c r="A461" t="s">
        <v>26</v>
      </c>
      <c r="B461" t="s">
        <v>59</v>
      </c>
      <c r="C461" t="s">
        <v>97</v>
      </c>
      <c r="D461">
        <v>2.0878999999999999</v>
      </c>
      <c r="E461">
        <f>Tableau5[[#This Row],[Potential (PJ)]]/3.6</f>
        <v>0.57997222222222222</v>
      </c>
      <c r="F461">
        <v>13.94465545306565</v>
      </c>
      <c r="G461">
        <f>Tableau5[[#This Row],[Cost (€/GJ)]]*3.6</f>
        <v>50.200759631036341</v>
      </c>
      <c r="H461">
        <v>18.600000000000001</v>
      </c>
      <c r="I461">
        <f>Tableau5[[#This Row],[GHG (kgCO2eq/GJ)]]*3.6</f>
        <v>66.960000000000008</v>
      </c>
      <c r="J461" t="s">
        <v>107</v>
      </c>
      <c r="K461" t="s">
        <v>109</v>
      </c>
    </row>
    <row r="462" spans="1:11" x14ac:dyDescent="0.3">
      <c r="A462" t="s">
        <v>26</v>
      </c>
      <c r="B462" t="s">
        <v>51</v>
      </c>
      <c r="C462" t="s">
        <v>75</v>
      </c>
      <c r="D462">
        <v>22.219519999999999</v>
      </c>
      <c r="E462">
        <f>Tableau5[[#This Row],[Potential (PJ)]]/3.6</f>
        <v>6.1720888888888883</v>
      </c>
      <c r="F462">
        <v>0.106125203555838</v>
      </c>
      <c r="G462">
        <f>Tableau5[[#This Row],[Cost (€/GJ)]]*3.6</f>
        <v>0.38205073280101681</v>
      </c>
      <c r="H462">
        <v>11.74</v>
      </c>
      <c r="I462">
        <f>Tableau5[[#This Row],[GHG (kgCO2eq/GJ)]]*3.6</f>
        <v>42.264000000000003</v>
      </c>
      <c r="J462" t="s">
        <v>104</v>
      </c>
      <c r="K462" t="s">
        <v>108</v>
      </c>
    </row>
    <row r="463" spans="1:11" x14ac:dyDescent="0.3">
      <c r="A463" t="s">
        <v>26</v>
      </c>
      <c r="B463" t="s">
        <v>60</v>
      </c>
      <c r="C463" t="s">
        <v>98</v>
      </c>
      <c r="D463">
        <v>0.15329000000000001</v>
      </c>
      <c r="E463">
        <f>Tableau5[[#This Row],[Potential (PJ)]]/3.6</f>
        <v>4.2580555555555559E-2</v>
      </c>
      <c r="F463">
        <v>10.79484425349087</v>
      </c>
      <c r="G463">
        <f>Tableau5[[#This Row],[Cost (€/GJ)]]*3.6</f>
        <v>38.861439312567136</v>
      </c>
      <c r="H463">
        <v>39</v>
      </c>
      <c r="I463">
        <f>Tableau5[[#This Row],[GHG (kgCO2eq/GJ)]]*3.6</f>
        <v>140.4</v>
      </c>
      <c r="J463" t="s">
        <v>107</v>
      </c>
      <c r="K463" t="s">
        <v>109</v>
      </c>
    </row>
    <row r="464" spans="1:11" x14ac:dyDescent="0.3">
      <c r="A464" t="s">
        <v>26</v>
      </c>
      <c r="B464" t="s">
        <v>52</v>
      </c>
      <c r="C464" t="s">
        <v>76</v>
      </c>
      <c r="D464">
        <v>0.151</v>
      </c>
      <c r="E464">
        <f>Tableau5[[#This Row],[Potential (PJ)]]/3.6</f>
        <v>4.1944444444444444E-2</v>
      </c>
      <c r="F464">
        <v>8.4824999999999999</v>
      </c>
      <c r="G464">
        <f>Tableau5[[#This Row],[Cost (€/GJ)]]*3.6</f>
        <v>30.536999999999999</v>
      </c>
      <c r="H464">
        <v>12.68872359754714</v>
      </c>
      <c r="I464">
        <f>Tableau5[[#This Row],[GHG (kgCO2eq/GJ)]]*3.6</f>
        <v>45.679404951169708</v>
      </c>
      <c r="J464" t="s">
        <v>105</v>
      </c>
      <c r="K464" t="s">
        <v>108</v>
      </c>
    </row>
    <row r="465" spans="1:11" x14ac:dyDescent="0.3">
      <c r="A465" t="s">
        <v>26</v>
      </c>
      <c r="B465" t="s">
        <v>53</v>
      </c>
      <c r="C465" t="s">
        <v>77</v>
      </c>
      <c r="D465">
        <v>14.29814</v>
      </c>
      <c r="E465">
        <f>Tableau5[[#This Row],[Potential (PJ)]]/3.6</f>
        <v>3.9717055555555554</v>
      </c>
      <c r="F465">
        <v>4.7831372542162827</v>
      </c>
      <c r="G465">
        <f>Tableau5[[#This Row],[Cost (€/GJ)]]*3.6</f>
        <v>17.219294115178617</v>
      </c>
      <c r="H465">
        <v>3.86607608129234</v>
      </c>
      <c r="I465">
        <f>Tableau5[[#This Row],[GHG (kgCO2eq/GJ)]]*3.6</f>
        <v>13.917873892652425</v>
      </c>
      <c r="J465" t="s">
        <v>104</v>
      </c>
      <c r="K465" t="s">
        <v>108</v>
      </c>
    </row>
    <row r="466" spans="1:11" x14ac:dyDescent="0.3">
      <c r="A466" t="s">
        <v>26</v>
      </c>
      <c r="B466" t="s">
        <v>61</v>
      </c>
      <c r="C466" t="s">
        <v>99</v>
      </c>
      <c r="D466">
        <v>6.4</v>
      </c>
      <c r="E466">
        <f>Tableau5[[#This Row],[Potential (PJ)]]/3.6</f>
        <v>1.7777777777777779</v>
      </c>
      <c r="F466">
        <v>2.865421875</v>
      </c>
      <c r="G466">
        <f>Tableau5[[#This Row],[Cost (€/GJ)]]*3.6</f>
        <v>10.315518750000001</v>
      </c>
      <c r="H466">
        <v>2.9245635910224439</v>
      </c>
      <c r="I466">
        <f>Tableau5[[#This Row],[GHG (kgCO2eq/GJ)]]*3.6</f>
        <v>10.528428927680798</v>
      </c>
      <c r="J466" t="s">
        <v>104</v>
      </c>
      <c r="K466" t="s">
        <v>108</v>
      </c>
    </row>
    <row r="467" spans="1:11" x14ac:dyDescent="0.3">
      <c r="A467" t="s">
        <v>26</v>
      </c>
      <c r="B467" t="s">
        <v>62</v>
      </c>
      <c r="C467" t="s">
        <v>100</v>
      </c>
      <c r="D467">
        <v>0.60000000000000009</v>
      </c>
      <c r="E467">
        <f>Tableau5[[#This Row],[Potential (PJ)]]/3.6</f>
        <v>0.16666666666666669</v>
      </c>
      <c r="F467">
        <v>0.23333333333333331</v>
      </c>
      <c r="G467">
        <f>Tableau5[[#This Row],[Cost (€/GJ)]]*3.6</f>
        <v>0.84</v>
      </c>
      <c r="H467">
        <v>2.6764106050305911</v>
      </c>
      <c r="I467">
        <f>Tableau5[[#This Row],[GHG (kgCO2eq/GJ)]]*3.6</f>
        <v>9.6350781781101276</v>
      </c>
      <c r="J467" t="s">
        <v>104</v>
      </c>
      <c r="K467" t="s">
        <v>108</v>
      </c>
    </row>
    <row r="468" spans="1:11" x14ac:dyDescent="0.3">
      <c r="A468" t="s">
        <v>26</v>
      </c>
      <c r="B468" t="s">
        <v>54</v>
      </c>
      <c r="C468" t="s">
        <v>78</v>
      </c>
      <c r="D468">
        <v>84.1</v>
      </c>
      <c r="E468">
        <f>Tableau5[[#This Row],[Potential (PJ)]]/3.6</f>
        <v>23.361111111111111</v>
      </c>
      <c r="F468">
        <v>9.9486147443519624</v>
      </c>
      <c r="G468">
        <f>Tableau5[[#This Row],[Cost (€/GJ)]]*3.6</f>
        <v>35.815013079667068</v>
      </c>
      <c r="H468">
        <v>3.86607608129234</v>
      </c>
      <c r="I468">
        <f>Tableau5[[#This Row],[GHG (kgCO2eq/GJ)]]*3.6</f>
        <v>13.917873892652425</v>
      </c>
      <c r="J468" t="s">
        <v>104</v>
      </c>
      <c r="K468" t="s">
        <v>108</v>
      </c>
    </row>
    <row r="469" spans="1:11" x14ac:dyDescent="0.3">
      <c r="A469" t="s">
        <v>27</v>
      </c>
      <c r="B469" t="s">
        <v>46</v>
      </c>
      <c r="C469" t="s">
        <v>64</v>
      </c>
      <c r="D469">
        <v>1.1440000000000001E-2</v>
      </c>
      <c r="E469">
        <f>Tableau5[[#This Row],[Potential (PJ)]]/3.6</f>
        <v>3.1777777777777776E-3</v>
      </c>
      <c r="F469">
        <v>0</v>
      </c>
      <c r="G469">
        <f>Tableau5[[#This Row],[Cost (€/GJ)]]*3.6</f>
        <v>0</v>
      </c>
      <c r="H469">
        <v>2.9521711768407801</v>
      </c>
      <c r="I469">
        <f>Tableau5[[#This Row],[GHG (kgCO2eq/GJ)]]*3.6</f>
        <v>10.627816236626808</v>
      </c>
      <c r="J469" t="s">
        <v>104</v>
      </c>
      <c r="K469" t="s">
        <v>108</v>
      </c>
    </row>
    <row r="470" spans="1:11" x14ac:dyDescent="0.3">
      <c r="A470" t="s">
        <v>27</v>
      </c>
      <c r="B470" t="s">
        <v>46</v>
      </c>
      <c r="C470" t="s">
        <v>79</v>
      </c>
      <c r="D470">
        <v>8.3000000000000007</v>
      </c>
      <c r="E470">
        <f>Tableau5[[#This Row],[Potential (PJ)]]/3.6</f>
        <v>2.3055555555555558</v>
      </c>
      <c r="F470">
        <v>0</v>
      </c>
      <c r="G470">
        <f>Tableau5[[#This Row],[Cost (€/GJ)]]*3.6</f>
        <v>0</v>
      </c>
      <c r="H470">
        <v>6.8428961748633883</v>
      </c>
      <c r="I470">
        <f>Tableau5[[#This Row],[GHG (kgCO2eq/GJ)]]*3.6</f>
        <v>24.634426229508197</v>
      </c>
      <c r="J470" t="s">
        <v>104</v>
      </c>
      <c r="K470" t="s">
        <v>108</v>
      </c>
    </row>
    <row r="471" spans="1:11" x14ac:dyDescent="0.3">
      <c r="A471" t="s">
        <v>27</v>
      </c>
      <c r="B471" t="s">
        <v>46</v>
      </c>
      <c r="C471" t="s">
        <v>80</v>
      </c>
      <c r="D471">
        <v>1.15E-2</v>
      </c>
      <c r="E471">
        <f>Tableau5[[#This Row],[Potential (PJ)]]/3.6</f>
        <v>3.1944444444444442E-3</v>
      </c>
      <c r="F471">
        <v>0.25084288604180721</v>
      </c>
      <c r="G471">
        <f>Tableau5[[#This Row],[Cost (€/GJ)]]*3.6</f>
        <v>0.90303438975050598</v>
      </c>
      <c r="H471">
        <v>28.139870918023309</v>
      </c>
      <c r="I471">
        <f>Tableau5[[#This Row],[GHG (kgCO2eq/GJ)]]*3.6</f>
        <v>101.30353530488391</v>
      </c>
      <c r="J471" t="s">
        <v>105</v>
      </c>
      <c r="K471" t="s">
        <v>108</v>
      </c>
    </row>
    <row r="472" spans="1:11" x14ac:dyDescent="0.3">
      <c r="A472" t="s">
        <v>27</v>
      </c>
      <c r="B472" t="s">
        <v>46</v>
      </c>
      <c r="C472" t="s">
        <v>81</v>
      </c>
      <c r="D472">
        <v>3.3E-3</v>
      </c>
      <c r="E472">
        <f>Tableau5[[#This Row],[Potential (PJ)]]/3.6</f>
        <v>9.1666666666666665E-4</v>
      </c>
      <c r="F472">
        <v>1.663924794359577</v>
      </c>
      <c r="G472">
        <f>Tableau5[[#This Row],[Cost (€/GJ)]]*3.6</f>
        <v>5.9901292596944771</v>
      </c>
      <c r="H472">
        <v>8.9647473560517046</v>
      </c>
      <c r="I472">
        <f>Tableau5[[#This Row],[GHG (kgCO2eq/GJ)]]*3.6</f>
        <v>32.273090481786134</v>
      </c>
      <c r="J472" t="s">
        <v>105</v>
      </c>
      <c r="K472" t="s">
        <v>108</v>
      </c>
    </row>
    <row r="473" spans="1:11" x14ac:dyDescent="0.3">
      <c r="A473" t="s">
        <v>27</v>
      </c>
      <c r="B473" t="s">
        <v>46</v>
      </c>
      <c r="C473" t="s">
        <v>66</v>
      </c>
      <c r="D473">
        <v>0.1</v>
      </c>
      <c r="E473">
        <f>Tableau5[[#This Row],[Potential (PJ)]]/3.6</f>
        <v>2.777777777777778E-2</v>
      </c>
      <c r="F473">
        <v>3.456</v>
      </c>
      <c r="G473">
        <f>Tableau5[[#This Row],[Cost (€/GJ)]]*3.6</f>
        <v>12.441599999999999</v>
      </c>
      <c r="H473">
        <v>6.8428961748633883</v>
      </c>
      <c r="I473">
        <f>Tableau5[[#This Row],[GHG (kgCO2eq/GJ)]]*3.6</f>
        <v>24.634426229508197</v>
      </c>
      <c r="J473" t="s">
        <v>104</v>
      </c>
      <c r="K473" t="s">
        <v>108</v>
      </c>
    </row>
    <row r="474" spans="1:11" x14ac:dyDescent="0.3">
      <c r="A474" t="s">
        <v>27</v>
      </c>
      <c r="B474" t="s">
        <v>46</v>
      </c>
      <c r="C474" t="s">
        <v>82</v>
      </c>
      <c r="D474">
        <v>0.9</v>
      </c>
      <c r="E474">
        <f>Tableau5[[#This Row],[Potential (PJ)]]/3.6</f>
        <v>0.25</v>
      </c>
      <c r="F474">
        <v>2.1120000000000001</v>
      </c>
      <c r="G474">
        <f>Tableau5[[#This Row],[Cost (€/GJ)]]*3.6</f>
        <v>7.6032000000000002</v>
      </c>
      <c r="H474">
        <v>6.8428961748633883</v>
      </c>
      <c r="I474">
        <f>Tableau5[[#This Row],[GHG (kgCO2eq/GJ)]]*3.6</f>
        <v>24.634426229508197</v>
      </c>
      <c r="J474" t="s">
        <v>104</v>
      </c>
      <c r="K474" t="s">
        <v>108</v>
      </c>
    </row>
    <row r="475" spans="1:11" x14ac:dyDescent="0.3">
      <c r="A475" t="s">
        <v>27</v>
      </c>
      <c r="B475" t="s">
        <v>46</v>
      </c>
      <c r="C475" t="s">
        <v>84</v>
      </c>
      <c r="D475">
        <v>0.2</v>
      </c>
      <c r="E475">
        <f>Tableau5[[#This Row],[Potential (PJ)]]/3.6</f>
        <v>5.5555555555555559E-2</v>
      </c>
      <c r="F475">
        <v>1.919</v>
      </c>
      <c r="G475">
        <f>Tableau5[[#This Row],[Cost (€/GJ)]]*3.6</f>
        <v>6.9084000000000003</v>
      </c>
      <c r="H475">
        <v>28.139870918023309</v>
      </c>
      <c r="I475">
        <f>Tableau5[[#This Row],[GHG (kgCO2eq/GJ)]]*3.6</f>
        <v>101.30353530488391</v>
      </c>
      <c r="J475" t="s">
        <v>105</v>
      </c>
      <c r="K475" t="s">
        <v>108</v>
      </c>
    </row>
    <row r="476" spans="1:11" x14ac:dyDescent="0.3">
      <c r="A476" t="s">
        <v>27</v>
      </c>
      <c r="B476" t="s">
        <v>55</v>
      </c>
      <c r="C476" t="s">
        <v>86</v>
      </c>
      <c r="D476">
        <v>0.66349999999999998</v>
      </c>
      <c r="E476">
        <f>Tableau5[[#This Row],[Potential (PJ)]]/3.6</f>
        <v>0.18430555555555556</v>
      </c>
      <c r="F476">
        <v>9.9629999999999992</v>
      </c>
      <c r="G476">
        <f>Tableau5[[#This Row],[Cost (€/GJ)]]*3.6</f>
        <v>35.866799999999998</v>
      </c>
      <c r="H476">
        <v>6.2</v>
      </c>
      <c r="I476">
        <f>Tableau5[[#This Row],[GHG (kgCO2eq/GJ)]]*3.6</f>
        <v>22.32</v>
      </c>
      <c r="J476" t="s">
        <v>106</v>
      </c>
      <c r="K476" t="s">
        <v>109</v>
      </c>
    </row>
    <row r="477" spans="1:11" x14ac:dyDescent="0.3">
      <c r="A477" t="s">
        <v>27</v>
      </c>
      <c r="B477" t="s">
        <v>55</v>
      </c>
      <c r="C477" t="s">
        <v>88</v>
      </c>
      <c r="D477">
        <v>0.1208</v>
      </c>
      <c r="E477">
        <f>Tableau5[[#This Row],[Potential (PJ)]]/3.6</f>
        <v>3.3555555555555554E-2</v>
      </c>
      <c r="F477">
        <v>12.96</v>
      </c>
      <c r="G477">
        <f>Tableau5[[#This Row],[Cost (€/GJ)]]*3.6</f>
        <v>46.656000000000006</v>
      </c>
      <c r="H477">
        <v>6.2</v>
      </c>
      <c r="I477">
        <f>Tableau5[[#This Row],[GHG (kgCO2eq/GJ)]]*3.6</f>
        <v>22.32</v>
      </c>
      <c r="J477" t="s">
        <v>106</v>
      </c>
      <c r="K477" t="s">
        <v>109</v>
      </c>
    </row>
    <row r="478" spans="1:11" x14ac:dyDescent="0.3">
      <c r="A478" t="s">
        <v>27</v>
      </c>
      <c r="B478" t="s">
        <v>55</v>
      </c>
      <c r="C478" t="s">
        <v>89</v>
      </c>
      <c r="D478">
        <v>1.6000000000000001E-3</v>
      </c>
      <c r="E478">
        <f>Tableau5[[#This Row],[Potential (PJ)]]/3.6</f>
        <v>4.4444444444444447E-4</v>
      </c>
      <c r="F478">
        <v>0</v>
      </c>
      <c r="G478">
        <f>Tableau5[[#This Row],[Cost (€/GJ)]]*3.6</f>
        <v>0</v>
      </c>
      <c r="H478">
        <v>6.2</v>
      </c>
      <c r="I478">
        <f>Tableau5[[#This Row],[GHG (kgCO2eq/GJ)]]*3.6</f>
        <v>22.32</v>
      </c>
      <c r="J478" t="s">
        <v>106</v>
      </c>
      <c r="K478" t="s">
        <v>109</v>
      </c>
    </row>
    <row r="479" spans="1:11" x14ac:dyDescent="0.3">
      <c r="A479" t="s">
        <v>27</v>
      </c>
      <c r="B479" t="s">
        <v>55</v>
      </c>
      <c r="C479" t="s">
        <v>90</v>
      </c>
      <c r="D479">
        <v>0.72109999999999996</v>
      </c>
      <c r="E479">
        <f>Tableau5[[#This Row],[Potential (PJ)]]/3.6</f>
        <v>0.20030555555555554</v>
      </c>
      <c r="F479">
        <v>8.8279999999999994</v>
      </c>
      <c r="G479">
        <f>Tableau5[[#This Row],[Cost (€/GJ)]]*3.6</f>
        <v>31.780799999999999</v>
      </c>
      <c r="H479">
        <v>6.2</v>
      </c>
      <c r="I479">
        <f>Tableau5[[#This Row],[GHG (kgCO2eq/GJ)]]*3.6</f>
        <v>22.32</v>
      </c>
      <c r="J479" t="s">
        <v>106</v>
      </c>
      <c r="K479" t="s">
        <v>109</v>
      </c>
    </row>
    <row r="480" spans="1:11" x14ac:dyDescent="0.3">
      <c r="A480" t="s">
        <v>27</v>
      </c>
      <c r="B480" t="s">
        <v>55</v>
      </c>
      <c r="C480" t="s">
        <v>91</v>
      </c>
      <c r="D480">
        <v>0.3397</v>
      </c>
      <c r="E480">
        <f>Tableau5[[#This Row],[Potential (PJ)]]/3.6</f>
        <v>9.4361111111111104E-2</v>
      </c>
      <c r="F480">
        <v>8.484</v>
      </c>
      <c r="G480">
        <f>Tableau5[[#This Row],[Cost (€/GJ)]]*3.6</f>
        <v>30.542400000000001</v>
      </c>
      <c r="H480">
        <v>6.2</v>
      </c>
      <c r="I480">
        <f>Tableau5[[#This Row],[GHG (kgCO2eq/GJ)]]*3.6</f>
        <v>22.32</v>
      </c>
      <c r="J480" t="s">
        <v>106</v>
      </c>
      <c r="K480" t="s">
        <v>109</v>
      </c>
    </row>
    <row r="481" spans="1:11" x14ac:dyDescent="0.3">
      <c r="A481" t="s">
        <v>27</v>
      </c>
      <c r="B481" t="s">
        <v>55</v>
      </c>
      <c r="C481" t="s">
        <v>92</v>
      </c>
      <c r="D481">
        <v>0.50973000000000002</v>
      </c>
      <c r="E481">
        <f>Tableau5[[#This Row],[Potential (PJ)]]/3.6</f>
        <v>0.14159166666666667</v>
      </c>
      <c r="F481">
        <v>10.994</v>
      </c>
      <c r="G481">
        <f>Tableau5[[#This Row],[Cost (€/GJ)]]*3.6</f>
        <v>39.578400000000002</v>
      </c>
      <c r="H481">
        <v>6.2</v>
      </c>
      <c r="I481">
        <f>Tableau5[[#This Row],[GHG (kgCO2eq/GJ)]]*3.6</f>
        <v>22.32</v>
      </c>
      <c r="J481" t="s">
        <v>106</v>
      </c>
      <c r="K481" t="s">
        <v>109</v>
      </c>
    </row>
    <row r="482" spans="1:11" x14ac:dyDescent="0.3">
      <c r="A482" t="s">
        <v>27</v>
      </c>
      <c r="B482" t="s">
        <v>56</v>
      </c>
      <c r="C482" t="s">
        <v>93</v>
      </c>
      <c r="D482">
        <v>24.2959</v>
      </c>
      <c r="E482">
        <f>Tableau5[[#This Row],[Potential (PJ)]]/3.6</f>
        <v>6.7488611111111112</v>
      </c>
      <c r="F482">
        <v>2.9493975903614462</v>
      </c>
      <c r="G482">
        <f>Tableau5[[#This Row],[Cost (€/GJ)]]*3.6</f>
        <v>10.617831325301207</v>
      </c>
      <c r="H482">
        <v>18.3</v>
      </c>
      <c r="I482">
        <f>Tableau5[[#This Row],[GHG (kgCO2eq/GJ)]]*3.6</f>
        <v>65.88000000000001</v>
      </c>
      <c r="J482" t="s">
        <v>106</v>
      </c>
      <c r="K482" t="s">
        <v>109</v>
      </c>
    </row>
    <row r="483" spans="1:11" x14ac:dyDescent="0.3">
      <c r="A483" t="s">
        <v>27</v>
      </c>
      <c r="B483" t="s">
        <v>47</v>
      </c>
      <c r="C483" t="s">
        <v>101</v>
      </c>
      <c r="D483">
        <v>16.8</v>
      </c>
      <c r="E483">
        <f>Tableau5[[#This Row],[Potential (PJ)]]/3.6</f>
        <v>4.666666666666667</v>
      </c>
      <c r="F483">
        <v>2.3929999999999998</v>
      </c>
      <c r="G483">
        <f>Tableau5[[#This Row],[Cost (€/GJ)]]*3.6</f>
        <v>8.6147999999999989</v>
      </c>
      <c r="H483">
        <v>43.8</v>
      </c>
      <c r="I483">
        <f>Tableau5[[#This Row],[GHG (kgCO2eq/GJ)]]*3.6</f>
        <v>157.68</v>
      </c>
      <c r="J483" t="s">
        <v>104</v>
      </c>
      <c r="K483" t="s">
        <v>109</v>
      </c>
    </row>
    <row r="484" spans="1:11" x14ac:dyDescent="0.3">
      <c r="A484" t="s">
        <v>27</v>
      </c>
      <c r="B484" t="s">
        <v>57</v>
      </c>
      <c r="C484" t="s">
        <v>94</v>
      </c>
      <c r="D484">
        <v>13.2</v>
      </c>
      <c r="E484">
        <f>Tableau5[[#This Row],[Potential (PJ)]]/3.6</f>
        <v>3.6666666666666665</v>
      </c>
      <c r="F484">
        <v>6.9180000000000001</v>
      </c>
      <c r="G484">
        <f>Tableau5[[#This Row],[Cost (€/GJ)]]*3.6</f>
        <v>24.904800000000002</v>
      </c>
      <c r="H484">
        <v>19.8</v>
      </c>
      <c r="I484">
        <f>Tableau5[[#This Row],[GHG (kgCO2eq/GJ)]]*3.6</f>
        <v>71.28</v>
      </c>
      <c r="J484" t="s">
        <v>104</v>
      </c>
      <c r="K484" t="s">
        <v>109</v>
      </c>
    </row>
    <row r="485" spans="1:11" x14ac:dyDescent="0.3">
      <c r="A485" t="s">
        <v>27</v>
      </c>
      <c r="B485" t="s">
        <v>49</v>
      </c>
      <c r="C485" t="s">
        <v>71</v>
      </c>
      <c r="D485">
        <v>18.055009999999999</v>
      </c>
      <c r="E485">
        <f>Tableau5[[#This Row],[Potential (PJ)]]/3.6</f>
        <v>5.0152805555555551</v>
      </c>
      <c r="F485">
        <v>0</v>
      </c>
      <c r="G485">
        <f>Tableau5[[#This Row],[Cost (€/GJ)]]*3.6</f>
        <v>0</v>
      </c>
      <c r="H485">
        <v>3.86607608129234</v>
      </c>
      <c r="I485">
        <f>Tableau5[[#This Row],[GHG (kgCO2eq/GJ)]]*3.6</f>
        <v>13.917873892652425</v>
      </c>
      <c r="J485" t="s">
        <v>104</v>
      </c>
      <c r="K485" t="s">
        <v>108</v>
      </c>
    </row>
    <row r="486" spans="1:11" x14ac:dyDescent="0.3">
      <c r="A486" t="s">
        <v>27</v>
      </c>
      <c r="B486" t="s">
        <v>49</v>
      </c>
      <c r="C486" t="s">
        <v>72</v>
      </c>
      <c r="D486">
        <v>2.8</v>
      </c>
      <c r="E486">
        <f>Tableau5[[#This Row],[Potential (PJ)]]/3.6</f>
        <v>0.77777777777777768</v>
      </c>
      <c r="F486">
        <v>0</v>
      </c>
      <c r="G486">
        <f>Tableau5[[#This Row],[Cost (€/GJ)]]*3.6</f>
        <v>0</v>
      </c>
      <c r="H486">
        <v>3.86607608129234</v>
      </c>
      <c r="I486">
        <f>Tableau5[[#This Row],[GHG (kgCO2eq/GJ)]]*3.6</f>
        <v>13.917873892652425</v>
      </c>
      <c r="J486" t="s">
        <v>104</v>
      </c>
      <c r="K486" t="s">
        <v>108</v>
      </c>
    </row>
    <row r="487" spans="1:11" x14ac:dyDescent="0.3">
      <c r="A487" t="s">
        <v>27</v>
      </c>
      <c r="B487" t="s">
        <v>58</v>
      </c>
      <c r="C487" t="s">
        <v>95</v>
      </c>
      <c r="D487">
        <v>2.0498099999999999</v>
      </c>
      <c r="E487">
        <f>Tableau5[[#This Row],[Potential (PJ)]]/3.6</f>
        <v>0.56939166666666663</v>
      </c>
      <c r="F487">
        <v>3.3580000000000001</v>
      </c>
      <c r="G487">
        <f>Tableau5[[#This Row],[Cost (€/GJ)]]*3.6</f>
        <v>12.088800000000001</v>
      </c>
      <c r="H487">
        <v>2.9521711768407801</v>
      </c>
      <c r="I487">
        <f>Tableau5[[#This Row],[GHG (kgCO2eq/GJ)]]*3.6</f>
        <v>10.627816236626808</v>
      </c>
      <c r="J487" t="s">
        <v>104</v>
      </c>
      <c r="K487" t="s">
        <v>108</v>
      </c>
    </row>
    <row r="488" spans="1:11" x14ac:dyDescent="0.3">
      <c r="A488" t="s">
        <v>27</v>
      </c>
      <c r="B488" t="s">
        <v>50</v>
      </c>
      <c r="C488" t="s">
        <v>73</v>
      </c>
      <c r="D488">
        <v>1.4</v>
      </c>
      <c r="E488">
        <f>Tableau5[[#This Row],[Potential (PJ)]]/3.6</f>
        <v>0.38888888888888884</v>
      </c>
      <c r="F488">
        <v>4.976</v>
      </c>
      <c r="G488">
        <f>Tableau5[[#This Row],[Cost (€/GJ)]]*3.6</f>
        <v>17.913599999999999</v>
      </c>
      <c r="H488">
        <v>20.723404255319149</v>
      </c>
      <c r="I488">
        <f>Tableau5[[#This Row],[GHG (kgCO2eq/GJ)]]*3.6</f>
        <v>74.604255319148933</v>
      </c>
      <c r="J488" t="s">
        <v>105</v>
      </c>
      <c r="K488" t="s">
        <v>108</v>
      </c>
    </row>
    <row r="489" spans="1:11" x14ac:dyDescent="0.3">
      <c r="A489" t="s">
        <v>27</v>
      </c>
      <c r="B489" t="s">
        <v>50</v>
      </c>
      <c r="C489" t="s">
        <v>74</v>
      </c>
      <c r="D489">
        <v>9.6</v>
      </c>
      <c r="E489">
        <f>Tableau5[[#This Row],[Potential (PJ)]]/3.6</f>
        <v>2.6666666666666665</v>
      </c>
      <c r="F489">
        <v>3.383</v>
      </c>
      <c r="G489">
        <f>Tableau5[[#This Row],[Cost (€/GJ)]]*3.6</f>
        <v>12.178800000000001</v>
      </c>
      <c r="H489">
        <v>2.0635593220338988</v>
      </c>
      <c r="I489">
        <f>Tableau5[[#This Row],[GHG (kgCO2eq/GJ)]]*3.6</f>
        <v>7.4288135593220357</v>
      </c>
      <c r="J489" t="s">
        <v>105</v>
      </c>
      <c r="K489" t="s">
        <v>108</v>
      </c>
    </row>
    <row r="490" spans="1:11" x14ac:dyDescent="0.3">
      <c r="A490" t="s">
        <v>27</v>
      </c>
      <c r="B490" t="s">
        <v>51</v>
      </c>
      <c r="C490" t="s">
        <v>75</v>
      </c>
      <c r="D490">
        <v>0.85884400000000005</v>
      </c>
      <c r="E490">
        <f>Tableau5[[#This Row],[Potential (PJ)]]/3.6</f>
        <v>0.2385677777777778</v>
      </c>
      <c r="F490">
        <v>5.9711205314269003E-2</v>
      </c>
      <c r="G490">
        <f>Tableau5[[#This Row],[Cost (€/GJ)]]*3.6</f>
        <v>0.21496033913136842</v>
      </c>
      <c r="H490">
        <v>11.74</v>
      </c>
      <c r="I490">
        <f>Tableau5[[#This Row],[GHG (kgCO2eq/GJ)]]*3.6</f>
        <v>42.264000000000003</v>
      </c>
      <c r="J490" t="s">
        <v>104</v>
      </c>
      <c r="K490" t="s">
        <v>108</v>
      </c>
    </row>
    <row r="491" spans="1:11" x14ac:dyDescent="0.3">
      <c r="A491" t="s">
        <v>27</v>
      </c>
      <c r="B491" t="s">
        <v>60</v>
      </c>
      <c r="C491" t="s">
        <v>98</v>
      </c>
      <c r="D491">
        <v>5.3362299999999996</v>
      </c>
      <c r="E491">
        <f>Tableau5[[#This Row],[Potential (PJ)]]/3.6</f>
        <v>1.482286111111111</v>
      </c>
      <c r="F491">
        <v>16.809881847475829</v>
      </c>
      <c r="G491">
        <f>Tableau5[[#This Row],[Cost (€/GJ)]]*3.6</f>
        <v>60.515574650912988</v>
      </c>
      <c r="H491">
        <v>26.9</v>
      </c>
      <c r="I491">
        <f>Tableau5[[#This Row],[GHG (kgCO2eq/GJ)]]*3.6</f>
        <v>96.84</v>
      </c>
      <c r="J491" t="s">
        <v>107</v>
      </c>
      <c r="K491" t="s">
        <v>109</v>
      </c>
    </row>
    <row r="492" spans="1:11" x14ac:dyDescent="0.3">
      <c r="A492" t="s">
        <v>27</v>
      </c>
      <c r="B492" t="s">
        <v>53</v>
      </c>
      <c r="C492" t="s">
        <v>77</v>
      </c>
      <c r="D492">
        <v>3.58718</v>
      </c>
      <c r="E492">
        <f>Tableau5[[#This Row],[Potential (PJ)]]/3.6</f>
        <v>0.99643888888888887</v>
      </c>
      <c r="F492">
        <v>0</v>
      </c>
      <c r="G492">
        <f>Tableau5[[#This Row],[Cost (€/GJ)]]*3.6</f>
        <v>0</v>
      </c>
      <c r="H492">
        <v>3.86607608129234</v>
      </c>
      <c r="I492">
        <f>Tableau5[[#This Row],[GHG (kgCO2eq/GJ)]]*3.6</f>
        <v>13.917873892652425</v>
      </c>
      <c r="J492" t="s">
        <v>104</v>
      </c>
      <c r="K492" t="s">
        <v>108</v>
      </c>
    </row>
    <row r="493" spans="1:11" x14ac:dyDescent="0.3">
      <c r="A493" t="s">
        <v>27</v>
      </c>
      <c r="B493" t="s">
        <v>61</v>
      </c>
      <c r="C493" t="s">
        <v>99</v>
      </c>
      <c r="D493">
        <v>2.4</v>
      </c>
      <c r="E493">
        <f>Tableau5[[#This Row],[Potential (PJ)]]/3.6</f>
        <v>0.66666666666666663</v>
      </c>
      <c r="F493">
        <v>0</v>
      </c>
      <c r="G493">
        <f>Tableau5[[#This Row],[Cost (€/GJ)]]*3.6</f>
        <v>0</v>
      </c>
      <c r="H493">
        <v>2.9245635910224439</v>
      </c>
      <c r="I493">
        <f>Tableau5[[#This Row],[GHG (kgCO2eq/GJ)]]*3.6</f>
        <v>10.528428927680798</v>
      </c>
      <c r="J493" t="s">
        <v>104</v>
      </c>
      <c r="K493" t="s">
        <v>108</v>
      </c>
    </row>
    <row r="494" spans="1:11" x14ac:dyDescent="0.3">
      <c r="A494" t="s">
        <v>27</v>
      </c>
      <c r="B494" t="s">
        <v>62</v>
      </c>
      <c r="C494" t="s">
        <v>100</v>
      </c>
      <c r="D494">
        <v>0.9</v>
      </c>
      <c r="E494">
        <f>Tableau5[[#This Row],[Potential (PJ)]]/3.6</f>
        <v>0.25</v>
      </c>
      <c r="F494">
        <v>1.9</v>
      </c>
      <c r="G494">
        <f>Tableau5[[#This Row],[Cost (€/GJ)]]*3.6</f>
        <v>6.84</v>
      </c>
      <c r="H494">
        <v>2.6764106050305911</v>
      </c>
      <c r="I494">
        <f>Tableau5[[#This Row],[GHG (kgCO2eq/GJ)]]*3.6</f>
        <v>9.6350781781101276</v>
      </c>
      <c r="J494" t="s">
        <v>104</v>
      </c>
      <c r="K494" t="s">
        <v>108</v>
      </c>
    </row>
    <row r="495" spans="1:11" x14ac:dyDescent="0.3">
      <c r="A495" t="s">
        <v>27</v>
      </c>
      <c r="B495" t="s">
        <v>54</v>
      </c>
      <c r="C495" t="s">
        <v>78</v>
      </c>
      <c r="D495">
        <v>23.5</v>
      </c>
      <c r="E495">
        <f>Tableau5[[#This Row],[Potential (PJ)]]/3.6</f>
        <v>6.5277777777777777</v>
      </c>
      <c r="F495">
        <v>0</v>
      </c>
      <c r="G495">
        <f>Tableau5[[#This Row],[Cost (€/GJ)]]*3.6</f>
        <v>0</v>
      </c>
      <c r="H495">
        <v>3.86607608129234</v>
      </c>
      <c r="I495">
        <f>Tableau5[[#This Row],[GHG (kgCO2eq/GJ)]]*3.6</f>
        <v>13.917873892652425</v>
      </c>
      <c r="J495" t="s">
        <v>104</v>
      </c>
      <c r="K495" t="s">
        <v>108</v>
      </c>
    </row>
    <row r="496" spans="1:11" x14ac:dyDescent="0.3">
      <c r="A496" t="s">
        <v>28</v>
      </c>
      <c r="B496" t="s">
        <v>46</v>
      </c>
      <c r="C496" t="s">
        <v>103</v>
      </c>
      <c r="D496">
        <v>0.194887</v>
      </c>
      <c r="E496">
        <f>Tableau5[[#This Row],[Potential (PJ)]]/3.6</f>
        <v>5.4135277777777775E-2</v>
      </c>
      <c r="F496">
        <v>0</v>
      </c>
      <c r="G496">
        <f>Tableau5[[#This Row],[Cost (€/GJ)]]*3.6</f>
        <v>0</v>
      </c>
      <c r="I496">
        <f>Tableau5[[#This Row],[GHG (kgCO2eq/GJ)]]*3.6</f>
        <v>0</v>
      </c>
    </row>
    <row r="497" spans="1:11" x14ac:dyDescent="0.3">
      <c r="A497" t="s">
        <v>28</v>
      </c>
      <c r="B497" t="s">
        <v>46</v>
      </c>
      <c r="C497" t="s">
        <v>80</v>
      </c>
      <c r="D497">
        <v>1.01E-2</v>
      </c>
      <c r="E497">
        <f>Tableau5[[#This Row],[Potential (PJ)]]/3.6</f>
        <v>2.8055555555555555E-3</v>
      </c>
      <c r="F497">
        <v>0</v>
      </c>
      <c r="G497">
        <f>Tableau5[[#This Row],[Cost (€/GJ)]]*3.6</f>
        <v>0</v>
      </c>
      <c r="H497">
        <v>28.139870918023309</v>
      </c>
      <c r="I497">
        <f>Tableau5[[#This Row],[GHG (kgCO2eq/GJ)]]*3.6</f>
        <v>101.30353530488391</v>
      </c>
      <c r="J497" t="s">
        <v>105</v>
      </c>
      <c r="K497" t="s">
        <v>108</v>
      </c>
    </row>
    <row r="498" spans="1:11" x14ac:dyDescent="0.3">
      <c r="A498" t="s">
        <v>28</v>
      </c>
      <c r="B498" t="s">
        <v>46</v>
      </c>
      <c r="C498" t="s">
        <v>81</v>
      </c>
      <c r="D498">
        <v>7.5499999999999998E-2</v>
      </c>
      <c r="E498">
        <f>Tableau5[[#This Row],[Potential (PJ)]]/3.6</f>
        <v>2.0972222222222222E-2</v>
      </c>
      <c r="F498">
        <v>0</v>
      </c>
      <c r="G498">
        <f>Tableau5[[#This Row],[Cost (€/GJ)]]*3.6</f>
        <v>0</v>
      </c>
      <c r="H498">
        <v>8.9647473560517046</v>
      </c>
      <c r="I498">
        <f>Tableau5[[#This Row],[GHG (kgCO2eq/GJ)]]*3.6</f>
        <v>32.273090481786134</v>
      </c>
      <c r="J498" t="s">
        <v>105</v>
      </c>
      <c r="K498" t="s">
        <v>108</v>
      </c>
    </row>
    <row r="499" spans="1:11" x14ac:dyDescent="0.3">
      <c r="A499" t="s">
        <v>28</v>
      </c>
      <c r="B499" t="s">
        <v>55</v>
      </c>
      <c r="C499" t="s">
        <v>86</v>
      </c>
      <c r="D499">
        <v>0.19409999999999999</v>
      </c>
      <c r="E499">
        <f>Tableau5[[#This Row],[Potential (PJ)]]/3.6</f>
        <v>5.3916666666666661E-2</v>
      </c>
      <c r="F499">
        <v>5.4980000000000002</v>
      </c>
      <c r="G499">
        <f>Tableau5[[#This Row],[Cost (€/GJ)]]*3.6</f>
        <v>19.7928</v>
      </c>
      <c r="H499">
        <v>26.8</v>
      </c>
      <c r="I499">
        <f>Tableau5[[#This Row],[GHG (kgCO2eq/GJ)]]*3.6</f>
        <v>96.48</v>
      </c>
      <c r="J499" t="s">
        <v>106</v>
      </c>
      <c r="K499" t="s">
        <v>109</v>
      </c>
    </row>
    <row r="500" spans="1:11" x14ac:dyDescent="0.3">
      <c r="A500" t="s">
        <v>28</v>
      </c>
      <c r="B500" t="s">
        <v>55</v>
      </c>
      <c r="C500" t="s">
        <v>88</v>
      </c>
      <c r="D500">
        <v>8.0000000000000002E-3</v>
      </c>
      <c r="E500">
        <f>Tableau5[[#This Row],[Potential (PJ)]]/3.6</f>
        <v>2.2222222222222222E-3</v>
      </c>
      <c r="F500">
        <v>3.4870000000000001</v>
      </c>
      <c r="G500">
        <f>Tableau5[[#This Row],[Cost (€/GJ)]]*3.6</f>
        <v>12.5532</v>
      </c>
      <c r="H500">
        <v>26.8</v>
      </c>
      <c r="I500">
        <f>Tableau5[[#This Row],[GHG (kgCO2eq/GJ)]]*3.6</f>
        <v>96.48</v>
      </c>
      <c r="J500" t="s">
        <v>106</v>
      </c>
      <c r="K500" t="s">
        <v>109</v>
      </c>
    </row>
    <row r="501" spans="1:11" x14ac:dyDescent="0.3">
      <c r="A501" t="s">
        <v>28</v>
      </c>
      <c r="B501" t="s">
        <v>55</v>
      </c>
      <c r="C501" t="s">
        <v>92</v>
      </c>
      <c r="D501">
        <v>0.14877000000000001</v>
      </c>
      <c r="E501">
        <f>Tableau5[[#This Row],[Potential (PJ)]]/3.6</f>
        <v>4.1325000000000001E-2</v>
      </c>
      <c r="F501">
        <v>6.0330000000000004</v>
      </c>
      <c r="G501">
        <f>Tableau5[[#This Row],[Cost (€/GJ)]]*3.6</f>
        <v>21.718800000000002</v>
      </c>
      <c r="H501">
        <v>26.8</v>
      </c>
      <c r="I501">
        <f>Tableau5[[#This Row],[GHG (kgCO2eq/GJ)]]*3.6</f>
        <v>96.48</v>
      </c>
      <c r="J501" t="s">
        <v>106</v>
      </c>
      <c r="K501" t="s">
        <v>109</v>
      </c>
    </row>
    <row r="502" spans="1:11" x14ac:dyDescent="0.3">
      <c r="A502" t="s">
        <v>28</v>
      </c>
      <c r="B502" t="s">
        <v>49</v>
      </c>
      <c r="C502" t="s">
        <v>71</v>
      </c>
      <c r="D502">
        <v>1.7386600000000001</v>
      </c>
      <c r="E502">
        <f>Tableau5[[#This Row],[Potential (PJ)]]/3.6</f>
        <v>0.48296111111111112</v>
      </c>
      <c r="F502">
        <v>0</v>
      </c>
      <c r="G502">
        <f>Tableau5[[#This Row],[Cost (€/GJ)]]*3.6</f>
        <v>0</v>
      </c>
      <c r="H502">
        <v>3.86607608129234</v>
      </c>
      <c r="I502">
        <f>Tableau5[[#This Row],[GHG (kgCO2eq/GJ)]]*3.6</f>
        <v>13.917873892652425</v>
      </c>
      <c r="J502" t="s">
        <v>104</v>
      </c>
      <c r="K502" t="s">
        <v>108</v>
      </c>
    </row>
    <row r="503" spans="1:11" x14ac:dyDescent="0.3">
      <c r="A503" t="s">
        <v>28</v>
      </c>
      <c r="B503" t="s">
        <v>51</v>
      </c>
      <c r="C503" t="s">
        <v>75</v>
      </c>
      <c r="D503">
        <v>8.4952E-2</v>
      </c>
      <c r="E503">
        <f>Tableau5[[#This Row],[Potential (PJ)]]/3.6</f>
        <v>2.3597777777777777E-2</v>
      </c>
      <c r="F503">
        <v>8.1588885227622699E-4</v>
      </c>
      <c r="G503">
        <f>Tableau5[[#This Row],[Cost (€/GJ)]]*3.6</f>
        <v>2.9371998681944171E-3</v>
      </c>
      <c r="H503">
        <v>11.74</v>
      </c>
      <c r="I503">
        <f>Tableau5[[#This Row],[GHG (kgCO2eq/GJ)]]*3.6</f>
        <v>42.264000000000003</v>
      </c>
      <c r="J503" t="s">
        <v>104</v>
      </c>
      <c r="K503" t="s">
        <v>108</v>
      </c>
    </row>
    <row r="504" spans="1:11" x14ac:dyDescent="0.3">
      <c r="A504" t="s">
        <v>28</v>
      </c>
      <c r="B504" t="s">
        <v>60</v>
      </c>
      <c r="C504" t="s">
        <v>98</v>
      </c>
      <c r="D504">
        <v>0.94345999999999997</v>
      </c>
      <c r="E504">
        <f>Tableau5[[#This Row],[Potential (PJ)]]/3.6</f>
        <v>0.26207222222222221</v>
      </c>
      <c r="F504">
        <v>0</v>
      </c>
      <c r="G504">
        <f>Tableau5[[#This Row],[Cost (€/GJ)]]*3.6</f>
        <v>0</v>
      </c>
      <c r="H504">
        <v>37.799999999999997</v>
      </c>
      <c r="I504">
        <f>Tableau5[[#This Row],[GHG (kgCO2eq/GJ)]]*3.6</f>
        <v>136.07999999999998</v>
      </c>
      <c r="J504" t="s">
        <v>107</v>
      </c>
      <c r="K504" t="s">
        <v>109</v>
      </c>
    </row>
    <row r="505" spans="1:11" x14ac:dyDescent="0.3">
      <c r="A505" t="s">
        <v>28</v>
      </c>
      <c r="B505" t="s">
        <v>53</v>
      </c>
      <c r="C505" t="s">
        <v>77</v>
      </c>
      <c r="D505">
        <v>4.4319999999999998E-2</v>
      </c>
      <c r="E505">
        <f>Tableau5[[#This Row],[Potential (PJ)]]/3.6</f>
        <v>1.2311111111111109E-2</v>
      </c>
      <c r="F505">
        <v>0</v>
      </c>
      <c r="G505">
        <f>Tableau5[[#This Row],[Cost (€/GJ)]]*3.6</f>
        <v>0</v>
      </c>
      <c r="H505">
        <v>3.86607608129234</v>
      </c>
      <c r="I505">
        <f>Tableau5[[#This Row],[GHG (kgCO2eq/GJ)]]*3.6</f>
        <v>13.917873892652425</v>
      </c>
      <c r="J505" t="s">
        <v>104</v>
      </c>
      <c r="K505" t="s">
        <v>108</v>
      </c>
    </row>
    <row r="506" spans="1:11" x14ac:dyDescent="0.3">
      <c r="A506" t="s">
        <v>28</v>
      </c>
      <c r="B506" t="s">
        <v>61</v>
      </c>
      <c r="C506" t="s">
        <v>103</v>
      </c>
      <c r="D506">
        <v>0.52701799999999999</v>
      </c>
      <c r="E506">
        <f>Tableau5[[#This Row],[Potential (PJ)]]/3.6</f>
        <v>0.14639388888888888</v>
      </c>
      <c r="F506">
        <v>0</v>
      </c>
      <c r="G506">
        <f>Tableau5[[#This Row],[Cost (€/GJ)]]*3.6</f>
        <v>0</v>
      </c>
      <c r="I506">
        <f>Tableau5[[#This Row],[GHG (kgCO2eq/GJ)]]*3.6</f>
        <v>0</v>
      </c>
    </row>
    <row r="507" spans="1:11" x14ac:dyDescent="0.3">
      <c r="A507" t="s">
        <v>28</v>
      </c>
      <c r="B507" t="s">
        <v>62</v>
      </c>
      <c r="C507" t="s">
        <v>103</v>
      </c>
      <c r="D507">
        <v>6.6886000000000001E-2</v>
      </c>
      <c r="E507">
        <f>Tableau5[[#This Row],[Potential (PJ)]]/3.6</f>
        <v>1.8579444444444444E-2</v>
      </c>
      <c r="F507">
        <v>0</v>
      </c>
      <c r="G507">
        <f>Tableau5[[#This Row],[Cost (€/GJ)]]*3.6</f>
        <v>0</v>
      </c>
      <c r="I507">
        <f>Tableau5[[#This Row],[GHG (kgCO2eq/GJ)]]*3.6</f>
        <v>0</v>
      </c>
    </row>
    <row r="508" spans="1:11" x14ac:dyDescent="0.3">
      <c r="A508" t="s">
        <v>28</v>
      </c>
      <c r="B508" t="s">
        <v>54</v>
      </c>
      <c r="C508" t="s">
        <v>78</v>
      </c>
      <c r="D508">
        <v>3.1</v>
      </c>
      <c r="E508">
        <f>Tableau5[[#This Row],[Potential (PJ)]]/3.6</f>
        <v>0.86111111111111116</v>
      </c>
      <c r="F508">
        <v>0</v>
      </c>
      <c r="G508">
        <f>Tableau5[[#This Row],[Cost (€/GJ)]]*3.6</f>
        <v>0</v>
      </c>
      <c r="H508">
        <v>3.86607608129234</v>
      </c>
      <c r="I508">
        <f>Tableau5[[#This Row],[GHG (kgCO2eq/GJ)]]*3.6</f>
        <v>13.917873892652425</v>
      </c>
      <c r="J508" t="s">
        <v>104</v>
      </c>
      <c r="K508" t="s">
        <v>108</v>
      </c>
    </row>
    <row r="509" spans="1:11" x14ac:dyDescent="0.3">
      <c r="A509" t="s">
        <v>29</v>
      </c>
      <c r="B509" t="s">
        <v>46</v>
      </c>
      <c r="C509" t="s">
        <v>64</v>
      </c>
      <c r="D509">
        <v>7.4400000000000004E-3</v>
      </c>
      <c r="E509">
        <f>Tableau5[[#This Row],[Potential (PJ)]]/3.6</f>
        <v>2.0666666666666667E-3</v>
      </c>
      <c r="F509">
        <v>0</v>
      </c>
      <c r="G509">
        <f>Tableau5[[#This Row],[Cost (€/GJ)]]*3.6</f>
        <v>0</v>
      </c>
      <c r="H509">
        <v>2.9521711768407801</v>
      </c>
      <c r="I509">
        <f>Tableau5[[#This Row],[GHG (kgCO2eq/GJ)]]*3.6</f>
        <v>10.627816236626808</v>
      </c>
      <c r="J509" t="s">
        <v>104</v>
      </c>
      <c r="K509" t="s">
        <v>108</v>
      </c>
    </row>
    <row r="510" spans="1:11" x14ac:dyDescent="0.3">
      <c r="A510" t="s">
        <v>29</v>
      </c>
      <c r="B510" t="s">
        <v>46</v>
      </c>
      <c r="C510" t="s">
        <v>79</v>
      </c>
      <c r="D510">
        <v>5.3</v>
      </c>
      <c r="E510">
        <f>Tableau5[[#This Row],[Potential (PJ)]]/3.6</f>
        <v>1.4722222222222221</v>
      </c>
      <c r="F510">
        <v>0</v>
      </c>
      <c r="G510">
        <f>Tableau5[[#This Row],[Cost (€/GJ)]]*3.6</f>
        <v>0</v>
      </c>
      <c r="H510">
        <v>6.8428961748633883</v>
      </c>
      <c r="I510">
        <f>Tableau5[[#This Row],[GHG (kgCO2eq/GJ)]]*3.6</f>
        <v>24.634426229508197</v>
      </c>
      <c r="J510" t="s">
        <v>104</v>
      </c>
      <c r="K510" t="s">
        <v>108</v>
      </c>
    </row>
    <row r="511" spans="1:11" x14ac:dyDescent="0.3">
      <c r="A511" t="s">
        <v>29</v>
      </c>
      <c r="B511" t="s">
        <v>46</v>
      </c>
      <c r="C511" t="s">
        <v>80</v>
      </c>
      <c r="D511">
        <v>3.1099999999999999E-2</v>
      </c>
      <c r="E511">
        <f>Tableau5[[#This Row],[Potential (PJ)]]/3.6</f>
        <v>8.6388888888888887E-3</v>
      </c>
      <c r="F511">
        <v>0.18071476736345249</v>
      </c>
      <c r="G511">
        <f>Tableau5[[#This Row],[Cost (€/GJ)]]*3.6</f>
        <v>0.650573162508429</v>
      </c>
      <c r="H511">
        <v>28.139870918023309</v>
      </c>
      <c r="I511">
        <f>Tableau5[[#This Row],[GHG (kgCO2eq/GJ)]]*3.6</f>
        <v>101.30353530488391</v>
      </c>
      <c r="J511" t="s">
        <v>105</v>
      </c>
      <c r="K511" t="s">
        <v>108</v>
      </c>
    </row>
    <row r="512" spans="1:11" x14ac:dyDescent="0.3">
      <c r="A512" t="s">
        <v>29</v>
      </c>
      <c r="B512" t="s">
        <v>46</v>
      </c>
      <c r="C512" t="s">
        <v>81</v>
      </c>
      <c r="D512">
        <v>1.89E-2</v>
      </c>
      <c r="E512">
        <f>Tableau5[[#This Row],[Potential (PJ)]]/3.6</f>
        <v>5.2500000000000003E-3</v>
      </c>
      <c r="F512">
        <v>0.36545240893066983</v>
      </c>
      <c r="G512">
        <f>Tableau5[[#This Row],[Cost (€/GJ)]]*3.6</f>
        <v>1.3156286721504113</v>
      </c>
      <c r="H512">
        <v>8.9647473560517046</v>
      </c>
      <c r="I512">
        <f>Tableau5[[#This Row],[GHG (kgCO2eq/GJ)]]*3.6</f>
        <v>32.273090481786134</v>
      </c>
      <c r="J512" t="s">
        <v>105</v>
      </c>
      <c r="K512" t="s">
        <v>108</v>
      </c>
    </row>
    <row r="513" spans="1:11" x14ac:dyDescent="0.3">
      <c r="A513" t="s">
        <v>29</v>
      </c>
      <c r="B513" t="s">
        <v>46</v>
      </c>
      <c r="C513" t="s">
        <v>82</v>
      </c>
      <c r="D513">
        <v>0.4</v>
      </c>
      <c r="E513">
        <f>Tableau5[[#This Row],[Potential (PJ)]]/3.6</f>
        <v>0.11111111111111112</v>
      </c>
      <c r="F513">
        <v>2.1240000000000001</v>
      </c>
      <c r="G513">
        <f>Tableau5[[#This Row],[Cost (€/GJ)]]*3.6</f>
        <v>7.6464000000000008</v>
      </c>
      <c r="H513">
        <v>6.8428961748633883</v>
      </c>
      <c r="I513">
        <f>Tableau5[[#This Row],[GHG (kgCO2eq/GJ)]]*3.6</f>
        <v>24.634426229508197</v>
      </c>
      <c r="J513" t="s">
        <v>104</v>
      </c>
      <c r="K513" t="s">
        <v>108</v>
      </c>
    </row>
    <row r="514" spans="1:11" x14ac:dyDescent="0.3">
      <c r="A514" t="s">
        <v>29</v>
      </c>
      <c r="B514" t="s">
        <v>55</v>
      </c>
      <c r="C514" t="s">
        <v>86</v>
      </c>
      <c r="D514">
        <v>9.5000000000000001E-2</v>
      </c>
      <c r="E514">
        <f>Tableau5[[#This Row],[Potential (PJ)]]/3.6</f>
        <v>2.6388888888888889E-2</v>
      </c>
      <c r="F514">
        <v>8.6820000000000004</v>
      </c>
      <c r="G514">
        <f>Tableau5[[#This Row],[Cost (€/GJ)]]*3.6</f>
        <v>31.255200000000002</v>
      </c>
      <c r="H514">
        <v>12.7</v>
      </c>
      <c r="I514">
        <f>Tableau5[[#This Row],[GHG (kgCO2eq/GJ)]]*3.6</f>
        <v>45.72</v>
      </c>
      <c r="J514" t="s">
        <v>106</v>
      </c>
      <c r="K514" t="s">
        <v>109</v>
      </c>
    </row>
    <row r="515" spans="1:11" x14ac:dyDescent="0.3">
      <c r="A515" t="s">
        <v>29</v>
      </c>
      <c r="B515" t="s">
        <v>55</v>
      </c>
      <c r="C515" t="s">
        <v>89</v>
      </c>
      <c r="D515">
        <v>2.8999999999999998E-3</v>
      </c>
      <c r="E515">
        <f>Tableau5[[#This Row],[Potential (PJ)]]/3.6</f>
        <v>8.0555555555555545E-4</v>
      </c>
      <c r="F515">
        <v>0</v>
      </c>
      <c r="G515">
        <f>Tableau5[[#This Row],[Cost (€/GJ)]]*3.6</f>
        <v>0</v>
      </c>
      <c r="H515">
        <v>12.7</v>
      </c>
      <c r="I515">
        <f>Tableau5[[#This Row],[GHG (kgCO2eq/GJ)]]*3.6</f>
        <v>45.72</v>
      </c>
      <c r="J515" t="s">
        <v>106</v>
      </c>
      <c r="K515" t="s">
        <v>109</v>
      </c>
    </row>
    <row r="516" spans="1:11" x14ac:dyDescent="0.3">
      <c r="A516" t="s">
        <v>29</v>
      </c>
      <c r="B516" t="s">
        <v>55</v>
      </c>
      <c r="C516" t="s">
        <v>90</v>
      </c>
      <c r="D516">
        <v>5.1400000000000001E-2</v>
      </c>
      <c r="E516">
        <f>Tableau5[[#This Row],[Potential (PJ)]]/3.6</f>
        <v>1.4277777777777778E-2</v>
      </c>
      <c r="F516">
        <v>10.387</v>
      </c>
      <c r="G516">
        <f>Tableau5[[#This Row],[Cost (€/GJ)]]*3.6</f>
        <v>37.3932</v>
      </c>
      <c r="H516">
        <v>12.7</v>
      </c>
      <c r="I516">
        <f>Tableau5[[#This Row],[GHG (kgCO2eq/GJ)]]*3.6</f>
        <v>45.72</v>
      </c>
      <c r="J516" t="s">
        <v>106</v>
      </c>
      <c r="K516" t="s">
        <v>109</v>
      </c>
    </row>
    <row r="517" spans="1:11" x14ac:dyDescent="0.3">
      <c r="A517" t="s">
        <v>29</v>
      </c>
      <c r="B517" t="s">
        <v>55</v>
      </c>
      <c r="C517" t="s">
        <v>91</v>
      </c>
      <c r="D517">
        <v>6.0499999999999998E-2</v>
      </c>
      <c r="E517">
        <f>Tableau5[[#This Row],[Potential (PJ)]]/3.6</f>
        <v>1.6805555555555556E-2</v>
      </c>
      <c r="F517">
        <v>8.9979999999999993</v>
      </c>
      <c r="G517">
        <f>Tableau5[[#This Row],[Cost (€/GJ)]]*3.6</f>
        <v>32.392800000000001</v>
      </c>
      <c r="H517">
        <v>12.7</v>
      </c>
      <c r="I517">
        <f>Tableau5[[#This Row],[GHG (kgCO2eq/GJ)]]*3.6</f>
        <v>45.72</v>
      </c>
      <c r="J517" t="s">
        <v>106</v>
      </c>
      <c r="K517" t="s">
        <v>109</v>
      </c>
    </row>
    <row r="518" spans="1:11" x14ac:dyDescent="0.3">
      <c r="A518" t="s">
        <v>29</v>
      </c>
      <c r="B518" t="s">
        <v>55</v>
      </c>
      <c r="C518" t="s">
        <v>92</v>
      </c>
      <c r="D518">
        <v>0.53463000000000005</v>
      </c>
      <c r="E518">
        <f>Tableau5[[#This Row],[Potential (PJ)]]/3.6</f>
        <v>0.14850833333333335</v>
      </c>
      <c r="F518">
        <v>10.631</v>
      </c>
      <c r="G518">
        <f>Tableau5[[#This Row],[Cost (€/GJ)]]*3.6</f>
        <v>38.271599999999999</v>
      </c>
      <c r="H518">
        <v>12.7</v>
      </c>
      <c r="I518">
        <f>Tableau5[[#This Row],[GHG (kgCO2eq/GJ)]]*3.6</f>
        <v>45.72</v>
      </c>
      <c r="J518" t="s">
        <v>106</v>
      </c>
      <c r="K518" t="s">
        <v>109</v>
      </c>
    </row>
    <row r="519" spans="1:11" x14ac:dyDescent="0.3">
      <c r="A519" t="s">
        <v>29</v>
      </c>
      <c r="B519" t="s">
        <v>47</v>
      </c>
      <c r="C519" t="s">
        <v>101</v>
      </c>
      <c r="D519">
        <v>2</v>
      </c>
      <c r="E519">
        <f>Tableau5[[#This Row],[Potential (PJ)]]/3.6</f>
        <v>0.55555555555555558</v>
      </c>
      <c r="F519">
        <v>2.4350000000000001</v>
      </c>
      <c r="G519">
        <f>Tableau5[[#This Row],[Cost (€/GJ)]]*3.6</f>
        <v>8.766</v>
      </c>
      <c r="H519">
        <v>43.8</v>
      </c>
      <c r="I519">
        <f>Tableau5[[#This Row],[GHG (kgCO2eq/GJ)]]*3.6</f>
        <v>157.68</v>
      </c>
      <c r="J519" t="s">
        <v>104</v>
      </c>
      <c r="K519" t="s">
        <v>109</v>
      </c>
    </row>
    <row r="520" spans="1:11" x14ac:dyDescent="0.3">
      <c r="A520" t="s">
        <v>29</v>
      </c>
      <c r="B520" t="s">
        <v>57</v>
      </c>
      <c r="C520" t="s">
        <v>94</v>
      </c>
      <c r="D520">
        <v>1.6</v>
      </c>
      <c r="E520">
        <f>Tableau5[[#This Row],[Potential (PJ)]]/3.6</f>
        <v>0.44444444444444448</v>
      </c>
      <c r="F520">
        <v>6.9569999999999999</v>
      </c>
      <c r="G520">
        <f>Tableau5[[#This Row],[Cost (€/GJ)]]*3.6</f>
        <v>25.045200000000001</v>
      </c>
      <c r="H520">
        <v>19.8</v>
      </c>
      <c r="I520">
        <f>Tableau5[[#This Row],[GHG (kgCO2eq/GJ)]]*3.6</f>
        <v>71.28</v>
      </c>
      <c r="J520" t="s">
        <v>104</v>
      </c>
      <c r="K520" t="s">
        <v>109</v>
      </c>
    </row>
    <row r="521" spans="1:11" x14ac:dyDescent="0.3">
      <c r="A521" t="s">
        <v>29</v>
      </c>
      <c r="B521" t="s">
        <v>49</v>
      </c>
      <c r="C521" t="s">
        <v>71</v>
      </c>
      <c r="D521">
        <v>31.767659999999999</v>
      </c>
      <c r="E521">
        <f>Tableau5[[#This Row],[Potential (PJ)]]/3.6</f>
        <v>8.824349999999999</v>
      </c>
      <c r="F521">
        <v>0</v>
      </c>
      <c r="G521">
        <f>Tableau5[[#This Row],[Cost (€/GJ)]]*3.6</f>
        <v>0</v>
      </c>
      <c r="H521">
        <v>3.86607608129234</v>
      </c>
      <c r="I521">
        <f>Tableau5[[#This Row],[GHG (kgCO2eq/GJ)]]*3.6</f>
        <v>13.917873892652425</v>
      </c>
      <c r="J521" t="s">
        <v>104</v>
      </c>
      <c r="K521" t="s">
        <v>108</v>
      </c>
    </row>
    <row r="522" spans="1:11" x14ac:dyDescent="0.3">
      <c r="A522" t="s">
        <v>29</v>
      </c>
      <c r="B522" t="s">
        <v>49</v>
      </c>
      <c r="C522" t="s">
        <v>72</v>
      </c>
      <c r="D522">
        <v>3.5</v>
      </c>
      <c r="E522">
        <f>Tableau5[[#This Row],[Potential (PJ)]]/3.6</f>
        <v>0.97222222222222221</v>
      </c>
      <c r="F522">
        <v>0</v>
      </c>
      <c r="G522">
        <f>Tableau5[[#This Row],[Cost (€/GJ)]]*3.6</f>
        <v>0</v>
      </c>
      <c r="H522">
        <v>3.86607608129234</v>
      </c>
      <c r="I522">
        <f>Tableau5[[#This Row],[GHG (kgCO2eq/GJ)]]*3.6</f>
        <v>13.917873892652425</v>
      </c>
      <c r="J522" t="s">
        <v>104</v>
      </c>
      <c r="K522" t="s">
        <v>108</v>
      </c>
    </row>
    <row r="523" spans="1:11" x14ac:dyDescent="0.3">
      <c r="A523" t="s">
        <v>29</v>
      </c>
      <c r="B523" t="s">
        <v>58</v>
      </c>
      <c r="C523" t="s">
        <v>95</v>
      </c>
      <c r="D523">
        <v>1.84483</v>
      </c>
      <c r="E523">
        <f>Tableau5[[#This Row],[Potential (PJ)]]/3.6</f>
        <v>0.51245277777777776</v>
      </c>
      <c r="F523">
        <v>3.3580000000000001</v>
      </c>
      <c r="G523">
        <f>Tableau5[[#This Row],[Cost (€/GJ)]]*3.6</f>
        <v>12.088800000000001</v>
      </c>
      <c r="H523">
        <v>2.9521711768407801</v>
      </c>
      <c r="I523">
        <f>Tableau5[[#This Row],[GHG (kgCO2eq/GJ)]]*3.6</f>
        <v>10.627816236626808</v>
      </c>
      <c r="J523" t="s">
        <v>104</v>
      </c>
      <c r="K523" t="s">
        <v>108</v>
      </c>
    </row>
    <row r="524" spans="1:11" x14ac:dyDescent="0.3">
      <c r="A524" t="s">
        <v>29</v>
      </c>
      <c r="B524" t="s">
        <v>50</v>
      </c>
      <c r="C524" t="s">
        <v>73</v>
      </c>
      <c r="D524">
        <v>0.3</v>
      </c>
      <c r="E524">
        <f>Tableau5[[#This Row],[Potential (PJ)]]/3.6</f>
        <v>8.3333333333333329E-2</v>
      </c>
      <c r="F524">
        <v>5.0090000000000003</v>
      </c>
      <c r="G524">
        <f>Tableau5[[#This Row],[Cost (€/GJ)]]*3.6</f>
        <v>18.032400000000003</v>
      </c>
      <c r="H524">
        <v>20.723404255319149</v>
      </c>
      <c r="I524">
        <f>Tableau5[[#This Row],[GHG (kgCO2eq/GJ)]]*3.6</f>
        <v>74.604255319148933</v>
      </c>
      <c r="J524" t="s">
        <v>105</v>
      </c>
      <c r="K524" t="s">
        <v>108</v>
      </c>
    </row>
    <row r="525" spans="1:11" x14ac:dyDescent="0.3">
      <c r="A525" t="s">
        <v>29</v>
      </c>
      <c r="B525" t="s">
        <v>50</v>
      </c>
      <c r="C525" t="s">
        <v>74</v>
      </c>
      <c r="D525">
        <v>5.0999999999999996</v>
      </c>
      <c r="E525">
        <f>Tableau5[[#This Row],[Potential (PJ)]]/3.6</f>
        <v>1.4166666666666665</v>
      </c>
      <c r="F525">
        <v>3.5</v>
      </c>
      <c r="G525">
        <f>Tableau5[[#This Row],[Cost (€/GJ)]]*3.6</f>
        <v>12.6</v>
      </c>
      <c r="H525">
        <v>2.0635593220338988</v>
      </c>
      <c r="I525">
        <f>Tableau5[[#This Row],[GHG (kgCO2eq/GJ)]]*3.6</f>
        <v>7.4288135593220357</v>
      </c>
      <c r="J525" t="s">
        <v>105</v>
      </c>
      <c r="K525" t="s">
        <v>108</v>
      </c>
    </row>
    <row r="526" spans="1:11" x14ac:dyDescent="0.3">
      <c r="A526" t="s">
        <v>29</v>
      </c>
      <c r="B526" t="s">
        <v>51</v>
      </c>
      <c r="C526" t="s">
        <v>75</v>
      </c>
      <c r="D526">
        <v>0.47428399999999998</v>
      </c>
      <c r="E526">
        <f>Tableau5[[#This Row],[Potential (PJ)]]/3.6</f>
        <v>0.13174555555555556</v>
      </c>
      <c r="F526">
        <v>2.41107984301965E-4</v>
      </c>
      <c r="G526">
        <f>Tableau5[[#This Row],[Cost (€/GJ)]]*3.6</f>
        <v>8.6798874348707397E-4</v>
      </c>
      <c r="H526">
        <v>11.74</v>
      </c>
      <c r="I526">
        <f>Tableau5[[#This Row],[GHG (kgCO2eq/GJ)]]*3.6</f>
        <v>42.264000000000003</v>
      </c>
      <c r="J526" t="s">
        <v>104</v>
      </c>
      <c r="K526" t="s">
        <v>108</v>
      </c>
    </row>
    <row r="527" spans="1:11" x14ac:dyDescent="0.3">
      <c r="A527" t="s">
        <v>29</v>
      </c>
      <c r="B527" t="s">
        <v>60</v>
      </c>
      <c r="C527" t="s">
        <v>98</v>
      </c>
      <c r="D527">
        <v>1.86835</v>
      </c>
      <c r="E527">
        <f>Tableau5[[#This Row],[Potential (PJ)]]/3.6</f>
        <v>0.51898611111111104</v>
      </c>
      <c r="F527">
        <v>16.058002148227711</v>
      </c>
      <c r="G527">
        <f>Tableau5[[#This Row],[Cost (€/GJ)]]*3.6</f>
        <v>57.808807733619759</v>
      </c>
      <c r="H527">
        <v>28.2</v>
      </c>
      <c r="I527">
        <f>Tableau5[[#This Row],[GHG (kgCO2eq/GJ)]]*3.6</f>
        <v>101.52</v>
      </c>
      <c r="J527" t="s">
        <v>107</v>
      </c>
      <c r="K527" t="s">
        <v>109</v>
      </c>
    </row>
    <row r="528" spans="1:11" x14ac:dyDescent="0.3">
      <c r="A528" t="s">
        <v>29</v>
      </c>
      <c r="B528" t="s">
        <v>53</v>
      </c>
      <c r="C528" t="s">
        <v>77</v>
      </c>
      <c r="D528">
        <v>4.7766900000000003</v>
      </c>
      <c r="E528">
        <f>Tableau5[[#This Row],[Potential (PJ)]]/3.6</f>
        <v>1.3268583333333335</v>
      </c>
      <c r="F528">
        <v>0</v>
      </c>
      <c r="G528">
        <f>Tableau5[[#This Row],[Cost (€/GJ)]]*3.6</f>
        <v>0</v>
      </c>
      <c r="H528">
        <v>3.86607608129234</v>
      </c>
      <c r="I528">
        <f>Tableau5[[#This Row],[GHG (kgCO2eq/GJ)]]*3.6</f>
        <v>13.917873892652425</v>
      </c>
      <c r="J528" t="s">
        <v>104</v>
      </c>
      <c r="K528" t="s">
        <v>108</v>
      </c>
    </row>
    <row r="529" spans="1:11" x14ac:dyDescent="0.3">
      <c r="A529" t="s">
        <v>29</v>
      </c>
      <c r="B529" t="s">
        <v>61</v>
      </c>
      <c r="C529" t="s">
        <v>99</v>
      </c>
      <c r="D529">
        <v>6.4</v>
      </c>
      <c r="E529">
        <f>Tableau5[[#This Row],[Potential (PJ)]]/3.6</f>
        <v>1.7777777777777779</v>
      </c>
      <c r="F529">
        <v>0</v>
      </c>
      <c r="G529">
        <f>Tableau5[[#This Row],[Cost (€/GJ)]]*3.6</f>
        <v>0</v>
      </c>
      <c r="H529">
        <v>2.9245635910224439</v>
      </c>
      <c r="I529">
        <f>Tableau5[[#This Row],[GHG (kgCO2eq/GJ)]]*3.6</f>
        <v>10.528428927680798</v>
      </c>
      <c r="J529" t="s">
        <v>104</v>
      </c>
      <c r="K529" t="s">
        <v>108</v>
      </c>
    </row>
    <row r="530" spans="1:11" x14ac:dyDescent="0.3">
      <c r="A530" t="s">
        <v>29</v>
      </c>
      <c r="B530" t="s">
        <v>62</v>
      </c>
      <c r="C530" t="s">
        <v>100</v>
      </c>
      <c r="D530">
        <v>2.8</v>
      </c>
      <c r="E530">
        <f>Tableau5[[#This Row],[Potential (PJ)]]/3.6</f>
        <v>0.77777777777777768</v>
      </c>
      <c r="F530">
        <v>1.9</v>
      </c>
      <c r="G530">
        <f>Tableau5[[#This Row],[Cost (€/GJ)]]*3.6</f>
        <v>6.84</v>
      </c>
      <c r="H530">
        <v>2.6764106050305911</v>
      </c>
      <c r="I530">
        <f>Tableau5[[#This Row],[GHG (kgCO2eq/GJ)]]*3.6</f>
        <v>9.6350781781101276</v>
      </c>
      <c r="J530" t="s">
        <v>104</v>
      </c>
      <c r="K530" t="s">
        <v>108</v>
      </c>
    </row>
    <row r="531" spans="1:11" x14ac:dyDescent="0.3">
      <c r="A531" t="s">
        <v>29</v>
      </c>
      <c r="B531" t="s">
        <v>54</v>
      </c>
      <c r="C531" t="s">
        <v>78</v>
      </c>
      <c r="D531">
        <v>43.6</v>
      </c>
      <c r="E531">
        <f>Tableau5[[#This Row],[Potential (PJ)]]/3.6</f>
        <v>12.111111111111111</v>
      </c>
      <c r="F531">
        <v>0</v>
      </c>
      <c r="G531">
        <f>Tableau5[[#This Row],[Cost (€/GJ)]]*3.6</f>
        <v>0</v>
      </c>
      <c r="H531">
        <v>3.86607608129234</v>
      </c>
      <c r="I531">
        <f>Tableau5[[#This Row],[GHG (kgCO2eq/GJ)]]*3.6</f>
        <v>13.917873892652425</v>
      </c>
      <c r="J531" t="s">
        <v>104</v>
      </c>
      <c r="K531" t="s">
        <v>108</v>
      </c>
    </row>
    <row r="532" spans="1:11" x14ac:dyDescent="0.3">
      <c r="A532" t="s">
        <v>30</v>
      </c>
      <c r="B532" t="s">
        <v>46</v>
      </c>
      <c r="C532" t="s">
        <v>63</v>
      </c>
      <c r="D532">
        <v>2.0999999999999999E-3</v>
      </c>
      <c r="E532">
        <f>Tableau5[[#This Row],[Potential (PJ)]]/3.6</f>
        <v>5.8333333333333327E-4</v>
      </c>
      <c r="F532">
        <v>2.9286474973375931</v>
      </c>
      <c r="G532">
        <f>Tableau5[[#This Row],[Cost (€/GJ)]]*3.6</f>
        <v>10.543130990415335</v>
      </c>
      <c r="H532">
        <v>3.950479233226837</v>
      </c>
      <c r="I532">
        <f>Tableau5[[#This Row],[GHG (kgCO2eq/GJ)]]*3.6</f>
        <v>14.221725239616614</v>
      </c>
      <c r="J532" t="s">
        <v>104</v>
      </c>
      <c r="K532" t="s">
        <v>108</v>
      </c>
    </row>
    <row r="533" spans="1:11" x14ac:dyDescent="0.3">
      <c r="A533" t="s">
        <v>30</v>
      </c>
      <c r="B533" t="s">
        <v>46</v>
      </c>
      <c r="C533" t="s">
        <v>64</v>
      </c>
      <c r="D533">
        <v>9.5600000000000008E-3</v>
      </c>
      <c r="E533">
        <f>Tableau5[[#This Row],[Potential (PJ)]]/3.6</f>
        <v>2.6555555555555555E-3</v>
      </c>
      <c r="F533">
        <v>5.9870000000000001</v>
      </c>
      <c r="G533">
        <f>Tableau5[[#This Row],[Cost (€/GJ)]]*3.6</f>
        <v>21.5532</v>
      </c>
      <c r="H533">
        <v>2.9521711768407801</v>
      </c>
      <c r="I533">
        <f>Tableau5[[#This Row],[GHG (kgCO2eq/GJ)]]*3.6</f>
        <v>10.627816236626808</v>
      </c>
      <c r="J533" t="s">
        <v>104</v>
      </c>
      <c r="K533" t="s">
        <v>108</v>
      </c>
    </row>
    <row r="534" spans="1:11" x14ac:dyDescent="0.3">
      <c r="A534" t="s">
        <v>30</v>
      </c>
      <c r="B534" t="s">
        <v>47</v>
      </c>
      <c r="C534" t="s">
        <v>68</v>
      </c>
      <c r="D534">
        <v>0.5</v>
      </c>
      <c r="E534">
        <f>Tableau5[[#This Row],[Potential (PJ)]]/3.6</f>
        <v>0.1388888888888889</v>
      </c>
      <c r="F534">
        <v>6.101</v>
      </c>
      <c r="G534">
        <f>Tableau5[[#This Row],[Cost (€/GJ)]]*3.6</f>
        <v>21.9636</v>
      </c>
      <c r="H534">
        <v>14.5</v>
      </c>
      <c r="I534">
        <f>Tableau5[[#This Row],[GHG (kgCO2eq/GJ)]]*3.6</f>
        <v>52.2</v>
      </c>
      <c r="J534" t="s">
        <v>104</v>
      </c>
      <c r="K534" t="s">
        <v>109</v>
      </c>
    </row>
    <row r="535" spans="1:11" x14ac:dyDescent="0.3">
      <c r="A535" t="s">
        <v>30</v>
      </c>
      <c r="B535" t="s">
        <v>47</v>
      </c>
      <c r="C535" t="s">
        <v>69</v>
      </c>
      <c r="D535">
        <v>0.4</v>
      </c>
      <c r="E535">
        <f>Tableau5[[#This Row],[Potential (PJ)]]/3.6</f>
        <v>0.11111111111111112</v>
      </c>
      <c r="F535">
        <v>5.052999999999999</v>
      </c>
      <c r="G535">
        <f>Tableau5[[#This Row],[Cost (€/GJ)]]*3.6</f>
        <v>18.190799999999996</v>
      </c>
      <c r="H535">
        <v>14.5</v>
      </c>
      <c r="I535">
        <f>Tableau5[[#This Row],[GHG (kgCO2eq/GJ)]]*3.6</f>
        <v>52.2</v>
      </c>
      <c r="J535" t="s">
        <v>104</v>
      </c>
      <c r="K535" t="s">
        <v>109</v>
      </c>
    </row>
    <row r="536" spans="1:11" x14ac:dyDescent="0.3">
      <c r="A536" t="s">
        <v>30</v>
      </c>
      <c r="B536" t="s">
        <v>48</v>
      </c>
      <c r="C536" t="s">
        <v>70</v>
      </c>
      <c r="D536">
        <v>0.2</v>
      </c>
      <c r="E536">
        <f>Tableau5[[#This Row],[Potential (PJ)]]/3.6</f>
        <v>5.5555555555555559E-2</v>
      </c>
      <c r="F536">
        <v>0</v>
      </c>
      <c r="G536">
        <f>Tableau5[[#This Row],[Cost (€/GJ)]]*3.6</f>
        <v>0</v>
      </c>
      <c r="H536">
        <v>0</v>
      </c>
      <c r="I536">
        <f>Tableau5[[#This Row],[GHG (kgCO2eq/GJ)]]*3.6</f>
        <v>0</v>
      </c>
      <c r="J536" t="s">
        <v>104</v>
      </c>
      <c r="K536" t="s">
        <v>109</v>
      </c>
    </row>
    <row r="537" spans="1:11" x14ac:dyDescent="0.3">
      <c r="A537" t="s">
        <v>30</v>
      </c>
      <c r="B537" t="s">
        <v>49</v>
      </c>
      <c r="C537" t="s">
        <v>72</v>
      </c>
      <c r="D537">
        <v>0.3</v>
      </c>
      <c r="E537">
        <f>Tableau5[[#This Row],[Potential (PJ)]]/3.6</f>
        <v>8.3333333333333329E-2</v>
      </c>
      <c r="F537">
        <v>1.903</v>
      </c>
      <c r="G537">
        <f>Tableau5[[#This Row],[Cost (€/GJ)]]*3.6</f>
        <v>6.8508000000000004</v>
      </c>
      <c r="H537">
        <v>3.86607608129234</v>
      </c>
      <c r="I537">
        <f>Tableau5[[#This Row],[GHG (kgCO2eq/GJ)]]*3.6</f>
        <v>13.917873892652425</v>
      </c>
      <c r="J537" t="s">
        <v>104</v>
      </c>
      <c r="K537" t="s">
        <v>108</v>
      </c>
    </row>
    <row r="538" spans="1:11" x14ac:dyDescent="0.3">
      <c r="A538" t="s">
        <v>30</v>
      </c>
      <c r="B538" t="s">
        <v>50</v>
      </c>
      <c r="C538" t="s">
        <v>74</v>
      </c>
      <c r="D538">
        <v>0.1</v>
      </c>
      <c r="E538">
        <f>Tableau5[[#This Row],[Potential (PJ)]]/3.6</f>
        <v>2.777777777777778E-2</v>
      </c>
      <c r="F538">
        <v>4.7690000000000001</v>
      </c>
      <c r="G538">
        <f>Tableau5[[#This Row],[Cost (€/GJ)]]*3.6</f>
        <v>17.168400000000002</v>
      </c>
      <c r="H538">
        <v>2.0635593220338988</v>
      </c>
      <c r="I538">
        <f>Tableau5[[#This Row],[GHG (kgCO2eq/GJ)]]*3.6</f>
        <v>7.4288135593220357</v>
      </c>
      <c r="J538" t="s">
        <v>105</v>
      </c>
      <c r="K538" t="s">
        <v>108</v>
      </c>
    </row>
    <row r="539" spans="1:11" x14ac:dyDescent="0.3">
      <c r="A539" t="s">
        <v>30</v>
      </c>
      <c r="B539" t="s">
        <v>51</v>
      </c>
      <c r="C539" t="s">
        <v>75</v>
      </c>
      <c r="D539">
        <v>0</v>
      </c>
      <c r="E539">
        <f>Tableau5[[#This Row],[Potential (PJ)]]/3.6</f>
        <v>0</v>
      </c>
      <c r="F539">
        <v>0.170963909829246</v>
      </c>
      <c r="G539">
        <f>Tableau5[[#This Row],[Cost (€/GJ)]]*3.6</f>
        <v>0.61547007538528564</v>
      </c>
      <c r="H539">
        <v>11.74</v>
      </c>
      <c r="I539">
        <f>Tableau5[[#This Row],[GHG (kgCO2eq/GJ)]]*3.6</f>
        <v>42.264000000000003</v>
      </c>
      <c r="J539" t="s">
        <v>104</v>
      </c>
      <c r="K539" t="s">
        <v>108</v>
      </c>
    </row>
    <row r="540" spans="1:11" x14ac:dyDescent="0.3">
      <c r="A540" t="s">
        <v>30</v>
      </c>
      <c r="B540" t="s">
        <v>53</v>
      </c>
      <c r="C540" t="s">
        <v>77</v>
      </c>
      <c r="D540">
        <v>0.79108000000000001</v>
      </c>
      <c r="E540">
        <f>Tableau5[[#This Row],[Potential (PJ)]]/3.6</f>
        <v>0.21974444444444444</v>
      </c>
      <c r="F540">
        <v>1.903</v>
      </c>
      <c r="G540">
        <f>Tableau5[[#This Row],[Cost (€/GJ)]]*3.6</f>
        <v>6.8508000000000004</v>
      </c>
      <c r="H540">
        <v>3.86607608129234</v>
      </c>
      <c r="I540">
        <f>Tableau5[[#This Row],[GHG (kgCO2eq/GJ)]]*3.6</f>
        <v>13.917873892652425</v>
      </c>
      <c r="J540" t="s">
        <v>104</v>
      </c>
      <c r="K540" t="s">
        <v>108</v>
      </c>
    </row>
    <row r="541" spans="1:11" x14ac:dyDescent="0.3">
      <c r="A541" t="s">
        <v>31</v>
      </c>
      <c r="B541" t="s">
        <v>46</v>
      </c>
      <c r="C541" t="s">
        <v>63</v>
      </c>
      <c r="D541">
        <v>8.0999999999999996E-3</v>
      </c>
      <c r="E541">
        <f>Tableau5[[#This Row],[Potential (PJ)]]/3.6</f>
        <v>2.2499999999999998E-3</v>
      </c>
      <c r="F541">
        <v>2.9286474973375931</v>
      </c>
      <c r="G541">
        <f>Tableau5[[#This Row],[Cost (€/GJ)]]*3.6</f>
        <v>10.543130990415335</v>
      </c>
      <c r="H541">
        <v>3.950479233226837</v>
      </c>
      <c r="I541">
        <f>Tableau5[[#This Row],[GHG (kgCO2eq/GJ)]]*3.6</f>
        <v>14.221725239616614</v>
      </c>
      <c r="J541" t="s">
        <v>104</v>
      </c>
      <c r="K541" t="s">
        <v>108</v>
      </c>
    </row>
    <row r="542" spans="1:11" x14ac:dyDescent="0.3">
      <c r="A542" t="s">
        <v>31</v>
      </c>
      <c r="B542" t="s">
        <v>46</v>
      </c>
      <c r="C542" t="s">
        <v>64</v>
      </c>
      <c r="D542">
        <v>6.198E-2</v>
      </c>
      <c r="E542">
        <f>Tableau5[[#This Row],[Potential (PJ)]]/3.6</f>
        <v>1.7216666666666665E-2</v>
      </c>
      <c r="F542">
        <v>6.2270000000000003</v>
      </c>
      <c r="G542">
        <f>Tableau5[[#This Row],[Cost (€/GJ)]]*3.6</f>
        <v>22.417200000000001</v>
      </c>
      <c r="H542">
        <v>2.9521711768407801</v>
      </c>
      <c r="I542">
        <f>Tableau5[[#This Row],[GHG (kgCO2eq/GJ)]]*3.6</f>
        <v>10.627816236626808</v>
      </c>
      <c r="J542" t="s">
        <v>104</v>
      </c>
      <c r="K542" t="s">
        <v>108</v>
      </c>
    </row>
    <row r="543" spans="1:11" x14ac:dyDescent="0.3">
      <c r="A543" t="s">
        <v>31</v>
      </c>
      <c r="B543" t="s">
        <v>46</v>
      </c>
      <c r="C543" t="s">
        <v>66</v>
      </c>
      <c r="D543">
        <v>0.1</v>
      </c>
      <c r="E543">
        <f>Tableau5[[#This Row],[Potential (PJ)]]/3.6</f>
        <v>2.777777777777778E-2</v>
      </c>
      <c r="F543">
        <v>0</v>
      </c>
      <c r="G543">
        <f>Tableau5[[#This Row],[Cost (€/GJ)]]*3.6</f>
        <v>0</v>
      </c>
      <c r="H543">
        <v>6.8428961748633883</v>
      </c>
      <c r="I543">
        <f>Tableau5[[#This Row],[GHG (kgCO2eq/GJ)]]*3.6</f>
        <v>24.634426229508197</v>
      </c>
      <c r="J543" t="s">
        <v>104</v>
      </c>
      <c r="K543" t="s">
        <v>108</v>
      </c>
    </row>
    <row r="544" spans="1:11" x14ac:dyDescent="0.3">
      <c r="A544" t="s">
        <v>31</v>
      </c>
      <c r="B544" t="s">
        <v>46</v>
      </c>
      <c r="C544" t="s">
        <v>83</v>
      </c>
      <c r="D544">
        <v>3.696E-2</v>
      </c>
      <c r="E544">
        <f>Tableau5[[#This Row],[Potential (PJ)]]/3.6</f>
        <v>1.0266666666666667E-2</v>
      </c>
      <c r="F544">
        <v>0</v>
      </c>
      <c r="G544">
        <f>Tableau5[[#This Row],[Cost (€/GJ)]]*3.6</f>
        <v>0</v>
      </c>
      <c r="H544">
        <v>6.8428961748633883</v>
      </c>
      <c r="I544">
        <f>Tableau5[[#This Row],[GHG (kgCO2eq/GJ)]]*3.6</f>
        <v>24.634426229508197</v>
      </c>
      <c r="J544" t="s">
        <v>104</v>
      </c>
      <c r="K544" t="s">
        <v>108</v>
      </c>
    </row>
    <row r="545" spans="1:11" x14ac:dyDescent="0.3">
      <c r="A545" t="s">
        <v>31</v>
      </c>
      <c r="B545" t="s">
        <v>46</v>
      </c>
      <c r="C545" t="s">
        <v>85</v>
      </c>
      <c r="D545">
        <v>0.1</v>
      </c>
      <c r="E545">
        <f>Tableau5[[#This Row],[Potential (PJ)]]/3.6</f>
        <v>2.777777777777778E-2</v>
      </c>
      <c r="F545">
        <v>4.1369999999999996</v>
      </c>
      <c r="G545">
        <f>Tableau5[[#This Row],[Cost (€/GJ)]]*3.6</f>
        <v>14.893199999999998</v>
      </c>
      <c r="H545">
        <v>2.9521711768407801</v>
      </c>
      <c r="I545">
        <f>Tableau5[[#This Row],[GHG (kgCO2eq/GJ)]]*3.6</f>
        <v>10.627816236626808</v>
      </c>
      <c r="J545" t="s">
        <v>104</v>
      </c>
      <c r="K545" t="s">
        <v>108</v>
      </c>
    </row>
    <row r="546" spans="1:11" x14ac:dyDescent="0.3">
      <c r="A546" t="s">
        <v>31</v>
      </c>
      <c r="B546" t="s">
        <v>47</v>
      </c>
      <c r="C546" t="s">
        <v>68</v>
      </c>
      <c r="D546">
        <v>3.5</v>
      </c>
      <c r="E546">
        <f>Tableau5[[#This Row],[Potential (PJ)]]/3.6</f>
        <v>0.97222222222222221</v>
      </c>
      <c r="F546">
        <v>3.4910000000000001</v>
      </c>
      <c r="G546">
        <f>Tableau5[[#This Row],[Cost (€/GJ)]]*3.6</f>
        <v>12.567600000000001</v>
      </c>
      <c r="H546">
        <v>14.5</v>
      </c>
      <c r="I546">
        <f>Tableau5[[#This Row],[GHG (kgCO2eq/GJ)]]*3.6</f>
        <v>52.2</v>
      </c>
      <c r="J546" t="s">
        <v>104</v>
      </c>
      <c r="K546" t="s">
        <v>109</v>
      </c>
    </row>
    <row r="547" spans="1:11" x14ac:dyDescent="0.3">
      <c r="A547" t="s">
        <v>31</v>
      </c>
      <c r="B547" t="s">
        <v>47</v>
      </c>
      <c r="C547" t="s">
        <v>69</v>
      </c>
      <c r="D547">
        <v>2.5</v>
      </c>
      <c r="E547">
        <f>Tableau5[[#This Row],[Potential (PJ)]]/3.6</f>
        <v>0.69444444444444442</v>
      </c>
      <c r="F547">
        <v>3.4660000000000002</v>
      </c>
      <c r="G547">
        <f>Tableau5[[#This Row],[Cost (€/GJ)]]*3.6</f>
        <v>12.477600000000001</v>
      </c>
      <c r="H547">
        <v>14.5</v>
      </c>
      <c r="I547">
        <f>Tableau5[[#This Row],[GHG (kgCO2eq/GJ)]]*3.6</f>
        <v>52.2</v>
      </c>
      <c r="J547" t="s">
        <v>104</v>
      </c>
      <c r="K547" t="s">
        <v>109</v>
      </c>
    </row>
    <row r="548" spans="1:11" x14ac:dyDescent="0.3">
      <c r="A548" t="s">
        <v>31</v>
      </c>
      <c r="B548" t="s">
        <v>48</v>
      </c>
      <c r="C548" t="s">
        <v>70</v>
      </c>
      <c r="D548">
        <v>1.3</v>
      </c>
      <c r="E548">
        <f>Tableau5[[#This Row],[Potential (PJ)]]/3.6</f>
        <v>0.3611111111111111</v>
      </c>
      <c r="F548">
        <v>8.8469999999999995</v>
      </c>
      <c r="G548">
        <f>Tableau5[[#This Row],[Cost (€/GJ)]]*3.6</f>
        <v>31.8492</v>
      </c>
      <c r="H548">
        <v>0</v>
      </c>
      <c r="I548">
        <f>Tableau5[[#This Row],[GHG (kgCO2eq/GJ)]]*3.6</f>
        <v>0</v>
      </c>
      <c r="J548" t="s">
        <v>104</v>
      </c>
      <c r="K548" t="s">
        <v>109</v>
      </c>
    </row>
    <row r="549" spans="1:11" x14ac:dyDescent="0.3">
      <c r="A549" t="s">
        <v>31</v>
      </c>
      <c r="B549" t="s">
        <v>49</v>
      </c>
      <c r="C549" t="s">
        <v>71</v>
      </c>
      <c r="D549">
        <v>0.64019000000000004</v>
      </c>
      <c r="E549">
        <f>Tableau5[[#This Row],[Potential (PJ)]]/3.6</f>
        <v>0.17783055555555558</v>
      </c>
      <c r="F549">
        <v>0</v>
      </c>
      <c r="G549">
        <f>Tableau5[[#This Row],[Cost (€/GJ)]]*3.6</f>
        <v>0</v>
      </c>
      <c r="H549">
        <v>3.86607608129234</v>
      </c>
      <c r="I549">
        <f>Tableau5[[#This Row],[GHG (kgCO2eq/GJ)]]*3.6</f>
        <v>13.917873892652425</v>
      </c>
      <c r="J549" t="s">
        <v>104</v>
      </c>
      <c r="K549" t="s">
        <v>108</v>
      </c>
    </row>
    <row r="550" spans="1:11" x14ac:dyDescent="0.3">
      <c r="A550" t="s">
        <v>31</v>
      </c>
      <c r="B550" t="s">
        <v>49</v>
      </c>
      <c r="C550" t="s">
        <v>72</v>
      </c>
      <c r="D550">
        <v>1</v>
      </c>
      <c r="E550">
        <f>Tableau5[[#This Row],[Potential (PJ)]]/3.6</f>
        <v>0.27777777777777779</v>
      </c>
      <c r="F550">
        <v>0</v>
      </c>
      <c r="G550">
        <f>Tableau5[[#This Row],[Cost (€/GJ)]]*3.6</f>
        <v>0</v>
      </c>
      <c r="H550">
        <v>3.86607608129234</v>
      </c>
      <c r="I550">
        <f>Tableau5[[#This Row],[GHG (kgCO2eq/GJ)]]*3.6</f>
        <v>13.917873892652425</v>
      </c>
      <c r="J550" t="s">
        <v>104</v>
      </c>
      <c r="K550" t="s">
        <v>108</v>
      </c>
    </row>
    <row r="551" spans="1:11" x14ac:dyDescent="0.3">
      <c r="A551" t="s">
        <v>31</v>
      </c>
      <c r="B551" t="s">
        <v>50</v>
      </c>
      <c r="C551" t="s">
        <v>73</v>
      </c>
      <c r="D551">
        <v>0.2</v>
      </c>
      <c r="E551">
        <f>Tableau5[[#This Row],[Potential (PJ)]]/3.6</f>
        <v>5.5555555555555559E-2</v>
      </c>
      <c r="F551">
        <v>4.7309999999999999</v>
      </c>
      <c r="G551">
        <f>Tableau5[[#This Row],[Cost (€/GJ)]]*3.6</f>
        <v>17.031600000000001</v>
      </c>
      <c r="H551">
        <v>20.723404255319149</v>
      </c>
      <c r="I551">
        <f>Tableau5[[#This Row],[GHG (kgCO2eq/GJ)]]*3.6</f>
        <v>74.604255319148933</v>
      </c>
      <c r="J551" t="s">
        <v>105</v>
      </c>
      <c r="K551" t="s">
        <v>108</v>
      </c>
    </row>
    <row r="552" spans="1:11" x14ac:dyDescent="0.3">
      <c r="A552" t="s">
        <v>31</v>
      </c>
      <c r="B552" t="s">
        <v>50</v>
      </c>
      <c r="C552" t="s">
        <v>74</v>
      </c>
      <c r="D552">
        <v>0.3</v>
      </c>
      <c r="E552">
        <f>Tableau5[[#This Row],[Potential (PJ)]]/3.6</f>
        <v>8.3333333333333329E-2</v>
      </c>
      <c r="F552">
        <v>4.7690000000000001</v>
      </c>
      <c r="G552">
        <f>Tableau5[[#This Row],[Cost (€/GJ)]]*3.6</f>
        <v>17.168400000000002</v>
      </c>
      <c r="H552">
        <v>2.0635593220338988</v>
      </c>
      <c r="I552">
        <f>Tableau5[[#This Row],[GHG (kgCO2eq/GJ)]]*3.6</f>
        <v>7.4288135593220357</v>
      </c>
      <c r="J552" t="s">
        <v>105</v>
      </c>
      <c r="K552" t="s">
        <v>108</v>
      </c>
    </row>
    <row r="553" spans="1:11" x14ac:dyDescent="0.3">
      <c r="A553" t="s">
        <v>31</v>
      </c>
      <c r="B553" t="s">
        <v>51</v>
      </c>
      <c r="C553" t="s">
        <v>75</v>
      </c>
      <c r="D553">
        <v>0.42175200000000002</v>
      </c>
      <c r="E553">
        <f>Tableau5[[#This Row],[Potential (PJ)]]/3.6</f>
        <v>0.11715333333333333</v>
      </c>
      <c r="F553">
        <v>0.100350700965732</v>
      </c>
      <c r="G553">
        <f>Tableau5[[#This Row],[Cost (€/GJ)]]*3.6</f>
        <v>0.36126252347663518</v>
      </c>
      <c r="H553">
        <v>11.74</v>
      </c>
      <c r="I553">
        <f>Tableau5[[#This Row],[GHG (kgCO2eq/GJ)]]*3.6</f>
        <v>42.264000000000003</v>
      </c>
      <c r="J553" t="s">
        <v>104</v>
      </c>
      <c r="K553" t="s">
        <v>108</v>
      </c>
    </row>
    <row r="554" spans="1:11" x14ac:dyDescent="0.3">
      <c r="A554" t="s">
        <v>31</v>
      </c>
      <c r="B554" t="s">
        <v>52</v>
      </c>
      <c r="C554" t="s">
        <v>76</v>
      </c>
      <c r="D554">
        <v>2E-3</v>
      </c>
      <c r="E554">
        <f>Tableau5[[#This Row],[Potential (PJ)]]/3.6</f>
        <v>5.5555555555555556E-4</v>
      </c>
      <c r="F554">
        <v>8.4824999999999999</v>
      </c>
      <c r="G554">
        <f>Tableau5[[#This Row],[Cost (€/GJ)]]*3.6</f>
        <v>30.536999999999999</v>
      </c>
      <c r="H554">
        <v>12.68872359754714</v>
      </c>
      <c r="I554">
        <f>Tableau5[[#This Row],[GHG (kgCO2eq/GJ)]]*3.6</f>
        <v>45.679404951169708</v>
      </c>
      <c r="J554" t="s">
        <v>105</v>
      </c>
      <c r="K554" t="s">
        <v>108</v>
      </c>
    </row>
    <row r="555" spans="1:11" x14ac:dyDescent="0.3">
      <c r="A555" t="s">
        <v>31</v>
      </c>
      <c r="B555" t="s">
        <v>53</v>
      </c>
      <c r="C555" t="s">
        <v>77</v>
      </c>
      <c r="D555">
        <v>3.9526300000000001</v>
      </c>
      <c r="E555">
        <f>Tableau5[[#This Row],[Potential (PJ)]]/3.6</f>
        <v>1.0979527777777778</v>
      </c>
      <c r="F555">
        <v>0</v>
      </c>
      <c r="G555">
        <f>Tableau5[[#This Row],[Cost (€/GJ)]]*3.6</f>
        <v>0</v>
      </c>
      <c r="H555">
        <v>3.86607608129234</v>
      </c>
      <c r="I555">
        <f>Tableau5[[#This Row],[GHG (kgCO2eq/GJ)]]*3.6</f>
        <v>13.917873892652425</v>
      </c>
      <c r="J555" t="s">
        <v>104</v>
      </c>
      <c r="K555" t="s">
        <v>108</v>
      </c>
    </row>
    <row r="556" spans="1:11" x14ac:dyDescent="0.3">
      <c r="A556" t="s">
        <v>31</v>
      </c>
      <c r="B556" t="s">
        <v>54</v>
      </c>
      <c r="C556" t="s">
        <v>78</v>
      </c>
      <c r="D556">
        <v>2.5</v>
      </c>
      <c r="E556">
        <f>Tableau5[[#This Row],[Potential (PJ)]]/3.6</f>
        <v>0.69444444444444442</v>
      </c>
      <c r="F556">
        <v>0</v>
      </c>
      <c r="G556">
        <f>Tableau5[[#This Row],[Cost (€/GJ)]]*3.6</f>
        <v>0</v>
      </c>
      <c r="H556">
        <v>3.86607608129234</v>
      </c>
      <c r="I556">
        <f>Tableau5[[#This Row],[GHG (kgCO2eq/GJ)]]*3.6</f>
        <v>13.917873892652425</v>
      </c>
      <c r="J556" t="s">
        <v>104</v>
      </c>
      <c r="K556" t="s">
        <v>108</v>
      </c>
    </row>
    <row r="557" spans="1:11" x14ac:dyDescent="0.3">
      <c r="A557" t="s">
        <v>32</v>
      </c>
      <c r="B557" t="s">
        <v>46</v>
      </c>
      <c r="C557" t="s">
        <v>103</v>
      </c>
      <c r="D557">
        <v>1.0678E-2</v>
      </c>
      <c r="E557">
        <f>Tableau5[[#This Row],[Potential (PJ)]]/3.6</f>
        <v>2.9661111111111112E-3</v>
      </c>
      <c r="F557">
        <v>0</v>
      </c>
      <c r="G557">
        <f>Tableau5[[#This Row],[Cost (€/GJ)]]*3.6</f>
        <v>0</v>
      </c>
      <c r="I557">
        <f>Tableau5[[#This Row],[GHG (kgCO2eq/GJ)]]*3.6</f>
        <v>0</v>
      </c>
    </row>
    <row r="558" spans="1:11" x14ac:dyDescent="0.3">
      <c r="A558" t="s">
        <v>32</v>
      </c>
      <c r="B558" t="s">
        <v>51</v>
      </c>
      <c r="C558" t="s">
        <v>75</v>
      </c>
      <c r="D558">
        <v>2.8699810000000001</v>
      </c>
      <c r="E558">
        <f>Tableau5[[#This Row],[Potential (PJ)]]/3.6</f>
        <v>0.79721694444444446</v>
      </c>
      <c r="F558">
        <v>3.4227324776695998E-5</v>
      </c>
      <c r="G558">
        <f>Tableau5[[#This Row],[Cost (€/GJ)]]*3.6</f>
        <v>1.232183691961056E-4</v>
      </c>
      <c r="H558">
        <v>11.74</v>
      </c>
      <c r="I558">
        <f>Tableau5[[#This Row],[GHG (kgCO2eq/GJ)]]*3.6</f>
        <v>42.264000000000003</v>
      </c>
      <c r="J558" t="s">
        <v>104</v>
      </c>
      <c r="K558" t="s">
        <v>108</v>
      </c>
    </row>
    <row r="559" spans="1:11" x14ac:dyDescent="0.3">
      <c r="A559" t="s">
        <v>33</v>
      </c>
      <c r="B559" t="s">
        <v>46</v>
      </c>
      <c r="C559" t="s">
        <v>64</v>
      </c>
      <c r="D559">
        <v>4.6050000000000001E-2</v>
      </c>
      <c r="E559">
        <f>Tableau5[[#This Row],[Potential (PJ)]]/3.6</f>
        <v>1.2791666666666666E-2</v>
      </c>
      <c r="F559">
        <v>4.7655461454940289</v>
      </c>
      <c r="G559">
        <f>Tableau5[[#This Row],[Cost (€/GJ)]]*3.6</f>
        <v>17.155966123778505</v>
      </c>
      <c r="H559">
        <v>2.9521711768407801</v>
      </c>
      <c r="I559">
        <f>Tableau5[[#This Row],[GHG (kgCO2eq/GJ)]]*3.6</f>
        <v>10.627816236626808</v>
      </c>
      <c r="J559" t="s">
        <v>104</v>
      </c>
      <c r="K559" t="s">
        <v>108</v>
      </c>
    </row>
    <row r="560" spans="1:11" x14ac:dyDescent="0.3">
      <c r="A560" t="s">
        <v>33</v>
      </c>
      <c r="B560" t="s">
        <v>46</v>
      </c>
      <c r="C560" t="s">
        <v>79</v>
      </c>
      <c r="D560">
        <v>0.9</v>
      </c>
      <c r="E560">
        <f>Tableau5[[#This Row],[Potential (PJ)]]/3.6</f>
        <v>0.25</v>
      </c>
      <c r="F560">
        <v>7.9247777777777788</v>
      </c>
      <c r="G560">
        <f>Tableau5[[#This Row],[Cost (€/GJ)]]*3.6</f>
        <v>28.529200000000003</v>
      </c>
      <c r="H560">
        <v>6.8428961748633883</v>
      </c>
      <c r="I560">
        <f>Tableau5[[#This Row],[GHG (kgCO2eq/GJ)]]*3.6</f>
        <v>24.634426229508197</v>
      </c>
      <c r="J560" t="s">
        <v>104</v>
      </c>
      <c r="K560" t="s">
        <v>108</v>
      </c>
    </row>
    <row r="561" spans="1:11" x14ac:dyDescent="0.3">
      <c r="A561" t="s">
        <v>33</v>
      </c>
      <c r="B561" t="s">
        <v>46</v>
      </c>
      <c r="C561" t="s">
        <v>80</v>
      </c>
      <c r="D561">
        <v>0.94310000000000005</v>
      </c>
      <c r="E561">
        <f>Tableau5[[#This Row],[Potential (PJ)]]/3.6</f>
        <v>0.26197222222222222</v>
      </c>
      <c r="F561">
        <v>0.33378287255563049</v>
      </c>
      <c r="G561">
        <f>Tableau5[[#This Row],[Cost (€/GJ)]]*3.6</f>
        <v>1.2016183412002699</v>
      </c>
      <c r="H561">
        <v>28.139870918023309</v>
      </c>
      <c r="I561">
        <f>Tableau5[[#This Row],[GHG (kgCO2eq/GJ)]]*3.6</f>
        <v>101.30353530488391</v>
      </c>
      <c r="J561" t="s">
        <v>105</v>
      </c>
      <c r="K561" t="s">
        <v>108</v>
      </c>
    </row>
    <row r="562" spans="1:11" x14ac:dyDescent="0.3">
      <c r="A562" t="s">
        <v>33</v>
      </c>
      <c r="B562" t="s">
        <v>46</v>
      </c>
      <c r="C562" t="s">
        <v>81</v>
      </c>
      <c r="D562">
        <v>0.94179999999999997</v>
      </c>
      <c r="E562">
        <f>Tableau5[[#This Row],[Potential (PJ)]]/3.6</f>
        <v>0.26161111111111107</v>
      </c>
      <c r="F562">
        <v>1.173913043478261</v>
      </c>
      <c r="G562">
        <f>Tableau5[[#This Row],[Cost (€/GJ)]]*3.6</f>
        <v>4.2260869565217396</v>
      </c>
      <c r="H562">
        <v>8.9647473560517046</v>
      </c>
      <c r="I562">
        <f>Tableau5[[#This Row],[GHG (kgCO2eq/GJ)]]*3.6</f>
        <v>32.273090481786134</v>
      </c>
      <c r="J562" t="s">
        <v>105</v>
      </c>
      <c r="K562" t="s">
        <v>108</v>
      </c>
    </row>
    <row r="563" spans="1:11" x14ac:dyDescent="0.3">
      <c r="A563" t="s">
        <v>33</v>
      </c>
      <c r="B563" t="s">
        <v>46</v>
      </c>
      <c r="C563" t="s">
        <v>66</v>
      </c>
      <c r="D563">
        <v>0.2</v>
      </c>
      <c r="E563">
        <f>Tableau5[[#This Row],[Potential (PJ)]]/3.6</f>
        <v>5.5555555555555559E-2</v>
      </c>
      <c r="F563">
        <v>8.277000000000001</v>
      </c>
      <c r="G563">
        <f>Tableau5[[#This Row],[Cost (€/GJ)]]*3.6</f>
        <v>29.797200000000004</v>
      </c>
      <c r="H563">
        <v>6.8428961748633883</v>
      </c>
      <c r="I563">
        <f>Tableau5[[#This Row],[GHG (kgCO2eq/GJ)]]*3.6</f>
        <v>24.634426229508197</v>
      </c>
      <c r="J563" t="s">
        <v>104</v>
      </c>
      <c r="K563" t="s">
        <v>108</v>
      </c>
    </row>
    <row r="564" spans="1:11" x14ac:dyDescent="0.3">
      <c r="A564" t="s">
        <v>33</v>
      </c>
      <c r="B564" t="s">
        <v>46</v>
      </c>
      <c r="C564" t="s">
        <v>84</v>
      </c>
      <c r="D564">
        <v>0.1</v>
      </c>
      <c r="E564">
        <f>Tableau5[[#This Row],[Potential (PJ)]]/3.6</f>
        <v>2.777777777777778E-2</v>
      </c>
      <c r="F564">
        <v>3.6680000000000001</v>
      </c>
      <c r="G564">
        <f>Tableau5[[#This Row],[Cost (€/GJ)]]*3.6</f>
        <v>13.204800000000001</v>
      </c>
      <c r="H564">
        <v>28.139870918023309</v>
      </c>
      <c r="I564">
        <f>Tableau5[[#This Row],[GHG (kgCO2eq/GJ)]]*3.6</f>
        <v>101.30353530488391</v>
      </c>
      <c r="J564" t="s">
        <v>105</v>
      </c>
      <c r="K564" t="s">
        <v>108</v>
      </c>
    </row>
    <row r="565" spans="1:11" x14ac:dyDescent="0.3">
      <c r="A565" t="s">
        <v>33</v>
      </c>
      <c r="B565" t="s">
        <v>55</v>
      </c>
      <c r="C565" t="s">
        <v>86</v>
      </c>
      <c r="D565">
        <v>0.1313</v>
      </c>
      <c r="E565">
        <f>Tableau5[[#This Row],[Potential (PJ)]]/3.6</f>
        <v>3.6472222222222218E-2</v>
      </c>
      <c r="F565">
        <v>11.643000000000001</v>
      </c>
      <c r="G565">
        <f>Tableau5[[#This Row],[Cost (€/GJ)]]*3.6</f>
        <v>41.914800000000007</v>
      </c>
      <c r="H565">
        <v>42.1</v>
      </c>
      <c r="I565">
        <f>Tableau5[[#This Row],[GHG (kgCO2eq/GJ)]]*3.6</f>
        <v>151.56</v>
      </c>
      <c r="J565" t="s">
        <v>106</v>
      </c>
      <c r="K565" t="s">
        <v>109</v>
      </c>
    </row>
    <row r="566" spans="1:11" x14ac:dyDescent="0.3">
      <c r="A566" t="s">
        <v>33</v>
      </c>
      <c r="B566" t="s">
        <v>55</v>
      </c>
      <c r="C566" t="s">
        <v>88</v>
      </c>
      <c r="D566">
        <v>6.7400000000000002E-2</v>
      </c>
      <c r="E566">
        <f>Tableau5[[#This Row],[Potential (PJ)]]/3.6</f>
        <v>1.8722222222222223E-2</v>
      </c>
      <c r="F566">
        <v>11.102</v>
      </c>
      <c r="G566">
        <f>Tableau5[[#This Row],[Cost (€/GJ)]]*3.6</f>
        <v>39.967200000000005</v>
      </c>
      <c r="H566">
        <v>42.1</v>
      </c>
      <c r="I566">
        <f>Tableau5[[#This Row],[GHG (kgCO2eq/GJ)]]*3.6</f>
        <v>151.56</v>
      </c>
      <c r="J566" t="s">
        <v>106</v>
      </c>
      <c r="K566" t="s">
        <v>109</v>
      </c>
    </row>
    <row r="567" spans="1:11" x14ac:dyDescent="0.3">
      <c r="A567" t="s">
        <v>33</v>
      </c>
      <c r="B567" t="s">
        <v>55</v>
      </c>
      <c r="C567" t="s">
        <v>89</v>
      </c>
      <c r="D567">
        <v>6.7900000000000002E-2</v>
      </c>
      <c r="E567">
        <f>Tableau5[[#This Row],[Potential (PJ)]]/3.6</f>
        <v>1.886111111111111E-2</v>
      </c>
      <c r="F567">
        <v>0</v>
      </c>
      <c r="G567">
        <f>Tableau5[[#This Row],[Cost (€/GJ)]]*3.6</f>
        <v>0</v>
      </c>
      <c r="H567">
        <v>42.1</v>
      </c>
      <c r="I567">
        <f>Tableau5[[#This Row],[GHG (kgCO2eq/GJ)]]*3.6</f>
        <v>151.56</v>
      </c>
      <c r="J567" t="s">
        <v>106</v>
      </c>
      <c r="K567" t="s">
        <v>109</v>
      </c>
    </row>
    <row r="568" spans="1:11" x14ac:dyDescent="0.3">
      <c r="A568" t="s">
        <v>33</v>
      </c>
      <c r="B568" t="s">
        <v>55</v>
      </c>
      <c r="C568" t="s">
        <v>90</v>
      </c>
      <c r="D568">
        <v>1.89E-2</v>
      </c>
      <c r="E568">
        <f>Tableau5[[#This Row],[Potential (PJ)]]/3.6</f>
        <v>5.2500000000000003E-3</v>
      </c>
      <c r="F568">
        <v>15.02100000000001</v>
      </c>
      <c r="G568">
        <f>Tableau5[[#This Row],[Cost (€/GJ)]]*3.6</f>
        <v>54.075600000000037</v>
      </c>
      <c r="H568">
        <v>42.1</v>
      </c>
      <c r="I568">
        <f>Tableau5[[#This Row],[GHG (kgCO2eq/GJ)]]*3.6</f>
        <v>151.56</v>
      </c>
      <c r="J568" t="s">
        <v>106</v>
      </c>
      <c r="K568" t="s">
        <v>109</v>
      </c>
    </row>
    <row r="569" spans="1:11" x14ac:dyDescent="0.3">
      <c r="A569" t="s">
        <v>33</v>
      </c>
      <c r="B569" t="s">
        <v>55</v>
      </c>
      <c r="C569" t="s">
        <v>91</v>
      </c>
      <c r="D569">
        <v>9.9999999999999992E-2</v>
      </c>
      <c r="E569">
        <f>Tableau5[[#This Row],[Potential (PJ)]]/3.6</f>
        <v>2.7777777777777776E-2</v>
      </c>
      <c r="F569">
        <v>12.728</v>
      </c>
      <c r="G569">
        <f>Tableau5[[#This Row],[Cost (€/GJ)]]*3.6</f>
        <v>45.820799999999998</v>
      </c>
      <c r="H569">
        <v>42.1</v>
      </c>
      <c r="I569">
        <f>Tableau5[[#This Row],[GHG (kgCO2eq/GJ)]]*3.6</f>
        <v>151.56</v>
      </c>
      <c r="J569" t="s">
        <v>106</v>
      </c>
      <c r="K569" t="s">
        <v>109</v>
      </c>
    </row>
    <row r="570" spans="1:11" x14ac:dyDescent="0.3">
      <c r="A570" t="s">
        <v>33</v>
      </c>
      <c r="B570" t="s">
        <v>55</v>
      </c>
      <c r="C570" t="s">
        <v>92</v>
      </c>
      <c r="D570">
        <v>0.30449999999999999</v>
      </c>
      <c r="E570">
        <f>Tableau5[[#This Row],[Potential (PJ)]]/3.6</f>
        <v>8.458333333333333E-2</v>
      </c>
      <c r="F570">
        <v>11.698</v>
      </c>
      <c r="G570">
        <f>Tableau5[[#This Row],[Cost (€/GJ)]]*3.6</f>
        <v>42.1128</v>
      </c>
      <c r="H570">
        <v>42.1</v>
      </c>
      <c r="I570">
        <f>Tableau5[[#This Row],[GHG (kgCO2eq/GJ)]]*3.6</f>
        <v>151.56</v>
      </c>
      <c r="J570" t="s">
        <v>106</v>
      </c>
      <c r="K570" t="s">
        <v>109</v>
      </c>
    </row>
    <row r="571" spans="1:11" x14ac:dyDescent="0.3">
      <c r="A571" t="s">
        <v>33</v>
      </c>
      <c r="B571" t="s">
        <v>56</v>
      </c>
      <c r="C571" t="s">
        <v>93</v>
      </c>
      <c r="D571">
        <v>14.172000000000001</v>
      </c>
      <c r="E571">
        <f>Tableau5[[#This Row],[Potential (PJ)]]/3.6</f>
        <v>3.9366666666666665</v>
      </c>
      <c r="F571">
        <v>2.939759036144578</v>
      </c>
      <c r="G571">
        <f>Tableau5[[#This Row],[Cost (€/GJ)]]*3.6</f>
        <v>10.583132530120482</v>
      </c>
      <c r="H571">
        <v>53.4</v>
      </c>
      <c r="I571">
        <f>Tableau5[[#This Row],[GHG (kgCO2eq/GJ)]]*3.6</f>
        <v>192.24</v>
      </c>
      <c r="J571" t="s">
        <v>106</v>
      </c>
      <c r="K571" t="s">
        <v>109</v>
      </c>
    </row>
    <row r="572" spans="1:11" x14ac:dyDescent="0.3">
      <c r="A572" t="s">
        <v>33</v>
      </c>
      <c r="B572" t="s">
        <v>47</v>
      </c>
      <c r="C572" t="s">
        <v>68</v>
      </c>
      <c r="D572">
        <v>4.4000000000000004</v>
      </c>
      <c r="E572">
        <f>Tableau5[[#This Row],[Potential (PJ)]]/3.6</f>
        <v>1.2222222222222223</v>
      </c>
      <c r="F572">
        <v>8.9379772727272719</v>
      </c>
      <c r="G572">
        <f>Tableau5[[#This Row],[Cost (€/GJ)]]*3.6</f>
        <v>32.176718181818181</v>
      </c>
      <c r="H572">
        <v>23.9</v>
      </c>
      <c r="I572">
        <f>Tableau5[[#This Row],[GHG (kgCO2eq/GJ)]]*3.6</f>
        <v>86.039999999999992</v>
      </c>
      <c r="J572" t="s">
        <v>104</v>
      </c>
      <c r="K572" t="s">
        <v>109</v>
      </c>
    </row>
    <row r="573" spans="1:11" x14ac:dyDescent="0.3">
      <c r="A573" t="s">
        <v>33</v>
      </c>
      <c r="B573" t="s">
        <v>47</v>
      </c>
      <c r="C573" t="s">
        <v>69</v>
      </c>
      <c r="D573">
        <v>4.4000000000000004</v>
      </c>
      <c r="E573">
        <f>Tableau5[[#This Row],[Potential (PJ)]]/3.6</f>
        <v>1.2222222222222223</v>
      </c>
      <c r="F573">
        <v>8.1014545454545441</v>
      </c>
      <c r="G573">
        <f>Tableau5[[#This Row],[Cost (€/GJ)]]*3.6</f>
        <v>29.16523636363636</v>
      </c>
      <c r="H573">
        <v>23.9</v>
      </c>
      <c r="I573">
        <f>Tableau5[[#This Row],[GHG (kgCO2eq/GJ)]]*3.6</f>
        <v>86.039999999999992</v>
      </c>
      <c r="J573" t="s">
        <v>104</v>
      </c>
      <c r="K573" t="s">
        <v>109</v>
      </c>
    </row>
    <row r="574" spans="1:11" x14ac:dyDescent="0.3">
      <c r="A574" t="s">
        <v>33</v>
      </c>
      <c r="B574" t="s">
        <v>57</v>
      </c>
      <c r="C574" t="s">
        <v>94</v>
      </c>
      <c r="D574">
        <v>3.3</v>
      </c>
      <c r="E574">
        <f>Tableau5[[#This Row],[Potential (PJ)]]/3.6</f>
        <v>0.91666666666666663</v>
      </c>
      <c r="F574">
        <v>14.056060606060599</v>
      </c>
      <c r="G574">
        <f>Tableau5[[#This Row],[Cost (€/GJ)]]*3.6</f>
        <v>50.60181818181816</v>
      </c>
      <c r="H574">
        <v>49.1</v>
      </c>
      <c r="I574">
        <f>Tableau5[[#This Row],[GHG (kgCO2eq/GJ)]]*3.6</f>
        <v>176.76000000000002</v>
      </c>
      <c r="J574" t="s">
        <v>104</v>
      </c>
      <c r="K574" t="s">
        <v>109</v>
      </c>
    </row>
    <row r="575" spans="1:11" x14ac:dyDescent="0.3">
      <c r="A575" t="s">
        <v>33</v>
      </c>
      <c r="B575" t="s">
        <v>49</v>
      </c>
      <c r="C575" t="s">
        <v>71</v>
      </c>
      <c r="D575">
        <v>3.0607099999999998</v>
      </c>
      <c r="E575">
        <f>Tableau5[[#This Row],[Potential (PJ)]]/3.6</f>
        <v>0.85019722222222216</v>
      </c>
      <c r="F575">
        <v>4.0264666662310384</v>
      </c>
      <c r="G575">
        <f>Tableau5[[#This Row],[Cost (€/GJ)]]*3.6</f>
        <v>14.495279998431739</v>
      </c>
      <c r="H575">
        <v>3.86607608129234</v>
      </c>
      <c r="I575">
        <f>Tableau5[[#This Row],[GHG (kgCO2eq/GJ)]]*3.6</f>
        <v>13.917873892652425</v>
      </c>
      <c r="J575" t="s">
        <v>104</v>
      </c>
      <c r="K575" t="s">
        <v>108</v>
      </c>
    </row>
    <row r="576" spans="1:11" x14ac:dyDescent="0.3">
      <c r="A576" t="s">
        <v>33</v>
      </c>
      <c r="B576" t="s">
        <v>49</v>
      </c>
      <c r="C576" t="s">
        <v>72</v>
      </c>
      <c r="D576">
        <v>0.4</v>
      </c>
      <c r="E576">
        <f>Tableau5[[#This Row],[Potential (PJ)]]/3.6</f>
        <v>0.11111111111111112</v>
      </c>
      <c r="F576">
        <v>5.8095000000000008</v>
      </c>
      <c r="G576">
        <f>Tableau5[[#This Row],[Cost (€/GJ)]]*3.6</f>
        <v>20.914200000000005</v>
      </c>
      <c r="H576">
        <v>3.86607608129234</v>
      </c>
      <c r="I576">
        <f>Tableau5[[#This Row],[GHG (kgCO2eq/GJ)]]*3.6</f>
        <v>13.917873892652425</v>
      </c>
      <c r="J576" t="s">
        <v>104</v>
      </c>
      <c r="K576" t="s">
        <v>108</v>
      </c>
    </row>
    <row r="577" spans="1:11" x14ac:dyDescent="0.3">
      <c r="A577" t="s">
        <v>33</v>
      </c>
      <c r="B577" t="s">
        <v>58</v>
      </c>
      <c r="C577" t="s">
        <v>95</v>
      </c>
      <c r="D577">
        <v>1.43486</v>
      </c>
      <c r="E577">
        <f>Tableau5[[#This Row],[Potential (PJ)]]/3.6</f>
        <v>0.39857222222222222</v>
      </c>
      <c r="F577">
        <v>3.4551987510976678</v>
      </c>
      <c r="G577">
        <f>Tableau5[[#This Row],[Cost (€/GJ)]]*3.6</f>
        <v>12.438715503951604</v>
      </c>
      <c r="H577">
        <v>2.9521711768407801</v>
      </c>
      <c r="I577">
        <f>Tableau5[[#This Row],[GHG (kgCO2eq/GJ)]]*3.6</f>
        <v>10.627816236626808</v>
      </c>
      <c r="J577" t="s">
        <v>104</v>
      </c>
      <c r="K577" t="s">
        <v>108</v>
      </c>
    </row>
    <row r="578" spans="1:11" x14ac:dyDescent="0.3">
      <c r="A578" t="s">
        <v>33</v>
      </c>
      <c r="B578" t="s">
        <v>50</v>
      </c>
      <c r="C578" t="s">
        <v>73</v>
      </c>
      <c r="D578">
        <v>7.5</v>
      </c>
      <c r="E578">
        <f>Tableau5[[#This Row],[Potential (PJ)]]/3.6</f>
        <v>2.0833333333333335</v>
      </c>
      <c r="F578">
        <v>5.9187333333333338</v>
      </c>
      <c r="G578">
        <f>Tableau5[[#This Row],[Cost (€/GJ)]]*3.6</f>
        <v>21.307440000000003</v>
      </c>
      <c r="H578">
        <v>20.723404255319149</v>
      </c>
      <c r="I578">
        <f>Tableau5[[#This Row],[GHG (kgCO2eq/GJ)]]*3.6</f>
        <v>74.604255319148933</v>
      </c>
      <c r="J578" t="s">
        <v>105</v>
      </c>
      <c r="K578" t="s">
        <v>108</v>
      </c>
    </row>
    <row r="579" spans="1:11" x14ac:dyDescent="0.3">
      <c r="A579" t="s">
        <v>33</v>
      </c>
      <c r="B579" t="s">
        <v>50</v>
      </c>
      <c r="C579" t="s">
        <v>74</v>
      </c>
      <c r="D579">
        <v>18.2</v>
      </c>
      <c r="E579">
        <f>Tableau5[[#This Row],[Potential (PJ)]]/3.6</f>
        <v>5.0555555555555554</v>
      </c>
      <c r="F579">
        <v>6.3412527472527476</v>
      </c>
      <c r="G579">
        <f>Tableau5[[#This Row],[Cost (€/GJ)]]*3.6</f>
        <v>22.828509890109892</v>
      </c>
      <c r="H579">
        <v>2.0635593220338988</v>
      </c>
      <c r="I579">
        <f>Tableau5[[#This Row],[GHG (kgCO2eq/GJ)]]*3.6</f>
        <v>7.4288135593220357</v>
      </c>
      <c r="J579" t="s">
        <v>105</v>
      </c>
      <c r="K579" t="s">
        <v>108</v>
      </c>
    </row>
    <row r="580" spans="1:11" x14ac:dyDescent="0.3">
      <c r="A580" t="s">
        <v>33</v>
      </c>
      <c r="B580" t="s">
        <v>59</v>
      </c>
      <c r="C580" t="s">
        <v>97</v>
      </c>
      <c r="D580">
        <v>1.66E-2</v>
      </c>
      <c r="E580">
        <f>Tableau5[[#This Row],[Potential (PJ)]]/3.6</f>
        <v>4.611111111111111E-3</v>
      </c>
      <c r="F580">
        <v>20.2930005425936</v>
      </c>
      <c r="G580">
        <f>Tableau5[[#This Row],[Cost (€/GJ)]]*3.6</f>
        <v>73.054801953336963</v>
      </c>
      <c r="H580">
        <v>25.7</v>
      </c>
      <c r="I580">
        <f>Tableau5[[#This Row],[GHG (kgCO2eq/GJ)]]*3.6</f>
        <v>92.52</v>
      </c>
      <c r="J580" t="s">
        <v>107</v>
      </c>
      <c r="K580" t="s">
        <v>109</v>
      </c>
    </row>
    <row r="581" spans="1:11" x14ac:dyDescent="0.3">
      <c r="A581" t="s">
        <v>33</v>
      </c>
      <c r="B581" t="s">
        <v>51</v>
      </c>
      <c r="C581" t="s">
        <v>75</v>
      </c>
      <c r="D581">
        <v>36.028149999999997</v>
      </c>
      <c r="E581">
        <f>Tableau5[[#This Row],[Potential (PJ)]]/3.6</f>
        <v>10.007819444444443</v>
      </c>
      <c r="F581">
        <v>7.2182046377837303E-2</v>
      </c>
      <c r="G581">
        <f>Tableau5[[#This Row],[Cost (€/GJ)]]*3.6</f>
        <v>0.25985536696021427</v>
      </c>
      <c r="H581">
        <v>11.74</v>
      </c>
      <c r="I581">
        <f>Tableau5[[#This Row],[GHG (kgCO2eq/GJ)]]*3.6</f>
        <v>42.264000000000003</v>
      </c>
      <c r="J581" t="s">
        <v>104</v>
      </c>
      <c r="K581" t="s">
        <v>108</v>
      </c>
    </row>
    <row r="582" spans="1:11" x14ac:dyDescent="0.3">
      <c r="A582" t="s">
        <v>33</v>
      </c>
      <c r="B582" t="s">
        <v>60</v>
      </c>
      <c r="C582" t="s">
        <v>98</v>
      </c>
      <c r="D582">
        <v>9.4210000000000002E-2</v>
      </c>
      <c r="E582">
        <f>Tableau5[[#This Row],[Potential (PJ)]]/3.6</f>
        <v>2.6169444444444443E-2</v>
      </c>
      <c r="F582">
        <v>12.19119226638024</v>
      </c>
      <c r="G582">
        <f>Tableau5[[#This Row],[Cost (€/GJ)]]*3.6</f>
        <v>43.888292158968866</v>
      </c>
      <c r="H582">
        <v>61.8</v>
      </c>
      <c r="I582">
        <f>Tableau5[[#This Row],[GHG (kgCO2eq/GJ)]]*3.6</f>
        <v>222.48</v>
      </c>
      <c r="J582" t="s">
        <v>107</v>
      </c>
      <c r="K582" t="s">
        <v>109</v>
      </c>
    </row>
    <row r="583" spans="1:11" x14ac:dyDescent="0.3">
      <c r="A583" t="s">
        <v>33</v>
      </c>
      <c r="B583" t="s">
        <v>52</v>
      </c>
      <c r="C583" t="s">
        <v>76</v>
      </c>
      <c r="D583">
        <v>0.23</v>
      </c>
      <c r="E583">
        <f>Tableau5[[#This Row],[Potential (PJ)]]/3.6</f>
        <v>6.3888888888888884E-2</v>
      </c>
      <c r="F583">
        <v>8.4824999999999999</v>
      </c>
      <c r="G583">
        <f>Tableau5[[#This Row],[Cost (€/GJ)]]*3.6</f>
        <v>30.536999999999999</v>
      </c>
      <c r="H583">
        <v>12.68872359754714</v>
      </c>
      <c r="I583">
        <f>Tableau5[[#This Row],[GHG (kgCO2eq/GJ)]]*3.6</f>
        <v>45.679404951169708</v>
      </c>
      <c r="J583" t="s">
        <v>105</v>
      </c>
      <c r="K583" t="s">
        <v>108</v>
      </c>
    </row>
    <row r="584" spans="1:11" x14ac:dyDescent="0.3">
      <c r="A584" t="s">
        <v>33</v>
      </c>
      <c r="B584" t="s">
        <v>53</v>
      </c>
      <c r="C584" t="s">
        <v>77</v>
      </c>
      <c r="D584">
        <v>0.68162</v>
      </c>
      <c r="E584">
        <f>Tableau5[[#This Row],[Potential (PJ)]]/3.6</f>
        <v>0.18933888888888889</v>
      </c>
      <c r="F584">
        <v>5.8072495378656734</v>
      </c>
      <c r="G584">
        <f>Tableau5[[#This Row],[Cost (€/GJ)]]*3.6</f>
        <v>20.906098336316425</v>
      </c>
      <c r="H584">
        <v>3.86607608129234</v>
      </c>
      <c r="I584">
        <f>Tableau5[[#This Row],[GHG (kgCO2eq/GJ)]]*3.6</f>
        <v>13.917873892652425</v>
      </c>
      <c r="J584" t="s">
        <v>104</v>
      </c>
      <c r="K584" t="s">
        <v>108</v>
      </c>
    </row>
    <row r="585" spans="1:11" x14ac:dyDescent="0.3">
      <c r="A585" t="s">
        <v>33</v>
      </c>
      <c r="B585" t="s">
        <v>61</v>
      </c>
      <c r="C585" t="s">
        <v>99</v>
      </c>
      <c r="D585">
        <v>0.1</v>
      </c>
      <c r="E585">
        <f>Tableau5[[#This Row],[Potential (PJ)]]/3.6</f>
        <v>2.777777777777778E-2</v>
      </c>
      <c r="F585">
        <v>2.5129999999999999</v>
      </c>
      <c r="G585">
        <f>Tableau5[[#This Row],[Cost (€/GJ)]]*3.6</f>
        <v>9.0467999999999993</v>
      </c>
      <c r="H585">
        <v>2.9245635910224439</v>
      </c>
      <c r="I585">
        <f>Tableau5[[#This Row],[GHG (kgCO2eq/GJ)]]*3.6</f>
        <v>10.528428927680798</v>
      </c>
      <c r="J585" t="s">
        <v>104</v>
      </c>
      <c r="K585" t="s">
        <v>108</v>
      </c>
    </row>
    <row r="586" spans="1:11" x14ac:dyDescent="0.3">
      <c r="A586" t="s">
        <v>33</v>
      </c>
      <c r="B586" t="s">
        <v>54</v>
      </c>
      <c r="C586" t="s">
        <v>78</v>
      </c>
      <c r="D586">
        <v>3.8</v>
      </c>
      <c r="E586">
        <f>Tableau5[[#This Row],[Potential (PJ)]]/3.6</f>
        <v>1.0555555555555556</v>
      </c>
      <c r="F586">
        <v>12.20168421052632</v>
      </c>
      <c r="G586">
        <f>Tableau5[[#This Row],[Cost (€/GJ)]]*3.6</f>
        <v>43.926063157894752</v>
      </c>
      <c r="H586">
        <v>3.86607608129234</v>
      </c>
      <c r="I586">
        <f>Tableau5[[#This Row],[GHG (kgCO2eq/GJ)]]*3.6</f>
        <v>13.917873892652425</v>
      </c>
      <c r="J586" t="s">
        <v>104</v>
      </c>
      <c r="K586" t="s">
        <v>108</v>
      </c>
    </row>
    <row r="587" spans="1:11" x14ac:dyDescent="0.3">
      <c r="A587" t="s">
        <v>34</v>
      </c>
      <c r="B587" t="s">
        <v>47</v>
      </c>
      <c r="C587" t="s">
        <v>101</v>
      </c>
      <c r="D587">
        <v>1.4</v>
      </c>
      <c r="E587">
        <f>Tableau5[[#This Row],[Potential (PJ)]]/3.6</f>
        <v>0.38888888888888884</v>
      </c>
      <c r="F587">
        <v>0</v>
      </c>
      <c r="G587">
        <f>Tableau5[[#This Row],[Cost (€/GJ)]]*3.6</f>
        <v>0</v>
      </c>
      <c r="H587">
        <v>0</v>
      </c>
      <c r="I587">
        <f>Tableau5[[#This Row],[GHG (kgCO2eq/GJ)]]*3.6</f>
        <v>0</v>
      </c>
      <c r="J587" t="s">
        <v>104</v>
      </c>
      <c r="K587" t="s">
        <v>109</v>
      </c>
    </row>
    <row r="588" spans="1:11" x14ac:dyDescent="0.3">
      <c r="A588" t="s">
        <v>34</v>
      </c>
      <c r="B588" t="s">
        <v>57</v>
      </c>
      <c r="C588" t="s">
        <v>94</v>
      </c>
      <c r="D588">
        <v>1.4</v>
      </c>
      <c r="E588">
        <f>Tableau5[[#This Row],[Potential (PJ)]]/3.6</f>
        <v>0.38888888888888884</v>
      </c>
      <c r="F588">
        <v>0</v>
      </c>
      <c r="G588">
        <f>Tableau5[[#This Row],[Cost (€/GJ)]]*3.6</f>
        <v>0</v>
      </c>
      <c r="H588">
        <v>0</v>
      </c>
      <c r="I588">
        <f>Tableau5[[#This Row],[GHG (kgCO2eq/GJ)]]*3.6</f>
        <v>0</v>
      </c>
      <c r="J588" t="s">
        <v>104</v>
      </c>
      <c r="K588" t="s">
        <v>109</v>
      </c>
    </row>
    <row r="589" spans="1:11" x14ac:dyDescent="0.3">
      <c r="A589" t="s">
        <v>34</v>
      </c>
      <c r="B589" t="s">
        <v>49</v>
      </c>
      <c r="C589" t="s">
        <v>71</v>
      </c>
      <c r="D589">
        <v>31.51455</v>
      </c>
      <c r="E589">
        <f>Tableau5[[#This Row],[Potential (PJ)]]/3.6</f>
        <v>8.7540416666666658</v>
      </c>
      <c r="F589">
        <v>5.8417085885725797</v>
      </c>
      <c r="G589">
        <f>Tableau5[[#This Row],[Cost (€/GJ)]]*3.6</f>
        <v>21.030150918861288</v>
      </c>
      <c r="H589">
        <v>3.86607608129234</v>
      </c>
      <c r="I589">
        <f>Tableau5[[#This Row],[GHG (kgCO2eq/GJ)]]*3.6</f>
        <v>13.917873892652425</v>
      </c>
      <c r="J589" t="s">
        <v>104</v>
      </c>
      <c r="K589" t="s">
        <v>108</v>
      </c>
    </row>
    <row r="590" spans="1:11" x14ac:dyDescent="0.3">
      <c r="A590" t="s">
        <v>34</v>
      </c>
      <c r="B590" t="s">
        <v>49</v>
      </c>
      <c r="C590" t="s">
        <v>72</v>
      </c>
      <c r="D590">
        <v>2.7</v>
      </c>
      <c r="E590">
        <f>Tableau5[[#This Row],[Potential (PJ)]]/3.6</f>
        <v>0.75</v>
      </c>
      <c r="F590">
        <v>4.6706666666666674</v>
      </c>
      <c r="G590">
        <f>Tableau5[[#This Row],[Cost (€/GJ)]]*3.6</f>
        <v>16.814400000000003</v>
      </c>
      <c r="H590">
        <v>3.86607608129234</v>
      </c>
      <c r="I590">
        <f>Tableau5[[#This Row],[GHG (kgCO2eq/GJ)]]*3.6</f>
        <v>13.917873892652425</v>
      </c>
      <c r="J590" t="s">
        <v>104</v>
      </c>
      <c r="K590" t="s">
        <v>108</v>
      </c>
    </row>
    <row r="591" spans="1:11" x14ac:dyDescent="0.3">
      <c r="A591" t="s">
        <v>34</v>
      </c>
      <c r="B591" t="s">
        <v>51</v>
      </c>
      <c r="C591" t="s">
        <v>75</v>
      </c>
      <c r="D591">
        <v>12.71983</v>
      </c>
      <c r="E591">
        <f>Tableau5[[#This Row],[Potential (PJ)]]/3.6</f>
        <v>3.5332861111111109</v>
      </c>
      <c r="F591">
        <v>5.0577814779852398E-3</v>
      </c>
      <c r="G591">
        <f>Tableau5[[#This Row],[Cost (€/GJ)]]*3.6</f>
        <v>1.8208013320746865E-2</v>
      </c>
      <c r="H591">
        <v>11.74</v>
      </c>
      <c r="I591">
        <f>Tableau5[[#This Row],[GHG (kgCO2eq/GJ)]]*3.6</f>
        <v>42.264000000000003</v>
      </c>
      <c r="J591" t="s">
        <v>104</v>
      </c>
      <c r="K591" t="s">
        <v>108</v>
      </c>
    </row>
    <row r="592" spans="1:11" x14ac:dyDescent="0.3">
      <c r="A592" t="s">
        <v>34</v>
      </c>
      <c r="B592" t="s">
        <v>52</v>
      </c>
      <c r="C592" t="s">
        <v>76</v>
      </c>
      <c r="D592">
        <v>0.29699999999999999</v>
      </c>
      <c r="E592">
        <f>Tableau5[[#This Row],[Potential (PJ)]]/3.6</f>
        <v>8.249999999999999E-2</v>
      </c>
      <c r="F592">
        <v>8.4824999999999999</v>
      </c>
      <c r="G592">
        <f>Tableau5[[#This Row],[Cost (€/GJ)]]*3.6</f>
        <v>30.536999999999999</v>
      </c>
      <c r="H592">
        <v>12.68872359754714</v>
      </c>
      <c r="I592">
        <f>Tableau5[[#This Row],[GHG (kgCO2eq/GJ)]]*3.6</f>
        <v>45.679404951169708</v>
      </c>
      <c r="J592" t="s">
        <v>105</v>
      </c>
      <c r="K592" t="s">
        <v>108</v>
      </c>
    </row>
    <row r="593" spans="1:11" x14ac:dyDescent="0.3">
      <c r="A593" t="s">
        <v>34</v>
      </c>
      <c r="B593" t="s">
        <v>53</v>
      </c>
      <c r="C593" t="s">
        <v>77</v>
      </c>
      <c r="D593">
        <v>5.1100899999999996</v>
      </c>
      <c r="E593">
        <f>Tableau5[[#This Row],[Potential (PJ)]]/3.6</f>
        <v>1.4194694444444442</v>
      </c>
      <c r="F593">
        <v>4.6712269881743778</v>
      </c>
      <c r="G593">
        <f>Tableau5[[#This Row],[Cost (€/GJ)]]*3.6</f>
        <v>16.816417157427761</v>
      </c>
      <c r="H593">
        <v>3.86607608129234</v>
      </c>
      <c r="I593">
        <f>Tableau5[[#This Row],[GHG (kgCO2eq/GJ)]]*3.6</f>
        <v>13.917873892652425</v>
      </c>
      <c r="J593" t="s">
        <v>104</v>
      </c>
      <c r="K593" t="s">
        <v>108</v>
      </c>
    </row>
    <row r="594" spans="1:11" x14ac:dyDescent="0.3">
      <c r="A594" t="s">
        <v>34</v>
      </c>
      <c r="B594" t="s">
        <v>54</v>
      </c>
      <c r="C594" t="s">
        <v>78</v>
      </c>
      <c r="D594">
        <v>58.9</v>
      </c>
      <c r="E594">
        <f>Tableau5[[#This Row],[Potential (PJ)]]/3.6</f>
        <v>16.361111111111111</v>
      </c>
      <c r="F594">
        <v>9.724645161290324</v>
      </c>
      <c r="G594">
        <f>Tableau5[[#This Row],[Cost (€/GJ)]]*3.6</f>
        <v>35.00872258064517</v>
      </c>
      <c r="H594">
        <v>3.86607608129234</v>
      </c>
      <c r="I594">
        <f>Tableau5[[#This Row],[GHG (kgCO2eq/GJ)]]*3.6</f>
        <v>13.917873892652425</v>
      </c>
      <c r="J594" t="s">
        <v>104</v>
      </c>
      <c r="K594" t="s">
        <v>108</v>
      </c>
    </row>
    <row r="595" spans="1:11" x14ac:dyDescent="0.3">
      <c r="A595" t="s">
        <v>35</v>
      </c>
      <c r="B595" t="s">
        <v>46</v>
      </c>
      <c r="C595" t="s">
        <v>64</v>
      </c>
      <c r="D595">
        <v>0.56440999999999997</v>
      </c>
      <c r="E595">
        <f>Tableau5[[#This Row],[Potential (PJ)]]/3.6</f>
        <v>0.15678055555555553</v>
      </c>
      <c r="F595">
        <v>5.699982335536224</v>
      </c>
      <c r="G595">
        <f>Tableau5[[#This Row],[Cost (€/GJ)]]*3.6</f>
        <v>20.519936407930405</v>
      </c>
      <c r="H595">
        <v>2.9521711768407801</v>
      </c>
      <c r="I595">
        <f>Tableau5[[#This Row],[GHG (kgCO2eq/GJ)]]*3.6</f>
        <v>10.627816236626808</v>
      </c>
      <c r="J595" t="s">
        <v>104</v>
      </c>
      <c r="K595" t="s">
        <v>108</v>
      </c>
    </row>
    <row r="596" spans="1:11" x14ac:dyDescent="0.3">
      <c r="A596" t="s">
        <v>35</v>
      </c>
      <c r="B596" t="s">
        <v>46</v>
      </c>
      <c r="C596" t="s">
        <v>79</v>
      </c>
      <c r="D596">
        <v>54.8</v>
      </c>
      <c r="E596">
        <f>Tableau5[[#This Row],[Potential (PJ)]]/3.6</f>
        <v>15.222222222222221</v>
      </c>
      <c r="F596">
        <v>3.366808394160584</v>
      </c>
      <c r="G596">
        <f>Tableau5[[#This Row],[Cost (€/GJ)]]*3.6</f>
        <v>12.120510218978103</v>
      </c>
      <c r="H596">
        <v>6.8428961748633883</v>
      </c>
      <c r="I596">
        <f>Tableau5[[#This Row],[GHG (kgCO2eq/GJ)]]*3.6</f>
        <v>24.634426229508197</v>
      </c>
      <c r="J596" t="s">
        <v>104</v>
      </c>
      <c r="K596" t="s">
        <v>108</v>
      </c>
    </row>
    <row r="597" spans="1:11" x14ac:dyDescent="0.3">
      <c r="A597" t="s">
        <v>35</v>
      </c>
      <c r="B597" t="s">
        <v>46</v>
      </c>
      <c r="C597" t="s">
        <v>65</v>
      </c>
      <c r="D597">
        <v>0.5</v>
      </c>
      <c r="E597">
        <f>Tableau5[[#This Row],[Potential (PJ)]]/3.6</f>
        <v>0.1388888888888889</v>
      </c>
      <c r="F597">
        <v>4.9972000000000003</v>
      </c>
      <c r="G597">
        <f>Tableau5[[#This Row],[Cost (€/GJ)]]*3.6</f>
        <v>17.989920000000001</v>
      </c>
      <c r="H597">
        <v>2.9521711768407801</v>
      </c>
      <c r="I597">
        <f>Tableau5[[#This Row],[GHG (kgCO2eq/GJ)]]*3.6</f>
        <v>10.627816236626808</v>
      </c>
      <c r="J597" t="s">
        <v>104</v>
      </c>
      <c r="K597" t="s">
        <v>108</v>
      </c>
    </row>
    <row r="598" spans="1:11" x14ac:dyDescent="0.3">
      <c r="A598" t="s">
        <v>35</v>
      </c>
      <c r="B598" t="s">
        <v>46</v>
      </c>
      <c r="C598" t="s">
        <v>80</v>
      </c>
      <c r="D598">
        <v>0.78029999999999999</v>
      </c>
      <c r="E598">
        <f>Tableau5[[#This Row],[Potential (PJ)]]/3.6</f>
        <v>0.21675</v>
      </c>
      <c r="F598">
        <v>0.46459878624409978</v>
      </c>
      <c r="G598">
        <f>Tableau5[[#This Row],[Cost (€/GJ)]]*3.6</f>
        <v>1.6725556304787592</v>
      </c>
      <c r="H598">
        <v>28.139870918023309</v>
      </c>
      <c r="I598">
        <f>Tableau5[[#This Row],[GHG (kgCO2eq/GJ)]]*3.6</f>
        <v>101.30353530488391</v>
      </c>
      <c r="J598" t="s">
        <v>105</v>
      </c>
      <c r="K598" t="s">
        <v>108</v>
      </c>
    </row>
    <row r="599" spans="1:11" x14ac:dyDescent="0.3">
      <c r="A599" t="s">
        <v>35</v>
      </c>
      <c r="B599" t="s">
        <v>46</v>
      </c>
      <c r="C599" t="s">
        <v>81</v>
      </c>
      <c r="D599">
        <v>2.5533999999999999</v>
      </c>
      <c r="E599">
        <f>Tableau5[[#This Row],[Potential (PJ)]]/3.6</f>
        <v>0.70927777777777778</v>
      </c>
      <c r="F599">
        <v>0.69388954171562867</v>
      </c>
      <c r="G599">
        <f>Tableau5[[#This Row],[Cost (€/GJ)]]*3.6</f>
        <v>2.4980023501762632</v>
      </c>
      <c r="H599">
        <v>8.9647473560517046</v>
      </c>
      <c r="I599">
        <f>Tableau5[[#This Row],[GHG (kgCO2eq/GJ)]]*3.6</f>
        <v>32.273090481786134</v>
      </c>
      <c r="J599" t="s">
        <v>105</v>
      </c>
      <c r="K599" t="s">
        <v>108</v>
      </c>
    </row>
    <row r="600" spans="1:11" x14ac:dyDescent="0.3">
      <c r="A600" t="s">
        <v>35</v>
      </c>
      <c r="B600" t="s">
        <v>46</v>
      </c>
      <c r="C600" t="s">
        <v>66</v>
      </c>
      <c r="D600">
        <v>3.3</v>
      </c>
      <c r="E600">
        <f>Tableau5[[#This Row],[Potential (PJ)]]/3.6</f>
        <v>0.91666666666666663</v>
      </c>
      <c r="F600">
        <v>3.4743030303030298</v>
      </c>
      <c r="G600">
        <f>Tableau5[[#This Row],[Cost (€/GJ)]]*3.6</f>
        <v>12.507490909090908</v>
      </c>
      <c r="H600">
        <v>6.8428961748633883</v>
      </c>
      <c r="I600">
        <f>Tableau5[[#This Row],[GHG (kgCO2eq/GJ)]]*3.6</f>
        <v>24.634426229508197</v>
      </c>
      <c r="J600" t="s">
        <v>104</v>
      </c>
      <c r="K600" t="s">
        <v>108</v>
      </c>
    </row>
    <row r="601" spans="1:11" x14ac:dyDescent="0.3">
      <c r="A601" t="s">
        <v>35</v>
      </c>
      <c r="B601" t="s">
        <v>46</v>
      </c>
      <c r="C601" t="s">
        <v>82</v>
      </c>
      <c r="D601">
        <v>2.8</v>
      </c>
      <c r="E601">
        <f>Tableau5[[#This Row],[Potential (PJ)]]/3.6</f>
        <v>0.77777777777777768</v>
      </c>
      <c r="F601">
        <v>2.1309999999999989</v>
      </c>
      <c r="G601">
        <f>Tableau5[[#This Row],[Cost (€/GJ)]]*3.6</f>
        <v>7.6715999999999962</v>
      </c>
      <c r="H601">
        <v>6.8428961748633883</v>
      </c>
      <c r="I601">
        <f>Tableau5[[#This Row],[GHG (kgCO2eq/GJ)]]*3.6</f>
        <v>24.634426229508197</v>
      </c>
      <c r="J601" t="s">
        <v>104</v>
      </c>
      <c r="K601" t="s">
        <v>108</v>
      </c>
    </row>
    <row r="602" spans="1:11" x14ac:dyDescent="0.3">
      <c r="A602" t="s">
        <v>35</v>
      </c>
      <c r="B602" t="s">
        <v>46</v>
      </c>
      <c r="C602" t="s">
        <v>84</v>
      </c>
      <c r="D602">
        <v>0.9</v>
      </c>
      <c r="E602">
        <f>Tableau5[[#This Row],[Potential (PJ)]]/3.6</f>
        <v>0.25</v>
      </c>
      <c r="F602">
        <v>1.959444444444445</v>
      </c>
      <c r="G602">
        <f>Tableau5[[#This Row],[Cost (€/GJ)]]*3.6</f>
        <v>7.054000000000002</v>
      </c>
      <c r="H602">
        <v>28.139870918023309</v>
      </c>
      <c r="I602">
        <f>Tableau5[[#This Row],[GHG (kgCO2eq/GJ)]]*3.6</f>
        <v>101.30353530488391</v>
      </c>
      <c r="J602" t="s">
        <v>105</v>
      </c>
      <c r="K602" t="s">
        <v>108</v>
      </c>
    </row>
    <row r="603" spans="1:11" x14ac:dyDescent="0.3">
      <c r="A603" t="s">
        <v>35</v>
      </c>
      <c r="B603" t="s">
        <v>55</v>
      </c>
      <c r="C603" t="s">
        <v>86</v>
      </c>
      <c r="D603">
        <v>2.1977000000000002</v>
      </c>
      <c r="E603">
        <f>Tableau5[[#This Row],[Potential (PJ)]]/3.6</f>
        <v>0.6104722222222223</v>
      </c>
      <c r="F603">
        <v>9.7590000000000003</v>
      </c>
      <c r="G603">
        <f>Tableau5[[#This Row],[Cost (€/GJ)]]*3.6</f>
        <v>35.132400000000004</v>
      </c>
      <c r="H603">
        <v>12.6</v>
      </c>
      <c r="I603">
        <f>Tableau5[[#This Row],[GHG (kgCO2eq/GJ)]]*3.6</f>
        <v>45.36</v>
      </c>
      <c r="J603" t="s">
        <v>106</v>
      </c>
      <c r="K603" t="s">
        <v>109</v>
      </c>
    </row>
    <row r="604" spans="1:11" x14ac:dyDescent="0.3">
      <c r="A604" t="s">
        <v>35</v>
      </c>
      <c r="B604" t="s">
        <v>55</v>
      </c>
      <c r="C604" t="s">
        <v>88</v>
      </c>
      <c r="D604">
        <v>2.1255999999999999</v>
      </c>
      <c r="E604">
        <f>Tableau5[[#This Row],[Potential (PJ)]]/3.6</f>
        <v>0.59044444444444444</v>
      </c>
      <c r="F604">
        <v>10.297000000000001</v>
      </c>
      <c r="G604">
        <f>Tableau5[[#This Row],[Cost (€/GJ)]]*3.6</f>
        <v>37.069200000000002</v>
      </c>
      <c r="H604">
        <v>12.6</v>
      </c>
      <c r="I604">
        <f>Tableau5[[#This Row],[GHG (kgCO2eq/GJ)]]*3.6</f>
        <v>45.36</v>
      </c>
      <c r="J604" t="s">
        <v>106</v>
      </c>
      <c r="K604" t="s">
        <v>109</v>
      </c>
    </row>
    <row r="605" spans="1:11" x14ac:dyDescent="0.3">
      <c r="A605" t="s">
        <v>35</v>
      </c>
      <c r="B605" t="s">
        <v>55</v>
      </c>
      <c r="C605" t="s">
        <v>89</v>
      </c>
      <c r="D605">
        <v>5.6399999999999999E-2</v>
      </c>
      <c r="E605">
        <f>Tableau5[[#This Row],[Potential (PJ)]]/3.6</f>
        <v>1.5666666666666666E-2</v>
      </c>
      <c r="F605">
        <v>0</v>
      </c>
      <c r="G605">
        <f>Tableau5[[#This Row],[Cost (€/GJ)]]*3.6</f>
        <v>0</v>
      </c>
      <c r="H605">
        <v>12.6</v>
      </c>
      <c r="I605">
        <f>Tableau5[[#This Row],[GHG (kgCO2eq/GJ)]]*3.6</f>
        <v>45.36</v>
      </c>
      <c r="J605" t="s">
        <v>106</v>
      </c>
      <c r="K605" t="s">
        <v>109</v>
      </c>
    </row>
    <row r="606" spans="1:11" x14ac:dyDescent="0.3">
      <c r="A606" t="s">
        <v>35</v>
      </c>
      <c r="B606" t="s">
        <v>55</v>
      </c>
      <c r="C606" t="s">
        <v>90</v>
      </c>
      <c r="D606">
        <v>1.2123999999999999</v>
      </c>
      <c r="E606">
        <f>Tableau5[[#This Row],[Potential (PJ)]]/3.6</f>
        <v>0.33677777777777773</v>
      </c>
      <c r="F606">
        <v>10.423999999999999</v>
      </c>
      <c r="G606">
        <f>Tableau5[[#This Row],[Cost (€/GJ)]]*3.6</f>
        <v>37.526400000000002</v>
      </c>
      <c r="H606">
        <v>12.6</v>
      </c>
      <c r="I606">
        <f>Tableau5[[#This Row],[GHG (kgCO2eq/GJ)]]*3.6</f>
        <v>45.36</v>
      </c>
      <c r="J606" t="s">
        <v>106</v>
      </c>
      <c r="K606" t="s">
        <v>109</v>
      </c>
    </row>
    <row r="607" spans="1:11" x14ac:dyDescent="0.3">
      <c r="A607" t="s">
        <v>35</v>
      </c>
      <c r="B607" t="s">
        <v>55</v>
      </c>
      <c r="C607" t="s">
        <v>91</v>
      </c>
      <c r="D607">
        <v>3.7515999999999998</v>
      </c>
      <c r="E607">
        <f>Tableau5[[#This Row],[Potential (PJ)]]/3.6</f>
        <v>1.042111111111111</v>
      </c>
      <c r="F607">
        <v>8.9329999999999963</v>
      </c>
      <c r="G607">
        <f>Tableau5[[#This Row],[Cost (€/GJ)]]*3.6</f>
        <v>32.158799999999985</v>
      </c>
      <c r="H607">
        <v>12.6</v>
      </c>
      <c r="I607">
        <f>Tableau5[[#This Row],[GHG (kgCO2eq/GJ)]]*3.6</f>
        <v>45.36</v>
      </c>
      <c r="J607" t="s">
        <v>106</v>
      </c>
      <c r="K607" t="s">
        <v>109</v>
      </c>
    </row>
    <row r="608" spans="1:11" x14ac:dyDescent="0.3">
      <c r="A608" t="s">
        <v>35</v>
      </c>
      <c r="B608" t="s">
        <v>55</v>
      </c>
      <c r="C608" t="s">
        <v>92</v>
      </c>
      <c r="D608">
        <v>1.82101</v>
      </c>
      <c r="E608">
        <f>Tableau5[[#This Row],[Potential (PJ)]]/3.6</f>
        <v>0.50583611111111115</v>
      </c>
      <c r="F608">
        <v>10.840999999999999</v>
      </c>
      <c r="G608">
        <f>Tableau5[[#This Row],[Cost (€/GJ)]]*3.6</f>
        <v>39.0276</v>
      </c>
      <c r="H608">
        <v>12.6</v>
      </c>
      <c r="I608">
        <f>Tableau5[[#This Row],[GHG (kgCO2eq/GJ)]]*3.6</f>
        <v>45.36</v>
      </c>
      <c r="J608" t="s">
        <v>106</v>
      </c>
      <c r="K608" t="s">
        <v>109</v>
      </c>
    </row>
    <row r="609" spans="1:11" x14ac:dyDescent="0.3">
      <c r="A609" t="s">
        <v>35</v>
      </c>
      <c r="B609" t="s">
        <v>56</v>
      </c>
      <c r="C609" t="s">
        <v>93</v>
      </c>
      <c r="D609">
        <v>28.6905</v>
      </c>
      <c r="E609">
        <f>Tableau5[[#This Row],[Potential (PJ)]]/3.6</f>
        <v>7.9695833333333335</v>
      </c>
      <c r="F609">
        <v>2.9493975903614462</v>
      </c>
      <c r="G609">
        <f>Tableau5[[#This Row],[Cost (€/GJ)]]*3.6</f>
        <v>10.617831325301207</v>
      </c>
      <c r="H609">
        <v>29.5</v>
      </c>
      <c r="I609">
        <f>Tableau5[[#This Row],[GHG (kgCO2eq/GJ)]]*3.6</f>
        <v>106.2</v>
      </c>
      <c r="J609" t="s">
        <v>106</v>
      </c>
      <c r="K609" t="s">
        <v>109</v>
      </c>
    </row>
    <row r="610" spans="1:11" x14ac:dyDescent="0.3">
      <c r="A610" t="s">
        <v>35</v>
      </c>
      <c r="B610" t="s">
        <v>47</v>
      </c>
      <c r="C610" t="s">
        <v>101</v>
      </c>
      <c r="D610">
        <v>82.6</v>
      </c>
      <c r="E610">
        <f>Tableau5[[#This Row],[Potential (PJ)]]/3.6</f>
        <v>22.944444444444443</v>
      </c>
      <c r="F610">
        <v>3.819061743341404</v>
      </c>
      <c r="G610">
        <f>Tableau5[[#This Row],[Cost (€/GJ)]]*3.6</f>
        <v>13.748622276029055</v>
      </c>
      <c r="H610">
        <v>43.8</v>
      </c>
      <c r="I610">
        <f>Tableau5[[#This Row],[GHG (kgCO2eq/GJ)]]*3.6</f>
        <v>157.68</v>
      </c>
      <c r="J610" t="s">
        <v>104</v>
      </c>
      <c r="K610" t="s">
        <v>109</v>
      </c>
    </row>
    <row r="611" spans="1:11" x14ac:dyDescent="0.3">
      <c r="A611" t="s">
        <v>35</v>
      </c>
      <c r="B611" t="s">
        <v>57</v>
      </c>
      <c r="C611" t="s">
        <v>94</v>
      </c>
      <c r="D611">
        <v>58.6</v>
      </c>
      <c r="E611">
        <f>Tableau5[[#This Row],[Potential (PJ)]]/3.6</f>
        <v>16.277777777777779</v>
      </c>
      <c r="F611">
        <v>8.9582013651877137</v>
      </c>
      <c r="G611">
        <f>Tableau5[[#This Row],[Cost (€/GJ)]]*3.6</f>
        <v>32.249524914675767</v>
      </c>
      <c r="H611">
        <v>19.8</v>
      </c>
      <c r="I611">
        <f>Tableau5[[#This Row],[GHG (kgCO2eq/GJ)]]*3.6</f>
        <v>71.28</v>
      </c>
      <c r="J611" t="s">
        <v>104</v>
      </c>
      <c r="K611" t="s">
        <v>109</v>
      </c>
    </row>
    <row r="612" spans="1:11" x14ac:dyDescent="0.3">
      <c r="A612" t="s">
        <v>35</v>
      </c>
      <c r="B612" t="s">
        <v>49</v>
      </c>
      <c r="C612" t="s">
        <v>71</v>
      </c>
      <c r="D612">
        <v>130.64207999999999</v>
      </c>
      <c r="E612">
        <f>Tableau5[[#This Row],[Potential (PJ)]]/3.6</f>
        <v>36.289466666666662</v>
      </c>
      <c r="F612">
        <v>3.4987914527233501</v>
      </c>
      <c r="G612">
        <f>Tableau5[[#This Row],[Cost (€/GJ)]]*3.6</f>
        <v>12.59564922980406</v>
      </c>
      <c r="H612">
        <v>3.86607608129234</v>
      </c>
      <c r="I612">
        <f>Tableau5[[#This Row],[GHG (kgCO2eq/GJ)]]*3.6</f>
        <v>13.917873892652425</v>
      </c>
      <c r="J612" t="s">
        <v>104</v>
      </c>
      <c r="K612" t="s">
        <v>108</v>
      </c>
    </row>
    <row r="613" spans="1:11" x14ac:dyDescent="0.3">
      <c r="A613" t="s">
        <v>35</v>
      </c>
      <c r="B613" t="s">
        <v>49</v>
      </c>
      <c r="C613" t="s">
        <v>72</v>
      </c>
      <c r="D613">
        <v>6.4</v>
      </c>
      <c r="E613">
        <f>Tableau5[[#This Row],[Potential (PJ)]]/3.6</f>
        <v>1.7777777777777779</v>
      </c>
      <c r="F613">
        <v>4.8066718750000001</v>
      </c>
      <c r="G613">
        <f>Tableau5[[#This Row],[Cost (€/GJ)]]*3.6</f>
        <v>17.304018750000001</v>
      </c>
      <c r="H613">
        <v>3.86607608129234</v>
      </c>
      <c r="I613">
        <f>Tableau5[[#This Row],[GHG (kgCO2eq/GJ)]]*3.6</f>
        <v>13.917873892652425</v>
      </c>
      <c r="J613" t="s">
        <v>104</v>
      </c>
      <c r="K613" t="s">
        <v>108</v>
      </c>
    </row>
    <row r="614" spans="1:11" x14ac:dyDescent="0.3">
      <c r="A614" t="s">
        <v>35</v>
      </c>
      <c r="B614" t="s">
        <v>58</v>
      </c>
      <c r="C614" t="s">
        <v>95</v>
      </c>
      <c r="D614">
        <v>11.47894</v>
      </c>
      <c r="E614">
        <f>Tableau5[[#This Row],[Potential (PJ)]]/3.6</f>
        <v>3.1885944444444441</v>
      </c>
      <c r="F614">
        <v>3.3519666484884492</v>
      </c>
      <c r="G614">
        <f>Tableau5[[#This Row],[Cost (€/GJ)]]*3.6</f>
        <v>12.067079934558418</v>
      </c>
      <c r="H614">
        <v>2.9521711768407801</v>
      </c>
      <c r="I614">
        <f>Tableau5[[#This Row],[GHG (kgCO2eq/GJ)]]*3.6</f>
        <v>10.627816236626808</v>
      </c>
      <c r="J614" t="s">
        <v>104</v>
      </c>
      <c r="K614" t="s">
        <v>108</v>
      </c>
    </row>
    <row r="615" spans="1:11" x14ac:dyDescent="0.3">
      <c r="A615" t="s">
        <v>35</v>
      </c>
      <c r="B615" t="s">
        <v>50</v>
      </c>
      <c r="C615" t="s">
        <v>73</v>
      </c>
      <c r="D615">
        <v>2.9</v>
      </c>
      <c r="E615">
        <f>Tableau5[[#This Row],[Potential (PJ)]]/3.6</f>
        <v>0.80555555555555547</v>
      </c>
      <c r="F615">
        <v>5.1068965517241374</v>
      </c>
      <c r="G615">
        <f>Tableau5[[#This Row],[Cost (€/GJ)]]*3.6</f>
        <v>18.384827586206896</v>
      </c>
      <c r="H615">
        <v>20.723404255319149</v>
      </c>
      <c r="I615">
        <f>Tableau5[[#This Row],[GHG (kgCO2eq/GJ)]]*3.6</f>
        <v>74.604255319148933</v>
      </c>
      <c r="J615" t="s">
        <v>105</v>
      </c>
      <c r="K615" t="s">
        <v>108</v>
      </c>
    </row>
    <row r="616" spans="1:11" x14ac:dyDescent="0.3">
      <c r="A616" t="s">
        <v>35</v>
      </c>
      <c r="B616" t="s">
        <v>50</v>
      </c>
      <c r="C616" t="s">
        <v>74</v>
      </c>
      <c r="D616">
        <v>45.8</v>
      </c>
      <c r="E616">
        <f>Tableau5[[#This Row],[Potential (PJ)]]/3.6</f>
        <v>12.722222222222221</v>
      </c>
      <c r="F616">
        <v>3.482628820960699</v>
      </c>
      <c r="G616">
        <f>Tableau5[[#This Row],[Cost (€/GJ)]]*3.6</f>
        <v>12.537463755458516</v>
      </c>
      <c r="H616">
        <v>2.0635593220338988</v>
      </c>
      <c r="I616">
        <f>Tableau5[[#This Row],[GHG (kgCO2eq/GJ)]]*3.6</f>
        <v>7.4288135593220357</v>
      </c>
      <c r="J616" t="s">
        <v>105</v>
      </c>
      <c r="K616" t="s">
        <v>108</v>
      </c>
    </row>
    <row r="617" spans="1:11" x14ac:dyDescent="0.3">
      <c r="A617" t="s">
        <v>35</v>
      </c>
      <c r="B617" t="s">
        <v>59</v>
      </c>
      <c r="C617" t="s">
        <v>96</v>
      </c>
      <c r="D617">
        <v>9.8699999999999996E-2</v>
      </c>
      <c r="E617">
        <f>Tableau5[[#This Row],[Potential (PJ)]]/3.6</f>
        <v>2.7416666666666666E-2</v>
      </c>
      <c r="F617">
        <v>18.283000000000001</v>
      </c>
      <c r="G617">
        <f>Tableau5[[#This Row],[Cost (€/GJ)]]*3.6</f>
        <v>65.81880000000001</v>
      </c>
      <c r="H617">
        <v>19.100000000000001</v>
      </c>
      <c r="I617">
        <f>Tableau5[[#This Row],[GHG (kgCO2eq/GJ)]]*3.6</f>
        <v>68.760000000000005</v>
      </c>
      <c r="J617" t="s">
        <v>107</v>
      </c>
      <c r="K617" t="s">
        <v>109</v>
      </c>
    </row>
    <row r="618" spans="1:11" x14ac:dyDescent="0.3">
      <c r="A618" t="s">
        <v>35</v>
      </c>
      <c r="B618" t="s">
        <v>59</v>
      </c>
      <c r="C618" t="s">
        <v>97</v>
      </c>
      <c r="D618">
        <v>0.21859999999999999</v>
      </c>
      <c r="E618">
        <f>Tableau5[[#This Row],[Potential (PJ)]]/3.6</f>
        <v>6.0722222222222219E-2</v>
      </c>
      <c r="F618">
        <v>19.099294628323381</v>
      </c>
      <c r="G618">
        <f>Tableau5[[#This Row],[Cost (€/GJ)]]*3.6</f>
        <v>68.757460661964174</v>
      </c>
      <c r="H618">
        <v>19.100000000000001</v>
      </c>
      <c r="I618">
        <f>Tableau5[[#This Row],[GHG (kgCO2eq/GJ)]]*3.6</f>
        <v>68.760000000000005</v>
      </c>
      <c r="J618" t="s">
        <v>107</v>
      </c>
      <c r="K618" t="s">
        <v>109</v>
      </c>
    </row>
    <row r="619" spans="1:11" x14ac:dyDescent="0.3">
      <c r="A619" t="s">
        <v>35</v>
      </c>
      <c r="B619" t="s">
        <v>51</v>
      </c>
      <c r="C619" t="s">
        <v>75</v>
      </c>
      <c r="D619">
        <v>16.485279999999999</v>
      </c>
      <c r="E619">
        <f>Tableau5[[#This Row],[Potential (PJ)]]/3.6</f>
        <v>4.579244444444444</v>
      </c>
      <c r="F619">
        <v>3.2295262128591998E-3</v>
      </c>
      <c r="G619">
        <f>Tableau5[[#This Row],[Cost (€/GJ)]]*3.6</f>
        <v>1.162629436629312E-2</v>
      </c>
      <c r="H619">
        <v>11.74</v>
      </c>
      <c r="I619">
        <f>Tableau5[[#This Row],[GHG (kgCO2eq/GJ)]]*3.6</f>
        <v>42.264000000000003</v>
      </c>
      <c r="J619" t="s">
        <v>104</v>
      </c>
      <c r="K619" t="s">
        <v>108</v>
      </c>
    </row>
    <row r="620" spans="1:11" x14ac:dyDescent="0.3">
      <c r="A620" t="s">
        <v>35</v>
      </c>
      <c r="B620" t="s">
        <v>60</v>
      </c>
      <c r="C620" t="s">
        <v>98</v>
      </c>
      <c r="D620">
        <v>16.77102</v>
      </c>
      <c r="E620">
        <f>Tableau5[[#This Row],[Potential (PJ)]]/3.6</f>
        <v>4.6586166666666662</v>
      </c>
      <c r="F620">
        <v>16.165413533834581</v>
      </c>
      <c r="G620">
        <f>Tableau5[[#This Row],[Cost (€/GJ)]]*3.6</f>
        <v>58.195488721804495</v>
      </c>
      <c r="H620">
        <v>46</v>
      </c>
      <c r="I620">
        <f>Tableau5[[#This Row],[GHG (kgCO2eq/GJ)]]*3.6</f>
        <v>165.6</v>
      </c>
      <c r="J620" t="s">
        <v>107</v>
      </c>
      <c r="K620" t="s">
        <v>109</v>
      </c>
    </row>
    <row r="621" spans="1:11" x14ac:dyDescent="0.3">
      <c r="A621" t="s">
        <v>35</v>
      </c>
      <c r="B621" t="s">
        <v>52</v>
      </c>
      <c r="C621" t="s">
        <v>76</v>
      </c>
      <c r="D621">
        <v>0.65</v>
      </c>
      <c r="E621">
        <f>Tableau5[[#This Row],[Potential (PJ)]]/3.6</f>
        <v>0.18055555555555555</v>
      </c>
      <c r="F621">
        <v>8.4824999999999999</v>
      </c>
      <c r="G621">
        <f>Tableau5[[#This Row],[Cost (€/GJ)]]*3.6</f>
        <v>30.536999999999999</v>
      </c>
      <c r="H621">
        <v>12.68872359754714</v>
      </c>
      <c r="I621">
        <f>Tableau5[[#This Row],[GHG (kgCO2eq/GJ)]]*3.6</f>
        <v>45.679404951169708</v>
      </c>
      <c r="J621" t="s">
        <v>105</v>
      </c>
      <c r="K621" t="s">
        <v>108</v>
      </c>
    </row>
    <row r="622" spans="1:11" x14ac:dyDescent="0.3">
      <c r="A622" t="s">
        <v>35</v>
      </c>
      <c r="B622" t="s">
        <v>53</v>
      </c>
      <c r="C622" t="s">
        <v>77</v>
      </c>
      <c r="D622">
        <v>7.7642699999999998</v>
      </c>
      <c r="E622">
        <f>Tableau5[[#This Row],[Potential (PJ)]]/3.6</f>
        <v>2.1567416666666666</v>
      </c>
      <c r="F622">
        <v>4.8065210135659893</v>
      </c>
      <c r="G622">
        <f>Tableau5[[#This Row],[Cost (€/GJ)]]*3.6</f>
        <v>17.303475648837562</v>
      </c>
      <c r="H622">
        <v>3.86607608129234</v>
      </c>
      <c r="I622">
        <f>Tableau5[[#This Row],[GHG (kgCO2eq/GJ)]]*3.6</f>
        <v>13.917873892652425</v>
      </c>
      <c r="J622" t="s">
        <v>104</v>
      </c>
      <c r="K622" t="s">
        <v>108</v>
      </c>
    </row>
    <row r="623" spans="1:11" x14ac:dyDescent="0.3">
      <c r="A623" t="s">
        <v>35</v>
      </c>
      <c r="B623" t="s">
        <v>61</v>
      </c>
      <c r="C623" t="s">
        <v>99</v>
      </c>
      <c r="D623">
        <v>9.8000000000000007</v>
      </c>
      <c r="E623">
        <f>Tableau5[[#This Row],[Potential (PJ)]]/3.6</f>
        <v>2.7222222222222223</v>
      </c>
      <c r="F623">
        <v>1.721336734693877</v>
      </c>
      <c r="G623">
        <f>Tableau5[[#This Row],[Cost (€/GJ)]]*3.6</f>
        <v>6.1968122448979575</v>
      </c>
      <c r="H623">
        <v>2.9245635910224439</v>
      </c>
      <c r="I623">
        <f>Tableau5[[#This Row],[GHG (kgCO2eq/GJ)]]*3.6</f>
        <v>10.528428927680798</v>
      </c>
      <c r="J623" t="s">
        <v>104</v>
      </c>
      <c r="K623" t="s">
        <v>108</v>
      </c>
    </row>
    <row r="624" spans="1:11" x14ac:dyDescent="0.3">
      <c r="A624" t="s">
        <v>35</v>
      </c>
      <c r="B624" t="s">
        <v>62</v>
      </c>
      <c r="C624" t="s">
        <v>100</v>
      </c>
      <c r="D624">
        <v>1.5</v>
      </c>
      <c r="E624">
        <f>Tableau5[[#This Row],[Potential (PJ)]]/3.6</f>
        <v>0.41666666666666663</v>
      </c>
      <c r="F624">
        <v>0.12666666666666671</v>
      </c>
      <c r="G624">
        <f>Tableau5[[#This Row],[Cost (€/GJ)]]*3.6</f>
        <v>0.45600000000000013</v>
      </c>
      <c r="H624">
        <v>2.6764106050305911</v>
      </c>
      <c r="I624">
        <f>Tableau5[[#This Row],[GHG (kgCO2eq/GJ)]]*3.6</f>
        <v>9.6350781781101276</v>
      </c>
      <c r="J624" t="s">
        <v>104</v>
      </c>
      <c r="K624" t="s">
        <v>108</v>
      </c>
    </row>
    <row r="625" spans="1:11" x14ac:dyDescent="0.3">
      <c r="A625" t="s">
        <v>35</v>
      </c>
      <c r="B625" t="s">
        <v>54</v>
      </c>
      <c r="C625" t="s">
        <v>78</v>
      </c>
      <c r="D625">
        <v>159</v>
      </c>
      <c r="E625">
        <f>Tableau5[[#This Row],[Potential (PJ)]]/3.6</f>
        <v>44.166666666666664</v>
      </c>
      <c r="F625">
        <v>4.7198471698113202</v>
      </c>
      <c r="G625">
        <f>Tableau5[[#This Row],[Cost (€/GJ)]]*3.6</f>
        <v>16.991449811320752</v>
      </c>
      <c r="H625">
        <v>3.86607608129234</v>
      </c>
      <c r="I625">
        <f>Tableau5[[#This Row],[GHG (kgCO2eq/GJ)]]*3.6</f>
        <v>13.917873892652425</v>
      </c>
      <c r="J625" t="s">
        <v>104</v>
      </c>
      <c r="K625" t="s">
        <v>108</v>
      </c>
    </row>
    <row r="626" spans="1:11" x14ac:dyDescent="0.3">
      <c r="A626" t="s">
        <v>36</v>
      </c>
      <c r="B626" t="s">
        <v>46</v>
      </c>
      <c r="C626" t="s">
        <v>63</v>
      </c>
      <c r="D626">
        <v>0.63639999999999997</v>
      </c>
      <c r="E626">
        <f>Tableau5[[#This Row],[Potential (PJ)]]/3.6</f>
        <v>0.17677777777777776</v>
      </c>
      <c r="F626">
        <v>2.9286474973375931</v>
      </c>
      <c r="G626">
        <f>Tableau5[[#This Row],[Cost (€/GJ)]]*3.6</f>
        <v>10.543130990415335</v>
      </c>
      <c r="H626">
        <v>3.950479233226837</v>
      </c>
      <c r="I626">
        <f>Tableau5[[#This Row],[GHG (kgCO2eq/GJ)]]*3.6</f>
        <v>14.221725239616614</v>
      </c>
      <c r="J626" t="s">
        <v>104</v>
      </c>
      <c r="K626" t="s">
        <v>108</v>
      </c>
    </row>
    <row r="627" spans="1:11" x14ac:dyDescent="0.3">
      <c r="A627" t="s">
        <v>36</v>
      </c>
      <c r="B627" t="s">
        <v>46</v>
      </c>
      <c r="C627" t="s">
        <v>64</v>
      </c>
      <c r="D627">
        <v>6.4179999999999987E-2</v>
      </c>
      <c r="E627">
        <f>Tableau5[[#This Row],[Potential (PJ)]]/3.6</f>
        <v>1.7827777777777772E-2</v>
      </c>
      <c r="F627">
        <v>6.3782577126830793</v>
      </c>
      <c r="G627">
        <f>Tableau5[[#This Row],[Cost (€/GJ)]]*3.6</f>
        <v>22.961727765659084</v>
      </c>
      <c r="H627">
        <v>2.9521711768407801</v>
      </c>
      <c r="I627">
        <f>Tableau5[[#This Row],[GHG (kgCO2eq/GJ)]]*3.6</f>
        <v>10.627816236626808</v>
      </c>
      <c r="J627" t="s">
        <v>104</v>
      </c>
      <c r="K627" t="s">
        <v>108</v>
      </c>
    </row>
    <row r="628" spans="1:11" x14ac:dyDescent="0.3">
      <c r="A628" t="s">
        <v>36</v>
      </c>
      <c r="B628" t="s">
        <v>46</v>
      </c>
      <c r="C628" t="s">
        <v>65</v>
      </c>
      <c r="D628">
        <v>0.3</v>
      </c>
      <c r="E628">
        <f>Tableau5[[#This Row],[Potential (PJ)]]/3.6</f>
        <v>8.3333333333333329E-2</v>
      </c>
      <c r="F628">
        <v>4.7543333333333333</v>
      </c>
      <c r="G628">
        <f>Tableau5[[#This Row],[Cost (€/GJ)]]*3.6</f>
        <v>17.115600000000001</v>
      </c>
      <c r="H628">
        <v>2.9521711768407801</v>
      </c>
      <c r="I628">
        <f>Tableau5[[#This Row],[GHG (kgCO2eq/GJ)]]*3.6</f>
        <v>10.627816236626808</v>
      </c>
      <c r="J628" t="s">
        <v>104</v>
      </c>
      <c r="K628" t="s">
        <v>108</v>
      </c>
    </row>
    <row r="629" spans="1:11" x14ac:dyDescent="0.3">
      <c r="A629" t="s">
        <v>36</v>
      </c>
      <c r="B629" t="s">
        <v>46</v>
      </c>
      <c r="C629" t="s">
        <v>80</v>
      </c>
      <c r="D629">
        <v>0.13020000000000001</v>
      </c>
      <c r="E629">
        <f>Tableau5[[#This Row],[Potential (PJ)]]/3.6</f>
        <v>3.6166666666666666E-2</v>
      </c>
      <c r="F629">
        <v>0.36952124072825349</v>
      </c>
      <c r="G629">
        <f>Tableau5[[#This Row],[Cost (€/GJ)]]*3.6</f>
        <v>1.3302764666217126</v>
      </c>
      <c r="H629">
        <v>28.139870918023309</v>
      </c>
      <c r="I629">
        <f>Tableau5[[#This Row],[GHG (kgCO2eq/GJ)]]*3.6</f>
        <v>101.30353530488391</v>
      </c>
      <c r="J629" t="s">
        <v>105</v>
      </c>
      <c r="K629" t="s">
        <v>108</v>
      </c>
    </row>
    <row r="630" spans="1:11" x14ac:dyDescent="0.3">
      <c r="A630" t="s">
        <v>36</v>
      </c>
      <c r="B630" t="s">
        <v>46</v>
      </c>
      <c r="C630" t="s">
        <v>81</v>
      </c>
      <c r="D630">
        <v>0.54069999999999996</v>
      </c>
      <c r="E630">
        <f>Tableau5[[#This Row],[Potential (PJ)]]/3.6</f>
        <v>0.15019444444444444</v>
      </c>
      <c r="F630">
        <v>1.463572267920094</v>
      </c>
      <c r="G630">
        <f>Tableau5[[#This Row],[Cost (€/GJ)]]*3.6</f>
        <v>5.2688601645123381</v>
      </c>
      <c r="H630">
        <v>8.9647473560517046</v>
      </c>
      <c r="I630">
        <f>Tableau5[[#This Row],[GHG (kgCO2eq/GJ)]]*3.6</f>
        <v>32.273090481786134</v>
      </c>
      <c r="J630" t="s">
        <v>105</v>
      </c>
      <c r="K630" t="s">
        <v>108</v>
      </c>
    </row>
    <row r="631" spans="1:11" x14ac:dyDescent="0.3">
      <c r="A631" t="s">
        <v>36</v>
      </c>
      <c r="B631" t="s">
        <v>46</v>
      </c>
      <c r="C631" t="s">
        <v>66</v>
      </c>
      <c r="D631">
        <v>0.4</v>
      </c>
      <c r="E631">
        <f>Tableau5[[#This Row],[Potential (PJ)]]/3.6</f>
        <v>0.11111111111111112</v>
      </c>
      <c r="F631">
        <v>3.0667499999999999</v>
      </c>
      <c r="G631">
        <f>Tableau5[[#This Row],[Cost (€/GJ)]]*3.6</f>
        <v>11.0403</v>
      </c>
      <c r="H631">
        <v>6.8428961748633883</v>
      </c>
      <c r="I631">
        <f>Tableau5[[#This Row],[GHG (kgCO2eq/GJ)]]*3.6</f>
        <v>24.634426229508197</v>
      </c>
      <c r="J631" t="s">
        <v>104</v>
      </c>
      <c r="K631" t="s">
        <v>108</v>
      </c>
    </row>
    <row r="632" spans="1:11" x14ac:dyDescent="0.3">
      <c r="A632" t="s">
        <v>36</v>
      </c>
      <c r="B632" t="s">
        <v>46</v>
      </c>
      <c r="C632" t="s">
        <v>67</v>
      </c>
      <c r="D632">
        <v>0.60000000000000009</v>
      </c>
      <c r="E632">
        <f>Tableau5[[#This Row],[Potential (PJ)]]/3.6</f>
        <v>0.16666666666666669</v>
      </c>
      <c r="F632">
        <v>6.1113333333333326</v>
      </c>
      <c r="G632">
        <f>Tableau5[[#This Row],[Cost (€/GJ)]]*3.6</f>
        <v>22.000799999999998</v>
      </c>
      <c r="H632">
        <v>2.9521711768407801</v>
      </c>
      <c r="I632">
        <f>Tableau5[[#This Row],[GHG (kgCO2eq/GJ)]]*3.6</f>
        <v>10.627816236626808</v>
      </c>
      <c r="J632" t="s">
        <v>104</v>
      </c>
      <c r="K632" t="s">
        <v>108</v>
      </c>
    </row>
    <row r="633" spans="1:11" x14ac:dyDescent="0.3">
      <c r="A633" t="s">
        <v>36</v>
      </c>
      <c r="B633" t="s">
        <v>46</v>
      </c>
      <c r="C633" t="s">
        <v>82</v>
      </c>
      <c r="D633">
        <v>0.1</v>
      </c>
      <c r="E633">
        <f>Tableau5[[#This Row],[Potential (PJ)]]/3.6</f>
        <v>2.777777777777778E-2</v>
      </c>
      <c r="F633">
        <v>1.9059999999999999</v>
      </c>
      <c r="G633">
        <f>Tableau5[[#This Row],[Cost (€/GJ)]]*3.6</f>
        <v>6.8616000000000001</v>
      </c>
      <c r="H633">
        <v>6.8428961748633883</v>
      </c>
      <c r="I633">
        <f>Tableau5[[#This Row],[GHG (kgCO2eq/GJ)]]*3.6</f>
        <v>24.634426229508197</v>
      </c>
      <c r="J633" t="s">
        <v>104</v>
      </c>
      <c r="K633" t="s">
        <v>108</v>
      </c>
    </row>
    <row r="634" spans="1:11" x14ac:dyDescent="0.3">
      <c r="A634" t="s">
        <v>36</v>
      </c>
      <c r="B634" t="s">
        <v>46</v>
      </c>
      <c r="C634" t="s">
        <v>83</v>
      </c>
      <c r="D634">
        <v>0.37930000000000003</v>
      </c>
      <c r="E634">
        <f>Tableau5[[#This Row],[Potential (PJ)]]/3.6</f>
        <v>0.10536111111111111</v>
      </c>
      <c r="F634">
        <v>2.8479665172686519</v>
      </c>
      <c r="G634">
        <f>Tableau5[[#This Row],[Cost (€/GJ)]]*3.6</f>
        <v>10.252679462167148</v>
      </c>
      <c r="H634">
        <v>6.8428961748633883</v>
      </c>
      <c r="I634">
        <f>Tableau5[[#This Row],[GHG (kgCO2eq/GJ)]]*3.6</f>
        <v>24.634426229508197</v>
      </c>
      <c r="J634" t="s">
        <v>104</v>
      </c>
      <c r="K634" t="s">
        <v>108</v>
      </c>
    </row>
    <row r="635" spans="1:11" x14ac:dyDescent="0.3">
      <c r="A635" t="s">
        <v>36</v>
      </c>
      <c r="B635" t="s">
        <v>46</v>
      </c>
      <c r="C635" t="s">
        <v>85</v>
      </c>
      <c r="D635">
        <v>0.3</v>
      </c>
      <c r="E635">
        <f>Tableau5[[#This Row],[Potential (PJ)]]/3.6</f>
        <v>8.3333333333333329E-2</v>
      </c>
      <c r="F635">
        <v>3.9403333333333328</v>
      </c>
      <c r="G635">
        <f>Tableau5[[#This Row],[Cost (€/GJ)]]*3.6</f>
        <v>14.185199999999998</v>
      </c>
      <c r="H635">
        <v>2.9521711768407801</v>
      </c>
      <c r="I635">
        <f>Tableau5[[#This Row],[GHG (kgCO2eq/GJ)]]*3.6</f>
        <v>10.627816236626808</v>
      </c>
      <c r="J635" t="s">
        <v>104</v>
      </c>
      <c r="K635" t="s">
        <v>108</v>
      </c>
    </row>
    <row r="636" spans="1:11" x14ac:dyDescent="0.3">
      <c r="A636" t="s">
        <v>36</v>
      </c>
      <c r="B636" t="s">
        <v>55</v>
      </c>
      <c r="C636" t="s">
        <v>86</v>
      </c>
      <c r="D636">
        <v>6.0300000000000013E-2</v>
      </c>
      <c r="E636">
        <f>Tableau5[[#This Row],[Potential (PJ)]]/3.6</f>
        <v>1.6750000000000004E-2</v>
      </c>
      <c r="F636">
        <v>13.714</v>
      </c>
      <c r="G636">
        <f>Tableau5[[#This Row],[Cost (€/GJ)]]*3.6</f>
        <v>49.370400000000004</v>
      </c>
      <c r="H636">
        <v>22.9</v>
      </c>
      <c r="I636">
        <f>Tableau5[[#This Row],[GHG (kgCO2eq/GJ)]]*3.6</f>
        <v>82.44</v>
      </c>
      <c r="J636" t="s">
        <v>106</v>
      </c>
      <c r="K636" t="s">
        <v>109</v>
      </c>
    </row>
    <row r="637" spans="1:11" x14ac:dyDescent="0.3">
      <c r="A637" t="s">
        <v>36</v>
      </c>
      <c r="B637" t="s">
        <v>55</v>
      </c>
      <c r="C637" t="s">
        <v>88</v>
      </c>
      <c r="D637">
        <v>0.10340000000000001</v>
      </c>
      <c r="E637">
        <f>Tableau5[[#This Row],[Potential (PJ)]]/3.6</f>
        <v>2.8722222222222222E-2</v>
      </c>
      <c r="F637">
        <v>12.385</v>
      </c>
      <c r="G637">
        <f>Tableau5[[#This Row],[Cost (€/GJ)]]*3.6</f>
        <v>44.585999999999999</v>
      </c>
      <c r="H637">
        <v>22.9</v>
      </c>
      <c r="I637">
        <f>Tableau5[[#This Row],[GHG (kgCO2eq/GJ)]]*3.6</f>
        <v>82.44</v>
      </c>
      <c r="J637" t="s">
        <v>106</v>
      </c>
      <c r="K637" t="s">
        <v>109</v>
      </c>
    </row>
    <row r="638" spans="1:11" x14ac:dyDescent="0.3">
      <c r="A638" t="s">
        <v>36</v>
      </c>
      <c r="B638" t="s">
        <v>56</v>
      </c>
      <c r="C638" t="s">
        <v>93</v>
      </c>
      <c r="D638">
        <v>0.20169999999999999</v>
      </c>
      <c r="E638">
        <f>Tableau5[[#This Row],[Potential (PJ)]]/3.6</f>
        <v>5.6027777777777774E-2</v>
      </c>
      <c r="F638">
        <v>2.939759036144578</v>
      </c>
      <c r="G638">
        <f>Tableau5[[#This Row],[Cost (€/GJ)]]*3.6</f>
        <v>10.583132530120482</v>
      </c>
      <c r="H638">
        <v>26.7</v>
      </c>
      <c r="I638">
        <f>Tableau5[[#This Row],[GHG (kgCO2eq/GJ)]]*3.6</f>
        <v>96.12</v>
      </c>
      <c r="J638" t="s">
        <v>106</v>
      </c>
      <c r="K638" t="s">
        <v>109</v>
      </c>
    </row>
    <row r="639" spans="1:11" x14ac:dyDescent="0.3">
      <c r="A639" t="s">
        <v>36</v>
      </c>
      <c r="B639" t="s">
        <v>47</v>
      </c>
      <c r="C639" t="s">
        <v>68</v>
      </c>
      <c r="D639">
        <v>5.4</v>
      </c>
      <c r="E639">
        <f>Tableau5[[#This Row],[Potential (PJ)]]/3.6</f>
        <v>1.5</v>
      </c>
      <c r="F639">
        <v>4.7430925925925926</v>
      </c>
      <c r="G639">
        <f>Tableau5[[#This Row],[Cost (€/GJ)]]*3.6</f>
        <v>17.075133333333333</v>
      </c>
      <c r="H639">
        <v>8.1</v>
      </c>
      <c r="I639">
        <f>Tableau5[[#This Row],[GHG (kgCO2eq/GJ)]]*3.6</f>
        <v>29.16</v>
      </c>
      <c r="J639" t="s">
        <v>104</v>
      </c>
      <c r="K639" t="s">
        <v>109</v>
      </c>
    </row>
    <row r="640" spans="1:11" x14ac:dyDescent="0.3">
      <c r="A640" t="s">
        <v>36</v>
      </c>
      <c r="B640" t="s">
        <v>47</v>
      </c>
      <c r="C640" t="s">
        <v>69</v>
      </c>
      <c r="D640">
        <v>4</v>
      </c>
      <c r="E640">
        <f>Tableau5[[#This Row],[Potential (PJ)]]/3.6</f>
        <v>1.1111111111111112</v>
      </c>
      <c r="F640">
        <v>5.1803249999999998</v>
      </c>
      <c r="G640">
        <f>Tableau5[[#This Row],[Cost (€/GJ)]]*3.6</f>
        <v>18.649170000000002</v>
      </c>
      <c r="H640">
        <v>8.1</v>
      </c>
      <c r="I640">
        <f>Tableau5[[#This Row],[GHG (kgCO2eq/GJ)]]*3.6</f>
        <v>29.16</v>
      </c>
      <c r="J640" t="s">
        <v>104</v>
      </c>
      <c r="K640" t="s">
        <v>109</v>
      </c>
    </row>
    <row r="641" spans="1:11" x14ac:dyDescent="0.3">
      <c r="A641" t="s">
        <v>36</v>
      </c>
      <c r="B641" t="s">
        <v>48</v>
      </c>
      <c r="C641" t="s">
        <v>70</v>
      </c>
      <c r="D641">
        <v>2.2999999999999998</v>
      </c>
      <c r="E641">
        <f>Tableau5[[#This Row],[Potential (PJ)]]/3.6</f>
        <v>0.63888888888888884</v>
      </c>
      <c r="F641">
        <v>11.619782608695649</v>
      </c>
      <c r="G641">
        <f>Tableau5[[#This Row],[Cost (€/GJ)]]*3.6</f>
        <v>41.831217391304335</v>
      </c>
      <c r="H641">
        <v>0</v>
      </c>
      <c r="I641">
        <f>Tableau5[[#This Row],[GHG (kgCO2eq/GJ)]]*3.6</f>
        <v>0</v>
      </c>
      <c r="J641" t="s">
        <v>104</v>
      </c>
      <c r="K641" t="s">
        <v>109</v>
      </c>
    </row>
    <row r="642" spans="1:11" x14ac:dyDescent="0.3">
      <c r="A642" t="s">
        <v>36</v>
      </c>
      <c r="B642" t="s">
        <v>49</v>
      </c>
      <c r="C642" t="s">
        <v>71</v>
      </c>
      <c r="D642">
        <v>31.212209999999999</v>
      </c>
      <c r="E642">
        <f>Tableau5[[#This Row],[Potential (PJ)]]/3.6</f>
        <v>8.6700583333333334</v>
      </c>
      <c r="F642">
        <v>6.6630536014591737</v>
      </c>
      <c r="G642">
        <f>Tableau5[[#This Row],[Cost (€/GJ)]]*3.6</f>
        <v>23.986992965253027</v>
      </c>
      <c r="H642">
        <v>3.86607608129234</v>
      </c>
      <c r="I642">
        <f>Tableau5[[#This Row],[GHG (kgCO2eq/GJ)]]*3.6</f>
        <v>13.917873892652425</v>
      </c>
      <c r="J642" t="s">
        <v>104</v>
      </c>
      <c r="K642" t="s">
        <v>108</v>
      </c>
    </row>
    <row r="643" spans="1:11" x14ac:dyDescent="0.3">
      <c r="A643" t="s">
        <v>36</v>
      </c>
      <c r="B643" t="s">
        <v>49</v>
      </c>
      <c r="C643" t="s">
        <v>72</v>
      </c>
      <c r="D643">
        <v>0.9</v>
      </c>
      <c r="E643">
        <f>Tableau5[[#This Row],[Potential (PJ)]]/3.6</f>
        <v>0.25</v>
      </c>
      <c r="F643">
        <v>5.336444444444445</v>
      </c>
      <c r="G643">
        <f>Tableau5[[#This Row],[Cost (€/GJ)]]*3.6</f>
        <v>19.211200000000002</v>
      </c>
      <c r="H643">
        <v>3.86607608129234</v>
      </c>
      <c r="I643">
        <f>Tableau5[[#This Row],[GHG (kgCO2eq/GJ)]]*3.6</f>
        <v>13.917873892652425</v>
      </c>
      <c r="J643" t="s">
        <v>104</v>
      </c>
      <c r="K643" t="s">
        <v>108</v>
      </c>
    </row>
    <row r="644" spans="1:11" x14ac:dyDescent="0.3">
      <c r="A644" t="s">
        <v>36</v>
      </c>
      <c r="B644" t="s">
        <v>58</v>
      </c>
      <c r="C644" t="s">
        <v>95</v>
      </c>
      <c r="D644">
        <v>3.2797100000000001</v>
      </c>
      <c r="E644">
        <f>Tableau5[[#This Row],[Potential (PJ)]]/3.6</f>
        <v>0.91103055555555557</v>
      </c>
      <c r="F644">
        <v>3.8706740047138322</v>
      </c>
      <c r="G644">
        <f>Tableau5[[#This Row],[Cost (€/GJ)]]*3.6</f>
        <v>13.934426416969796</v>
      </c>
      <c r="H644">
        <v>2.9521711768407801</v>
      </c>
      <c r="I644">
        <f>Tableau5[[#This Row],[GHG (kgCO2eq/GJ)]]*3.6</f>
        <v>10.627816236626808</v>
      </c>
      <c r="J644" t="s">
        <v>104</v>
      </c>
      <c r="K644" t="s">
        <v>108</v>
      </c>
    </row>
    <row r="645" spans="1:11" x14ac:dyDescent="0.3">
      <c r="A645" t="s">
        <v>36</v>
      </c>
      <c r="B645" t="s">
        <v>50</v>
      </c>
      <c r="C645" t="s">
        <v>73</v>
      </c>
      <c r="D645">
        <v>1.5</v>
      </c>
      <c r="E645">
        <f>Tableau5[[#This Row],[Potential (PJ)]]/3.6</f>
        <v>0.41666666666666663</v>
      </c>
      <c r="F645">
        <v>5.0574666666666674</v>
      </c>
      <c r="G645">
        <f>Tableau5[[#This Row],[Cost (€/GJ)]]*3.6</f>
        <v>18.206880000000002</v>
      </c>
      <c r="H645">
        <v>20.723404255319149</v>
      </c>
      <c r="I645">
        <f>Tableau5[[#This Row],[GHG (kgCO2eq/GJ)]]*3.6</f>
        <v>74.604255319148933</v>
      </c>
      <c r="J645" t="s">
        <v>105</v>
      </c>
      <c r="K645" t="s">
        <v>108</v>
      </c>
    </row>
    <row r="646" spans="1:11" x14ac:dyDescent="0.3">
      <c r="A646" t="s">
        <v>36</v>
      </c>
      <c r="B646" t="s">
        <v>50</v>
      </c>
      <c r="C646" t="s">
        <v>74</v>
      </c>
      <c r="D646">
        <v>9.1</v>
      </c>
      <c r="E646">
        <f>Tableau5[[#This Row],[Potential (PJ)]]/3.6</f>
        <v>2.5277777777777777</v>
      </c>
      <c r="F646">
        <v>3.7775274725274719</v>
      </c>
      <c r="G646">
        <f>Tableau5[[#This Row],[Cost (€/GJ)]]*3.6</f>
        <v>13.599098901098898</v>
      </c>
      <c r="H646">
        <v>2.0635593220338988</v>
      </c>
      <c r="I646">
        <f>Tableau5[[#This Row],[GHG (kgCO2eq/GJ)]]*3.6</f>
        <v>7.4288135593220357</v>
      </c>
      <c r="J646" t="s">
        <v>105</v>
      </c>
      <c r="K646" t="s">
        <v>108</v>
      </c>
    </row>
    <row r="647" spans="1:11" x14ac:dyDescent="0.3">
      <c r="A647" t="s">
        <v>36</v>
      </c>
      <c r="B647" t="s">
        <v>59</v>
      </c>
      <c r="C647" t="s">
        <v>97</v>
      </c>
      <c r="D647">
        <v>1.0636000000000001</v>
      </c>
      <c r="E647">
        <f>Tableau5[[#This Row],[Potential (PJ)]]/3.6</f>
        <v>0.29544444444444445</v>
      </c>
      <c r="F647">
        <v>36.353771025501899</v>
      </c>
      <c r="G647">
        <f>Tableau5[[#This Row],[Cost (€/GJ)]]*3.6</f>
        <v>130.87357569180685</v>
      </c>
      <c r="H647">
        <v>36.299999999999997</v>
      </c>
      <c r="I647">
        <f>Tableau5[[#This Row],[GHG (kgCO2eq/GJ)]]*3.6</f>
        <v>130.68</v>
      </c>
      <c r="J647" t="s">
        <v>107</v>
      </c>
      <c r="K647" t="s">
        <v>109</v>
      </c>
    </row>
    <row r="648" spans="1:11" x14ac:dyDescent="0.3">
      <c r="A648" t="s">
        <v>36</v>
      </c>
      <c r="B648" t="s">
        <v>51</v>
      </c>
      <c r="C648" t="s">
        <v>75</v>
      </c>
      <c r="D648">
        <v>8.3438239999999997</v>
      </c>
      <c r="E648">
        <f>Tableau5[[#This Row],[Potential (PJ)]]/3.6</f>
        <v>2.3177288888888889</v>
      </c>
      <c r="F648">
        <v>5.8307821624714803E-3</v>
      </c>
      <c r="G648">
        <f>Tableau5[[#This Row],[Cost (€/GJ)]]*3.6</f>
        <v>2.0990815784897331E-2</v>
      </c>
      <c r="H648">
        <v>11.74</v>
      </c>
      <c r="I648">
        <f>Tableau5[[#This Row],[GHG (kgCO2eq/GJ)]]*3.6</f>
        <v>42.264000000000003</v>
      </c>
      <c r="J648" t="s">
        <v>104</v>
      </c>
      <c r="K648" t="s">
        <v>108</v>
      </c>
    </row>
    <row r="649" spans="1:11" x14ac:dyDescent="0.3">
      <c r="A649" t="s">
        <v>36</v>
      </c>
      <c r="B649" t="s">
        <v>52</v>
      </c>
      <c r="C649" t="s">
        <v>76</v>
      </c>
      <c r="D649">
        <v>0.33200000000000002</v>
      </c>
      <c r="E649">
        <f>Tableau5[[#This Row],[Potential (PJ)]]/3.6</f>
        <v>9.2222222222222219E-2</v>
      </c>
      <c r="F649">
        <v>8.4824999999999999</v>
      </c>
      <c r="G649">
        <f>Tableau5[[#This Row],[Cost (€/GJ)]]*3.6</f>
        <v>30.536999999999999</v>
      </c>
      <c r="H649">
        <v>12.68872359754714</v>
      </c>
      <c r="I649">
        <f>Tableau5[[#This Row],[GHG (kgCO2eq/GJ)]]*3.6</f>
        <v>45.679404951169708</v>
      </c>
      <c r="J649" t="s">
        <v>105</v>
      </c>
      <c r="K649" t="s">
        <v>108</v>
      </c>
    </row>
    <row r="650" spans="1:11" x14ac:dyDescent="0.3">
      <c r="A650" t="s">
        <v>36</v>
      </c>
      <c r="B650" t="s">
        <v>53</v>
      </c>
      <c r="C650" t="s">
        <v>77</v>
      </c>
      <c r="D650">
        <v>0.79537000000000002</v>
      </c>
      <c r="E650">
        <f>Tableau5[[#This Row],[Potential (PJ)]]/3.6</f>
        <v>0.22093611111111111</v>
      </c>
      <c r="F650">
        <v>5.3359714472509649</v>
      </c>
      <c r="G650">
        <f>Tableau5[[#This Row],[Cost (€/GJ)]]*3.6</f>
        <v>19.209497210103475</v>
      </c>
      <c r="H650">
        <v>3.86607608129234</v>
      </c>
      <c r="I650">
        <f>Tableau5[[#This Row],[GHG (kgCO2eq/GJ)]]*3.6</f>
        <v>13.917873892652425</v>
      </c>
      <c r="J650" t="s">
        <v>104</v>
      </c>
      <c r="K650" t="s">
        <v>108</v>
      </c>
    </row>
    <row r="651" spans="1:11" x14ac:dyDescent="0.3">
      <c r="A651" t="s">
        <v>36</v>
      </c>
      <c r="B651" t="s">
        <v>61</v>
      </c>
      <c r="C651" t="s">
        <v>99</v>
      </c>
      <c r="D651">
        <v>2.7</v>
      </c>
      <c r="E651">
        <f>Tableau5[[#This Row],[Potential (PJ)]]/3.6</f>
        <v>0.75</v>
      </c>
      <c r="F651">
        <v>2.4477407407407399</v>
      </c>
      <c r="G651">
        <f>Tableau5[[#This Row],[Cost (€/GJ)]]*3.6</f>
        <v>8.8118666666666634</v>
      </c>
      <c r="H651">
        <v>2.9245635910224439</v>
      </c>
      <c r="I651">
        <f>Tableau5[[#This Row],[GHG (kgCO2eq/GJ)]]*3.6</f>
        <v>10.528428927680798</v>
      </c>
      <c r="J651" t="s">
        <v>104</v>
      </c>
      <c r="K651" t="s">
        <v>108</v>
      </c>
    </row>
    <row r="652" spans="1:11" x14ac:dyDescent="0.3">
      <c r="A652" t="s">
        <v>36</v>
      </c>
      <c r="B652" t="s">
        <v>62</v>
      </c>
      <c r="C652" t="s">
        <v>100</v>
      </c>
      <c r="D652">
        <v>0.5</v>
      </c>
      <c r="E652">
        <f>Tableau5[[#This Row],[Potential (PJ)]]/3.6</f>
        <v>0.1388888888888889</v>
      </c>
      <c r="F652">
        <v>1.04</v>
      </c>
      <c r="G652">
        <f>Tableau5[[#This Row],[Cost (€/GJ)]]*3.6</f>
        <v>3.7440000000000002</v>
      </c>
      <c r="H652">
        <v>2.6764106050305911</v>
      </c>
      <c r="I652">
        <f>Tableau5[[#This Row],[GHG (kgCO2eq/GJ)]]*3.6</f>
        <v>9.6350781781101276</v>
      </c>
      <c r="J652" t="s">
        <v>104</v>
      </c>
      <c r="K652" t="s">
        <v>108</v>
      </c>
    </row>
    <row r="653" spans="1:11" x14ac:dyDescent="0.3">
      <c r="A653" t="s">
        <v>36</v>
      </c>
      <c r="B653" t="s">
        <v>54</v>
      </c>
      <c r="C653" t="s">
        <v>78</v>
      </c>
      <c r="D653">
        <v>30.2</v>
      </c>
      <c r="E653">
        <f>Tableau5[[#This Row],[Potential (PJ)]]/3.6</f>
        <v>8.3888888888888893</v>
      </c>
      <c r="F653">
        <v>11.293337748344371</v>
      </c>
      <c r="G653">
        <f>Tableau5[[#This Row],[Cost (€/GJ)]]*3.6</f>
        <v>40.656015894039733</v>
      </c>
      <c r="H653">
        <v>3.86607608129234</v>
      </c>
      <c r="I653">
        <f>Tableau5[[#This Row],[GHG (kgCO2eq/GJ)]]*3.6</f>
        <v>13.917873892652425</v>
      </c>
      <c r="J653" t="s">
        <v>104</v>
      </c>
      <c r="K653" t="s">
        <v>108</v>
      </c>
    </row>
    <row r="654" spans="1:11" x14ac:dyDescent="0.3">
      <c r="A654" t="s">
        <v>37</v>
      </c>
      <c r="B654" t="s">
        <v>46</v>
      </c>
      <c r="C654" t="s">
        <v>64</v>
      </c>
      <c r="D654">
        <v>0.17430999999999999</v>
      </c>
      <c r="E654">
        <f>Tableau5[[#This Row],[Potential (PJ)]]/3.6</f>
        <v>4.8419444444444439E-2</v>
      </c>
      <c r="F654">
        <v>5.2813091618381049</v>
      </c>
      <c r="G654">
        <f>Tableau5[[#This Row],[Cost (€/GJ)]]*3.6</f>
        <v>19.012712982617177</v>
      </c>
      <c r="H654">
        <v>2.9521711768407801</v>
      </c>
      <c r="I654">
        <f>Tableau5[[#This Row],[GHG (kgCO2eq/GJ)]]*3.6</f>
        <v>10.627816236626808</v>
      </c>
      <c r="J654" t="s">
        <v>104</v>
      </c>
      <c r="K654" t="s">
        <v>108</v>
      </c>
    </row>
    <row r="655" spans="1:11" x14ac:dyDescent="0.3">
      <c r="A655" t="s">
        <v>37</v>
      </c>
      <c r="B655" t="s">
        <v>46</v>
      </c>
      <c r="C655" t="s">
        <v>79</v>
      </c>
      <c r="D655">
        <v>13.9</v>
      </c>
      <c r="E655">
        <f>Tableau5[[#This Row],[Potential (PJ)]]/3.6</f>
        <v>3.8611111111111112</v>
      </c>
      <c r="F655">
        <v>3.4471870503597128</v>
      </c>
      <c r="G655">
        <f>Tableau5[[#This Row],[Cost (€/GJ)]]*3.6</f>
        <v>12.409873381294966</v>
      </c>
      <c r="H655">
        <v>6.8428961748633883</v>
      </c>
      <c r="I655">
        <f>Tableau5[[#This Row],[GHG (kgCO2eq/GJ)]]*3.6</f>
        <v>24.634426229508197</v>
      </c>
      <c r="J655" t="s">
        <v>104</v>
      </c>
      <c r="K655" t="s">
        <v>108</v>
      </c>
    </row>
    <row r="656" spans="1:11" x14ac:dyDescent="0.3">
      <c r="A656" t="s">
        <v>37</v>
      </c>
      <c r="B656" t="s">
        <v>46</v>
      </c>
      <c r="C656" t="s">
        <v>65</v>
      </c>
      <c r="D656">
        <v>0.1</v>
      </c>
      <c r="E656">
        <f>Tableau5[[#This Row],[Potential (PJ)]]/3.6</f>
        <v>2.777777777777778E-2</v>
      </c>
      <c r="F656">
        <v>4.2569999999999997</v>
      </c>
      <c r="G656">
        <f>Tableau5[[#This Row],[Cost (€/GJ)]]*3.6</f>
        <v>15.325199999999999</v>
      </c>
      <c r="H656">
        <v>2.9521711768407801</v>
      </c>
      <c r="I656">
        <f>Tableau5[[#This Row],[GHG (kgCO2eq/GJ)]]*3.6</f>
        <v>10.627816236626808</v>
      </c>
      <c r="J656" t="s">
        <v>104</v>
      </c>
      <c r="K656" t="s">
        <v>108</v>
      </c>
    </row>
    <row r="657" spans="1:11" x14ac:dyDescent="0.3">
      <c r="A657" t="s">
        <v>37</v>
      </c>
      <c r="B657" t="s">
        <v>46</v>
      </c>
      <c r="C657" t="s">
        <v>80</v>
      </c>
      <c r="D657">
        <v>0.69750000000000001</v>
      </c>
      <c r="E657">
        <f>Tableau5[[#This Row],[Potential (PJ)]]/3.6</f>
        <v>0.19375000000000001</v>
      </c>
      <c r="F657">
        <v>1.7687120701281189</v>
      </c>
      <c r="G657">
        <f>Tableau5[[#This Row],[Cost (€/GJ)]]*3.6</f>
        <v>6.3673634524612286</v>
      </c>
      <c r="H657">
        <v>28.139870918023309</v>
      </c>
      <c r="I657">
        <f>Tableau5[[#This Row],[GHG (kgCO2eq/GJ)]]*3.6</f>
        <v>101.30353530488391</v>
      </c>
      <c r="J657" t="s">
        <v>105</v>
      </c>
      <c r="K657" t="s">
        <v>108</v>
      </c>
    </row>
    <row r="658" spans="1:11" x14ac:dyDescent="0.3">
      <c r="A658" t="s">
        <v>37</v>
      </c>
      <c r="B658" t="s">
        <v>46</v>
      </c>
      <c r="C658" t="s">
        <v>81</v>
      </c>
      <c r="D658">
        <v>0.626</v>
      </c>
      <c r="E658">
        <f>Tableau5[[#This Row],[Potential (PJ)]]/3.6</f>
        <v>0.1738888888888889</v>
      </c>
      <c r="F658">
        <v>3.96180963572268</v>
      </c>
      <c r="G658">
        <f>Tableau5[[#This Row],[Cost (€/GJ)]]*3.6</f>
        <v>14.262514688601648</v>
      </c>
      <c r="H658">
        <v>8.9647473560517046</v>
      </c>
      <c r="I658">
        <f>Tableau5[[#This Row],[GHG (kgCO2eq/GJ)]]*3.6</f>
        <v>32.273090481786134</v>
      </c>
      <c r="J658" t="s">
        <v>105</v>
      </c>
      <c r="K658" t="s">
        <v>108</v>
      </c>
    </row>
    <row r="659" spans="1:11" x14ac:dyDescent="0.3">
      <c r="A659" t="s">
        <v>37</v>
      </c>
      <c r="B659" t="s">
        <v>46</v>
      </c>
      <c r="C659" t="s">
        <v>66</v>
      </c>
      <c r="D659">
        <v>11.4</v>
      </c>
      <c r="E659">
        <f>Tableau5[[#This Row],[Potential (PJ)]]/3.6</f>
        <v>3.1666666666666665</v>
      </c>
      <c r="F659">
        <v>3.5591403508771928</v>
      </c>
      <c r="G659">
        <f>Tableau5[[#This Row],[Cost (€/GJ)]]*3.6</f>
        <v>12.812905263157894</v>
      </c>
      <c r="H659">
        <v>6.8428961748633883</v>
      </c>
      <c r="I659">
        <f>Tableau5[[#This Row],[GHG (kgCO2eq/GJ)]]*3.6</f>
        <v>24.634426229508197</v>
      </c>
      <c r="J659" t="s">
        <v>104</v>
      </c>
      <c r="K659" t="s">
        <v>108</v>
      </c>
    </row>
    <row r="660" spans="1:11" x14ac:dyDescent="0.3">
      <c r="A660" t="s">
        <v>37</v>
      </c>
      <c r="B660" t="s">
        <v>46</v>
      </c>
      <c r="C660" t="s">
        <v>82</v>
      </c>
      <c r="D660">
        <v>4.9000000000000004</v>
      </c>
      <c r="E660">
        <f>Tableau5[[#This Row],[Potential (PJ)]]/3.6</f>
        <v>1.3611111111111112</v>
      </c>
      <c r="F660">
        <v>2.166755102040816</v>
      </c>
      <c r="G660">
        <f>Tableau5[[#This Row],[Cost (€/GJ)]]*3.6</f>
        <v>7.8003183673469376</v>
      </c>
      <c r="H660">
        <v>6.8428961748633883</v>
      </c>
      <c r="I660">
        <f>Tableau5[[#This Row],[GHG (kgCO2eq/GJ)]]*3.6</f>
        <v>24.634426229508197</v>
      </c>
      <c r="J660" t="s">
        <v>104</v>
      </c>
      <c r="K660" t="s">
        <v>108</v>
      </c>
    </row>
    <row r="661" spans="1:11" x14ac:dyDescent="0.3">
      <c r="A661" t="s">
        <v>37</v>
      </c>
      <c r="B661" t="s">
        <v>46</v>
      </c>
      <c r="C661" t="s">
        <v>83</v>
      </c>
      <c r="D661">
        <v>0.12003999999999999</v>
      </c>
      <c r="E661">
        <f>Tableau5[[#This Row],[Potential (PJ)]]/3.6</f>
        <v>3.334444444444444E-2</v>
      </c>
      <c r="F661">
        <v>2.793491002999001</v>
      </c>
      <c r="G661">
        <f>Tableau5[[#This Row],[Cost (€/GJ)]]*3.6</f>
        <v>10.056567610796403</v>
      </c>
      <c r="H661">
        <v>6.8428961748633883</v>
      </c>
      <c r="I661">
        <f>Tableau5[[#This Row],[GHG (kgCO2eq/GJ)]]*3.6</f>
        <v>24.634426229508197</v>
      </c>
      <c r="J661" t="s">
        <v>104</v>
      </c>
      <c r="K661" t="s">
        <v>108</v>
      </c>
    </row>
    <row r="662" spans="1:11" x14ac:dyDescent="0.3">
      <c r="A662" t="s">
        <v>37</v>
      </c>
      <c r="B662" t="s">
        <v>46</v>
      </c>
      <c r="C662" t="s">
        <v>84</v>
      </c>
      <c r="D662">
        <v>0.3</v>
      </c>
      <c r="E662">
        <f>Tableau5[[#This Row],[Potential (PJ)]]/3.6</f>
        <v>8.3333333333333329E-2</v>
      </c>
      <c r="F662">
        <v>1.8986666666666661</v>
      </c>
      <c r="G662">
        <f>Tableau5[[#This Row],[Cost (€/GJ)]]*3.6</f>
        <v>6.8351999999999977</v>
      </c>
      <c r="H662">
        <v>28.139870918023309</v>
      </c>
      <c r="I662">
        <f>Tableau5[[#This Row],[GHG (kgCO2eq/GJ)]]*3.6</f>
        <v>101.30353530488391</v>
      </c>
      <c r="J662" t="s">
        <v>105</v>
      </c>
      <c r="K662" t="s">
        <v>108</v>
      </c>
    </row>
    <row r="663" spans="1:11" x14ac:dyDescent="0.3">
      <c r="A663" t="s">
        <v>37</v>
      </c>
      <c r="B663" t="s">
        <v>46</v>
      </c>
      <c r="C663" t="s">
        <v>85</v>
      </c>
      <c r="D663">
        <v>0.4</v>
      </c>
      <c r="E663">
        <f>Tableau5[[#This Row],[Potential (PJ)]]/3.6</f>
        <v>0.11111111111111112</v>
      </c>
      <c r="F663">
        <v>3.5692499999999998</v>
      </c>
      <c r="G663">
        <f>Tableau5[[#This Row],[Cost (€/GJ)]]*3.6</f>
        <v>12.849299999999999</v>
      </c>
      <c r="H663">
        <v>2.9521711768407801</v>
      </c>
      <c r="I663">
        <f>Tableau5[[#This Row],[GHG (kgCO2eq/GJ)]]*3.6</f>
        <v>10.627816236626808</v>
      </c>
      <c r="J663" t="s">
        <v>104</v>
      </c>
      <c r="K663" t="s">
        <v>108</v>
      </c>
    </row>
    <row r="664" spans="1:11" x14ac:dyDescent="0.3">
      <c r="A664" t="s">
        <v>37</v>
      </c>
      <c r="B664" t="s">
        <v>55</v>
      </c>
      <c r="C664" t="s">
        <v>86</v>
      </c>
      <c r="D664">
        <v>1.8662000000000001</v>
      </c>
      <c r="E664">
        <f>Tableau5[[#This Row],[Potential (PJ)]]/3.6</f>
        <v>0.5183888888888889</v>
      </c>
      <c r="F664">
        <v>13.375</v>
      </c>
      <c r="G664">
        <f>Tableau5[[#This Row],[Cost (€/GJ)]]*3.6</f>
        <v>48.15</v>
      </c>
      <c r="H664">
        <v>8.6999999999999993</v>
      </c>
      <c r="I664">
        <f>Tableau5[[#This Row],[GHG (kgCO2eq/GJ)]]*3.6</f>
        <v>31.319999999999997</v>
      </c>
      <c r="J664" t="s">
        <v>106</v>
      </c>
      <c r="K664" t="s">
        <v>109</v>
      </c>
    </row>
    <row r="665" spans="1:11" x14ac:dyDescent="0.3">
      <c r="A665" t="s">
        <v>37</v>
      </c>
      <c r="B665" t="s">
        <v>55</v>
      </c>
      <c r="C665" t="s">
        <v>87</v>
      </c>
      <c r="D665">
        <v>0.1318</v>
      </c>
      <c r="E665">
        <f>Tableau5[[#This Row],[Potential (PJ)]]/3.6</f>
        <v>3.6611111111111108E-2</v>
      </c>
      <c r="F665">
        <v>12.215999999999999</v>
      </c>
      <c r="G665">
        <f>Tableau5[[#This Row],[Cost (€/GJ)]]*3.6</f>
        <v>43.977599999999995</v>
      </c>
      <c r="H665">
        <v>8.6999999999999993</v>
      </c>
      <c r="I665">
        <f>Tableau5[[#This Row],[GHG (kgCO2eq/GJ)]]*3.6</f>
        <v>31.319999999999997</v>
      </c>
      <c r="J665" t="s">
        <v>106</v>
      </c>
      <c r="K665" t="s">
        <v>109</v>
      </c>
    </row>
    <row r="666" spans="1:11" x14ac:dyDescent="0.3">
      <c r="A666" t="s">
        <v>37</v>
      </c>
      <c r="B666" t="s">
        <v>55</v>
      </c>
      <c r="C666" t="s">
        <v>88</v>
      </c>
      <c r="D666">
        <v>13.992000000000001</v>
      </c>
      <c r="E666">
        <f>Tableau5[[#This Row],[Potential (PJ)]]/3.6</f>
        <v>3.8866666666666667</v>
      </c>
      <c r="F666">
        <v>17.085000000000001</v>
      </c>
      <c r="G666">
        <f>Tableau5[[#This Row],[Cost (€/GJ)]]*3.6</f>
        <v>61.506000000000007</v>
      </c>
      <c r="H666">
        <v>8.6999999999999993</v>
      </c>
      <c r="I666">
        <f>Tableau5[[#This Row],[GHG (kgCO2eq/GJ)]]*3.6</f>
        <v>31.319999999999997</v>
      </c>
      <c r="J666" t="s">
        <v>106</v>
      </c>
      <c r="K666" t="s">
        <v>109</v>
      </c>
    </row>
    <row r="667" spans="1:11" x14ac:dyDescent="0.3">
      <c r="A667" t="s">
        <v>37</v>
      </c>
      <c r="B667" t="s">
        <v>55</v>
      </c>
      <c r="C667" t="s">
        <v>89</v>
      </c>
      <c r="D667">
        <v>5.0000000000000001E-3</v>
      </c>
      <c r="E667">
        <f>Tableau5[[#This Row],[Potential (PJ)]]/3.6</f>
        <v>1.3888888888888889E-3</v>
      </c>
      <c r="F667">
        <v>0</v>
      </c>
      <c r="G667">
        <f>Tableau5[[#This Row],[Cost (€/GJ)]]*3.6</f>
        <v>0</v>
      </c>
      <c r="H667">
        <v>8.6999999999999993</v>
      </c>
      <c r="I667">
        <f>Tableau5[[#This Row],[GHG (kgCO2eq/GJ)]]*3.6</f>
        <v>31.319999999999997</v>
      </c>
      <c r="J667" t="s">
        <v>106</v>
      </c>
      <c r="K667" t="s">
        <v>109</v>
      </c>
    </row>
    <row r="668" spans="1:11" x14ac:dyDescent="0.3">
      <c r="A668" t="s">
        <v>37</v>
      </c>
      <c r="B668" t="s">
        <v>55</v>
      </c>
      <c r="C668" t="s">
        <v>92</v>
      </c>
      <c r="D668">
        <v>1.8106800000000001</v>
      </c>
      <c r="E668">
        <f>Tableau5[[#This Row],[Potential (PJ)]]/3.6</f>
        <v>0.50296666666666667</v>
      </c>
      <c r="F668">
        <v>12.215999999999999</v>
      </c>
      <c r="G668">
        <f>Tableau5[[#This Row],[Cost (€/GJ)]]*3.6</f>
        <v>43.977599999999995</v>
      </c>
      <c r="H668">
        <v>8.6999999999999993</v>
      </c>
      <c r="I668">
        <f>Tableau5[[#This Row],[GHG (kgCO2eq/GJ)]]*3.6</f>
        <v>31.319999999999997</v>
      </c>
      <c r="J668" t="s">
        <v>106</v>
      </c>
      <c r="K668" t="s">
        <v>109</v>
      </c>
    </row>
    <row r="669" spans="1:11" x14ac:dyDescent="0.3">
      <c r="A669" t="s">
        <v>37</v>
      </c>
      <c r="B669" t="s">
        <v>56</v>
      </c>
      <c r="C669" t="s">
        <v>93</v>
      </c>
      <c r="D669">
        <v>9.8986999999999998</v>
      </c>
      <c r="E669">
        <f>Tableau5[[#This Row],[Potential (PJ)]]/3.6</f>
        <v>2.7496388888888887</v>
      </c>
      <c r="F669">
        <v>2.9493975903614462</v>
      </c>
      <c r="G669">
        <f>Tableau5[[#This Row],[Cost (€/GJ)]]*3.6</f>
        <v>10.617831325301207</v>
      </c>
      <c r="H669">
        <v>34</v>
      </c>
      <c r="I669">
        <f>Tableau5[[#This Row],[GHG (kgCO2eq/GJ)]]*3.6</f>
        <v>122.4</v>
      </c>
      <c r="J669" t="s">
        <v>106</v>
      </c>
      <c r="K669" t="s">
        <v>109</v>
      </c>
    </row>
    <row r="670" spans="1:11" x14ac:dyDescent="0.3">
      <c r="A670" t="s">
        <v>37</v>
      </c>
      <c r="B670" t="s">
        <v>47</v>
      </c>
      <c r="C670" t="s">
        <v>68</v>
      </c>
      <c r="D670">
        <v>91</v>
      </c>
      <c r="E670">
        <f>Tableau5[[#This Row],[Potential (PJ)]]/3.6</f>
        <v>25.277777777777779</v>
      </c>
      <c r="F670">
        <v>2.773854945054945</v>
      </c>
      <c r="G670">
        <f>Tableau5[[#This Row],[Cost (€/GJ)]]*3.6</f>
        <v>9.9858778021978019</v>
      </c>
      <c r="H670">
        <v>16.600000000000001</v>
      </c>
      <c r="I670">
        <f>Tableau5[[#This Row],[GHG (kgCO2eq/GJ)]]*3.6</f>
        <v>59.760000000000005</v>
      </c>
      <c r="J670" t="s">
        <v>104</v>
      </c>
      <c r="K670" t="s">
        <v>109</v>
      </c>
    </row>
    <row r="671" spans="1:11" x14ac:dyDescent="0.3">
      <c r="A671" t="s">
        <v>37</v>
      </c>
      <c r="B671" t="s">
        <v>47</v>
      </c>
      <c r="C671" t="s">
        <v>69</v>
      </c>
      <c r="D671">
        <v>83.4</v>
      </c>
      <c r="E671">
        <f>Tableau5[[#This Row],[Potential (PJ)]]/3.6</f>
        <v>23.166666666666668</v>
      </c>
      <c r="F671">
        <v>2.488687050359712</v>
      </c>
      <c r="G671">
        <f>Tableau5[[#This Row],[Cost (€/GJ)]]*3.6</f>
        <v>8.9592733812949632</v>
      </c>
      <c r="H671">
        <v>16.600000000000001</v>
      </c>
      <c r="I671">
        <f>Tableau5[[#This Row],[GHG (kgCO2eq/GJ)]]*3.6</f>
        <v>59.760000000000005</v>
      </c>
      <c r="J671" t="s">
        <v>104</v>
      </c>
      <c r="K671" t="s">
        <v>109</v>
      </c>
    </row>
    <row r="672" spans="1:11" x14ac:dyDescent="0.3">
      <c r="A672" t="s">
        <v>37</v>
      </c>
      <c r="B672" t="s">
        <v>57</v>
      </c>
      <c r="C672" t="s">
        <v>94</v>
      </c>
      <c r="D672">
        <v>62.9</v>
      </c>
      <c r="E672">
        <f>Tableau5[[#This Row],[Potential (PJ)]]/3.6</f>
        <v>17.472222222222221</v>
      </c>
      <c r="F672">
        <v>6.7663386327503972</v>
      </c>
      <c r="G672">
        <f>Tableau5[[#This Row],[Cost (€/GJ)]]*3.6</f>
        <v>24.35881907790143</v>
      </c>
      <c r="H672">
        <v>16.600000000000001</v>
      </c>
      <c r="I672">
        <f>Tableau5[[#This Row],[GHG (kgCO2eq/GJ)]]*3.6</f>
        <v>59.760000000000005</v>
      </c>
      <c r="J672" t="s">
        <v>104</v>
      </c>
      <c r="K672" t="s">
        <v>109</v>
      </c>
    </row>
    <row r="673" spans="1:11" x14ac:dyDescent="0.3">
      <c r="A673" t="s">
        <v>37</v>
      </c>
      <c r="B673" t="s">
        <v>49</v>
      </c>
      <c r="C673" t="s">
        <v>71</v>
      </c>
      <c r="D673">
        <v>86.425349999999995</v>
      </c>
      <c r="E673">
        <f>Tableau5[[#This Row],[Potential (PJ)]]/3.6</f>
        <v>24.007041666666666</v>
      </c>
      <c r="F673">
        <v>2.805332469813544</v>
      </c>
      <c r="G673">
        <f>Tableau5[[#This Row],[Cost (€/GJ)]]*3.6</f>
        <v>10.099196891328759</v>
      </c>
      <c r="H673">
        <v>3.86607608129234</v>
      </c>
      <c r="I673">
        <f>Tableau5[[#This Row],[GHG (kgCO2eq/GJ)]]*3.6</f>
        <v>13.917873892652425</v>
      </c>
      <c r="J673" t="s">
        <v>104</v>
      </c>
      <c r="K673" t="s">
        <v>108</v>
      </c>
    </row>
    <row r="674" spans="1:11" x14ac:dyDescent="0.3">
      <c r="A674" t="s">
        <v>37</v>
      </c>
      <c r="B674" t="s">
        <v>49</v>
      </c>
      <c r="C674" t="s">
        <v>72</v>
      </c>
      <c r="D674">
        <v>5.0999999999999996</v>
      </c>
      <c r="E674">
        <f>Tableau5[[#This Row],[Potential (PJ)]]/3.6</f>
        <v>1.4166666666666665</v>
      </c>
      <c r="F674">
        <v>3.8373137254901959</v>
      </c>
      <c r="G674">
        <f>Tableau5[[#This Row],[Cost (€/GJ)]]*3.6</f>
        <v>13.814329411764705</v>
      </c>
      <c r="H674">
        <v>3.86607608129234</v>
      </c>
      <c r="I674">
        <f>Tableau5[[#This Row],[GHG (kgCO2eq/GJ)]]*3.6</f>
        <v>13.917873892652425</v>
      </c>
      <c r="J674" t="s">
        <v>104</v>
      </c>
      <c r="K674" t="s">
        <v>108</v>
      </c>
    </row>
    <row r="675" spans="1:11" x14ac:dyDescent="0.3">
      <c r="A675" t="s">
        <v>37</v>
      </c>
      <c r="B675" t="s">
        <v>58</v>
      </c>
      <c r="C675" t="s">
        <v>95</v>
      </c>
      <c r="D675">
        <v>12.08503</v>
      </c>
      <c r="E675">
        <f>Tableau5[[#This Row],[Potential (PJ)]]/3.6</f>
        <v>3.3569527777777775</v>
      </c>
      <c r="F675">
        <v>3.108496713702821</v>
      </c>
      <c r="G675">
        <f>Tableau5[[#This Row],[Cost (€/GJ)]]*3.6</f>
        <v>11.190588169330155</v>
      </c>
      <c r="H675">
        <v>2.9521711768407801</v>
      </c>
      <c r="I675">
        <f>Tableau5[[#This Row],[GHG (kgCO2eq/GJ)]]*3.6</f>
        <v>10.627816236626808</v>
      </c>
      <c r="J675" t="s">
        <v>104</v>
      </c>
      <c r="K675" t="s">
        <v>108</v>
      </c>
    </row>
    <row r="676" spans="1:11" x14ac:dyDescent="0.3">
      <c r="A676" t="s">
        <v>37</v>
      </c>
      <c r="B676" t="s">
        <v>50</v>
      </c>
      <c r="C676" t="s">
        <v>73</v>
      </c>
      <c r="D676">
        <v>3.2</v>
      </c>
      <c r="E676">
        <f>Tableau5[[#This Row],[Potential (PJ)]]/3.6</f>
        <v>0.88888888888888895</v>
      </c>
      <c r="F676">
        <v>4.9503124999999999</v>
      </c>
      <c r="G676">
        <f>Tableau5[[#This Row],[Cost (€/GJ)]]*3.6</f>
        <v>17.821124999999999</v>
      </c>
      <c r="H676">
        <v>20.723404255319149</v>
      </c>
      <c r="I676">
        <f>Tableau5[[#This Row],[GHG (kgCO2eq/GJ)]]*3.6</f>
        <v>74.604255319148933</v>
      </c>
      <c r="J676" t="s">
        <v>105</v>
      </c>
      <c r="K676" t="s">
        <v>108</v>
      </c>
    </row>
    <row r="677" spans="1:11" x14ac:dyDescent="0.3">
      <c r="A677" t="s">
        <v>37</v>
      </c>
      <c r="B677" t="s">
        <v>50</v>
      </c>
      <c r="C677" t="s">
        <v>74</v>
      </c>
      <c r="D677">
        <v>13.9</v>
      </c>
      <c r="E677">
        <f>Tableau5[[#This Row],[Potential (PJ)]]/3.6</f>
        <v>3.8611111111111112</v>
      </c>
      <c r="F677">
        <v>3.2375251798561151</v>
      </c>
      <c r="G677">
        <f>Tableau5[[#This Row],[Cost (€/GJ)]]*3.6</f>
        <v>11.655090647482014</v>
      </c>
      <c r="H677">
        <v>2.0635593220338988</v>
      </c>
      <c r="I677">
        <f>Tableau5[[#This Row],[GHG (kgCO2eq/GJ)]]*3.6</f>
        <v>7.4288135593220357</v>
      </c>
      <c r="J677" t="s">
        <v>105</v>
      </c>
      <c r="K677" t="s">
        <v>108</v>
      </c>
    </row>
    <row r="678" spans="1:11" x14ac:dyDescent="0.3">
      <c r="A678" t="s">
        <v>37</v>
      </c>
      <c r="B678" t="s">
        <v>59</v>
      </c>
      <c r="C678" t="s">
        <v>96</v>
      </c>
      <c r="D678">
        <v>2.0007000000000001</v>
      </c>
      <c r="E678">
        <f>Tableau5[[#This Row],[Potential (PJ)]]/3.6</f>
        <v>0.55575000000000008</v>
      </c>
      <c r="F678">
        <v>19.170999999999999</v>
      </c>
      <c r="G678">
        <f>Tableau5[[#This Row],[Cost (€/GJ)]]*3.6</f>
        <v>69.015600000000006</v>
      </c>
      <c r="H678">
        <v>7.2</v>
      </c>
      <c r="I678">
        <f>Tableau5[[#This Row],[GHG (kgCO2eq/GJ)]]*3.6</f>
        <v>25.92</v>
      </c>
      <c r="J678" t="s">
        <v>107</v>
      </c>
      <c r="K678" t="s">
        <v>109</v>
      </c>
    </row>
    <row r="679" spans="1:11" x14ac:dyDescent="0.3">
      <c r="A679" t="s">
        <v>37</v>
      </c>
      <c r="B679" t="s">
        <v>59</v>
      </c>
      <c r="C679" t="s">
        <v>97</v>
      </c>
      <c r="D679">
        <v>2.9916999999999998</v>
      </c>
      <c r="E679">
        <f>Tableau5[[#This Row],[Potential (PJ)]]/3.6</f>
        <v>0.8310277777777777</v>
      </c>
      <c r="F679">
        <v>15.95225176342919</v>
      </c>
      <c r="G679">
        <f>Tableau5[[#This Row],[Cost (€/GJ)]]*3.6</f>
        <v>57.428106348345089</v>
      </c>
      <c r="H679">
        <v>7.2</v>
      </c>
      <c r="I679">
        <f>Tableau5[[#This Row],[GHG (kgCO2eq/GJ)]]*3.6</f>
        <v>25.92</v>
      </c>
      <c r="J679" t="s">
        <v>107</v>
      </c>
      <c r="K679" t="s">
        <v>109</v>
      </c>
    </row>
    <row r="680" spans="1:11" x14ac:dyDescent="0.3">
      <c r="A680" t="s">
        <v>37</v>
      </c>
      <c r="B680" t="s">
        <v>51</v>
      </c>
      <c r="C680" t="s">
        <v>75</v>
      </c>
      <c r="D680">
        <v>6.0854679999999997</v>
      </c>
      <c r="E680">
        <f>Tableau5[[#This Row],[Potential (PJ)]]/3.6</f>
        <v>1.6904077777777777</v>
      </c>
      <c r="F680">
        <v>0.170963909829246</v>
      </c>
      <c r="G680">
        <f>Tableau5[[#This Row],[Cost (€/GJ)]]*3.6</f>
        <v>0.61547007538528564</v>
      </c>
      <c r="H680">
        <v>11.74</v>
      </c>
      <c r="I680">
        <f>Tableau5[[#This Row],[GHG (kgCO2eq/GJ)]]*3.6</f>
        <v>42.264000000000003</v>
      </c>
      <c r="J680" t="s">
        <v>104</v>
      </c>
      <c r="K680" t="s">
        <v>108</v>
      </c>
    </row>
    <row r="681" spans="1:11" x14ac:dyDescent="0.3">
      <c r="A681" t="s">
        <v>37</v>
      </c>
      <c r="B681" t="s">
        <v>60</v>
      </c>
      <c r="C681" t="s">
        <v>98</v>
      </c>
      <c r="D681">
        <v>6.6930499999999986</v>
      </c>
      <c r="E681">
        <f>Tableau5[[#This Row],[Potential (PJ)]]/3.6</f>
        <v>1.8591805555555552</v>
      </c>
      <c r="F681">
        <v>13.856068743286791</v>
      </c>
      <c r="G681">
        <f>Tableau5[[#This Row],[Cost (€/GJ)]]*3.6</f>
        <v>49.881847475832451</v>
      </c>
      <c r="H681">
        <v>24.7</v>
      </c>
      <c r="I681">
        <f>Tableau5[[#This Row],[GHG (kgCO2eq/GJ)]]*3.6</f>
        <v>88.92</v>
      </c>
      <c r="J681" t="s">
        <v>107</v>
      </c>
      <c r="K681" t="s">
        <v>109</v>
      </c>
    </row>
    <row r="682" spans="1:11" x14ac:dyDescent="0.3">
      <c r="A682" t="s">
        <v>37</v>
      </c>
      <c r="B682" t="s">
        <v>52</v>
      </c>
      <c r="C682" t="s">
        <v>76</v>
      </c>
      <c r="D682">
        <v>1.4E-2</v>
      </c>
      <c r="E682">
        <f>Tableau5[[#This Row],[Potential (PJ)]]/3.6</f>
        <v>3.8888888888888888E-3</v>
      </c>
      <c r="F682">
        <v>8.4824999999999999</v>
      </c>
      <c r="G682">
        <f>Tableau5[[#This Row],[Cost (€/GJ)]]*3.6</f>
        <v>30.536999999999999</v>
      </c>
      <c r="H682">
        <v>12.68872359754714</v>
      </c>
      <c r="I682">
        <f>Tableau5[[#This Row],[GHG (kgCO2eq/GJ)]]*3.6</f>
        <v>45.679404951169708</v>
      </c>
      <c r="J682" t="s">
        <v>105</v>
      </c>
      <c r="K682" t="s">
        <v>108</v>
      </c>
    </row>
    <row r="683" spans="1:11" x14ac:dyDescent="0.3">
      <c r="A683" t="s">
        <v>37</v>
      </c>
      <c r="B683" t="s">
        <v>53</v>
      </c>
      <c r="C683" t="s">
        <v>77</v>
      </c>
      <c r="D683">
        <v>6.2547300000000003</v>
      </c>
      <c r="E683">
        <f>Tableau5[[#This Row],[Potential (PJ)]]/3.6</f>
        <v>1.737425</v>
      </c>
      <c r="F683">
        <v>3.8373456807887791</v>
      </c>
      <c r="G683">
        <f>Tableau5[[#This Row],[Cost (€/GJ)]]*3.6</f>
        <v>13.814444450839606</v>
      </c>
      <c r="H683">
        <v>3.86607608129234</v>
      </c>
      <c r="I683">
        <f>Tableau5[[#This Row],[GHG (kgCO2eq/GJ)]]*3.6</f>
        <v>13.917873892652425</v>
      </c>
      <c r="J683" t="s">
        <v>104</v>
      </c>
      <c r="K683" t="s">
        <v>108</v>
      </c>
    </row>
    <row r="684" spans="1:11" x14ac:dyDescent="0.3">
      <c r="A684" t="s">
        <v>37</v>
      </c>
      <c r="B684" t="s">
        <v>61</v>
      </c>
      <c r="C684" t="s">
        <v>99</v>
      </c>
      <c r="D684">
        <v>13</v>
      </c>
      <c r="E684">
        <f>Tableau5[[#This Row],[Potential (PJ)]]/3.6</f>
        <v>3.6111111111111112</v>
      </c>
      <c r="F684">
        <v>1.7645538461538459</v>
      </c>
      <c r="G684">
        <f>Tableau5[[#This Row],[Cost (€/GJ)]]*3.6</f>
        <v>6.3523938461538458</v>
      </c>
      <c r="H684">
        <v>2.9245635910224439</v>
      </c>
      <c r="I684">
        <f>Tableau5[[#This Row],[GHG (kgCO2eq/GJ)]]*3.6</f>
        <v>10.528428927680798</v>
      </c>
      <c r="J684" t="s">
        <v>104</v>
      </c>
      <c r="K684" t="s">
        <v>108</v>
      </c>
    </row>
    <row r="685" spans="1:11" x14ac:dyDescent="0.3">
      <c r="A685" t="s">
        <v>37</v>
      </c>
      <c r="B685" t="s">
        <v>62</v>
      </c>
      <c r="C685" t="s">
        <v>100</v>
      </c>
      <c r="D685">
        <v>4.3</v>
      </c>
      <c r="E685">
        <f>Tableau5[[#This Row],[Potential (PJ)]]/3.6</f>
        <v>1.1944444444444444</v>
      </c>
      <c r="F685">
        <v>0.63255813953488371</v>
      </c>
      <c r="G685">
        <f>Tableau5[[#This Row],[Cost (€/GJ)]]*3.6</f>
        <v>2.2772093023255815</v>
      </c>
      <c r="H685">
        <v>2.6764106050305911</v>
      </c>
      <c r="I685">
        <f>Tableau5[[#This Row],[GHG (kgCO2eq/GJ)]]*3.6</f>
        <v>9.6350781781101276</v>
      </c>
      <c r="J685" t="s">
        <v>104</v>
      </c>
      <c r="K685" t="s">
        <v>108</v>
      </c>
    </row>
    <row r="686" spans="1:11" x14ac:dyDescent="0.3">
      <c r="A686" t="s">
        <v>37</v>
      </c>
      <c r="B686" t="s">
        <v>54</v>
      </c>
      <c r="C686" t="s">
        <v>78</v>
      </c>
      <c r="D686">
        <v>102.6</v>
      </c>
      <c r="E686">
        <f>Tableau5[[#This Row],[Potential (PJ)]]/3.6</f>
        <v>28.499999999999996</v>
      </c>
      <c r="F686">
        <v>3.772179337231969</v>
      </c>
      <c r="G686">
        <f>Tableau5[[#This Row],[Cost (€/GJ)]]*3.6</f>
        <v>13.579845614035088</v>
      </c>
      <c r="H686">
        <v>3.86607608129234</v>
      </c>
      <c r="I686">
        <f>Tableau5[[#This Row],[GHG (kgCO2eq/GJ)]]*3.6</f>
        <v>13.917873892652425</v>
      </c>
      <c r="J686" t="s">
        <v>104</v>
      </c>
      <c r="K686" t="s">
        <v>108</v>
      </c>
    </row>
    <row r="687" spans="1:11" x14ac:dyDescent="0.3">
      <c r="A687" t="s">
        <v>38</v>
      </c>
      <c r="B687" t="s">
        <v>46</v>
      </c>
      <c r="C687" t="s">
        <v>64</v>
      </c>
      <c r="D687">
        <v>0.21468000000000001</v>
      </c>
      <c r="E687">
        <f>Tableau5[[#This Row],[Potential (PJ)]]/3.6</f>
        <v>5.9633333333333337E-2</v>
      </c>
      <c r="F687">
        <v>5.899</v>
      </c>
      <c r="G687">
        <f>Tableau5[[#This Row],[Cost (€/GJ)]]*3.6</f>
        <v>21.2364</v>
      </c>
      <c r="H687">
        <v>2.9521711768407801</v>
      </c>
      <c r="I687">
        <f>Tableau5[[#This Row],[GHG (kgCO2eq/GJ)]]*3.6</f>
        <v>10.627816236626808</v>
      </c>
      <c r="J687" t="s">
        <v>104</v>
      </c>
      <c r="K687" t="s">
        <v>108</v>
      </c>
    </row>
    <row r="688" spans="1:11" x14ac:dyDescent="0.3">
      <c r="A688" t="s">
        <v>38</v>
      </c>
      <c r="B688" t="s">
        <v>46</v>
      </c>
      <c r="C688" t="s">
        <v>79</v>
      </c>
      <c r="D688">
        <v>1.2</v>
      </c>
      <c r="E688">
        <f>Tableau5[[#This Row],[Potential (PJ)]]/3.6</f>
        <v>0.33333333333333331</v>
      </c>
      <c r="F688">
        <v>4.2309999999999999</v>
      </c>
      <c r="G688">
        <f>Tableau5[[#This Row],[Cost (€/GJ)]]*3.6</f>
        <v>15.2316</v>
      </c>
      <c r="H688">
        <v>6.8428961748633883</v>
      </c>
      <c r="I688">
        <f>Tableau5[[#This Row],[GHG (kgCO2eq/GJ)]]*3.6</f>
        <v>24.634426229508197</v>
      </c>
      <c r="J688" t="s">
        <v>104</v>
      </c>
      <c r="K688" t="s">
        <v>108</v>
      </c>
    </row>
    <row r="689" spans="1:11" x14ac:dyDescent="0.3">
      <c r="A689" t="s">
        <v>38</v>
      </c>
      <c r="B689" t="s">
        <v>46</v>
      </c>
      <c r="C689" t="s">
        <v>65</v>
      </c>
      <c r="D689">
        <v>0.6</v>
      </c>
      <c r="E689">
        <f>Tableau5[[#This Row],[Potential (PJ)]]/3.6</f>
        <v>0.16666666666666666</v>
      </c>
      <c r="F689">
        <v>4.5759999999999996</v>
      </c>
      <c r="G689">
        <f>Tableau5[[#This Row],[Cost (€/GJ)]]*3.6</f>
        <v>16.473599999999998</v>
      </c>
      <c r="H689">
        <v>2.9521711768407801</v>
      </c>
      <c r="I689">
        <f>Tableau5[[#This Row],[GHG (kgCO2eq/GJ)]]*3.6</f>
        <v>10.627816236626808</v>
      </c>
      <c r="J689" t="s">
        <v>104</v>
      </c>
      <c r="K689" t="s">
        <v>108</v>
      </c>
    </row>
    <row r="690" spans="1:11" x14ac:dyDescent="0.3">
      <c r="A690" t="s">
        <v>38</v>
      </c>
      <c r="B690" t="s">
        <v>46</v>
      </c>
      <c r="C690" t="s">
        <v>66</v>
      </c>
      <c r="D690">
        <v>7.8</v>
      </c>
      <c r="E690">
        <f>Tableau5[[#This Row],[Potential (PJ)]]/3.6</f>
        <v>2.1666666666666665</v>
      </c>
      <c r="F690">
        <v>4.3710000000000004</v>
      </c>
      <c r="G690">
        <f>Tableau5[[#This Row],[Cost (€/GJ)]]*3.6</f>
        <v>15.735600000000002</v>
      </c>
      <c r="H690">
        <v>6.8428961748633883</v>
      </c>
      <c r="I690">
        <f>Tableau5[[#This Row],[GHG (kgCO2eq/GJ)]]*3.6</f>
        <v>24.634426229508197</v>
      </c>
      <c r="J690" t="s">
        <v>104</v>
      </c>
      <c r="K690" t="s">
        <v>108</v>
      </c>
    </row>
    <row r="691" spans="1:11" x14ac:dyDescent="0.3">
      <c r="A691" t="s">
        <v>38</v>
      </c>
      <c r="B691" t="s">
        <v>46</v>
      </c>
      <c r="C691" t="s">
        <v>82</v>
      </c>
      <c r="D691">
        <v>1</v>
      </c>
      <c r="E691">
        <f>Tableau5[[#This Row],[Potential (PJ)]]/3.6</f>
        <v>0.27777777777777779</v>
      </c>
      <c r="F691">
        <v>2.6339999999999999</v>
      </c>
      <c r="G691">
        <f>Tableau5[[#This Row],[Cost (€/GJ)]]*3.6</f>
        <v>9.4824000000000002</v>
      </c>
      <c r="H691">
        <v>6.8428961748633883</v>
      </c>
      <c r="I691">
        <f>Tableau5[[#This Row],[GHG (kgCO2eq/GJ)]]*3.6</f>
        <v>24.634426229508197</v>
      </c>
      <c r="J691" t="s">
        <v>104</v>
      </c>
      <c r="K691" t="s">
        <v>108</v>
      </c>
    </row>
    <row r="692" spans="1:11" x14ac:dyDescent="0.3">
      <c r="A692" t="s">
        <v>38</v>
      </c>
      <c r="B692" t="s">
        <v>46</v>
      </c>
      <c r="C692" t="s">
        <v>84</v>
      </c>
      <c r="D692">
        <v>0.4</v>
      </c>
      <c r="E692">
        <f>Tableau5[[#This Row],[Potential (PJ)]]/3.6</f>
        <v>0.11111111111111112</v>
      </c>
      <c r="F692">
        <v>0</v>
      </c>
      <c r="G692">
        <f>Tableau5[[#This Row],[Cost (€/GJ)]]*3.6</f>
        <v>0</v>
      </c>
      <c r="H692">
        <v>28.139870918023309</v>
      </c>
      <c r="I692">
        <f>Tableau5[[#This Row],[GHG (kgCO2eq/GJ)]]*3.6</f>
        <v>101.30353530488391</v>
      </c>
      <c r="J692" t="s">
        <v>105</v>
      </c>
      <c r="K692" t="s">
        <v>108</v>
      </c>
    </row>
    <row r="693" spans="1:11" x14ac:dyDescent="0.3">
      <c r="A693" t="s">
        <v>38</v>
      </c>
      <c r="B693" t="s">
        <v>46</v>
      </c>
      <c r="C693" t="s">
        <v>85</v>
      </c>
      <c r="D693">
        <v>0.2</v>
      </c>
      <c r="E693">
        <f>Tableau5[[#This Row],[Potential (PJ)]]/3.6</f>
        <v>5.5555555555555559E-2</v>
      </c>
      <c r="F693">
        <v>4.1399999999999997</v>
      </c>
      <c r="G693">
        <f>Tableau5[[#This Row],[Cost (€/GJ)]]*3.6</f>
        <v>14.904</v>
      </c>
      <c r="H693">
        <v>2.9521711768407801</v>
      </c>
      <c r="I693">
        <f>Tableau5[[#This Row],[GHG (kgCO2eq/GJ)]]*3.6</f>
        <v>10.627816236626808</v>
      </c>
      <c r="J693" t="s">
        <v>104</v>
      </c>
      <c r="K693" t="s">
        <v>108</v>
      </c>
    </row>
    <row r="694" spans="1:11" x14ac:dyDescent="0.3">
      <c r="A694" t="s">
        <v>38</v>
      </c>
      <c r="B694" t="s">
        <v>47</v>
      </c>
      <c r="C694" t="s">
        <v>68</v>
      </c>
      <c r="D694">
        <v>8.1999999999999993</v>
      </c>
      <c r="E694">
        <f>Tableau5[[#This Row],[Potential (PJ)]]/3.6</f>
        <v>2.2777777777777777</v>
      </c>
      <c r="F694">
        <v>3.4910000000000001</v>
      </c>
      <c r="G694">
        <f>Tableau5[[#This Row],[Cost (€/GJ)]]*3.6</f>
        <v>12.567600000000001</v>
      </c>
      <c r="H694">
        <v>14.5</v>
      </c>
      <c r="I694">
        <f>Tableau5[[#This Row],[GHG (kgCO2eq/GJ)]]*3.6</f>
        <v>52.2</v>
      </c>
      <c r="J694" t="s">
        <v>104</v>
      </c>
      <c r="K694" t="s">
        <v>109</v>
      </c>
    </row>
    <row r="695" spans="1:11" x14ac:dyDescent="0.3">
      <c r="A695" t="s">
        <v>38</v>
      </c>
      <c r="B695" t="s">
        <v>47</v>
      </c>
      <c r="C695" t="s">
        <v>69</v>
      </c>
      <c r="D695">
        <v>5.7</v>
      </c>
      <c r="E695">
        <f>Tableau5[[#This Row],[Potential (PJ)]]/3.6</f>
        <v>1.5833333333333333</v>
      </c>
      <c r="F695">
        <v>3.4649999999999999</v>
      </c>
      <c r="G695">
        <f>Tableau5[[#This Row],[Cost (€/GJ)]]*3.6</f>
        <v>12.474</v>
      </c>
      <c r="H695">
        <v>14.5</v>
      </c>
      <c r="I695">
        <f>Tableau5[[#This Row],[GHG (kgCO2eq/GJ)]]*3.6</f>
        <v>52.2</v>
      </c>
      <c r="J695" t="s">
        <v>104</v>
      </c>
      <c r="K695" t="s">
        <v>109</v>
      </c>
    </row>
    <row r="696" spans="1:11" x14ac:dyDescent="0.3">
      <c r="A696" t="s">
        <v>38</v>
      </c>
      <c r="B696" t="s">
        <v>48</v>
      </c>
      <c r="C696" t="s">
        <v>70</v>
      </c>
      <c r="D696">
        <v>3</v>
      </c>
      <c r="E696">
        <f>Tableau5[[#This Row],[Potential (PJ)]]/3.6</f>
        <v>0.83333333333333326</v>
      </c>
      <c r="F696">
        <v>8.8460000000000001</v>
      </c>
      <c r="G696">
        <f>Tableau5[[#This Row],[Cost (€/GJ)]]*3.6</f>
        <v>31.845600000000001</v>
      </c>
      <c r="H696">
        <v>0</v>
      </c>
      <c r="I696">
        <f>Tableau5[[#This Row],[GHG (kgCO2eq/GJ)]]*3.6</f>
        <v>0</v>
      </c>
      <c r="J696" t="s">
        <v>104</v>
      </c>
      <c r="K696" t="s">
        <v>109</v>
      </c>
    </row>
    <row r="697" spans="1:11" x14ac:dyDescent="0.3">
      <c r="A697" t="s">
        <v>38</v>
      </c>
      <c r="B697" t="s">
        <v>49</v>
      </c>
      <c r="C697" t="s">
        <v>72</v>
      </c>
      <c r="D697">
        <v>4.9000000000000004</v>
      </c>
      <c r="E697">
        <f>Tableau5[[#This Row],[Potential (PJ)]]/3.6</f>
        <v>1.3611111111111112</v>
      </c>
      <c r="F697">
        <v>0</v>
      </c>
      <c r="G697">
        <f>Tableau5[[#This Row],[Cost (€/GJ)]]*3.6</f>
        <v>0</v>
      </c>
      <c r="H697">
        <v>3.86607608129234</v>
      </c>
      <c r="I697">
        <f>Tableau5[[#This Row],[GHG (kgCO2eq/GJ)]]*3.6</f>
        <v>13.917873892652425</v>
      </c>
      <c r="J697" t="s">
        <v>104</v>
      </c>
      <c r="K697" t="s">
        <v>108</v>
      </c>
    </row>
    <row r="698" spans="1:11" x14ac:dyDescent="0.3">
      <c r="A698" t="s">
        <v>38</v>
      </c>
      <c r="B698" t="s">
        <v>50</v>
      </c>
      <c r="C698" t="s">
        <v>73</v>
      </c>
      <c r="D698">
        <v>4.0999999999999996</v>
      </c>
      <c r="E698">
        <f>Tableau5[[#This Row],[Potential (PJ)]]/3.6</f>
        <v>1.1388888888888888</v>
      </c>
      <c r="F698">
        <v>5.4240000000000004</v>
      </c>
      <c r="G698">
        <f>Tableau5[[#This Row],[Cost (€/GJ)]]*3.6</f>
        <v>19.526400000000002</v>
      </c>
      <c r="H698">
        <v>20.723404255319149</v>
      </c>
      <c r="I698">
        <f>Tableau5[[#This Row],[GHG (kgCO2eq/GJ)]]*3.6</f>
        <v>74.604255319148933</v>
      </c>
      <c r="J698" t="s">
        <v>105</v>
      </c>
      <c r="K698" t="s">
        <v>108</v>
      </c>
    </row>
    <row r="699" spans="1:11" x14ac:dyDescent="0.3">
      <c r="A699" t="s">
        <v>38</v>
      </c>
      <c r="B699" t="s">
        <v>50</v>
      </c>
      <c r="C699" t="s">
        <v>74</v>
      </c>
      <c r="D699">
        <v>4.8</v>
      </c>
      <c r="E699">
        <f>Tableau5[[#This Row],[Potential (PJ)]]/3.6</f>
        <v>1.3333333333333333</v>
      </c>
      <c r="F699">
        <v>3.484</v>
      </c>
      <c r="G699">
        <f>Tableau5[[#This Row],[Cost (€/GJ)]]*3.6</f>
        <v>12.542400000000001</v>
      </c>
      <c r="H699">
        <v>2.0635593220338988</v>
      </c>
      <c r="I699">
        <f>Tableau5[[#This Row],[GHG (kgCO2eq/GJ)]]*3.6</f>
        <v>7.4288135593220357</v>
      </c>
      <c r="J699" t="s">
        <v>105</v>
      </c>
      <c r="K699" t="s">
        <v>108</v>
      </c>
    </row>
    <row r="700" spans="1:11" x14ac:dyDescent="0.3">
      <c r="A700" t="s">
        <v>38</v>
      </c>
      <c r="B700" t="s">
        <v>51</v>
      </c>
      <c r="C700" t="s">
        <v>75</v>
      </c>
      <c r="D700">
        <v>5.3019150000000002</v>
      </c>
      <c r="E700">
        <f>Tableau5[[#This Row],[Potential (PJ)]]/3.6</f>
        <v>1.4727541666666666</v>
      </c>
      <c r="F700">
        <v>0.170963909829246</v>
      </c>
      <c r="G700">
        <f>Tableau5[[#This Row],[Cost (€/GJ)]]*3.6</f>
        <v>0.61547007538528564</v>
      </c>
      <c r="H700">
        <v>11.74</v>
      </c>
      <c r="I700">
        <f>Tableau5[[#This Row],[GHG (kgCO2eq/GJ)]]*3.6</f>
        <v>42.264000000000003</v>
      </c>
      <c r="J700" t="s">
        <v>104</v>
      </c>
      <c r="K700" t="s">
        <v>108</v>
      </c>
    </row>
    <row r="701" spans="1:11" x14ac:dyDescent="0.3">
      <c r="A701" t="s">
        <v>38</v>
      </c>
      <c r="B701" t="s">
        <v>52</v>
      </c>
      <c r="C701" t="s">
        <v>76</v>
      </c>
      <c r="D701">
        <v>2E-3</v>
      </c>
      <c r="E701">
        <f>Tableau5[[#This Row],[Potential (PJ)]]/3.6</f>
        <v>5.5555555555555556E-4</v>
      </c>
      <c r="F701">
        <v>8.4824999999999999</v>
      </c>
      <c r="G701">
        <f>Tableau5[[#This Row],[Cost (€/GJ)]]*3.6</f>
        <v>30.536999999999999</v>
      </c>
      <c r="H701">
        <v>12.68872359754714</v>
      </c>
      <c r="I701">
        <f>Tableau5[[#This Row],[GHG (kgCO2eq/GJ)]]*3.6</f>
        <v>45.679404951169708</v>
      </c>
      <c r="J701" t="s">
        <v>105</v>
      </c>
      <c r="K701" t="s">
        <v>108</v>
      </c>
    </row>
    <row r="702" spans="1:11" x14ac:dyDescent="0.3">
      <c r="A702" t="s">
        <v>38</v>
      </c>
      <c r="B702" t="s">
        <v>53</v>
      </c>
      <c r="C702" t="s">
        <v>77</v>
      </c>
      <c r="D702">
        <v>22.208169999999999</v>
      </c>
      <c r="E702">
        <f>Tableau5[[#This Row],[Potential (PJ)]]/3.6</f>
        <v>6.168936111111111</v>
      </c>
      <c r="F702">
        <v>0</v>
      </c>
      <c r="G702">
        <f>Tableau5[[#This Row],[Cost (€/GJ)]]*3.6</f>
        <v>0</v>
      </c>
      <c r="H702">
        <v>3.86607608129234</v>
      </c>
      <c r="I702">
        <f>Tableau5[[#This Row],[GHG (kgCO2eq/GJ)]]*3.6</f>
        <v>13.917873892652425</v>
      </c>
      <c r="J702" t="s">
        <v>104</v>
      </c>
      <c r="K702" t="s">
        <v>108</v>
      </c>
    </row>
    <row r="703" spans="1:11" x14ac:dyDescent="0.3">
      <c r="A703" t="s">
        <v>39</v>
      </c>
      <c r="B703" t="s">
        <v>46</v>
      </c>
      <c r="C703" t="s">
        <v>64</v>
      </c>
      <c r="D703">
        <v>4.2100000000000002E-3</v>
      </c>
      <c r="E703">
        <f>Tableau5[[#This Row],[Potential (PJ)]]/3.6</f>
        <v>1.1694444444444445E-3</v>
      </c>
      <c r="F703">
        <v>6.3336080760095008</v>
      </c>
      <c r="G703">
        <f>Tableau5[[#This Row],[Cost (€/GJ)]]*3.6</f>
        <v>22.800989073634202</v>
      </c>
      <c r="H703">
        <v>2.9521711768407801</v>
      </c>
      <c r="I703">
        <f>Tableau5[[#This Row],[GHG (kgCO2eq/GJ)]]*3.6</f>
        <v>10.627816236626808</v>
      </c>
      <c r="J703" t="s">
        <v>104</v>
      </c>
      <c r="K703" t="s">
        <v>108</v>
      </c>
    </row>
    <row r="704" spans="1:11" x14ac:dyDescent="0.3">
      <c r="A704" t="s">
        <v>39</v>
      </c>
      <c r="B704" t="s">
        <v>46</v>
      </c>
      <c r="C704" t="s">
        <v>79</v>
      </c>
      <c r="D704">
        <v>10.1</v>
      </c>
      <c r="E704">
        <f>Tableau5[[#This Row],[Potential (PJ)]]/3.6</f>
        <v>2.8055555555555554</v>
      </c>
      <c r="F704">
        <v>5.6388712871287137</v>
      </c>
      <c r="G704">
        <f>Tableau5[[#This Row],[Cost (€/GJ)]]*3.6</f>
        <v>20.299936633663371</v>
      </c>
      <c r="H704">
        <v>6.8428961748633883</v>
      </c>
      <c r="I704">
        <f>Tableau5[[#This Row],[GHG (kgCO2eq/GJ)]]*3.6</f>
        <v>24.634426229508197</v>
      </c>
      <c r="J704" t="s">
        <v>104</v>
      </c>
      <c r="K704" t="s">
        <v>108</v>
      </c>
    </row>
    <row r="705" spans="1:11" x14ac:dyDescent="0.3">
      <c r="A705" t="s">
        <v>39</v>
      </c>
      <c r="B705" t="s">
        <v>46</v>
      </c>
      <c r="C705" t="s">
        <v>80</v>
      </c>
      <c r="D705">
        <v>0.92100000000000004</v>
      </c>
      <c r="E705">
        <f>Tableau5[[#This Row],[Potential (PJ)]]/3.6</f>
        <v>0.25583333333333336</v>
      </c>
      <c r="F705">
        <v>0.56844234659474036</v>
      </c>
      <c r="G705">
        <f>Tableau5[[#This Row],[Cost (€/GJ)]]*3.6</f>
        <v>2.0463924477410655</v>
      </c>
      <c r="H705">
        <v>28.139870918023309</v>
      </c>
      <c r="I705">
        <f>Tableau5[[#This Row],[GHG (kgCO2eq/GJ)]]*3.6</f>
        <v>101.30353530488391</v>
      </c>
      <c r="J705" t="s">
        <v>105</v>
      </c>
      <c r="K705" t="s">
        <v>108</v>
      </c>
    </row>
    <row r="706" spans="1:11" x14ac:dyDescent="0.3">
      <c r="A706" t="s">
        <v>39</v>
      </c>
      <c r="B706" t="s">
        <v>46</v>
      </c>
      <c r="C706" t="s">
        <v>81</v>
      </c>
      <c r="D706">
        <v>3.4500000000000003E-2</v>
      </c>
      <c r="E706">
        <f>Tableau5[[#This Row],[Potential (PJ)]]/3.6</f>
        <v>9.5833333333333343E-3</v>
      </c>
      <c r="F706">
        <v>3.150998824911869</v>
      </c>
      <c r="G706">
        <f>Tableau5[[#This Row],[Cost (€/GJ)]]*3.6</f>
        <v>11.343595769682729</v>
      </c>
      <c r="H706">
        <v>8.9647473560517046</v>
      </c>
      <c r="I706">
        <f>Tableau5[[#This Row],[GHG (kgCO2eq/GJ)]]*3.6</f>
        <v>32.273090481786134</v>
      </c>
      <c r="J706" t="s">
        <v>105</v>
      </c>
      <c r="K706" t="s">
        <v>108</v>
      </c>
    </row>
    <row r="707" spans="1:11" x14ac:dyDescent="0.3">
      <c r="A707" t="s">
        <v>39</v>
      </c>
      <c r="B707" t="s">
        <v>46</v>
      </c>
      <c r="C707" t="s">
        <v>82</v>
      </c>
      <c r="D707">
        <v>0.3</v>
      </c>
      <c r="E707">
        <f>Tableau5[[#This Row],[Potential (PJ)]]/3.6</f>
        <v>8.3333333333333329E-2</v>
      </c>
      <c r="F707">
        <v>3.548999999999999</v>
      </c>
      <c r="G707">
        <f>Tableau5[[#This Row],[Cost (€/GJ)]]*3.6</f>
        <v>12.776399999999997</v>
      </c>
      <c r="H707">
        <v>6.8428961748633883</v>
      </c>
      <c r="I707">
        <f>Tableau5[[#This Row],[GHG (kgCO2eq/GJ)]]*3.6</f>
        <v>24.634426229508197</v>
      </c>
      <c r="J707" t="s">
        <v>104</v>
      </c>
      <c r="K707" t="s">
        <v>108</v>
      </c>
    </row>
    <row r="708" spans="1:11" x14ac:dyDescent="0.3">
      <c r="A708" t="s">
        <v>39</v>
      </c>
      <c r="B708" t="s">
        <v>46</v>
      </c>
      <c r="C708" t="s">
        <v>84</v>
      </c>
      <c r="D708">
        <v>0.2</v>
      </c>
      <c r="E708">
        <f>Tableau5[[#This Row],[Potential (PJ)]]/3.6</f>
        <v>5.5555555555555559E-2</v>
      </c>
      <c r="F708">
        <v>3.242</v>
      </c>
      <c r="G708">
        <f>Tableau5[[#This Row],[Cost (€/GJ)]]*3.6</f>
        <v>11.671200000000001</v>
      </c>
      <c r="H708">
        <v>28.139870918023309</v>
      </c>
      <c r="I708">
        <f>Tableau5[[#This Row],[GHG (kgCO2eq/GJ)]]*3.6</f>
        <v>101.30353530488391</v>
      </c>
      <c r="J708" t="s">
        <v>105</v>
      </c>
      <c r="K708" t="s">
        <v>108</v>
      </c>
    </row>
    <row r="709" spans="1:11" x14ac:dyDescent="0.3">
      <c r="A709" t="s">
        <v>39</v>
      </c>
      <c r="B709" t="s">
        <v>55</v>
      </c>
      <c r="C709" t="s">
        <v>86</v>
      </c>
      <c r="D709">
        <v>0.40739999999999998</v>
      </c>
      <c r="E709">
        <f>Tableau5[[#This Row],[Potential (PJ)]]/3.6</f>
        <v>0.11316666666666667</v>
      </c>
      <c r="F709">
        <v>11.157999999999999</v>
      </c>
      <c r="G709">
        <f>Tableau5[[#This Row],[Cost (€/GJ)]]*3.6</f>
        <v>40.168799999999997</v>
      </c>
      <c r="H709">
        <v>14.2</v>
      </c>
      <c r="I709">
        <f>Tableau5[[#This Row],[GHG (kgCO2eq/GJ)]]*3.6</f>
        <v>51.12</v>
      </c>
      <c r="J709" t="s">
        <v>106</v>
      </c>
      <c r="K709" t="s">
        <v>109</v>
      </c>
    </row>
    <row r="710" spans="1:11" x14ac:dyDescent="0.3">
      <c r="A710" t="s">
        <v>39</v>
      </c>
      <c r="B710" t="s">
        <v>55</v>
      </c>
      <c r="C710" t="s">
        <v>89</v>
      </c>
      <c r="D710">
        <v>7.5800000000000006E-2</v>
      </c>
      <c r="E710">
        <f>Tableau5[[#This Row],[Potential (PJ)]]/3.6</f>
        <v>2.1055555555555557E-2</v>
      </c>
      <c r="F710">
        <v>0</v>
      </c>
      <c r="G710">
        <f>Tableau5[[#This Row],[Cost (€/GJ)]]*3.6</f>
        <v>0</v>
      </c>
      <c r="H710">
        <v>14.2</v>
      </c>
      <c r="I710">
        <f>Tableau5[[#This Row],[GHG (kgCO2eq/GJ)]]*3.6</f>
        <v>51.12</v>
      </c>
      <c r="J710" t="s">
        <v>106</v>
      </c>
      <c r="K710" t="s">
        <v>109</v>
      </c>
    </row>
    <row r="711" spans="1:11" x14ac:dyDescent="0.3">
      <c r="A711" t="s">
        <v>39</v>
      </c>
      <c r="B711" t="s">
        <v>55</v>
      </c>
      <c r="C711" t="s">
        <v>91</v>
      </c>
      <c r="D711">
        <v>3.61E-2</v>
      </c>
      <c r="E711">
        <f>Tableau5[[#This Row],[Potential (PJ)]]/3.6</f>
        <v>1.0027777777777778E-2</v>
      </c>
      <c r="F711">
        <v>10.734999999999999</v>
      </c>
      <c r="G711">
        <f>Tableau5[[#This Row],[Cost (€/GJ)]]*3.6</f>
        <v>38.646000000000001</v>
      </c>
      <c r="H711">
        <v>14.2</v>
      </c>
      <c r="I711">
        <f>Tableau5[[#This Row],[GHG (kgCO2eq/GJ)]]*3.6</f>
        <v>51.12</v>
      </c>
      <c r="J711" t="s">
        <v>106</v>
      </c>
      <c r="K711" t="s">
        <v>109</v>
      </c>
    </row>
    <row r="712" spans="1:11" x14ac:dyDescent="0.3">
      <c r="A712" t="s">
        <v>39</v>
      </c>
      <c r="B712" t="s">
        <v>55</v>
      </c>
      <c r="C712" t="s">
        <v>92</v>
      </c>
      <c r="D712">
        <v>0.30456</v>
      </c>
      <c r="E712">
        <f>Tableau5[[#This Row],[Potential (PJ)]]/3.6</f>
        <v>8.4599999999999995E-2</v>
      </c>
      <c r="F712">
        <v>12.048999999999999</v>
      </c>
      <c r="G712">
        <f>Tableau5[[#This Row],[Cost (€/GJ)]]*3.6</f>
        <v>43.376399999999997</v>
      </c>
      <c r="H712">
        <v>14.2</v>
      </c>
      <c r="I712">
        <f>Tableau5[[#This Row],[GHG (kgCO2eq/GJ)]]*3.6</f>
        <v>51.12</v>
      </c>
      <c r="J712" t="s">
        <v>106</v>
      </c>
      <c r="K712" t="s">
        <v>109</v>
      </c>
    </row>
    <row r="713" spans="1:11" x14ac:dyDescent="0.3">
      <c r="A713" t="s">
        <v>39</v>
      </c>
      <c r="B713" t="s">
        <v>56</v>
      </c>
      <c r="C713" t="s">
        <v>93</v>
      </c>
      <c r="D713">
        <v>4.5473999999999997</v>
      </c>
      <c r="E713">
        <f>Tableau5[[#This Row],[Potential (PJ)]]/3.6</f>
        <v>1.2631666666666665</v>
      </c>
      <c r="F713">
        <v>2.939759036144578</v>
      </c>
      <c r="G713">
        <f>Tableau5[[#This Row],[Cost (€/GJ)]]*3.6</f>
        <v>10.583132530120482</v>
      </c>
      <c r="H713">
        <v>0.1</v>
      </c>
      <c r="I713">
        <f>Tableau5[[#This Row],[GHG (kgCO2eq/GJ)]]*3.6</f>
        <v>0.36000000000000004</v>
      </c>
      <c r="J713" t="s">
        <v>106</v>
      </c>
      <c r="K713" t="s">
        <v>109</v>
      </c>
    </row>
    <row r="714" spans="1:11" x14ac:dyDescent="0.3">
      <c r="A714" t="s">
        <v>39</v>
      </c>
      <c r="B714" t="s">
        <v>47</v>
      </c>
      <c r="C714" t="s">
        <v>101</v>
      </c>
      <c r="D714">
        <v>6.2</v>
      </c>
      <c r="E714">
        <f>Tableau5[[#This Row],[Potential (PJ)]]/3.6</f>
        <v>1.7222222222222223</v>
      </c>
      <c r="F714">
        <v>7.2506290322580638</v>
      </c>
      <c r="G714">
        <f>Tableau5[[#This Row],[Cost (€/GJ)]]*3.6</f>
        <v>26.102264516129029</v>
      </c>
      <c r="H714">
        <v>29.8</v>
      </c>
      <c r="I714">
        <f>Tableau5[[#This Row],[GHG (kgCO2eq/GJ)]]*3.6</f>
        <v>107.28</v>
      </c>
      <c r="J714" t="s">
        <v>104</v>
      </c>
      <c r="K714" t="s">
        <v>109</v>
      </c>
    </row>
    <row r="715" spans="1:11" x14ac:dyDescent="0.3">
      <c r="A715" t="s">
        <v>39</v>
      </c>
      <c r="B715" t="s">
        <v>57</v>
      </c>
      <c r="C715" t="s">
        <v>94</v>
      </c>
      <c r="D715">
        <v>3.8</v>
      </c>
      <c r="E715">
        <f>Tableau5[[#This Row],[Potential (PJ)]]/3.6</f>
        <v>1.0555555555555556</v>
      </c>
      <c r="F715">
        <v>14.043421052631579</v>
      </c>
      <c r="G715">
        <f>Tableau5[[#This Row],[Cost (€/GJ)]]*3.6</f>
        <v>50.556315789473686</v>
      </c>
      <c r="H715">
        <v>15.5</v>
      </c>
      <c r="I715">
        <f>Tableau5[[#This Row],[GHG (kgCO2eq/GJ)]]*3.6</f>
        <v>55.800000000000004</v>
      </c>
      <c r="J715" t="s">
        <v>104</v>
      </c>
      <c r="K715" t="s">
        <v>109</v>
      </c>
    </row>
    <row r="716" spans="1:11" x14ac:dyDescent="0.3">
      <c r="A716" t="s">
        <v>39</v>
      </c>
      <c r="B716" t="s">
        <v>49</v>
      </c>
      <c r="C716" t="s">
        <v>71</v>
      </c>
      <c r="D716">
        <v>141.70218</v>
      </c>
      <c r="E716">
        <f>Tableau5[[#This Row],[Potential (PJ)]]/3.6</f>
        <v>39.361716666666666</v>
      </c>
      <c r="F716">
        <v>7.5496549252806142</v>
      </c>
      <c r="G716">
        <f>Tableau5[[#This Row],[Cost (€/GJ)]]*3.6</f>
        <v>27.178757731010212</v>
      </c>
      <c r="H716">
        <v>3.86607608129234</v>
      </c>
      <c r="I716">
        <f>Tableau5[[#This Row],[GHG (kgCO2eq/GJ)]]*3.6</f>
        <v>13.917873892652425</v>
      </c>
      <c r="J716" t="s">
        <v>104</v>
      </c>
      <c r="K716" t="s">
        <v>108</v>
      </c>
    </row>
    <row r="717" spans="1:11" x14ac:dyDescent="0.3">
      <c r="A717" t="s">
        <v>39</v>
      </c>
      <c r="B717" t="s">
        <v>49</v>
      </c>
      <c r="C717" t="s">
        <v>72</v>
      </c>
      <c r="D717">
        <v>7.2</v>
      </c>
      <c r="E717">
        <f>Tableau5[[#This Row],[Potential (PJ)]]/3.6</f>
        <v>2</v>
      </c>
      <c r="F717">
        <v>6.0380000000000003</v>
      </c>
      <c r="G717">
        <f>Tableau5[[#This Row],[Cost (€/GJ)]]*3.6</f>
        <v>21.736800000000002</v>
      </c>
      <c r="H717">
        <v>3.86607608129234</v>
      </c>
      <c r="I717">
        <f>Tableau5[[#This Row],[GHG (kgCO2eq/GJ)]]*3.6</f>
        <v>13.917873892652425</v>
      </c>
      <c r="J717" t="s">
        <v>104</v>
      </c>
      <c r="K717" t="s">
        <v>108</v>
      </c>
    </row>
    <row r="718" spans="1:11" x14ac:dyDescent="0.3">
      <c r="A718" t="s">
        <v>39</v>
      </c>
      <c r="B718" t="s">
        <v>58</v>
      </c>
      <c r="C718" t="s">
        <v>95</v>
      </c>
      <c r="D718">
        <v>16.523250000000001</v>
      </c>
      <c r="E718">
        <f>Tableau5[[#This Row],[Potential (PJ)]]/3.6</f>
        <v>4.5897916666666667</v>
      </c>
      <c r="F718">
        <v>3.1930000000000001</v>
      </c>
      <c r="G718">
        <f>Tableau5[[#This Row],[Cost (€/GJ)]]*3.6</f>
        <v>11.4948</v>
      </c>
      <c r="H718">
        <v>2.9521711768407801</v>
      </c>
      <c r="I718">
        <f>Tableau5[[#This Row],[GHG (kgCO2eq/GJ)]]*3.6</f>
        <v>10.627816236626808</v>
      </c>
      <c r="J718" t="s">
        <v>104</v>
      </c>
      <c r="K718" t="s">
        <v>108</v>
      </c>
    </row>
    <row r="719" spans="1:11" x14ac:dyDescent="0.3">
      <c r="A719" t="s">
        <v>39</v>
      </c>
      <c r="B719" t="s">
        <v>50</v>
      </c>
      <c r="C719" t="s">
        <v>73</v>
      </c>
      <c r="D719">
        <v>1.2</v>
      </c>
      <c r="E719">
        <f>Tableau5[[#This Row],[Potential (PJ)]]/3.6</f>
        <v>0.33333333333333331</v>
      </c>
      <c r="F719">
        <v>5.7789999999999999</v>
      </c>
      <c r="G719">
        <f>Tableau5[[#This Row],[Cost (€/GJ)]]*3.6</f>
        <v>20.804400000000001</v>
      </c>
      <c r="H719">
        <v>20.723404255319149</v>
      </c>
      <c r="I719">
        <f>Tableau5[[#This Row],[GHG (kgCO2eq/GJ)]]*3.6</f>
        <v>74.604255319148933</v>
      </c>
      <c r="J719" t="s">
        <v>105</v>
      </c>
      <c r="K719" t="s">
        <v>108</v>
      </c>
    </row>
    <row r="720" spans="1:11" x14ac:dyDescent="0.3">
      <c r="A720" t="s">
        <v>39</v>
      </c>
      <c r="B720" t="s">
        <v>50</v>
      </c>
      <c r="C720" t="s">
        <v>74</v>
      </c>
      <c r="D720">
        <v>3.8</v>
      </c>
      <c r="E720">
        <f>Tableau5[[#This Row],[Potential (PJ)]]/3.6</f>
        <v>1.0555555555555556</v>
      </c>
      <c r="F720">
        <v>6.6891842105263164</v>
      </c>
      <c r="G720">
        <f>Tableau5[[#This Row],[Cost (€/GJ)]]*3.6</f>
        <v>24.081063157894739</v>
      </c>
      <c r="H720">
        <v>2.0635593220338988</v>
      </c>
      <c r="I720">
        <f>Tableau5[[#This Row],[GHG (kgCO2eq/GJ)]]*3.6</f>
        <v>7.4288135593220357</v>
      </c>
      <c r="J720" t="s">
        <v>105</v>
      </c>
      <c r="K720" t="s">
        <v>108</v>
      </c>
    </row>
    <row r="721" spans="1:11" x14ac:dyDescent="0.3">
      <c r="A721" t="s">
        <v>39</v>
      </c>
      <c r="B721" t="s">
        <v>51</v>
      </c>
      <c r="C721" t="s">
        <v>75</v>
      </c>
      <c r="D721">
        <v>20.02636</v>
      </c>
      <c r="E721">
        <f>Tableau5[[#This Row],[Potential (PJ)]]/3.6</f>
        <v>5.5628777777777776</v>
      </c>
      <c r="F721">
        <v>3.6873466284242898E-3</v>
      </c>
      <c r="G721">
        <f>Tableau5[[#This Row],[Cost (€/GJ)]]*3.6</f>
        <v>1.3274447862327444E-2</v>
      </c>
      <c r="H721">
        <v>11.74</v>
      </c>
      <c r="I721">
        <f>Tableau5[[#This Row],[GHG (kgCO2eq/GJ)]]*3.6</f>
        <v>42.264000000000003</v>
      </c>
      <c r="J721" t="s">
        <v>104</v>
      </c>
      <c r="K721" t="s">
        <v>108</v>
      </c>
    </row>
    <row r="722" spans="1:11" x14ac:dyDescent="0.3">
      <c r="A722" t="s">
        <v>39</v>
      </c>
      <c r="B722" t="s">
        <v>60</v>
      </c>
      <c r="C722" t="s">
        <v>98</v>
      </c>
      <c r="D722">
        <v>0.90495000000000003</v>
      </c>
      <c r="E722">
        <f>Tableau5[[#This Row],[Potential (PJ)]]/3.6</f>
        <v>0.25137500000000002</v>
      </c>
      <c r="F722">
        <v>16.004296455424271</v>
      </c>
      <c r="G722">
        <f>Tableau5[[#This Row],[Cost (€/GJ)]]*3.6</f>
        <v>57.615467239527376</v>
      </c>
      <c r="H722">
        <v>22.8</v>
      </c>
      <c r="I722">
        <f>Tableau5[[#This Row],[GHG (kgCO2eq/GJ)]]*3.6</f>
        <v>82.08</v>
      </c>
      <c r="J722" t="s">
        <v>107</v>
      </c>
      <c r="K722" t="s">
        <v>109</v>
      </c>
    </row>
    <row r="723" spans="1:11" x14ac:dyDescent="0.3">
      <c r="A723" t="s">
        <v>39</v>
      </c>
      <c r="B723" t="s">
        <v>52</v>
      </c>
      <c r="C723" t="s">
        <v>76</v>
      </c>
      <c r="D723">
        <v>0.98699999999999999</v>
      </c>
      <c r="E723">
        <f>Tableau5[[#This Row],[Potential (PJ)]]/3.6</f>
        <v>0.27416666666666667</v>
      </c>
      <c r="F723">
        <v>8.4824999999999999</v>
      </c>
      <c r="G723">
        <f>Tableau5[[#This Row],[Cost (€/GJ)]]*3.6</f>
        <v>30.536999999999999</v>
      </c>
      <c r="H723">
        <v>12.68872359754714</v>
      </c>
      <c r="I723">
        <f>Tableau5[[#This Row],[GHG (kgCO2eq/GJ)]]*3.6</f>
        <v>45.679404951169708</v>
      </c>
      <c r="J723" t="s">
        <v>105</v>
      </c>
      <c r="K723" t="s">
        <v>108</v>
      </c>
    </row>
    <row r="724" spans="1:11" x14ac:dyDescent="0.3">
      <c r="A724" t="s">
        <v>39</v>
      </c>
      <c r="B724" t="s">
        <v>53</v>
      </c>
      <c r="C724" t="s">
        <v>77</v>
      </c>
      <c r="D724">
        <v>13.808870000000001</v>
      </c>
      <c r="E724">
        <f>Tableau5[[#This Row],[Potential (PJ)]]/3.6</f>
        <v>3.8357972222222223</v>
      </c>
      <c r="F724">
        <v>6.0378725094812253</v>
      </c>
      <c r="G724">
        <f>Tableau5[[#This Row],[Cost (€/GJ)]]*3.6</f>
        <v>21.736341034132412</v>
      </c>
      <c r="H724">
        <v>3.86607608129234</v>
      </c>
      <c r="I724">
        <f>Tableau5[[#This Row],[GHG (kgCO2eq/GJ)]]*3.6</f>
        <v>13.917873892652425</v>
      </c>
      <c r="J724" t="s">
        <v>104</v>
      </c>
      <c r="K724" t="s">
        <v>108</v>
      </c>
    </row>
    <row r="725" spans="1:11" x14ac:dyDescent="0.3">
      <c r="A725" t="s">
        <v>39</v>
      </c>
      <c r="B725" t="s">
        <v>61</v>
      </c>
      <c r="C725" t="s">
        <v>99</v>
      </c>
      <c r="D725">
        <v>53.3</v>
      </c>
      <c r="E725">
        <f>Tableau5[[#This Row],[Potential (PJ)]]/3.6</f>
        <v>14.805555555555554</v>
      </c>
      <c r="F725">
        <v>2.0389418386491558</v>
      </c>
      <c r="G725">
        <f>Tableau5[[#This Row],[Cost (€/GJ)]]*3.6</f>
        <v>7.340190619136961</v>
      </c>
      <c r="H725">
        <v>2.9245635910224439</v>
      </c>
      <c r="I725">
        <f>Tableau5[[#This Row],[GHG (kgCO2eq/GJ)]]*3.6</f>
        <v>10.528428927680798</v>
      </c>
      <c r="J725" t="s">
        <v>104</v>
      </c>
      <c r="K725" t="s">
        <v>108</v>
      </c>
    </row>
    <row r="726" spans="1:11" x14ac:dyDescent="0.3">
      <c r="A726" t="s">
        <v>39</v>
      </c>
      <c r="B726" t="s">
        <v>62</v>
      </c>
      <c r="C726" t="s">
        <v>100</v>
      </c>
      <c r="D726">
        <v>24.5</v>
      </c>
      <c r="E726">
        <f>Tableau5[[#This Row],[Potential (PJ)]]/3.6</f>
        <v>6.8055555555555554</v>
      </c>
      <c r="F726">
        <v>0.58897959183673465</v>
      </c>
      <c r="G726">
        <f>Tableau5[[#This Row],[Cost (€/GJ)]]*3.6</f>
        <v>2.1203265306122447</v>
      </c>
      <c r="H726">
        <v>2.6764106050305911</v>
      </c>
      <c r="I726">
        <f>Tableau5[[#This Row],[GHG (kgCO2eq/GJ)]]*3.6</f>
        <v>9.6350781781101276</v>
      </c>
      <c r="J726" t="s">
        <v>104</v>
      </c>
      <c r="K726" t="s">
        <v>108</v>
      </c>
    </row>
    <row r="727" spans="1:11" x14ac:dyDescent="0.3">
      <c r="A727" t="s">
        <v>39</v>
      </c>
      <c r="B727" t="s">
        <v>54</v>
      </c>
      <c r="C727" t="s">
        <v>78</v>
      </c>
      <c r="D727">
        <v>267.39999999999998</v>
      </c>
      <c r="E727">
        <f>Tableau5[[#This Row],[Potential (PJ)]]/3.6</f>
        <v>74.277777777777771</v>
      </c>
      <c r="F727">
        <v>12.70019596110696</v>
      </c>
      <c r="G727">
        <f>Tableau5[[#This Row],[Cost (€/GJ)]]*3.6</f>
        <v>45.720705459985055</v>
      </c>
      <c r="H727">
        <v>3.86607608129234</v>
      </c>
      <c r="I727">
        <f>Tableau5[[#This Row],[GHG (kgCO2eq/GJ)]]*3.6</f>
        <v>13.917873892652425</v>
      </c>
      <c r="J727" t="s">
        <v>104</v>
      </c>
      <c r="K727" t="s">
        <v>108</v>
      </c>
    </row>
    <row r="728" spans="1:11" x14ac:dyDescent="0.3">
      <c r="A728" t="s">
        <v>40</v>
      </c>
      <c r="B728" t="s">
        <v>46</v>
      </c>
      <c r="C728" t="s">
        <v>63</v>
      </c>
      <c r="D728">
        <v>2.3999999999999998E-3</v>
      </c>
      <c r="E728">
        <f>Tableau5[[#This Row],[Potential (PJ)]]/3.6</f>
        <v>6.6666666666666664E-4</v>
      </c>
      <c r="F728">
        <v>2.9286474973375931</v>
      </c>
      <c r="G728">
        <f>Tableau5[[#This Row],[Cost (€/GJ)]]*3.6</f>
        <v>10.543130990415335</v>
      </c>
      <c r="H728">
        <v>3.950479233226837</v>
      </c>
      <c r="I728">
        <f>Tableau5[[#This Row],[GHG (kgCO2eq/GJ)]]*3.6</f>
        <v>14.221725239616614</v>
      </c>
      <c r="J728" t="s">
        <v>104</v>
      </c>
      <c r="K728" t="s">
        <v>108</v>
      </c>
    </row>
    <row r="729" spans="1:11" x14ac:dyDescent="0.3">
      <c r="A729" t="s">
        <v>40</v>
      </c>
      <c r="B729" t="s">
        <v>46</v>
      </c>
      <c r="C729" t="s">
        <v>64</v>
      </c>
      <c r="D729">
        <v>1.3140000000000001E-2</v>
      </c>
      <c r="E729">
        <f>Tableau5[[#This Row],[Potential (PJ)]]/3.6</f>
        <v>3.65E-3</v>
      </c>
      <c r="F729">
        <v>5.8905844748858449</v>
      </c>
      <c r="G729">
        <f>Tableau5[[#This Row],[Cost (€/GJ)]]*3.6</f>
        <v>21.206104109589042</v>
      </c>
      <c r="H729">
        <v>2.9521711768407801</v>
      </c>
      <c r="I729">
        <f>Tableau5[[#This Row],[GHG (kgCO2eq/GJ)]]*3.6</f>
        <v>10.627816236626808</v>
      </c>
      <c r="J729" t="s">
        <v>104</v>
      </c>
      <c r="K729" t="s">
        <v>108</v>
      </c>
    </row>
    <row r="730" spans="1:11" x14ac:dyDescent="0.3">
      <c r="A730" t="s">
        <v>40</v>
      </c>
      <c r="B730" t="s">
        <v>46</v>
      </c>
      <c r="C730" t="s">
        <v>80</v>
      </c>
      <c r="D730">
        <v>9.4100000000000003E-2</v>
      </c>
      <c r="E730">
        <f>Tableau5[[#This Row],[Potential (PJ)]]/3.6</f>
        <v>2.6138888888888889E-2</v>
      </c>
      <c r="F730">
        <v>2.7417397167902902</v>
      </c>
      <c r="G730">
        <f>Tableau5[[#This Row],[Cost (€/GJ)]]*3.6</f>
        <v>9.8702629804450446</v>
      </c>
      <c r="H730">
        <v>28.139870918023309</v>
      </c>
      <c r="I730">
        <f>Tableau5[[#This Row],[GHG (kgCO2eq/GJ)]]*3.6</f>
        <v>101.30353530488391</v>
      </c>
      <c r="J730" t="s">
        <v>105</v>
      </c>
      <c r="K730" t="s">
        <v>108</v>
      </c>
    </row>
    <row r="731" spans="1:11" x14ac:dyDescent="0.3">
      <c r="A731" t="s">
        <v>40</v>
      </c>
      <c r="B731" t="s">
        <v>46</v>
      </c>
      <c r="C731" t="s">
        <v>81</v>
      </c>
      <c r="D731">
        <v>2.6800000000000001E-2</v>
      </c>
      <c r="E731">
        <f>Tableau5[[#This Row],[Potential (PJ)]]/3.6</f>
        <v>7.4444444444444445E-3</v>
      </c>
      <c r="F731">
        <v>2.5616921269095179</v>
      </c>
      <c r="G731">
        <f>Tableau5[[#This Row],[Cost (€/GJ)]]*3.6</f>
        <v>9.2220916568742641</v>
      </c>
      <c r="H731">
        <v>8.9647473560517046</v>
      </c>
      <c r="I731">
        <f>Tableau5[[#This Row],[GHG (kgCO2eq/GJ)]]*3.6</f>
        <v>32.273090481786134</v>
      </c>
      <c r="J731" t="s">
        <v>105</v>
      </c>
      <c r="K731" t="s">
        <v>108</v>
      </c>
    </row>
    <row r="732" spans="1:11" x14ac:dyDescent="0.3">
      <c r="A732" t="s">
        <v>40</v>
      </c>
      <c r="B732" t="s">
        <v>46</v>
      </c>
      <c r="C732" t="s">
        <v>66</v>
      </c>
      <c r="D732">
        <v>0.3</v>
      </c>
      <c r="E732">
        <f>Tableau5[[#This Row],[Potential (PJ)]]/3.6</f>
        <v>8.3333333333333329E-2</v>
      </c>
      <c r="F732">
        <v>3.6236666666666659</v>
      </c>
      <c r="G732">
        <f>Tableau5[[#This Row],[Cost (€/GJ)]]*3.6</f>
        <v>13.045199999999998</v>
      </c>
      <c r="H732">
        <v>6.8428961748633883</v>
      </c>
      <c r="I732">
        <f>Tableau5[[#This Row],[GHG (kgCO2eq/GJ)]]*3.6</f>
        <v>24.634426229508197</v>
      </c>
      <c r="J732" t="s">
        <v>104</v>
      </c>
      <c r="K732" t="s">
        <v>108</v>
      </c>
    </row>
    <row r="733" spans="1:11" x14ac:dyDescent="0.3">
      <c r="A733" t="s">
        <v>40</v>
      </c>
      <c r="B733" t="s">
        <v>55</v>
      </c>
      <c r="C733" t="s">
        <v>86</v>
      </c>
      <c r="D733">
        <v>2.3099999999999999E-2</v>
      </c>
      <c r="E733">
        <f>Tableau5[[#This Row],[Potential (PJ)]]/3.6</f>
        <v>6.416666666666666E-3</v>
      </c>
      <c r="F733">
        <v>9.6440000000000001</v>
      </c>
      <c r="G733">
        <f>Tableau5[[#This Row],[Cost (€/GJ)]]*3.6</f>
        <v>34.718400000000003</v>
      </c>
      <c r="H733">
        <v>20.2</v>
      </c>
      <c r="I733">
        <f>Tableau5[[#This Row],[GHG (kgCO2eq/GJ)]]*3.6</f>
        <v>72.72</v>
      </c>
      <c r="J733" t="s">
        <v>106</v>
      </c>
      <c r="K733" t="s">
        <v>109</v>
      </c>
    </row>
    <row r="734" spans="1:11" x14ac:dyDescent="0.3">
      <c r="A734" t="s">
        <v>40</v>
      </c>
      <c r="B734" t="s">
        <v>55</v>
      </c>
      <c r="C734" t="s">
        <v>88</v>
      </c>
      <c r="D734">
        <v>2.12E-2</v>
      </c>
      <c r="E734">
        <f>Tableau5[[#This Row],[Potential (PJ)]]/3.6</f>
        <v>5.8888888888888888E-3</v>
      </c>
      <c r="F734">
        <v>10.012</v>
      </c>
      <c r="G734">
        <f>Tableau5[[#This Row],[Cost (€/GJ)]]*3.6</f>
        <v>36.043200000000006</v>
      </c>
      <c r="H734">
        <v>20.2</v>
      </c>
      <c r="I734">
        <f>Tableau5[[#This Row],[GHG (kgCO2eq/GJ)]]*3.6</f>
        <v>72.72</v>
      </c>
      <c r="J734" t="s">
        <v>106</v>
      </c>
      <c r="K734" t="s">
        <v>109</v>
      </c>
    </row>
    <row r="735" spans="1:11" x14ac:dyDescent="0.3">
      <c r="A735" t="s">
        <v>40</v>
      </c>
      <c r="B735" t="s">
        <v>47</v>
      </c>
      <c r="C735" t="s">
        <v>68</v>
      </c>
      <c r="D735">
        <v>0.4</v>
      </c>
      <c r="E735">
        <f>Tableau5[[#This Row],[Potential (PJ)]]/3.6</f>
        <v>0.11111111111111112</v>
      </c>
      <c r="F735">
        <v>3.5507499999999999</v>
      </c>
      <c r="G735">
        <f>Tableau5[[#This Row],[Cost (€/GJ)]]*3.6</f>
        <v>12.7827</v>
      </c>
      <c r="H735">
        <v>17.3</v>
      </c>
      <c r="I735">
        <f>Tableau5[[#This Row],[GHG (kgCO2eq/GJ)]]*3.6</f>
        <v>62.28</v>
      </c>
      <c r="J735" t="s">
        <v>104</v>
      </c>
      <c r="K735" t="s">
        <v>109</v>
      </c>
    </row>
    <row r="736" spans="1:11" x14ac:dyDescent="0.3">
      <c r="A736" t="s">
        <v>40</v>
      </c>
      <c r="B736" t="s">
        <v>47</v>
      </c>
      <c r="C736" t="s">
        <v>69</v>
      </c>
      <c r="D736">
        <v>0.3</v>
      </c>
      <c r="E736">
        <f>Tableau5[[#This Row],[Potential (PJ)]]/3.6</f>
        <v>8.3333333333333329E-2</v>
      </c>
      <c r="F736">
        <v>3.6326666666666658</v>
      </c>
      <c r="G736">
        <f>Tableau5[[#This Row],[Cost (€/GJ)]]*3.6</f>
        <v>13.077599999999997</v>
      </c>
      <c r="H736">
        <v>17.3</v>
      </c>
      <c r="I736">
        <f>Tableau5[[#This Row],[GHG (kgCO2eq/GJ)]]*3.6</f>
        <v>62.28</v>
      </c>
      <c r="J736" t="s">
        <v>104</v>
      </c>
      <c r="K736" t="s">
        <v>109</v>
      </c>
    </row>
    <row r="737" spans="1:11" x14ac:dyDescent="0.3">
      <c r="A737" t="s">
        <v>40</v>
      </c>
      <c r="B737" t="s">
        <v>48</v>
      </c>
      <c r="C737" t="s">
        <v>70</v>
      </c>
      <c r="D737">
        <v>0.1</v>
      </c>
      <c r="E737">
        <f>Tableau5[[#This Row],[Potential (PJ)]]/3.6</f>
        <v>2.777777777777778E-2</v>
      </c>
      <c r="F737">
        <v>9.4979999999999993</v>
      </c>
      <c r="G737">
        <f>Tableau5[[#This Row],[Cost (€/GJ)]]*3.6</f>
        <v>34.192799999999998</v>
      </c>
      <c r="H737">
        <v>0</v>
      </c>
      <c r="I737">
        <f>Tableau5[[#This Row],[GHG (kgCO2eq/GJ)]]*3.6</f>
        <v>0</v>
      </c>
      <c r="J737" t="s">
        <v>104</v>
      </c>
      <c r="K737" t="s">
        <v>109</v>
      </c>
    </row>
    <row r="738" spans="1:11" x14ac:dyDescent="0.3">
      <c r="A738" t="s">
        <v>40</v>
      </c>
      <c r="B738" t="s">
        <v>49</v>
      </c>
      <c r="C738" t="s">
        <v>71</v>
      </c>
      <c r="D738">
        <v>25.47824</v>
      </c>
      <c r="E738">
        <f>Tableau5[[#This Row],[Potential (PJ)]]/3.6</f>
        <v>7.077288888888889</v>
      </c>
      <c r="F738">
        <v>3.146244928221102</v>
      </c>
      <c r="G738">
        <f>Tableau5[[#This Row],[Cost (€/GJ)]]*3.6</f>
        <v>11.326481741595968</v>
      </c>
      <c r="H738">
        <v>3.86607608129234</v>
      </c>
      <c r="I738">
        <f>Tableau5[[#This Row],[GHG (kgCO2eq/GJ)]]*3.6</f>
        <v>13.917873892652425</v>
      </c>
      <c r="J738" t="s">
        <v>104</v>
      </c>
      <c r="K738" t="s">
        <v>108</v>
      </c>
    </row>
    <row r="739" spans="1:11" x14ac:dyDescent="0.3">
      <c r="A739" t="s">
        <v>40</v>
      </c>
      <c r="B739" t="s">
        <v>49</v>
      </c>
      <c r="C739" t="s">
        <v>72</v>
      </c>
      <c r="D739">
        <v>2.1</v>
      </c>
      <c r="E739">
        <f>Tableau5[[#This Row],[Potential (PJ)]]/3.6</f>
        <v>0.58333333333333337</v>
      </c>
      <c r="F739">
        <v>4.2521904761904761</v>
      </c>
      <c r="G739">
        <f>Tableau5[[#This Row],[Cost (€/GJ)]]*3.6</f>
        <v>15.307885714285714</v>
      </c>
      <c r="H739">
        <v>3.86607608129234</v>
      </c>
      <c r="I739">
        <f>Tableau5[[#This Row],[GHG (kgCO2eq/GJ)]]*3.6</f>
        <v>13.917873892652425</v>
      </c>
      <c r="J739" t="s">
        <v>104</v>
      </c>
      <c r="K739" t="s">
        <v>108</v>
      </c>
    </row>
    <row r="740" spans="1:11" x14ac:dyDescent="0.3">
      <c r="A740" t="s">
        <v>40</v>
      </c>
      <c r="B740" t="s">
        <v>58</v>
      </c>
      <c r="C740" t="s">
        <v>95</v>
      </c>
      <c r="D740">
        <v>0.40995999999999999</v>
      </c>
      <c r="E740">
        <f>Tableau5[[#This Row],[Potential (PJ)]]/3.6</f>
        <v>0.11387777777777777</v>
      </c>
      <c r="F740">
        <v>3.1930000000000001</v>
      </c>
      <c r="G740">
        <f>Tableau5[[#This Row],[Cost (€/GJ)]]*3.6</f>
        <v>11.4948</v>
      </c>
      <c r="H740">
        <v>2.9521711768407801</v>
      </c>
      <c r="I740">
        <f>Tableau5[[#This Row],[GHG (kgCO2eq/GJ)]]*3.6</f>
        <v>10.627816236626808</v>
      </c>
      <c r="J740" t="s">
        <v>104</v>
      </c>
      <c r="K740" t="s">
        <v>108</v>
      </c>
    </row>
    <row r="741" spans="1:11" x14ac:dyDescent="0.3">
      <c r="A741" t="s">
        <v>40</v>
      </c>
      <c r="B741" t="s">
        <v>50</v>
      </c>
      <c r="C741" t="s">
        <v>73</v>
      </c>
      <c r="D741">
        <v>0.3</v>
      </c>
      <c r="E741">
        <f>Tableau5[[#This Row],[Potential (PJ)]]/3.6</f>
        <v>8.3333333333333329E-2</v>
      </c>
      <c r="F741">
        <v>5.1550000000000002</v>
      </c>
      <c r="G741">
        <f>Tableau5[[#This Row],[Cost (€/GJ)]]*3.6</f>
        <v>18.558</v>
      </c>
      <c r="H741">
        <v>20.723404255319149</v>
      </c>
      <c r="I741">
        <f>Tableau5[[#This Row],[GHG (kgCO2eq/GJ)]]*3.6</f>
        <v>74.604255319148933</v>
      </c>
      <c r="J741" t="s">
        <v>105</v>
      </c>
      <c r="K741" t="s">
        <v>108</v>
      </c>
    </row>
    <row r="742" spans="1:11" x14ac:dyDescent="0.3">
      <c r="A742" t="s">
        <v>40</v>
      </c>
      <c r="B742" t="s">
        <v>50</v>
      </c>
      <c r="C742" t="s">
        <v>74</v>
      </c>
      <c r="D742">
        <v>0.60000000000000009</v>
      </c>
      <c r="E742">
        <f>Tableau5[[#This Row],[Potential (PJ)]]/3.6</f>
        <v>0.16666666666666669</v>
      </c>
      <c r="F742">
        <v>3.8740000000000001</v>
      </c>
      <c r="G742">
        <f>Tableau5[[#This Row],[Cost (€/GJ)]]*3.6</f>
        <v>13.946400000000001</v>
      </c>
      <c r="H742">
        <v>2.0635593220338988</v>
      </c>
      <c r="I742">
        <f>Tableau5[[#This Row],[GHG (kgCO2eq/GJ)]]*3.6</f>
        <v>7.4288135593220357</v>
      </c>
      <c r="J742" t="s">
        <v>105</v>
      </c>
      <c r="K742" t="s">
        <v>108</v>
      </c>
    </row>
    <row r="743" spans="1:11" x14ac:dyDescent="0.3">
      <c r="A743" t="s">
        <v>40</v>
      </c>
      <c r="B743" t="s">
        <v>51</v>
      </c>
      <c r="C743" t="s">
        <v>75</v>
      </c>
      <c r="D743">
        <v>0.69628000000000001</v>
      </c>
      <c r="E743">
        <f>Tableau5[[#This Row],[Potential (PJ)]]/3.6</f>
        <v>0.19341111111111112</v>
      </c>
      <c r="F743">
        <v>0.17797308619968699</v>
      </c>
      <c r="G743">
        <f>Tableau5[[#This Row],[Cost (€/GJ)]]*3.6</f>
        <v>0.64070311031887317</v>
      </c>
      <c r="H743">
        <v>11.74</v>
      </c>
      <c r="I743">
        <f>Tableau5[[#This Row],[GHG (kgCO2eq/GJ)]]*3.6</f>
        <v>42.264000000000003</v>
      </c>
      <c r="J743" t="s">
        <v>104</v>
      </c>
      <c r="K743" t="s">
        <v>108</v>
      </c>
    </row>
    <row r="744" spans="1:11" x14ac:dyDescent="0.3">
      <c r="A744" t="s">
        <v>40</v>
      </c>
      <c r="B744" t="s">
        <v>60</v>
      </c>
      <c r="C744" t="s">
        <v>98</v>
      </c>
      <c r="D744">
        <v>4.795E-2</v>
      </c>
      <c r="E744">
        <f>Tableau5[[#This Row],[Potential (PJ)]]/3.6</f>
        <v>1.3319444444444445E-2</v>
      </c>
      <c r="F744">
        <v>28.73254564983888</v>
      </c>
      <c r="G744">
        <f>Tableau5[[#This Row],[Cost (€/GJ)]]*3.6</f>
        <v>103.43716433941997</v>
      </c>
      <c r="H744">
        <v>37.6</v>
      </c>
      <c r="I744">
        <f>Tableau5[[#This Row],[GHG (kgCO2eq/GJ)]]*3.6</f>
        <v>135.36000000000001</v>
      </c>
      <c r="J744" t="s">
        <v>107</v>
      </c>
      <c r="K744" t="s">
        <v>109</v>
      </c>
    </row>
    <row r="745" spans="1:11" x14ac:dyDescent="0.3">
      <c r="A745" t="s">
        <v>40</v>
      </c>
      <c r="B745" t="s">
        <v>52</v>
      </c>
      <c r="C745" t="s">
        <v>76</v>
      </c>
      <c r="D745">
        <v>4.1000000000000002E-2</v>
      </c>
      <c r="E745">
        <f>Tableau5[[#This Row],[Potential (PJ)]]/3.6</f>
        <v>1.1388888888888889E-2</v>
      </c>
      <c r="F745">
        <v>8.4824999999999999</v>
      </c>
      <c r="G745">
        <f>Tableau5[[#This Row],[Cost (€/GJ)]]*3.6</f>
        <v>30.536999999999999</v>
      </c>
      <c r="H745">
        <v>12.68872359754714</v>
      </c>
      <c r="I745">
        <f>Tableau5[[#This Row],[GHG (kgCO2eq/GJ)]]*3.6</f>
        <v>45.679404951169708</v>
      </c>
      <c r="J745" t="s">
        <v>105</v>
      </c>
      <c r="K745" t="s">
        <v>108</v>
      </c>
    </row>
    <row r="746" spans="1:11" x14ac:dyDescent="0.3">
      <c r="A746" t="s">
        <v>40</v>
      </c>
      <c r="B746" t="s">
        <v>53</v>
      </c>
      <c r="C746" t="s">
        <v>77</v>
      </c>
      <c r="D746">
        <v>2.5525600000000002</v>
      </c>
      <c r="E746">
        <f>Tableau5[[#This Row],[Potential (PJ)]]/3.6</f>
        <v>0.70904444444444448</v>
      </c>
      <c r="F746">
        <v>4.2520283401761372</v>
      </c>
      <c r="G746">
        <f>Tableau5[[#This Row],[Cost (€/GJ)]]*3.6</f>
        <v>15.307302024634094</v>
      </c>
      <c r="H746">
        <v>3.86607608129234</v>
      </c>
      <c r="I746">
        <f>Tableau5[[#This Row],[GHG (kgCO2eq/GJ)]]*3.6</f>
        <v>13.917873892652425</v>
      </c>
      <c r="J746" t="s">
        <v>104</v>
      </c>
      <c r="K746" t="s">
        <v>108</v>
      </c>
    </row>
    <row r="747" spans="1:11" x14ac:dyDescent="0.3">
      <c r="A747" t="s">
        <v>40</v>
      </c>
      <c r="B747" t="s">
        <v>61</v>
      </c>
      <c r="C747" t="s">
        <v>99</v>
      </c>
      <c r="D747">
        <v>1.4</v>
      </c>
      <c r="E747">
        <f>Tableau5[[#This Row],[Potential (PJ)]]/3.6</f>
        <v>0.38888888888888884</v>
      </c>
      <c r="F747">
        <v>1.93</v>
      </c>
      <c r="G747">
        <f>Tableau5[[#This Row],[Cost (€/GJ)]]*3.6</f>
        <v>6.9479999999999995</v>
      </c>
      <c r="H747">
        <v>2.9245635910224439</v>
      </c>
      <c r="I747">
        <f>Tableau5[[#This Row],[GHG (kgCO2eq/GJ)]]*3.6</f>
        <v>10.528428927680798</v>
      </c>
      <c r="J747" t="s">
        <v>104</v>
      </c>
      <c r="K747" t="s">
        <v>108</v>
      </c>
    </row>
    <row r="748" spans="1:11" x14ac:dyDescent="0.3">
      <c r="A748" t="s">
        <v>40</v>
      </c>
      <c r="B748" t="s">
        <v>62</v>
      </c>
      <c r="C748" t="s">
        <v>100</v>
      </c>
      <c r="D748">
        <v>0.3</v>
      </c>
      <c r="E748">
        <f>Tableau5[[#This Row],[Potential (PJ)]]/3.6</f>
        <v>8.3333333333333329E-2</v>
      </c>
      <c r="F748">
        <v>1.033333333333333</v>
      </c>
      <c r="G748">
        <f>Tableau5[[#This Row],[Cost (€/GJ)]]*3.6</f>
        <v>3.7199999999999989</v>
      </c>
      <c r="H748">
        <v>2.6764106050305911</v>
      </c>
      <c r="I748">
        <f>Tableau5[[#This Row],[GHG (kgCO2eq/GJ)]]*3.6</f>
        <v>9.6350781781101276</v>
      </c>
      <c r="J748" t="s">
        <v>104</v>
      </c>
      <c r="K748" t="s">
        <v>108</v>
      </c>
    </row>
    <row r="749" spans="1:11" x14ac:dyDescent="0.3">
      <c r="A749" t="s">
        <v>40</v>
      </c>
      <c r="B749" t="s">
        <v>54</v>
      </c>
      <c r="C749" t="s">
        <v>78</v>
      </c>
      <c r="D749">
        <v>30.6</v>
      </c>
      <c r="E749">
        <f>Tableau5[[#This Row],[Potential (PJ)]]/3.6</f>
        <v>8.5</v>
      </c>
      <c r="F749">
        <v>4.2064901960784313</v>
      </c>
      <c r="G749">
        <f>Tableau5[[#This Row],[Cost (€/GJ)]]*3.6</f>
        <v>15.143364705882354</v>
      </c>
      <c r="H749">
        <v>3.86607608129234</v>
      </c>
      <c r="I749">
        <f>Tableau5[[#This Row],[GHG (kgCO2eq/GJ)]]*3.6</f>
        <v>13.917873892652425</v>
      </c>
      <c r="J749" t="s">
        <v>104</v>
      </c>
      <c r="K749" t="s">
        <v>108</v>
      </c>
    </row>
    <row r="750" spans="1:11" x14ac:dyDescent="0.3">
      <c r="A750" t="s">
        <v>41</v>
      </c>
      <c r="B750" t="s">
        <v>46</v>
      </c>
      <c r="C750" t="s">
        <v>64</v>
      </c>
      <c r="D750">
        <v>1.26E-2</v>
      </c>
      <c r="E750">
        <f>Tableau5[[#This Row],[Potential (PJ)]]/3.6</f>
        <v>3.5000000000000001E-3</v>
      </c>
      <c r="F750">
        <v>5.63225</v>
      </c>
      <c r="G750">
        <f>Tableau5[[#This Row],[Cost (€/GJ)]]*3.6</f>
        <v>20.2761</v>
      </c>
      <c r="H750">
        <v>2.9521711768407801</v>
      </c>
      <c r="I750">
        <f>Tableau5[[#This Row],[GHG (kgCO2eq/GJ)]]*3.6</f>
        <v>10.627816236626808</v>
      </c>
      <c r="J750" t="s">
        <v>104</v>
      </c>
      <c r="K750" t="s">
        <v>108</v>
      </c>
    </row>
    <row r="751" spans="1:11" x14ac:dyDescent="0.3">
      <c r="A751" t="s">
        <v>41</v>
      </c>
      <c r="B751" t="s">
        <v>46</v>
      </c>
      <c r="C751" t="s">
        <v>79</v>
      </c>
      <c r="D751">
        <v>7.1000000000000014</v>
      </c>
      <c r="E751">
        <f>Tableau5[[#This Row],[Potential (PJ)]]/3.6</f>
        <v>1.9722222222222225</v>
      </c>
      <c r="F751">
        <v>5.7814366197183098</v>
      </c>
      <c r="G751">
        <f>Tableau5[[#This Row],[Cost (€/GJ)]]*3.6</f>
        <v>20.813171830985915</v>
      </c>
      <c r="H751">
        <v>6.8428961748633883</v>
      </c>
      <c r="I751">
        <f>Tableau5[[#This Row],[GHG (kgCO2eq/GJ)]]*3.6</f>
        <v>24.634426229508197</v>
      </c>
      <c r="J751" t="s">
        <v>104</v>
      </c>
      <c r="K751" t="s">
        <v>108</v>
      </c>
    </row>
    <row r="752" spans="1:11" x14ac:dyDescent="0.3">
      <c r="A752" t="s">
        <v>41</v>
      </c>
      <c r="B752" t="s">
        <v>46</v>
      </c>
      <c r="C752" t="s">
        <v>80</v>
      </c>
      <c r="D752">
        <v>7.1899999999999992E-2</v>
      </c>
      <c r="E752">
        <f>Tableau5[[#This Row],[Potential (PJ)]]/3.6</f>
        <v>1.9972222222222221E-2</v>
      </c>
      <c r="F752">
        <v>0.2002697235333783</v>
      </c>
      <c r="G752">
        <f>Tableau5[[#This Row],[Cost (€/GJ)]]*3.6</f>
        <v>0.72097100472016185</v>
      </c>
      <c r="H752">
        <v>28.139870918023309</v>
      </c>
      <c r="I752">
        <f>Tableau5[[#This Row],[GHG (kgCO2eq/GJ)]]*3.6</f>
        <v>101.30353530488391</v>
      </c>
      <c r="J752" t="s">
        <v>105</v>
      </c>
      <c r="K752" t="s">
        <v>108</v>
      </c>
    </row>
    <row r="753" spans="1:11" x14ac:dyDescent="0.3">
      <c r="A753" t="s">
        <v>41</v>
      </c>
      <c r="B753" t="s">
        <v>46</v>
      </c>
      <c r="C753" t="s">
        <v>81</v>
      </c>
      <c r="D753">
        <v>3.5700000000000003E-2</v>
      </c>
      <c r="E753">
        <f>Tableau5[[#This Row],[Potential (PJ)]]/3.6</f>
        <v>9.9166666666666674E-3</v>
      </c>
      <c r="F753">
        <v>0.36251468860164521</v>
      </c>
      <c r="G753">
        <f>Tableau5[[#This Row],[Cost (€/GJ)]]*3.6</f>
        <v>1.3050528789659228</v>
      </c>
      <c r="H753">
        <v>8.9647473560517046</v>
      </c>
      <c r="I753">
        <f>Tableau5[[#This Row],[GHG (kgCO2eq/GJ)]]*3.6</f>
        <v>32.273090481786134</v>
      </c>
      <c r="J753" t="s">
        <v>105</v>
      </c>
      <c r="K753" t="s">
        <v>108</v>
      </c>
    </row>
    <row r="754" spans="1:11" x14ac:dyDescent="0.3">
      <c r="A754" t="s">
        <v>41</v>
      </c>
      <c r="B754" t="s">
        <v>46</v>
      </c>
      <c r="C754" t="s">
        <v>66</v>
      </c>
      <c r="D754">
        <v>1.5</v>
      </c>
      <c r="E754">
        <f>Tableau5[[#This Row],[Potential (PJ)]]/3.6</f>
        <v>0.41666666666666663</v>
      </c>
      <c r="F754">
        <v>5.9742666666666677</v>
      </c>
      <c r="G754">
        <f>Tableau5[[#This Row],[Cost (€/GJ)]]*3.6</f>
        <v>21.507360000000006</v>
      </c>
      <c r="H754">
        <v>6.8428961748633883</v>
      </c>
      <c r="I754">
        <f>Tableau5[[#This Row],[GHG (kgCO2eq/GJ)]]*3.6</f>
        <v>24.634426229508197</v>
      </c>
      <c r="J754" t="s">
        <v>104</v>
      </c>
      <c r="K754" t="s">
        <v>108</v>
      </c>
    </row>
    <row r="755" spans="1:11" x14ac:dyDescent="0.3">
      <c r="A755" t="s">
        <v>41</v>
      </c>
      <c r="B755" t="s">
        <v>46</v>
      </c>
      <c r="C755" t="s">
        <v>82</v>
      </c>
      <c r="D755">
        <v>1.1000000000000001</v>
      </c>
      <c r="E755">
        <f>Tableau5[[#This Row],[Potential (PJ)]]/3.6</f>
        <v>0.30555555555555558</v>
      </c>
      <c r="F755">
        <v>3.57390909090909</v>
      </c>
      <c r="G755">
        <f>Tableau5[[#This Row],[Cost (€/GJ)]]*3.6</f>
        <v>12.866072727272725</v>
      </c>
      <c r="H755">
        <v>6.8428961748633883</v>
      </c>
      <c r="I755">
        <f>Tableau5[[#This Row],[GHG (kgCO2eq/GJ)]]*3.6</f>
        <v>24.634426229508197</v>
      </c>
      <c r="J755" t="s">
        <v>104</v>
      </c>
      <c r="K755" t="s">
        <v>108</v>
      </c>
    </row>
    <row r="756" spans="1:11" x14ac:dyDescent="0.3">
      <c r="A756" t="s">
        <v>41</v>
      </c>
      <c r="B756" t="s">
        <v>46</v>
      </c>
      <c r="C756" t="s">
        <v>84</v>
      </c>
      <c r="D756">
        <v>0.1</v>
      </c>
      <c r="E756">
        <f>Tableau5[[#This Row],[Potential (PJ)]]/3.6</f>
        <v>2.777777777777778E-2</v>
      </c>
      <c r="F756">
        <v>2.79</v>
      </c>
      <c r="G756">
        <f>Tableau5[[#This Row],[Cost (€/GJ)]]*3.6</f>
        <v>10.044</v>
      </c>
      <c r="H756">
        <v>28.139870918023309</v>
      </c>
      <c r="I756">
        <f>Tableau5[[#This Row],[GHG (kgCO2eq/GJ)]]*3.6</f>
        <v>101.30353530488391</v>
      </c>
      <c r="J756" t="s">
        <v>105</v>
      </c>
      <c r="K756" t="s">
        <v>108</v>
      </c>
    </row>
    <row r="757" spans="1:11" x14ac:dyDescent="0.3">
      <c r="A757" t="s">
        <v>41</v>
      </c>
      <c r="B757" t="s">
        <v>55</v>
      </c>
      <c r="C757" t="s">
        <v>86</v>
      </c>
      <c r="D757">
        <v>0.25940000000000002</v>
      </c>
      <c r="E757">
        <f>Tableau5[[#This Row],[Potential (PJ)]]/3.6</f>
        <v>7.2055555555555553E-2</v>
      </c>
      <c r="F757">
        <v>11.377000000000001</v>
      </c>
      <c r="G757">
        <f>Tableau5[[#This Row],[Cost (€/GJ)]]*3.6</f>
        <v>40.9572</v>
      </c>
      <c r="H757">
        <v>9.1999999999999993</v>
      </c>
      <c r="I757">
        <f>Tableau5[[#This Row],[GHG (kgCO2eq/GJ)]]*3.6</f>
        <v>33.119999999999997</v>
      </c>
      <c r="J757" t="s">
        <v>106</v>
      </c>
      <c r="K757" t="s">
        <v>109</v>
      </c>
    </row>
    <row r="758" spans="1:11" x14ac:dyDescent="0.3">
      <c r="A758" t="s">
        <v>41</v>
      </c>
      <c r="B758" t="s">
        <v>55</v>
      </c>
      <c r="C758" t="s">
        <v>87</v>
      </c>
      <c r="D758">
        <v>0.60580000000000001</v>
      </c>
      <c r="E758">
        <f>Tableau5[[#This Row],[Potential (PJ)]]/3.6</f>
        <v>0.16827777777777778</v>
      </c>
      <c r="F758">
        <v>10.821999999999999</v>
      </c>
      <c r="G758">
        <f>Tableau5[[#This Row],[Cost (€/GJ)]]*3.6</f>
        <v>38.959199999999996</v>
      </c>
      <c r="H758">
        <v>9.1999999999999993</v>
      </c>
      <c r="I758">
        <f>Tableau5[[#This Row],[GHG (kgCO2eq/GJ)]]*3.6</f>
        <v>33.119999999999997</v>
      </c>
      <c r="J758" t="s">
        <v>106</v>
      </c>
      <c r="K758" t="s">
        <v>109</v>
      </c>
    </row>
    <row r="759" spans="1:11" x14ac:dyDescent="0.3">
      <c r="A759" t="s">
        <v>41</v>
      </c>
      <c r="B759" t="s">
        <v>55</v>
      </c>
      <c r="C759" t="s">
        <v>88</v>
      </c>
      <c r="D759">
        <v>2.0828000000000002</v>
      </c>
      <c r="E759">
        <f>Tableau5[[#This Row],[Potential (PJ)]]/3.6</f>
        <v>0.5785555555555556</v>
      </c>
      <c r="F759">
        <v>9.9030000000000005</v>
      </c>
      <c r="G759">
        <f>Tableau5[[#This Row],[Cost (€/GJ)]]*3.6</f>
        <v>35.650800000000004</v>
      </c>
      <c r="H759">
        <v>9.1999999999999993</v>
      </c>
      <c r="I759">
        <f>Tableau5[[#This Row],[GHG (kgCO2eq/GJ)]]*3.6</f>
        <v>33.119999999999997</v>
      </c>
      <c r="J759" t="s">
        <v>106</v>
      </c>
      <c r="K759" t="s">
        <v>109</v>
      </c>
    </row>
    <row r="760" spans="1:11" x14ac:dyDescent="0.3">
      <c r="A760" t="s">
        <v>41</v>
      </c>
      <c r="B760" t="s">
        <v>55</v>
      </c>
      <c r="C760" t="s">
        <v>90</v>
      </c>
      <c r="D760">
        <v>4.2999999999999997E-2</v>
      </c>
      <c r="E760">
        <f>Tableau5[[#This Row],[Potential (PJ)]]/3.6</f>
        <v>1.1944444444444443E-2</v>
      </c>
      <c r="F760">
        <v>11.891999999999999</v>
      </c>
      <c r="G760">
        <f>Tableau5[[#This Row],[Cost (€/GJ)]]*3.6</f>
        <v>42.811199999999999</v>
      </c>
      <c r="H760">
        <v>9.1999999999999993</v>
      </c>
      <c r="I760">
        <f>Tableau5[[#This Row],[GHG (kgCO2eq/GJ)]]*3.6</f>
        <v>33.119999999999997</v>
      </c>
      <c r="J760" t="s">
        <v>106</v>
      </c>
      <c r="K760" t="s">
        <v>109</v>
      </c>
    </row>
    <row r="761" spans="1:11" x14ac:dyDescent="0.3">
      <c r="A761" t="s">
        <v>41</v>
      </c>
      <c r="B761" t="s">
        <v>55</v>
      </c>
      <c r="C761" t="s">
        <v>91</v>
      </c>
      <c r="D761">
        <v>0.13739999999999999</v>
      </c>
      <c r="E761">
        <f>Tableau5[[#This Row],[Potential (PJ)]]/3.6</f>
        <v>3.8166666666666661E-2</v>
      </c>
      <c r="F761">
        <v>11.093999999999999</v>
      </c>
      <c r="G761">
        <f>Tableau5[[#This Row],[Cost (€/GJ)]]*3.6</f>
        <v>39.938400000000001</v>
      </c>
      <c r="H761">
        <v>9.1999999999999993</v>
      </c>
      <c r="I761">
        <f>Tableau5[[#This Row],[GHG (kgCO2eq/GJ)]]*3.6</f>
        <v>33.119999999999997</v>
      </c>
      <c r="J761" t="s">
        <v>106</v>
      </c>
      <c r="K761" t="s">
        <v>109</v>
      </c>
    </row>
    <row r="762" spans="1:11" x14ac:dyDescent="0.3">
      <c r="A762" t="s">
        <v>41</v>
      </c>
      <c r="B762" t="s">
        <v>55</v>
      </c>
      <c r="C762" t="s">
        <v>92</v>
      </c>
      <c r="D762">
        <v>0.31112000000000001</v>
      </c>
      <c r="E762">
        <f>Tableau5[[#This Row],[Potential (PJ)]]/3.6</f>
        <v>8.642222222222222E-2</v>
      </c>
      <c r="F762">
        <v>10.821999999999999</v>
      </c>
      <c r="G762">
        <f>Tableau5[[#This Row],[Cost (€/GJ)]]*3.6</f>
        <v>38.959199999999996</v>
      </c>
      <c r="H762">
        <v>9.1999999999999993</v>
      </c>
      <c r="I762">
        <f>Tableau5[[#This Row],[GHG (kgCO2eq/GJ)]]*3.6</f>
        <v>33.119999999999997</v>
      </c>
      <c r="J762" t="s">
        <v>106</v>
      </c>
      <c r="K762" t="s">
        <v>109</v>
      </c>
    </row>
    <row r="763" spans="1:11" x14ac:dyDescent="0.3">
      <c r="A763" t="s">
        <v>41</v>
      </c>
      <c r="B763" t="s">
        <v>56</v>
      </c>
      <c r="C763" t="s">
        <v>93</v>
      </c>
      <c r="D763">
        <v>1.6141000000000001</v>
      </c>
      <c r="E763">
        <f>Tableau5[[#This Row],[Potential (PJ)]]/3.6</f>
        <v>0.4483611111111111</v>
      </c>
      <c r="F763">
        <v>2.9493975903614462</v>
      </c>
      <c r="G763">
        <f>Tableau5[[#This Row],[Cost (€/GJ)]]*3.6</f>
        <v>10.617831325301207</v>
      </c>
      <c r="H763">
        <v>15.9</v>
      </c>
      <c r="I763">
        <f>Tableau5[[#This Row],[GHG (kgCO2eq/GJ)]]*3.6</f>
        <v>57.24</v>
      </c>
      <c r="J763" t="s">
        <v>106</v>
      </c>
      <c r="K763" t="s">
        <v>109</v>
      </c>
    </row>
    <row r="764" spans="1:11" x14ac:dyDescent="0.3">
      <c r="A764" t="s">
        <v>41</v>
      </c>
      <c r="B764" t="s">
        <v>47</v>
      </c>
      <c r="C764" t="s">
        <v>68</v>
      </c>
      <c r="D764">
        <v>3.9</v>
      </c>
      <c r="E764">
        <f>Tableau5[[#This Row],[Potential (PJ)]]/3.6</f>
        <v>1.0833333333333333</v>
      </c>
      <c r="F764">
        <v>3.09623076923077</v>
      </c>
      <c r="G764">
        <f>Tableau5[[#This Row],[Cost (€/GJ)]]*3.6</f>
        <v>11.146430769230772</v>
      </c>
      <c r="H764">
        <v>23.8</v>
      </c>
      <c r="I764">
        <f>Tableau5[[#This Row],[GHG (kgCO2eq/GJ)]]*3.6</f>
        <v>85.68</v>
      </c>
      <c r="J764" t="s">
        <v>104</v>
      </c>
      <c r="K764" t="s">
        <v>109</v>
      </c>
    </row>
    <row r="765" spans="1:11" x14ac:dyDescent="0.3">
      <c r="A765" t="s">
        <v>41</v>
      </c>
      <c r="B765" t="s">
        <v>47</v>
      </c>
      <c r="C765" t="s">
        <v>69</v>
      </c>
      <c r="D765">
        <v>2.7</v>
      </c>
      <c r="E765">
        <f>Tableau5[[#This Row],[Potential (PJ)]]/3.6</f>
        <v>0.75</v>
      </c>
      <c r="F765">
        <v>3.0516666666666659</v>
      </c>
      <c r="G765">
        <f>Tableau5[[#This Row],[Cost (€/GJ)]]*3.6</f>
        <v>10.985999999999997</v>
      </c>
      <c r="H765">
        <v>23.8</v>
      </c>
      <c r="I765">
        <f>Tableau5[[#This Row],[GHG (kgCO2eq/GJ)]]*3.6</f>
        <v>85.68</v>
      </c>
      <c r="J765" t="s">
        <v>104</v>
      </c>
      <c r="K765" t="s">
        <v>109</v>
      </c>
    </row>
    <row r="766" spans="1:11" x14ac:dyDescent="0.3">
      <c r="A766" t="s">
        <v>41</v>
      </c>
      <c r="B766" t="s">
        <v>57</v>
      </c>
      <c r="C766" t="s">
        <v>94</v>
      </c>
      <c r="D766">
        <v>3</v>
      </c>
      <c r="E766">
        <f>Tableau5[[#This Row],[Potential (PJ)]]/3.6</f>
        <v>0.83333333333333326</v>
      </c>
      <c r="F766">
        <v>7.0001333333333333</v>
      </c>
      <c r="G766">
        <f>Tableau5[[#This Row],[Cost (€/GJ)]]*3.6</f>
        <v>25.200479999999999</v>
      </c>
      <c r="H766">
        <v>15</v>
      </c>
      <c r="I766">
        <f>Tableau5[[#This Row],[GHG (kgCO2eq/GJ)]]*3.6</f>
        <v>54</v>
      </c>
      <c r="J766" t="s">
        <v>104</v>
      </c>
      <c r="K766" t="s">
        <v>109</v>
      </c>
    </row>
    <row r="767" spans="1:11" x14ac:dyDescent="0.3">
      <c r="A767" t="s">
        <v>41</v>
      </c>
      <c r="B767" t="s">
        <v>49</v>
      </c>
      <c r="C767" t="s">
        <v>71</v>
      </c>
      <c r="D767">
        <v>27.3977</v>
      </c>
      <c r="E767">
        <f>Tableau5[[#This Row],[Potential (PJ)]]/3.6</f>
        <v>7.6104722222222225</v>
      </c>
      <c r="F767">
        <v>2.9862046091460228</v>
      </c>
      <c r="G767">
        <f>Tableau5[[#This Row],[Cost (€/GJ)]]*3.6</f>
        <v>10.750336592925683</v>
      </c>
      <c r="H767">
        <v>3.86607608129234</v>
      </c>
      <c r="I767">
        <f>Tableau5[[#This Row],[GHG (kgCO2eq/GJ)]]*3.6</f>
        <v>13.917873892652425</v>
      </c>
      <c r="J767" t="s">
        <v>104</v>
      </c>
      <c r="K767" t="s">
        <v>108</v>
      </c>
    </row>
    <row r="768" spans="1:11" x14ac:dyDescent="0.3">
      <c r="A768" t="s">
        <v>41</v>
      </c>
      <c r="B768" t="s">
        <v>49</v>
      </c>
      <c r="C768" t="s">
        <v>72</v>
      </c>
      <c r="D768">
        <v>0.7</v>
      </c>
      <c r="E768">
        <f>Tableau5[[#This Row],[Potential (PJ)]]/3.6</f>
        <v>0.19444444444444442</v>
      </c>
      <c r="F768">
        <v>4.0527142857142859</v>
      </c>
      <c r="G768">
        <f>Tableau5[[#This Row],[Cost (€/GJ)]]*3.6</f>
        <v>14.58977142857143</v>
      </c>
      <c r="H768">
        <v>3.86607608129234</v>
      </c>
      <c r="I768">
        <f>Tableau5[[#This Row],[GHG (kgCO2eq/GJ)]]*3.6</f>
        <v>13.917873892652425</v>
      </c>
      <c r="J768" t="s">
        <v>104</v>
      </c>
      <c r="K768" t="s">
        <v>108</v>
      </c>
    </row>
    <row r="769" spans="1:11" x14ac:dyDescent="0.3">
      <c r="A769" t="s">
        <v>41</v>
      </c>
      <c r="B769" t="s">
        <v>58</v>
      </c>
      <c r="C769" t="s">
        <v>95</v>
      </c>
      <c r="D769">
        <v>1.63984</v>
      </c>
      <c r="E769">
        <f>Tableau5[[#This Row],[Potential (PJ)]]/3.6</f>
        <v>0.45551111111111109</v>
      </c>
      <c r="F769">
        <v>3.1930000000000001</v>
      </c>
      <c r="G769">
        <f>Tableau5[[#This Row],[Cost (€/GJ)]]*3.6</f>
        <v>11.4948</v>
      </c>
      <c r="H769">
        <v>2.9521711768407801</v>
      </c>
      <c r="I769">
        <f>Tableau5[[#This Row],[GHG (kgCO2eq/GJ)]]*3.6</f>
        <v>10.627816236626808</v>
      </c>
      <c r="J769" t="s">
        <v>104</v>
      </c>
      <c r="K769" t="s">
        <v>108</v>
      </c>
    </row>
    <row r="770" spans="1:11" x14ac:dyDescent="0.3">
      <c r="A770" t="s">
        <v>41</v>
      </c>
      <c r="B770" t="s">
        <v>50</v>
      </c>
      <c r="C770" t="s">
        <v>73</v>
      </c>
      <c r="D770">
        <v>1.2</v>
      </c>
      <c r="E770">
        <f>Tableau5[[#This Row],[Potential (PJ)]]/3.6</f>
        <v>0.33333333333333331</v>
      </c>
      <c r="F770">
        <v>5.1362500000000004</v>
      </c>
      <c r="G770">
        <f>Tableau5[[#This Row],[Cost (€/GJ)]]*3.6</f>
        <v>18.490500000000001</v>
      </c>
      <c r="H770">
        <v>20.723404255319149</v>
      </c>
      <c r="I770">
        <f>Tableau5[[#This Row],[GHG (kgCO2eq/GJ)]]*3.6</f>
        <v>74.604255319148933</v>
      </c>
      <c r="J770" t="s">
        <v>105</v>
      </c>
      <c r="K770" t="s">
        <v>108</v>
      </c>
    </row>
    <row r="771" spans="1:11" x14ac:dyDescent="0.3">
      <c r="A771" t="s">
        <v>41</v>
      </c>
      <c r="B771" t="s">
        <v>50</v>
      </c>
      <c r="C771" t="s">
        <v>74</v>
      </c>
      <c r="D771">
        <v>9.3000000000000007</v>
      </c>
      <c r="E771">
        <f>Tableau5[[#This Row],[Potential (PJ)]]/3.6</f>
        <v>2.5833333333333335</v>
      </c>
      <c r="F771">
        <v>3.6211827956989242</v>
      </c>
      <c r="G771">
        <f>Tableau5[[#This Row],[Cost (€/GJ)]]*3.6</f>
        <v>13.036258064516128</v>
      </c>
      <c r="H771">
        <v>2.0635593220338988</v>
      </c>
      <c r="I771">
        <f>Tableau5[[#This Row],[GHG (kgCO2eq/GJ)]]*3.6</f>
        <v>7.4288135593220357</v>
      </c>
      <c r="J771" t="s">
        <v>105</v>
      </c>
      <c r="K771" t="s">
        <v>108</v>
      </c>
    </row>
    <row r="772" spans="1:11" x14ac:dyDescent="0.3">
      <c r="A772" t="s">
        <v>41</v>
      </c>
      <c r="B772" t="s">
        <v>59</v>
      </c>
      <c r="C772" t="s">
        <v>96</v>
      </c>
      <c r="D772">
        <v>0.25140000000000001</v>
      </c>
      <c r="E772">
        <f>Tableau5[[#This Row],[Potential (PJ)]]/3.6</f>
        <v>6.9833333333333331E-2</v>
      </c>
      <c r="F772">
        <v>18.32</v>
      </c>
      <c r="G772">
        <f>Tableau5[[#This Row],[Cost (€/GJ)]]*3.6</f>
        <v>65.951999999999998</v>
      </c>
      <c r="H772">
        <v>10</v>
      </c>
      <c r="I772">
        <f>Tableau5[[#This Row],[GHG (kgCO2eq/GJ)]]*3.6</f>
        <v>36</v>
      </c>
      <c r="J772" t="s">
        <v>107</v>
      </c>
      <c r="K772" t="s">
        <v>109</v>
      </c>
    </row>
    <row r="773" spans="1:11" x14ac:dyDescent="0.3">
      <c r="A773" t="s">
        <v>41</v>
      </c>
      <c r="B773" t="s">
        <v>59</v>
      </c>
      <c r="C773" t="s">
        <v>97</v>
      </c>
      <c r="D773">
        <v>0.7923</v>
      </c>
      <c r="E773">
        <f>Tableau5[[#This Row],[Potential (PJ)]]/3.6</f>
        <v>0.22008333333333333</v>
      </c>
      <c r="F773">
        <v>15.95225176342919</v>
      </c>
      <c r="G773">
        <f>Tableau5[[#This Row],[Cost (€/GJ)]]*3.6</f>
        <v>57.428106348345089</v>
      </c>
      <c r="H773">
        <v>10</v>
      </c>
      <c r="I773">
        <f>Tableau5[[#This Row],[GHG (kgCO2eq/GJ)]]*3.6</f>
        <v>36</v>
      </c>
      <c r="J773" t="s">
        <v>107</v>
      </c>
      <c r="K773" t="s">
        <v>109</v>
      </c>
    </row>
    <row r="774" spans="1:11" x14ac:dyDescent="0.3">
      <c r="A774" t="s">
        <v>41</v>
      </c>
      <c r="B774" t="s">
        <v>51</v>
      </c>
      <c r="C774" t="s">
        <v>75</v>
      </c>
      <c r="D774">
        <v>2.4377</v>
      </c>
      <c r="E774">
        <f>Tableau5[[#This Row],[Potential (PJ)]]/3.6</f>
        <v>0.67713888888888885</v>
      </c>
      <c r="F774">
        <v>2.4259530135074699E-2</v>
      </c>
      <c r="G774">
        <f>Tableau5[[#This Row],[Cost (€/GJ)]]*3.6</f>
        <v>8.7334308486268913E-2</v>
      </c>
      <c r="H774">
        <v>11.74</v>
      </c>
      <c r="I774">
        <f>Tableau5[[#This Row],[GHG (kgCO2eq/GJ)]]*3.6</f>
        <v>42.264000000000003</v>
      </c>
      <c r="J774" t="s">
        <v>104</v>
      </c>
      <c r="K774" t="s">
        <v>108</v>
      </c>
    </row>
    <row r="775" spans="1:11" x14ac:dyDescent="0.3">
      <c r="A775" t="s">
        <v>41</v>
      </c>
      <c r="B775" t="s">
        <v>60</v>
      </c>
      <c r="C775" t="s">
        <v>98</v>
      </c>
      <c r="D775">
        <v>2.6412399999999998</v>
      </c>
      <c r="E775">
        <f>Tableau5[[#This Row],[Potential (PJ)]]/3.6</f>
        <v>0.73367777777777776</v>
      </c>
      <c r="F775">
        <v>18.367346938775508</v>
      </c>
      <c r="G775">
        <f>Tableau5[[#This Row],[Cost (€/GJ)]]*3.6</f>
        <v>66.122448979591837</v>
      </c>
      <c r="H775">
        <v>18.8</v>
      </c>
      <c r="I775">
        <f>Tableau5[[#This Row],[GHG (kgCO2eq/GJ)]]*3.6</f>
        <v>67.680000000000007</v>
      </c>
      <c r="J775" t="s">
        <v>107</v>
      </c>
      <c r="K775" t="s">
        <v>109</v>
      </c>
    </row>
    <row r="776" spans="1:11" x14ac:dyDescent="0.3">
      <c r="A776" t="s">
        <v>41</v>
      </c>
      <c r="B776" t="s">
        <v>52</v>
      </c>
      <c r="C776" t="s">
        <v>76</v>
      </c>
      <c r="D776">
        <v>1E-3</v>
      </c>
      <c r="E776">
        <f>Tableau5[[#This Row],[Potential (PJ)]]/3.6</f>
        <v>2.7777777777777778E-4</v>
      </c>
      <c r="F776">
        <v>8.4824999999999999</v>
      </c>
      <c r="G776">
        <f>Tableau5[[#This Row],[Cost (€/GJ)]]*3.6</f>
        <v>30.536999999999999</v>
      </c>
      <c r="H776">
        <v>12.68872359754714</v>
      </c>
      <c r="I776">
        <f>Tableau5[[#This Row],[GHG (kgCO2eq/GJ)]]*3.6</f>
        <v>45.679404951169708</v>
      </c>
      <c r="J776" t="s">
        <v>105</v>
      </c>
      <c r="K776" t="s">
        <v>108</v>
      </c>
    </row>
    <row r="777" spans="1:11" x14ac:dyDescent="0.3">
      <c r="A777" t="s">
        <v>41</v>
      </c>
      <c r="B777" t="s">
        <v>53</v>
      </c>
      <c r="C777" t="s">
        <v>77</v>
      </c>
      <c r="D777">
        <v>0.91375000000000006</v>
      </c>
      <c r="E777">
        <f>Tableau5[[#This Row],[Potential (PJ)]]/3.6</f>
        <v>0.25381944444444443</v>
      </c>
      <c r="F777">
        <v>4.0528611874145009</v>
      </c>
      <c r="G777">
        <f>Tableau5[[#This Row],[Cost (€/GJ)]]*3.6</f>
        <v>14.590300274692204</v>
      </c>
      <c r="H777">
        <v>3.86607608129234</v>
      </c>
      <c r="I777">
        <f>Tableau5[[#This Row],[GHG (kgCO2eq/GJ)]]*3.6</f>
        <v>13.917873892652425</v>
      </c>
      <c r="J777" t="s">
        <v>104</v>
      </c>
      <c r="K777" t="s">
        <v>108</v>
      </c>
    </row>
    <row r="778" spans="1:11" x14ac:dyDescent="0.3">
      <c r="A778" t="s">
        <v>41</v>
      </c>
      <c r="B778" t="s">
        <v>61</v>
      </c>
      <c r="C778" t="s">
        <v>99</v>
      </c>
      <c r="D778">
        <v>3.3</v>
      </c>
      <c r="E778">
        <f>Tableau5[[#This Row],[Potential (PJ)]]/3.6</f>
        <v>0.91666666666666663</v>
      </c>
      <c r="F778">
        <v>2.4262727272727269</v>
      </c>
      <c r="G778">
        <f>Tableau5[[#This Row],[Cost (€/GJ)]]*3.6</f>
        <v>8.7345818181818178</v>
      </c>
      <c r="H778">
        <v>2.9245635910224439</v>
      </c>
      <c r="I778">
        <f>Tableau5[[#This Row],[GHG (kgCO2eq/GJ)]]*3.6</f>
        <v>10.528428927680798</v>
      </c>
      <c r="J778" t="s">
        <v>104</v>
      </c>
      <c r="K778" t="s">
        <v>108</v>
      </c>
    </row>
    <row r="779" spans="1:11" x14ac:dyDescent="0.3">
      <c r="A779" t="s">
        <v>41</v>
      </c>
      <c r="B779" t="s">
        <v>62</v>
      </c>
      <c r="C779" t="s">
        <v>100</v>
      </c>
      <c r="D779">
        <v>1</v>
      </c>
      <c r="E779">
        <f>Tableau5[[#This Row],[Potential (PJ)]]/3.6</f>
        <v>0.27777777777777779</v>
      </c>
      <c r="F779">
        <v>0.92</v>
      </c>
      <c r="G779">
        <f>Tableau5[[#This Row],[Cost (€/GJ)]]*3.6</f>
        <v>3.3120000000000003</v>
      </c>
      <c r="H779">
        <v>2.6764106050305911</v>
      </c>
      <c r="I779">
        <f>Tableau5[[#This Row],[GHG (kgCO2eq/GJ)]]*3.6</f>
        <v>9.6350781781101276</v>
      </c>
      <c r="J779" t="s">
        <v>104</v>
      </c>
      <c r="K779" t="s">
        <v>108</v>
      </c>
    </row>
    <row r="780" spans="1:11" x14ac:dyDescent="0.3">
      <c r="A780" t="s">
        <v>41</v>
      </c>
      <c r="B780" t="s">
        <v>54</v>
      </c>
      <c r="C780" t="s">
        <v>78</v>
      </c>
      <c r="D780">
        <v>31.5</v>
      </c>
      <c r="E780">
        <f>Tableau5[[#This Row],[Potential (PJ)]]/3.6</f>
        <v>8.75</v>
      </c>
      <c r="F780">
        <v>4.0002190476190478</v>
      </c>
      <c r="G780">
        <f>Tableau5[[#This Row],[Cost (€/GJ)]]*3.6</f>
        <v>14.400788571428572</v>
      </c>
      <c r="H780">
        <v>3.86607608129234</v>
      </c>
      <c r="I780">
        <f>Tableau5[[#This Row],[GHG (kgCO2eq/GJ)]]*3.6</f>
        <v>13.917873892652425</v>
      </c>
      <c r="J780" t="s">
        <v>104</v>
      </c>
      <c r="K780" t="s">
        <v>108</v>
      </c>
    </row>
    <row r="781" spans="1:11" x14ac:dyDescent="0.3">
      <c r="A781" t="s">
        <v>42</v>
      </c>
      <c r="B781" t="s">
        <v>46</v>
      </c>
      <c r="C781" t="s">
        <v>63</v>
      </c>
      <c r="D781">
        <v>1.5831</v>
      </c>
      <c r="E781">
        <f>Tableau5[[#This Row],[Potential (PJ)]]/3.6</f>
        <v>0.43974999999999997</v>
      </c>
      <c r="F781">
        <v>2.9286474973375931</v>
      </c>
      <c r="G781">
        <f>Tableau5[[#This Row],[Cost (€/GJ)]]*3.6</f>
        <v>10.543130990415335</v>
      </c>
      <c r="H781">
        <v>3.950479233226837</v>
      </c>
      <c r="I781">
        <f>Tableau5[[#This Row],[GHG (kgCO2eq/GJ)]]*3.6</f>
        <v>14.221725239616614</v>
      </c>
      <c r="J781" t="s">
        <v>104</v>
      </c>
      <c r="K781" t="s">
        <v>108</v>
      </c>
    </row>
    <row r="782" spans="1:11" x14ac:dyDescent="0.3">
      <c r="A782" t="s">
        <v>42</v>
      </c>
      <c r="B782" t="s">
        <v>46</v>
      </c>
      <c r="C782" t="s">
        <v>64</v>
      </c>
      <c r="D782">
        <v>0.80018999999999996</v>
      </c>
      <c r="E782">
        <f>Tableau5[[#This Row],[Potential (PJ)]]/3.6</f>
        <v>0.22227499999999997</v>
      </c>
      <c r="F782">
        <v>5.6674328097076954</v>
      </c>
      <c r="G782">
        <f>Tableau5[[#This Row],[Cost (€/GJ)]]*3.6</f>
        <v>20.402758114947705</v>
      </c>
      <c r="H782">
        <v>2.9521711768407801</v>
      </c>
      <c r="I782">
        <f>Tableau5[[#This Row],[GHG (kgCO2eq/GJ)]]*3.6</f>
        <v>10.627816236626808</v>
      </c>
      <c r="J782" t="s">
        <v>104</v>
      </c>
      <c r="K782" t="s">
        <v>108</v>
      </c>
    </row>
    <row r="783" spans="1:11" x14ac:dyDescent="0.3">
      <c r="A783" t="s">
        <v>42</v>
      </c>
      <c r="B783" t="s">
        <v>46</v>
      </c>
      <c r="C783" t="s">
        <v>65</v>
      </c>
      <c r="D783">
        <v>4.0999999999999996</v>
      </c>
      <c r="E783">
        <f>Tableau5[[#This Row],[Potential (PJ)]]/3.6</f>
        <v>1.1388888888888888</v>
      </c>
      <c r="F783">
        <v>5.0738048780487803</v>
      </c>
      <c r="G783">
        <f>Tableau5[[#This Row],[Cost (€/GJ)]]*3.6</f>
        <v>18.26569756097561</v>
      </c>
      <c r="H783">
        <v>2.9521711768407801</v>
      </c>
      <c r="I783">
        <f>Tableau5[[#This Row],[GHG (kgCO2eq/GJ)]]*3.6</f>
        <v>10.627816236626808</v>
      </c>
      <c r="J783" t="s">
        <v>104</v>
      </c>
      <c r="K783" t="s">
        <v>108</v>
      </c>
    </row>
    <row r="784" spans="1:11" x14ac:dyDescent="0.3">
      <c r="A784" t="s">
        <v>42</v>
      </c>
      <c r="B784" t="s">
        <v>46</v>
      </c>
      <c r="C784" t="s">
        <v>67</v>
      </c>
      <c r="D784">
        <v>2.2000000000000002</v>
      </c>
      <c r="E784">
        <f>Tableau5[[#This Row],[Potential (PJ)]]/3.6</f>
        <v>0.61111111111111116</v>
      </c>
      <c r="F784">
        <v>6.9809999999999999</v>
      </c>
      <c r="G784">
        <f>Tableau5[[#This Row],[Cost (€/GJ)]]*3.6</f>
        <v>25.131599999999999</v>
      </c>
      <c r="H784">
        <v>2.9521711768407801</v>
      </c>
      <c r="I784">
        <f>Tableau5[[#This Row],[GHG (kgCO2eq/GJ)]]*3.6</f>
        <v>10.627816236626808</v>
      </c>
      <c r="J784" t="s">
        <v>104</v>
      </c>
      <c r="K784" t="s">
        <v>108</v>
      </c>
    </row>
    <row r="785" spans="1:11" x14ac:dyDescent="0.3">
      <c r="A785" t="s">
        <v>42</v>
      </c>
      <c r="B785" t="s">
        <v>46</v>
      </c>
      <c r="C785" t="s">
        <v>85</v>
      </c>
      <c r="D785">
        <v>1.1000000000000001</v>
      </c>
      <c r="E785">
        <f>Tableau5[[#This Row],[Potential (PJ)]]/3.6</f>
        <v>0.30555555555555558</v>
      </c>
      <c r="F785">
        <v>4.3410000000000002</v>
      </c>
      <c r="G785">
        <f>Tableau5[[#This Row],[Cost (€/GJ)]]*3.6</f>
        <v>15.627600000000001</v>
      </c>
      <c r="H785">
        <v>2.9521711768407801</v>
      </c>
      <c r="I785">
        <f>Tableau5[[#This Row],[GHG (kgCO2eq/GJ)]]*3.6</f>
        <v>10.627816236626808</v>
      </c>
      <c r="J785" t="s">
        <v>104</v>
      </c>
      <c r="K785" t="s">
        <v>108</v>
      </c>
    </row>
    <row r="786" spans="1:11" x14ac:dyDescent="0.3">
      <c r="A786" t="s">
        <v>42</v>
      </c>
      <c r="B786" t="s">
        <v>47</v>
      </c>
      <c r="C786" t="s">
        <v>68</v>
      </c>
      <c r="D786">
        <v>69.2</v>
      </c>
      <c r="E786">
        <f>Tableau5[[#This Row],[Potential (PJ)]]/3.6</f>
        <v>19.222222222222221</v>
      </c>
      <c r="F786">
        <v>2.9477341040462428</v>
      </c>
      <c r="G786">
        <f>Tableau5[[#This Row],[Cost (€/GJ)]]*3.6</f>
        <v>10.611842774566474</v>
      </c>
      <c r="I786">
        <f>Tableau5[[#This Row],[GHG (kgCO2eq/GJ)]]*3.6</f>
        <v>0</v>
      </c>
      <c r="J786" t="s">
        <v>104</v>
      </c>
      <c r="K786" t="s">
        <v>109</v>
      </c>
    </row>
    <row r="787" spans="1:11" x14ac:dyDescent="0.3">
      <c r="A787" t="s">
        <v>42</v>
      </c>
      <c r="B787" t="s">
        <v>47</v>
      </c>
      <c r="C787" t="s">
        <v>69</v>
      </c>
      <c r="D787">
        <v>48.4</v>
      </c>
      <c r="E787">
        <f>Tableau5[[#This Row],[Potential (PJ)]]/3.6</f>
        <v>13.444444444444443</v>
      </c>
      <c r="F787">
        <v>2.9359999999999999</v>
      </c>
      <c r="G787">
        <f>Tableau5[[#This Row],[Cost (€/GJ)]]*3.6</f>
        <v>10.569599999999999</v>
      </c>
      <c r="I787">
        <f>Tableau5[[#This Row],[GHG (kgCO2eq/GJ)]]*3.6</f>
        <v>0</v>
      </c>
      <c r="J787" t="s">
        <v>104</v>
      </c>
      <c r="K787" t="s">
        <v>109</v>
      </c>
    </row>
    <row r="788" spans="1:11" x14ac:dyDescent="0.3">
      <c r="A788" t="s">
        <v>42</v>
      </c>
      <c r="B788" t="s">
        <v>48</v>
      </c>
      <c r="C788" t="s">
        <v>70</v>
      </c>
      <c r="D788">
        <v>25.7</v>
      </c>
      <c r="E788">
        <f>Tableau5[[#This Row],[Potential (PJ)]]/3.6</f>
        <v>7.1388888888888884</v>
      </c>
      <c r="F788">
        <v>7.6870000000000003</v>
      </c>
      <c r="G788">
        <f>Tableau5[[#This Row],[Cost (€/GJ)]]*3.6</f>
        <v>27.673200000000001</v>
      </c>
      <c r="I788">
        <f>Tableau5[[#This Row],[GHG (kgCO2eq/GJ)]]*3.6</f>
        <v>0</v>
      </c>
      <c r="J788" t="s">
        <v>104</v>
      </c>
      <c r="K788" t="s">
        <v>109</v>
      </c>
    </row>
    <row r="789" spans="1:11" x14ac:dyDescent="0.3">
      <c r="A789" t="s">
        <v>42</v>
      </c>
      <c r="B789" t="s">
        <v>49</v>
      </c>
      <c r="C789" t="s">
        <v>71</v>
      </c>
      <c r="D789">
        <v>7.4889999999999998E-2</v>
      </c>
      <c r="E789">
        <f>Tableau5[[#This Row],[Potential (PJ)]]/3.6</f>
        <v>2.0802777777777778E-2</v>
      </c>
      <c r="F789">
        <v>4.43</v>
      </c>
      <c r="G789">
        <f>Tableau5[[#This Row],[Cost (€/GJ)]]*3.6</f>
        <v>15.947999999999999</v>
      </c>
      <c r="H789">
        <v>3.86607608129234</v>
      </c>
      <c r="I789">
        <f>Tableau5[[#This Row],[GHG (kgCO2eq/GJ)]]*3.6</f>
        <v>13.917873892652425</v>
      </c>
      <c r="J789" t="s">
        <v>104</v>
      </c>
      <c r="K789" t="s">
        <v>108</v>
      </c>
    </row>
    <row r="790" spans="1:11" x14ac:dyDescent="0.3">
      <c r="A790" t="s">
        <v>42</v>
      </c>
      <c r="B790" t="s">
        <v>52</v>
      </c>
      <c r="C790" t="s">
        <v>76</v>
      </c>
      <c r="D790">
        <v>1.591</v>
      </c>
      <c r="E790">
        <f>Tableau5[[#This Row],[Potential (PJ)]]/3.6</f>
        <v>0.44194444444444442</v>
      </c>
      <c r="F790">
        <v>0</v>
      </c>
      <c r="G790">
        <f>Tableau5[[#This Row],[Cost (€/GJ)]]*3.6</f>
        <v>0</v>
      </c>
      <c r="H790">
        <v>12.68872359754714</v>
      </c>
      <c r="I790">
        <f>Tableau5[[#This Row],[GHG (kgCO2eq/GJ)]]*3.6</f>
        <v>45.679404951169708</v>
      </c>
      <c r="J790" t="s">
        <v>105</v>
      </c>
      <c r="K790" t="s">
        <v>108</v>
      </c>
    </row>
    <row r="791" spans="1:11" x14ac:dyDescent="0.3">
      <c r="A791" t="s">
        <v>43</v>
      </c>
      <c r="B791" t="s">
        <v>49</v>
      </c>
      <c r="C791" t="s">
        <v>71</v>
      </c>
      <c r="D791">
        <v>87.882660000000001</v>
      </c>
      <c r="E791">
        <f>Tableau5[[#This Row],[Potential (PJ)]]/3.6</f>
        <v>24.411850000000001</v>
      </c>
      <c r="F791">
        <v>0</v>
      </c>
      <c r="G791">
        <f>Tableau5[[#This Row],[Cost (€/GJ)]]*3.6</f>
        <v>0</v>
      </c>
      <c r="I791">
        <f>Tableau5[[#This Row],[GHG (kgCO2eq/GJ)]]*3.6</f>
        <v>0</v>
      </c>
      <c r="J791" t="s">
        <v>104</v>
      </c>
      <c r="K791" t="s">
        <v>108</v>
      </c>
    </row>
    <row r="792" spans="1:11" x14ac:dyDescent="0.3">
      <c r="A792" t="s">
        <v>43</v>
      </c>
      <c r="B792" t="s">
        <v>49</v>
      </c>
      <c r="C792" t="s">
        <v>72</v>
      </c>
      <c r="D792">
        <v>16</v>
      </c>
      <c r="E792">
        <f>Tableau5[[#This Row],[Potential (PJ)]]/3.6</f>
        <v>4.4444444444444446</v>
      </c>
      <c r="F792">
        <v>0</v>
      </c>
      <c r="G792">
        <f>Tableau5[[#This Row],[Cost (€/GJ)]]*3.6</f>
        <v>0</v>
      </c>
      <c r="I792">
        <f>Tableau5[[#This Row],[GHG (kgCO2eq/GJ)]]*3.6</f>
        <v>0</v>
      </c>
      <c r="J792" t="s">
        <v>104</v>
      </c>
      <c r="K792" t="s">
        <v>108</v>
      </c>
    </row>
    <row r="793" spans="1:11" x14ac:dyDescent="0.3">
      <c r="A793" t="s">
        <v>43</v>
      </c>
      <c r="B793" t="s">
        <v>53</v>
      </c>
      <c r="C793" t="s">
        <v>77</v>
      </c>
      <c r="D793">
        <v>18.25487</v>
      </c>
      <c r="E793">
        <f>Tableau5[[#This Row],[Potential (PJ)]]/3.6</f>
        <v>5.0707972222222226</v>
      </c>
      <c r="F793">
        <v>0</v>
      </c>
      <c r="G793">
        <f>Tableau5[[#This Row],[Cost (€/GJ)]]*3.6</f>
        <v>0</v>
      </c>
      <c r="I793">
        <f>Tableau5[[#This Row],[GHG (kgCO2eq/GJ)]]*3.6</f>
        <v>0</v>
      </c>
      <c r="J793" t="s">
        <v>104</v>
      </c>
      <c r="K793" t="s">
        <v>108</v>
      </c>
    </row>
    <row r="794" spans="1:11" x14ac:dyDescent="0.3">
      <c r="A794" t="s">
        <v>43</v>
      </c>
      <c r="B794" t="s">
        <v>54</v>
      </c>
      <c r="C794" t="s">
        <v>78</v>
      </c>
      <c r="D794">
        <v>100.2</v>
      </c>
      <c r="E794">
        <f>Tableau5[[#This Row],[Potential (PJ)]]/3.6</f>
        <v>27.833333333333332</v>
      </c>
      <c r="F794">
        <v>0</v>
      </c>
      <c r="G794">
        <f>Tableau5[[#This Row],[Cost (€/GJ)]]*3.6</f>
        <v>0</v>
      </c>
      <c r="I794">
        <f>Tableau5[[#This Row],[GHG (kgCO2eq/GJ)]]*3.6</f>
        <v>0</v>
      </c>
      <c r="J794" t="s">
        <v>104</v>
      </c>
      <c r="K794" t="s">
        <v>108</v>
      </c>
    </row>
    <row r="795" spans="1:11" x14ac:dyDescent="0.3">
      <c r="A795" t="s">
        <v>44</v>
      </c>
      <c r="B795" t="s">
        <v>46</v>
      </c>
      <c r="C795" t="s">
        <v>64</v>
      </c>
      <c r="D795">
        <v>4.5319999999999999E-2</v>
      </c>
      <c r="E795">
        <f>Tableau5[[#This Row],[Potential (PJ)]]/3.6</f>
        <v>1.2588888888888889E-2</v>
      </c>
      <c r="F795">
        <v>5.5252833186231243</v>
      </c>
      <c r="G795">
        <f>Tableau5[[#This Row],[Cost (€/GJ)]]*3.6</f>
        <v>19.891019947043247</v>
      </c>
      <c r="H795">
        <v>2.9521711768407801</v>
      </c>
      <c r="I795">
        <f>Tableau5[[#This Row],[GHG (kgCO2eq/GJ)]]*3.6</f>
        <v>10.627816236626808</v>
      </c>
      <c r="J795" t="s">
        <v>104</v>
      </c>
      <c r="K795" t="s">
        <v>108</v>
      </c>
    </row>
    <row r="796" spans="1:11" x14ac:dyDescent="0.3">
      <c r="A796" t="s">
        <v>44</v>
      </c>
      <c r="B796" t="s">
        <v>46</v>
      </c>
      <c r="C796" t="s">
        <v>79</v>
      </c>
      <c r="D796">
        <v>33.299999999999997</v>
      </c>
      <c r="E796">
        <f>Tableau5[[#This Row],[Potential (PJ)]]/3.6</f>
        <v>9.2499999999999982</v>
      </c>
      <c r="F796">
        <v>5.9546456456456456</v>
      </c>
      <c r="G796">
        <f>Tableau5[[#This Row],[Cost (€/GJ)]]*3.6</f>
        <v>21.436724324324324</v>
      </c>
      <c r="H796">
        <v>6.8428961748633883</v>
      </c>
      <c r="I796">
        <f>Tableau5[[#This Row],[GHG (kgCO2eq/GJ)]]*3.6</f>
        <v>24.634426229508197</v>
      </c>
      <c r="J796" t="s">
        <v>104</v>
      </c>
      <c r="K796" t="s">
        <v>108</v>
      </c>
    </row>
    <row r="797" spans="1:11" x14ac:dyDescent="0.3">
      <c r="A797" t="s">
        <v>44</v>
      </c>
      <c r="B797" t="s">
        <v>46</v>
      </c>
      <c r="C797" t="s">
        <v>80</v>
      </c>
      <c r="D797">
        <v>2.0404</v>
      </c>
      <c r="E797">
        <f>Tableau5[[#This Row],[Potential (PJ)]]/3.6</f>
        <v>0.56677777777777771</v>
      </c>
      <c r="F797">
        <v>4.7201618341200263E-2</v>
      </c>
      <c r="G797">
        <f>Tableau5[[#This Row],[Cost (€/GJ)]]*3.6</f>
        <v>0.16992582602832096</v>
      </c>
      <c r="H797">
        <v>28.139870918023309</v>
      </c>
      <c r="I797">
        <f>Tableau5[[#This Row],[GHG (kgCO2eq/GJ)]]*3.6</f>
        <v>101.30353530488391</v>
      </c>
      <c r="J797" t="s">
        <v>105</v>
      </c>
      <c r="K797" t="s">
        <v>108</v>
      </c>
    </row>
    <row r="798" spans="1:11" x14ac:dyDescent="0.3">
      <c r="A798" t="s">
        <v>44</v>
      </c>
      <c r="B798" t="s">
        <v>46</v>
      </c>
      <c r="C798" t="s">
        <v>81</v>
      </c>
      <c r="D798">
        <v>0.72340000000000004</v>
      </c>
      <c r="E798">
        <f>Tableau5[[#This Row],[Potential (PJ)]]/3.6</f>
        <v>0.20094444444444445</v>
      </c>
      <c r="F798">
        <v>0.69388954171562867</v>
      </c>
      <c r="G798">
        <f>Tableau5[[#This Row],[Cost (€/GJ)]]*3.6</f>
        <v>2.4980023501762632</v>
      </c>
      <c r="H798">
        <v>8.9647473560517046</v>
      </c>
      <c r="I798">
        <f>Tableau5[[#This Row],[GHG (kgCO2eq/GJ)]]*3.6</f>
        <v>32.273090481786134</v>
      </c>
      <c r="J798" t="s">
        <v>105</v>
      </c>
      <c r="K798" t="s">
        <v>108</v>
      </c>
    </row>
    <row r="799" spans="1:11" x14ac:dyDescent="0.3">
      <c r="A799" t="s">
        <v>44</v>
      </c>
      <c r="B799" t="s">
        <v>46</v>
      </c>
      <c r="C799" t="s">
        <v>82</v>
      </c>
      <c r="D799">
        <v>2.9</v>
      </c>
      <c r="E799">
        <f>Tableau5[[#This Row],[Potential (PJ)]]/3.6</f>
        <v>0.80555555555555547</v>
      </c>
      <c r="F799">
        <v>3.7304137931034478</v>
      </c>
      <c r="G799">
        <f>Tableau5[[#This Row],[Cost (€/GJ)]]*3.6</f>
        <v>13.429489655172413</v>
      </c>
      <c r="H799">
        <v>6.8428961748633883</v>
      </c>
      <c r="I799">
        <f>Tableau5[[#This Row],[GHG (kgCO2eq/GJ)]]*3.6</f>
        <v>24.634426229508197</v>
      </c>
      <c r="J799" t="s">
        <v>104</v>
      </c>
      <c r="K799" t="s">
        <v>108</v>
      </c>
    </row>
    <row r="800" spans="1:11" x14ac:dyDescent="0.3">
      <c r="A800" t="s">
        <v>44</v>
      </c>
      <c r="B800" t="s">
        <v>46</v>
      </c>
      <c r="C800" t="s">
        <v>84</v>
      </c>
      <c r="D800">
        <v>0.60000000000000009</v>
      </c>
      <c r="E800">
        <f>Tableau5[[#This Row],[Potential (PJ)]]/3.6</f>
        <v>0.16666666666666669</v>
      </c>
      <c r="F800">
        <v>3.265499999999999</v>
      </c>
      <c r="G800">
        <f>Tableau5[[#This Row],[Cost (€/GJ)]]*3.6</f>
        <v>11.755799999999997</v>
      </c>
      <c r="H800">
        <v>28.139870918023309</v>
      </c>
      <c r="I800">
        <f>Tableau5[[#This Row],[GHG (kgCO2eq/GJ)]]*3.6</f>
        <v>101.30353530488391</v>
      </c>
      <c r="J800" t="s">
        <v>105</v>
      </c>
      <c r="K800" t="s">
        <v>108</v>
      </c>
    </row>
    <row r="801" spans="1:11" x14ac:dyDescent="0.3">
      <c r="A801" t="s">
        <v>44</v>
      </c>
      <c r="B801" t="s">
        <v>55</v>
      </c>
      <c r="C801" t="s">
        <v>86</v>
      </c>
      <c r="D801">
        <v>2.9796999999999998</v>
      </c>
      <c r="E801">
        <f>Tableau5[[#This Row],[Potential (PJ)]]/3.6</f>
        <v>0.8276944444444444</v>
      </c>
      <c r="F801">
        <v>12.305999999999999</v>
      </c>
      <c r="G801">
        <f>Tableau5[[#This Row],[Cost (€/GJ)]]*3.6</f>
        <v>44.301600000000001</v>
      </c>
      <c r="H801">
        <v>11.6</v>
      </c>
      <c r="I801">
        <f>Tableau5[[#This Row],[GHG (kgCO2eq/GJ)]]*3.6</f>
        <v>41.76</v>
      </c>
      <c r="J801" t="s">
        <v>106</v>
      </c>
      <c r="K801" t="s">
        <v>109</v>
      </c>
    </row>
    <row r="802" spans="1:11" x14ac:dyDescent="0.3">
      <c r="A802" t="s">
        <v>44</v>
      </c>
      <c r="B802" t="s">
        <v>55</v>
      </c>
      <c r="C802" t="s">
        <v>89</v>
      </c>
      <c r="D802">
        <v>3.1093999999999999</v>
      </c>
      <c r="E802">
        <f>Tableau5[[#This Row],[Potential (PJ)]]/3.6</f>
        <v>0.86372222222222217</v>
      </c>
      <c r="F802">
        <v>0</v>
      </c>
      <c r="G802">
        <f>Tableau5[[#This Row],[Cost (€/GJ)]]*3.6</f>
        <v>0</v>
      </c>
      <c r="H802">
        <v>11.6</v>
      </c>
      <c r="I802">
        <f>Tableau5[[#This Row],[GHG (kgCO2eq/GJ)]]*3.6</f>
        <v>41.76</v>
      </c>
      <c r="J802" t="s">
        <v>106</v>
      </c>
      <c r="K802" t="s">
        <v>109</v>
      </c>
    </row>
    <row r="803" spans="1:11" x14ac:dyDescent="0.3">
      <c r="A803" t="s">
        <v>44</v>
      </c>
      <c r="B803" t="s">
        <v>55</v>
      </c>
      <c r="C803" t="s">
        <v>92</v>
      </c>
      <c r="D803">
        <v>11.995380000000001</v>
      </c>
      <c r="E803">
        <f>Tableau5[[#This Row],[Potential (PJ)]]/3.6</f>
        <v>3.3320500000000002</v>
      </c>
      <c r="F803">
        <v>12.39999999999999</v>
      </c>
      <c r="G803">
        <f>Tableau5[[#This Row],[Cost (€/GJ)]]*3.6</f>
        <v>44.639999999999965</v>
      </c>
      <c r="H803">
        <v>11.6</v>
      </c>
      <c r="I803">
        <f>Tableau5[[#This Row],[GHG (kgCO2eq/GJ)]]*3.6</f>
        <v>41.76</v>
      </c>
      <c r="J803" t="s">
        <v>106</v>
      </c>
      <c r="K803" t="s">
        <v>109</v>
      </c>
    </row>
    <row r="804" spans="1:11" x14ac:dyDescent="0.3">
      <c r="A804" t="s">
        <v>44</v>
      </c>
      <c r="B804" t="s">
        <v>56</v>
      </c>
      <c r="C804" t="s">
        <v>93</v>
      </c>
      <c r="D804">
        <v>18.166799999999999</v>
      </c>
      <c r="E804">
        <f>Tableau5[[#This Row],[Potential (PJ)]]/3.6</f>
        <v>5.0463333333333331</v>
      </c>
      <c r="F804">
        <v>2.939759036144578</v>
      </c>
      <c r="G804">
        <f>Tableau5[[#This Row],[Cost (€/GJ)]]*3.6</f>
        <v>10.583132530120482</v>
      </c>
      <c r="H804">
        <v>28.8</v>
      </c>
      <c r="I804">
        <f>Tableau5[[#This Row],[GHG (kgCO2eq/GJ)]]*3.6</f>
        <v>103.68</v>
      </c>
      <c r="J804" t="s">
        <v>106</v>
      </c>
      <c r="K804" t="s">
        <v>109</v>
      </c>
    </row>
    <row r="805" spans="1:11" x14ac:dyDescent="0.3">
      <c r="A805" t="s">
        <v>44</v>
      </c>
      <c r="B805" t="s">
        <v>47</v>
      </c>
      <c r="C805" t="s">
        <v>68</v>
      </c>
      <c r="D805">
        <v>13.3</v>
      </c>
      <c r="E805">
        <f>Tableau5[[#This Row],[Potential (PJ)]]/3.6</f>
        <v>3.6944444444444446</v>
      </c>
      <c r="F805">
        <v>7.3476090225563899</v>
      </c>
      <c r="G805">
        <f>Tableau5[[#This Row],[Cost (€/GJ)]]*3.6</f>
        <v>26.451392481203005</v>
      </c>
      <c r="H805">
        <v>15.9</v>
      </c>
      <c r="I805">
        <f>Tableau5[[#This Row],[GHG (kgCO2eq/GJ)]]*3.6</f>
        <v>57.24</v>
      </c>
      <c r="J805" t="s">
        <v>104</v>
      </c>
      <c r="K805" t="s">
        <v>109</v>
      </c>
    </row>
    <row r="806" spans="1:11" x14ac:dyDescent="0.3">
      <c r="A806" t="s">
        <v>44</v>
      </c>
      <c r="B806" t="s">
        <v>47</v>
      </c>
      <c r="C806" t="s">
        <v>69</v>
      </c>
      <c r="D806">
        <v>13.1</v>
      </c>
      <c r="E806">
        <f>Tableau5[[#This Row],[Potential (PJ)]]/3.6</f>
        <v>3.6388888888888888</v>
      </c>
      <c r="F806">
        <v>8.1051450381679402</v>
      </c>
      <c r="G806">
        <f>Tableau5[[#This Row],[Cost (€/GJ)]]*3.6</f>
        <v>29.178522137404585</v>
      </c>
      <c r="H806">
        <v>15.9</v>
      </c>
      <c r="I806">
        <f>Tableau5[[#This Row],[GHG (kgCO2eq/GJ)]]*3.6</f>
        <v>57.24</v>
      </c>
      <c r="J806" t="s">
        <v>104</v>
      </c>
      <c r="K806" t="s">
        <v>109</v>
      </c>
    </row>
    <row r="807" spans="1:11" x14ac:dyDescent="0.3">
      <c r="A807" t="s">
        <v>44</v>
      </c>
      <c r="B807" t="s">
        <v>57</v>
      </c>
      <c r="C807" t="s">
        <v>94</v>
      </c>
      <c r="D807">
        <v>19.399999999999999</v>
      </c>
      <c r="E807">
        <f>Tableau5[[#This Row],[Potential (PJ)]]/3.6</f>
        <v>5.3888888888888884</v>
      </c>
      <c r="F807">
        <v>10.67776804123711</v>
      </c>
      <c r="G807">
        <f>Tableau5[[#This Row],[Cost (€/GJ)]]*3.6</f>
        <v>38.4399649484536</v>
      </c>
      <c r="H807">
        <v>24.6</v>
      </c>
      <c r="I807">
        <f>Tableau5[[#This Row],[GHG (kgCO2eq/GJ)]]*3.6</f>
        <v>88.56</v>
      </c>
      <c r="J807" t="s">
        <v>104</v>
      </c>
      <c r="K807" t="s">
        <v>109</v>
      </c>
    </row>
    <row r="808" spans="1:11" x14ac:dyDescent="0.3">
      <c r="A808" t="s">
        <v>44</v>
      </c>
      <c r="B808" t="s">
        <v>49</v>
      </c>
      <c r="C808" t="s">
        <v>71</v>
      </c>
      <c r="D808">
        <v>26.3172</v>
      </c>
      <c r="E808">
        <f>Tableau5[[#This Row],[Potential (PJ)]]/3.6</f>
        <v>7.3103333333333333</v>
      </c>
      <c r="F808">
        <v>4.2357146398553036</v>
      </c>
      <c r="G808">
        <f>Tableau5[[#This Row],[Cost (€/GJ)]]*3.6</f>
        <v>15.248572703479093</v>
      </c>
      <c r="H808">
        <v>3.86607608129234</v>
      </c>
      <c r="I808">
        <f>Tableau5[[#This Row],[GHG (kgCO2eq/GJ)]]*3.6</f>
        <v>13.917873892652425</v>
      </c>
      <c r="J808" t="s">
        <v>104</v>
      </c>
      <c r="K808" t="s">
        <v>108</v>
      </c>
    </row>
    <row r="809" spans="1:11" x14ac:dyDescent="0.3">
      <c r="A809" t="s">
        <v>44</v>
      </c>
      <c r="B809" t="s">
        <v>49</v>
      </c>
      <c r="C809" t="s">
        <v>72</v>
      </c>
      <c r="D809">
        <v>1.7</v>
      </c>
      <c r="E809">
        <f>Tableau5[[#This Row],[Potential (PJ)]]/3.6</f>
        <v>0.47222222222222221</v>
      </c>
      <c r="F809">
        <v>3.3746470588235291</v>
      </c>
      <c r="G809">
        <f>Tableau5[[#This Row],[Cost (€/GJ)]]*3.6</f>
        <v>12.148729411764705</v>
      </c>
      <c r="H809">
        <v>3.86607608129234</v>
      </c>
      <c r="I809">
        <f>Tableau5[[#This Row],[GHG (kgCO2eq/GJ)]]*3.6</f>
        <v>13.917873892652425</v>
      </c>
      <c r="J809" t="s">
        <v>104</v>
      </c>
      <c r="K809" t="s">
        <v>108</v>
      </c>
    </row>
    <row r="810" spans="1:11" x14ac:dyDescent="0.3">
      <c r="A810" t="s">
        <v>44</v>
      </c>
      <c r="B810" t="s">
        <v>58</v>
      </c>
      <c r="C810" t="s">
        <v>95</v>
      </c>
      <c r="D810">
        <v>8.3830200000000001</v>
      </c>
      <c r="E810">
        <f>Tableau5[[#This Row],[Potential (PJ)]]/3.6</f>
        <v>2.3286166666666666</v>
      </c>
      <c r="F810">
        <v>0.71371089297174528</v>
      </c>
      <c r="G810">
        <f>Tableau5[[#This Row],[Cost (€/GJ)]]*3.6</f>
        <v>2.5693592146982831</v>
      </c>
      <c r="H810">
        <v>2.9521711768407801</v>
      </c>
      <c r="I810">
        <f>Tableau5[[#This Row],[GHG (kgCO2eq/GJ)]]*3.6</f>
        <v>10.627816236626808</v>
      </c>
      <c r="J810" t="s">
        <v>104</v>
      </c>
      <c r="K810" t="s">
        <v>108</v>
      </c>
    </row>
    <row r="811" spans="1:11" x14ac:dyDescent="0.3">
      <c r="A811" t="s">
        <v>44</v>
      </c>
      <c r="B811" t="s">
        <v>50</v>
      </c>
      <c r="C811" t="s">
        <v>73</v>
      </c>
      <c r="D811">
        <v>3.1</v>
      </c>
      <c r="E811">
        <f>Tableau5[[#This Row],[Potential (PJ)]]/3.6</f>
        <v>0.86111111111111116</v>
      </c>
      <c r="F811">
        <v>5.9739677419354837</v>
      </c>
      <c r="G811">
        <f>Tableau5[[#This Row],[Cost (€/GJ)]]*3.6</f>
        <v>21.506283870967742</v>
      </c>
      <c r="H811">
        <v>20.723404255319149</v>
      </c>
      <c r="I811">
        <f>Tableau5[[#This Row],[GHG (kgCO2eq/GJ)]]*3.6</f>
        <v>74.604255319148933</v>
      </c>
      <c r="J811" t="s">
        <v>105</v>
      </c>
      <c r="K811" t="s">
        <v>108</v>
      </c>
    </row>
    <row r="812" spans="1:11" x14ac:dyDescent="0.3">
      <c r="A812" t="s">
        <v>44</v>
      </c>
      <c r="B812" t="s">
        <v>50</v>
      </c>
      <c r="C812" t="s">
        <v>74</v>
      </c>
      <c r="D812">
        <v>63.7</v>
      </c>
      <c r="E812">
        <f>Tableau5[[#This Row],[Potential (PJ)]]/3.6</f>
        <v>17.694444444444446</v>
      </c>
      <c r="F812">
        <v>6.487585557299842</v>
      </c>
      <c r="G812">
        <f>Tableau5[[#This Row],[Cost (€/GJ)]]*3.6</f>
        <v>23.355308006279433</v>
      </c>
      <c r="H812">
        <v>2.0635593220338988</v>
      </c>
      <c r="I812">
        <f>Tableau5[[#This Row],[GHG (kgCO2eq/GJ)]]*3.6</f>
        <v>7.4288135593220357</v>
      </c>
      <c r="J812" t="s">
        <v>105</v>
      </c>
      <c r="K812" t="s">
        <v>108</v>
      </c>
    </row>
    <row r="813" spans="1:11" x14ac:dyDescent="0.3">
      <c r="A813" t="s">
        <v>44</v>
      </c>
      <c r="B813" t="s">
        <v>51</v>
      </c>
      <c r="C813" t="s">
        <v>75</v>
      </c>
      <c r="D813">
        <v>11.56809</v>
      </c>
      <c r="E813">
        <f>Tableau5[[#This Row],[Potential (PJ)]]/3.6</f>
        <v>3.2133583333333333</v>
      </c>
      <c r="F813">
        <v>4.7722495051386898E-2</v>
      </c>
      <c r="G813">
        <f>Tableau5[[#This Row],[Cost (€/GJ)]]*3.6</f>
        <v>0.17180098218499285</v>
      </c>
      <c r="H813">
        <v>11.74</v>
      </c>
      <c r="I813">
        <f>Tableau5[[#This Row],[GHG (kgCO2eq/GJ)]]*3.6</f>
        <v>42.264000000000003</v>
      </c>
      <c r="J813" t="s">
        <v>104</v>
      </c>
      <c r="K813" t="s">
        <v>108</v>
      </c>
    </row>
    <row r="814" spans="1:11" x14ac:dyDescent="0.3">
      <c r="A814" t="s">
        <v>44</v>
      </c>
      <c r="B814" t="s">
        <v>60</v>
      </c>
      <c r="C814" t="s">
        <v>98</v>
      </c>
      <c r="D814">
        <v>2.3336600000000001</v>
      </c>
      <c r="E814">
        <f>Tableau5[[#This Row],[Potential (PJ)]]/3.6</f>
        <v>0.64823888888888892</v>
      </c>
      <c r="F814">
        <v>19.60257787325456</v>
      </c>
      <c r="G814">
        <f>Tableau5[[#This Row],[Cost (€/GJ)]]*3.6</f>
        <v>70.569280343716414</v>
      </c>
      <c r="H814">
        <v>20.6</v>
      </c>
      <c r="I814">
        <f>Tableau5[[#This Row],[GHG (kgCO2eq/GJ)]]*3.6</f>
        <v>74.160000000000011</v>
      </c>
      <c r="J814" t="s">
        <v>107</v>
      </c>
      <c r="K814" t="s">
        <v>109</v>
      </c>
    </row>
    <row r="815" spans="1:11" x14ac:dyDescent="0.3">
      <c r="A815" t="s">
        <v>44</v>
      </c>
      <c r="B815" t="s">
        <v>52</v>
      </c>
      <c r="C815" t="s">
        <v>76</v>
      </c>
      <c r="D815">
        <v>7.6999999999999999E-2</v>
      </c>
      <c r="E815">
        <f>Tableau5[[#This Row],[Potential (PJ)]]/3.6</f>
        <v>2.1388888888888888E-2</v>
      </c>
      <c r="F815">
        <v>8.4824999999999999</v>
      </c>
      <c r="G815">
        <f>Tableau5[[#This Row],[Cost (€/GJ)]]*3.6</f>
        <v>30.536999999999999</v>
      </c>
      <c r="H815">
        <v>12.68872359754714</v>
      </c>
      <c r="I815">
        <f>Tableau5[[#This Row],[GHG (kgCO2eq/GJ)]]*3.6</f>
        <v>45.679404951169708</v>
      </c>
      <c r="J815" t="s">
        <v>105</v>
      </c>
      <c r="K815" t="s">
        <v>108</v>
      </c>
    </row>
    <row r="816" spans="1:11" x14ac:dyDescent="0.3">
      <c r="A816" t="s">
        <v>44</v>
      </c>
      <c r="B816" t="s">
        <v>53</v>
      </c>
      <c r="C816" t="s">
        <v>77</v>
      </c>
      <c r="D816">
        <v>3.1164900000000002</v>
      </c>
      <c r="E816">
        <f>Tableau5[[#This Row],[Potential (PJ)]]/3.6</f>
        <v>0.86569166666666675</v>
      </c>
      <c r="F816">
        <v>3.2765997003038669</v>
      </c>
      <c r="G816">
        <f>Tableau5[[#This Row],[Cost (€/GJ)]]*3.6</f>
        <v>11.79575892109392</v>
      </c>
      <c r="H816">
        <v>3.86607608129234</v>
      </c>
      <c r="I816">
        <f>Tableau5[[#This Row],[GHG (kgCO2eq/GJ)]]*3.6</f>
        <v>13.917873892652425</v>
      </c>
      <c r="J816" t="s">
        <v>104</v>
      </c>
      <c r="K816" t="s">
        <v>108</v>
      </c>
    </row>
    <row r="817" spans="1:11" x14ac:dyDescent="0.3">
      <c r="A817" t="s">
        <v>44</v>
      </c>
      <c r="B817" t="s">
        <v>61</v>
      </c>
      <c r="C817" t="s">
        <v>99</v>
      </c>
      <c r="D817">
        <v>5.7</v>
      </c>
      <c r="E817">
        <f>Tableau5[[#This Row],[Potential (PJ)]]/3.6</f>
        <v>1.5833333333333333</v>
      </c>
      <c r="F817">
        <v>2.0589473684210531</v>
      </c>
      <c r="G817">
        <f>Tableau5[[#This Row],[Cost (€/GJ)]]*3.6</f>
        <v>7.4122105263157909</v>
      </c>
      <c r="H817">
        <v>2.9245635910224439</v>
      </c>
      <c r="I817">
        <f>Tableau5[[#This Row],[GHG (kgCO2eq/GJ)]]*3.6</f>
        <v>10.528428927680798</v>
      </c>
      <c r="J817" t="s">
        <v>104</v>
      </c>
      <c r="K817" t="s">
        <v>108</v>
      </c>
    </row>
    <row r="818" spans="1:11" x14ac:dyDescent="0.3">
      <c r="A818" t="s">
        <v>44</v>
      </c>
      <c r="B818" t="s">
        <v>62</v>
      </c>
      <c r="C818" t="s">
        <v>100</v>
      </c>
      <c r="D818">
        <v>1.7</v>
      </c>
      <c r="E818">
        <f>Tableau5[[#This Row],[Potential (PJ)]]/3.6</f>
        <v>0.47222222222222221</v>
      </c>
      <c r="F818">
        <v>0.1235294117647059</v>
      </c>
      <c r="G818">
        <f>Tableau5[[#This Row],[Cost (€/GJ)]]*3.6</f>
        <v>0.44470588235294123</v>
      </c>
      <c r="H818">
        <v>2.6764106050305911</v>
      </c>
      <c r="I818">
        <f>Tableau5[[#This Row],[GHG (kgCO2eq/GJ)]]*3.6</f>
        <v>9.6350781781101276</v>
      </c>
      <c r="J818" t="s">
        <v>104</v>
      </c>
      <c r="K818" t="s">
        <v>108</v>
      </c>
    </row>
    <row r="819" spans="1:11" x14ac:dyDescent="0.3">
      <c r="A819" t="s">
        <v>44</v>
      </c>
      <c r="B819" t="s">
        <v>54</v>
      </c>
      <c r="C819" t="s">
        <v>78</v>
      </c>
      <c r="D819">
        <v>43.3</v>
      </c>
      <c r="E819">
        <f>Tableau5[[#This Row],[Potential (PJ)]]/3.6</f>
        <v>12.027777777777777</v>
      </c>
      <c r="F819">
        <v>6.8319861431870672</v>
      </c>
      <c r="G819">
        <f>Tableau5[[#This Row],[Cost (€/GJ)]]*3.6</f>
        <v>24.595150115473441</v>
      </c>
      <c r="H819">
        <v>3.86607608129234</v>
      </c>
      <c r="I819">
        <f>Tableau5[[#This Row],[GHG (kgCO2eq/GJ)]]*3.6</f>
        <v>13.917873892652425</v>
      </c>
      <c r="J819" t="s">
        <v>104</v>
      </c>
      <c r="K819" t="s">
        <v>108</v>
      </c>
    </row>
    <row r="820" spans="1:11" x14ac:dyDescent="0.3">
      <c r="A820" t="s">
        <v>45</v>
      </c>
      <c r="B820" t="s">
        <v>46</v>
      </c>
      <c r="C820" t="s">
        <v>64</v>
      </c>
      <c r="D820">
        <v>5.4999999999999997E-3</v>
      </c>
      <c r="E820">
        <f>Tableau5[[#This Row],[Potential (PJ)]]/3.6</f>
        <v>1.5277777777777776E-3</v>
      </c>
      <c r="F820">
        <v>5.633</v>
      </c>
      <c r="G820">
        <f>Tableau5[[#This Row],[Cost (€/GJ)]]*3.6</f>
        <v>20.2788</v>
      </c>
      <c r="H820">
        <v>2.9521711768407801</v>
      </c>
      <c r="I820">
        <f>Tableau5[[#This Row],[GHG (kgCO2eq/GJ)]]*3.6</f>
        <v>10.627816236626808</v>
      </c>
      <c r="J820" t="s">
        <v>104</v>
      </c>
      <c r="K820" t="s">
        <v>108</v>
      </c>
    </row>
    <row r="821" spans="1:11" x14ac:dyDescent="0.3">
      <c r="A821" t="s">
        <v>45</v>
      </c>
      <c r="B821" t="s">
        <v>46</v>
      </c>
      <c r="C821" t="s">
        <v>79</v>
      </c>
      <c r="D821">
        <v>0.2</v>
      </c>
      <c r="E821">
        <f>Tableau5[[#This Row],[Potential (PJ)]]/3.6</f>
        <v>5.5555555555555559E-2</v>
      </c>
      <c r="F821">
        <v>4.37</v>
      </c>
      <c r="G821">
        <f>Tableau5[[#This Row],[Cost (€/GJ)]]*3.6</f>
        <v>15.732000000000001</v>
      </c>
      <c r="H821">
        <v>6.8428961748633883</v>
      </c>
      <c r="I821">
        <f>Tableau5[[#This Row],[GHG (kgCO2eq/GJ)]]*3.6</f>
        <v>24.634426229508197</v>
      </c>
      <c r="J821" t="s">
        <v>104</v>
      </c>
      <c r="K821" t="s">
        <v>108</v>
      </c>
    </row>
    <row r="822" spans="1:11" x14ac:dyDescent="0.3">
      <c r="A822" t="s">
        <v>45</v>
      </c>
      <c r="B822" t="s">
        <v>47</v>
      </c>
      <c r="C822" t="s">
        <v>68</v>
      </c>
      <c r="D822">
        <v>9.5</v>
      </c>
      <c r="E822">
        <f>Tableau5[[#This Row],[Potential (PJ)]]/3.6</f>
        <v>2.6388888888888888</v>
      </c>
      <c r="F822">
        <v>3.4929999999999999</v>
      </c>
      <c r="G822">
        <f>Tableau5[[#This Row],[Cost (€/GJ)]]*3.6</f>
        <v>12.5748</v>
      </c>
      <c r="I822">
        <f>Tableau5[[#This Row],[GHG (kgCO2eq/GJ)]]*3.6</f>
        <v>0</v>
      </c>
      <c r="J822" t="s">
        <v>104</v>
      </c>
      <c r="K822" t="s">
        <v>109</v>
      </c>
    </row>
    <row r="823" spans="1:11" x14ac:dyDescent="0.3">
      <c r="A823" t="s">
        <v>45</v>
      </c>
      <c r="B823" t="s">
        <v>47</v>
      </c>
      <c r="C823" t="s">
        <v>69</v>
      </c>
      <c r="D823">
        <v>6.6</v>
      </c>
      <c r="E823">
        <f>Tableau5[[#This Row],[Potential (PJ)]]/3.6</f>
        <v>1.8333333333333333</v>
      </c>
      <c r="F823">
        <v>3.468</v>
      </c>
      <c r="G823">
        <f>Tableau5[[#This Row],[Cost (€/GJ)]]*3.6</f>
        <v>12.4848</v>
      </c>
      <c r="I823">
        <f>Tableau5[[#This Row],[GHG (kgCO2eq/GJ)]]*3.6</f>
        <v>0</v>
      </c>
      <c r="J823" t="s">
        <v>104</v>
      </c>
      <c r="K823" t="s">
        <v>109</v>
      </c>
    </row>
    <row r="824" spans="1:11" x14ac:dyDescent="0.3">
      <c r="A824" t="s">
        <v>45</v>
      </c>
      <c r="B824" t="s">
        <v>48</v>
      </c>
      <c r="C824" t="s">
        <v>70</v>
      </c>
      <c r="D824">
        <v>3.5</v>
      </c>
      <c r="E824">
        <f>Tableau5[[#This Row],[Potential (PJ)]]/3.6</f>
        <v>0.97222222222222221</v>
      </c>
      <c r="F824">
        <v>8.8480000000000008</v>
      </c>
      <c r="G824">
        <f>Tableau5[[#This Row],[Cost (€/GJ)]]*3.6</f>
        <v>31.852800000000002</v>
      </c>
      <c r="I824">
        <f>Tableau5[[#This Row],[GHG (kgCO2eq/GJ)]]*3.6</f>
        <v>0</v>
      </c>
      <c r="J824" t="s">
        <v>104</v>
      </c>
      <c r="K824" t="s">
        <v>109</v>
      </c>
    </row>
    <row r="825" spans="1:11" x14ac:dyDescent="0.3">
      <c r="A825" t="s">
        <v>45</v>
      </c>
      <c r="B825" t="s">
        <v>49</v>
      </c>
      <c r="C825" t="s">
        <v>71</v>
      </c>
      <c r="D825">
        <v>0.48687000000000002</v>
      </c>
      <c r="E825">
        <f>Tableau5[[#This Row],[Potential (PJ)]]/3.6</f>
        <v>0.13524166666666668</v>
      </c>
      <c r="F825">
        <v>0</v>
      </c>
      <c r="G825">
        <f>Tableau5[[#This Row],[Cost (€/GJ)]]*3.6</f>
        <v>0</v>
      </c>
      <c r="H825">
        <v>3.86607608129234</v>
      </c>
      <c r="I825">
        <f>Tableau5[[#This Row],[GHG (kgCO2eq/GJ)]]*3.6</f>
        <v>13.917873892652425</v>
      </c>
      <c r="J825" t="s">
        <v>104</v>
      </c>
      <c r="K825" t="s">
        <v>108</v>
      </c>
    </row>
    <row r="826" spans="1:11" x14ac:dyDescent="0.3">
      <c r="A826" t="s">
        <v>45</v>
      </c>
      <c r="B826" t="s">
        <v>52</v>
      </c>
      <c r="C826" t="s">
        <v>76</v>
      </c>
      <c r="D826">
        <v>1.0999999999999999E-2</v>
      </c>
      <c r="E826">
        <f>Tableau5[[#This Row],[Potential (PJ)]]/3.6</f>
        <v>3.0555555555555553E-3</v>
      </c>
      <c r="F826">
        <v>0</v>
      </c>
      <c r="G826">
        <f>Tableau5[[#This Row],[Cost (€/GJ)]]*3.6</f>
        <v>0</v>
      </c>
      <c r="H826">
        <v>12.68872359754714</v>
      </c>
      <c r="I826">
        <f>Tableau5[[#This Row],[GHG (kgCO2eq/GJ)]]*3.6</f>
        <v>45.679404951169708</v>
      </c>
      <c r="J826" t="s">
        <v>105</v>
      </c>
      <c r="K826" t="s">
        <v>108</v>
      </c>
    </row>
    <row r="827" spans="1:11" x14ac:dyDescent="0.3">
      <c r="A827" t="s">
        <v>45</v>
      </c>
      <c r="B827" t="s">
        <v>54</v>
      </c>
      <c r="C827" t="s">
        <v>78</v>
      </c>
      <c r="D827">
        <v>2.2000000000000002</v>
      </c>
      <c r="E827">
        <f>Tableau5[[#This Row],[Potential (PJ)]]/3.6</f>
        <v>0.61111111111111116</v>
      </c>
      <c r="F827">
        <v>0</v>
      </c>
      <c r="G827">
        <f>Tableau5[[#This Row],[Cost (€/GJ)]]*3.6</f>
        <v>0</v>
      </c>
      <c r="H827">
        <v>3.86607608129234</v>
      </c>
      <c r="I827">
        <f>Tableau5[[#This Row],[GHG (kgCO2eq/GJ)]]*3.6</f>
        <v>13.917873892652425</v>
      </c>
      <c r="J827" t="s">
        <v>104</v>
      </c>
      <c r="K827" t="s">
        <v>108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4"/>
  <sheetViews>
    <sheetView workbookViewId="0">
      <selection activeCell="G1" sqref="G1"/>
    </sheetView>
  </sheetViews>
  <sheetFormatPr baseColWidth="10" defaultColWidth="8.88671875" defaultRowHeight="14.4" x14ac:dyDescent="0.3"/>
  <cols>
    <col min="2" max="2" width="10.109375" customWidth="1"/>
    <col min="4" max="5" width="14.44140625" customWidth="1"/>
    <col min="6" max="7" width="12.33203125" customWidth="1"/>
    <col min="8" max="9" width="19.33203125" customWidth="1"/>
    <col min="10" max="10" width="10.55468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113</v>
      </c>
      <c r="F1" s="2" t="s">
        <v>110</v>
      </c>
      <c r="G1" s="2" t="s">
        <v>111</v>
      </c>
      <c r="H1" s="2" t="s">
        <v>4</v>
      </c>
      <c r="I1" s="2" t="s">
        <v>112</v>
      </c>
      <c r="J1" s="2" t="s">
        <v>5</v>
      </c>
      <c r="K1" s="2" t="s">
        <v>6</v>
      </c>
    </row>
    <row r="2" spans="1:11" x14ac:dyDescent="0.3">
      <c r="A2" t="s">
        <v>7</v>
      </c>
      <c r="B2" t="s">
        <v>46</v>
      </c>
      <c r="C2" t="s">
        <v>63</v>
      </c>
      <c r="D2">
        <v>0.11210000000000001</v>
      </c>
      <c r="E2">
        <f>Tableau6[[#This Row],[Potential (PJ)]]/3.6</f>
        <v>3.113888888888889E-2</v>
      </c>
      <c r="F2">
        <v>2.9286474973375931</v>
      </c>
      <c r="G2">
        <f>Tableau6[[#This Row],[Cost (€/GJ)]]*3.6</f>
        <v>10.543130990415335</v>
      </c>
      <c r="H2">
        <v>3.950479233226837</v>
      </c>
      <c r="I2">
        <f>Tableau6[[#This Row],[GHG (kgCO2eq/GJ)]]*3.6</f>
        <v>14.221725239616614</v>
      </c>
      <c r="J2" t="s">
        <v>104</v>
      </c>
      <c r="K2" t="s">
        <v>108</v>
      </c>
    </row>
    <row r="3" spans="1:11" x14ac:dyDescent="0.3">
      <c r="A3" t="s">
        <v>7</v>
      </c>
      <c r="B3" t="s">
        <v>46</v>
      </c>
      <c r="C3" t="s">
        <v>64</v>
      </c>
      <c r="D3">
        <v>0.20874000000000001</v>
      </c>
      <c r="E3">
        <f>Tableau6[[#This Row],[Potential (PJ)]]/3.6</f>
        <v>5.7983333333333331E-2</v>
      </c>
      <c r="F3">
        <v>6.9850000000000003</v>
      </c>
      <c r="G3">
        <f>Tableau6[[#This Row],[Cost (€/GJ)]]*3.6</f>
        <v>25.146000000000001</v>
      </c>
      <c r="H3">
        <v>2.9521711768407801</v>
      </c>
      <c r="I3">
        <f>Tableau6[[#This Row],[GHG (kgCO2eq/GJ)]]*3.6</f>
        <v>10.627816236626808</v>
      </c>
      <c r="J3" t="s">
        <v>104</v>
      </c>
      <c r="K3" t="s">
        <v>108</v>
      </c>
    </row>
    <row r="4" spans="1:11" x14ac:dyDescent="0.3">
      <c r="A4" t="s">
        <v>7</v>
      </c>
      <c r="B4" t="s">
        <v>46</v>
      </c>
      <c r="C4" t="s">
        <v>65</v>
      </c>
      <c r="D4">
        <v>0.5</v>
      </c>
      <c r="E4">
        <f>Tableau6[[#This Row],[Potential (PJ)]]/3.6</f>
        <v>0.1388888888888889</v>
      </c>
      <c r="F4">
        <v>4.3769999999999998</v>
      </c>
      <c r="G4">
        <f>Tableau6[[#This Row],[Cost (€/GJ)]]*3.6</f>
        <v>15.757199999999999</v>
      </c>
      <c r="H4">
        <v>2.9521711768407801</v>
      </c>
      <c r="I4">
        <f>Tableau6[[#This Row],[GHG (kgCO2eq/GJ)]]*3.6</f>
        <v>10.627816236626808</v>
      </c>
      <c r="J4" t="s">
        <v>104</v>
      </c>
      <c r="K4" t="s">
        <v>108</v>
      </c>
    </row>
    <row r="5" spans="1:11" x14ac:dyDescent="0.3">
      <c r="A5" t="s">
        <v>7</v>
      </c>
      <c r="B5" t="s">
        <v>46</v>
      </c>
      <c r="C5" t="s">
        <v>66</v>
      </c>
      <c r="D5">
        <v>0.8</v>
      </c>
      <c r="E5">
        <f>Tableau6[[#This Row],[Potential (PJ)]]/3.6</f>
        <v>0.22222222222222224</v>
      </c>
      <c r="F5">
        <v>1.7809999999999999</v>
      </c>
      <c r="G5">
        <f>Tableau6[[#This Row],[Cost (€/GJ)]]*3.6</f>
        <v>6.4116</v>
      </c>
      <c r="H5">
        <v>6.8428961748633883</v>
      </c>
      <c r="I5">
        <f>Tableau6[[#This Row],[GHG (kgCO2eq/GJ)]]*3.6</f>
        <v>24.634426229508197</v>
      </c>
      <c r="J5" t="s">
        <v>104</v>
      </c>
      <c r="K5" t="s">
        <v>108</v>
      </c>
    </row>
    <row r="6" spans="1:11" x14ac:dyDescent="0.3">
      <c r="A6" t="s">
        <v>7</v>
      </c>
      <c r="B6" t="s">
        <v>46</v>
      </c>
      <c r="C6" t="s">
        <v>67</v>
      </c>
      <c r="D6">
        <v>0.3</v>
      </c>
      <c r="E6">
        <f>Tableau6[[#This Row],[Potential (PJ)]]/3.6</f>
        <v>8.3333333333333329E-2</v>
      </c>
      <c r="F6">
        <v>4.8579999999999997</v>
      </c>
      <c r="G6">
        <f>Tableau6[[#This Row],[Cost (€/GJ)]]*3.6</f>
        <v>17.488799999999998</v>
      </c>
      <c r="H6">
        <v>2.9521711768407801</v>
      </c>
      <c r="I6">
        <f>Tableau6[[#This Row],[GHG (kgCO2eq/GJ)]]*3.6</f>
        <v>10.627816236626808</v>
      </c>
      <c r="J6" t="s">
        <v>104</v>
      </c>
      <c r="K6" t="s">
        <v>108</v>
      </c>
    </row>
    <row r="7" spans="1:11" x14ac:dyDescent="0.3">
      <c r="A7" t="s">
        <v>7</v>
      </c>
      <c r="B7" t="s">
        <v>46</v>
      </c>
      <c r="C7" t="s">
        <v>85</v>
      </c>
      <c r="D7">
        <v>0.1</v>
      </c>
      <c r="E7">
        <f>Tableau6[[#This Row],[Potential (PJ)]]/3.6</f>
        <v>2.777777777777778E-2</v>
      </c>
      <c r="F7">
        <v>4.1230000000000002</v>
      </c>
      <c r="G7">
        <f>Tableau6[[#This Row],[Cost (€/GJ)]]*3.6</f>
        <v>14.8428</v>
      </c>
      <c r="H7">
        <v>2.9521711768407801</v>
      </c>
      <c r="I7">
        <f>Tableau6[[#This Row],[GHG (kgCO2eq/GJ)]]*3.6</f>
        <v>10.627816236626808</v>
      </c>
      <c r="J7" t="s">
        <v>104</v>
      </c>
      <c r="K7" t="s">
        <v>108</v>
      </c>
    </row>
    <row r="8" spans="1:11" x14ac:dyDescent="0.3">
      <c r="A8" t="s">
        <v>7</v>
      </c>
      <c r="B8" t="s">
        <v>47</v>
      </c>
      <c r="C8" t="s">
        <v>68</v>
      </c>
      <c r="D8">
        <v>18</v>
      </c>
      <c r="E8">
        <f>Tableau6[[#This Row],[Potential (PJ)]]/3.6</f>
        <v>5</v>
      </c>
      <c r="F8">
        <v>3.0590000000000002</v>
      </c>
      <c r="G8">
        <f>Tableau6[[#This Row],[Cost (€/GJ)]]*3.6</f>
        <v>11.012400000000001</v>
      </c>
      <c r="H8">
        <v>14.5</v>
      </c>
      <c r="I8">
        <f>Tableau6[[#This Row],[GHG (kgCO2eq/GJ)]]*3.6</f>
        <v>52.2</v>
      </c>
      <c r="J8" t="s">
        <v>104</v>
      </c>
      <c r="K8" t="s">
        <v>109</v>
      </c>
    </row>
    <row r="9" spans="1:11" x14ac:dyDescent="0.3">
      <c r="A9" t="s">
        <v>7</v>
      </c>
      <c r="B9" t="s">
        <v>47</v>
      </c>
      <c r="C9" t="s">
        <v>69</v>
      </c>
      <c r="D9">
        <v>12.6</v>
      </c>
      <c r="E9">
        <f>Tableau6[[#This Row],[Potential (PJ)]]/3.6</f>
        <v>3.5</v>
      </c>
      <c r="F9">
        <v>3.048</v>
      </c>
      <c r="G9">
        <f>Tableau6[[#This Row],[Cost (€/GJ)]]*3.6</f>
        <v>10.972800000000001</v>
      </c>
      <c r="H9">
        <v>14.5</v>
      </c>
      <c r="I9">
        <f>Tableau6[[#This Row],[GHG (kgCO2eq/GJ)]]*3.6</f>
        <v>52.2</v>
      </c>
      <c r="J9" t="s">
        <v>104</v>
      </c>
      <c r="K9" t="s">
        <v>109</v>
      </c>
    </row>
    <row r="10" spans="1:11" x14ac:dyDescent="0.3">
      <c r="A10" t="s">
        <v>7</v>
      </c>
      <c r="B10" t="s">
        <v>48</v>
      </c>
      <c r="C10" t="s">
        <v>70</v>
      </c>
      <c r="D10">
        <v>6.6</v>
      </c>
      <c r="E10">
        <f>Tableau6[[#This Row],[Potential (PJ)]]/3.6</f>
        <v>1.8333333333333333</v>
      </c>
      <c r="F10">
        <v>7.95</v>
      </c>
      <c r="G10">
        <f>Tableau6[[#This Row],[Cost (€/GJ)]]*3.6</f>
        <v>28.62</v>
      </c>
      <c r="H10">
        <v>0</v>
      </c>
      <c r="I10">
        <f>Tableau6[[#This Row],[GHG (kgCO2eq/GJ)]]*3.6</f>
        <v>0</v>
      </c>
      <c r="J10" t="s">
        <v>104</v>
      </c>
      <c r="K10" t="s">
        <v>109</v>
      </c>
    </row>
    <row r="11" spans="1:11" x14ac:dyDescent="0.3">
      <c r="A11" t="s">
        <v>7</v>
      </c>
      <c r="B11" t="s">
        <v>49</v>
      </c>
      <c r="C11" t="s">
        <v>71</v>
      </c>
      <c r="D11">
        <v>11.651210000000001</v>
      </c>
      <c r="E11">
        <f>Tableau6[[#This Row],[Potential (PJ)]]/3.6</f>
        <v>3.2364472222222225</v>
      </c>
      <c r="F11">
        <v>0</v>
      </c>
      <c r="G11">
        <f>Tableau6[[#This Row],[Cost (€/GJ)]]*3.6</f>
        <v>0</v>
      </c>
      <c r="H11">
        <v>3.86607608129234</v>
      </c>
      <c r="I11">
        <f>Tableau6[[#This Row],[GHG (kgCO2eq/GJ)]]*3.6</f>
        <v>13.917873892652425</v>
      </c>
      <c r="J11" t="s">
        <v>104</v>
      </c>
      <c r="K11" t="s">
        <v>108</v>
      </c>
    </row>
    <row r="12" spans="1:11" x14ac:dyDescent="0.3">
      <c r="A12" t="s">
        <v>7</v>
      </c>
      <c r="B12" t="s">
        <v>49</v>
      </c>
      <c r="C12" t="s">
        <v>72</v>
      </c>
      <c r="D12">
        <v>3.2</v>
      </c>
      <c r="E12">
        <f>Tableau6[[#This Row],[Potential (PJ)]]/3.6</f>
        <v>0.88888888888888895</v>
      </c>
      <c r="F12">
        <v>0</v>
      </c>
      <c r="G12">
        <f>Tableau6[[#This Row],[Cost (€/GJ)]]*3.6</f>
        <v>0</v>
      </c>
      <c r="H12">
        <v>3.86607608129234</v>
      </c>
      <c r="I12">
        <f>Tableau6[[#This Row],[GHG (kgCO2eq/GJ)]]*3.6</f>
        <v>13.917873892652425</v>
      </c>
      <c r="J12" t="s">
        <v>104</v>
      </c>
      <c r="K12" t="s">
        <v>108</v>
      </c>
    </row>
    <row r="13" spans="1:11" x14ac:dyDescent="0.3">
      <c r="A13" t="s">
        <v>7</v>
      </c>
      <c r="B13" t="s">
        <v>50</v>
      </c>
      <c r="C13" t="s">
        <v>73</v>
      </c>
      <c r="D13">
        <v>0.5</v>
      </c>
      <c r="E13">
        <f>Tableau6[[#This Row],[Potential (PJ)]]/3.6</f>
        <v>0.1388888888888889</v>
      </c>
      <c r="F13">
        <v>5.4240000000000004</v>
      </c>
      <c r="G13">
        <f>Tableau6[[#This Row],[Cost (€/GJ)]]*3.6</f>
        <v>19.526400000000002</v>
      </c>
      <c r="H13">
        <v>20.723404255319149</v>
      </c>
      <c r="I13">
        <f>Tableau6[[#This Row],[GHG (kgCO2eq/GJ)]]*3.6</f>
        <v>74.604255319148933</v>
      </c>
      <c r="J13" t="s">
        <v>105</v>
      </c>
      <c r="K13" t="s">
        <v>108</v>
      </c>
    </row>
    <row r="14" spans="1:11" x14ac:dyDescent="0.3">
      <c r="A14" t="s">
        <v>7</v>
      </c>
      <c r="B14" t="s">
        <v>50</v>
      </c>
      <c r="C14" t="s">
        <v>74</v>
      </c>
      <c r="D14">
        <v>2.2999999999999998</v>
      </c>
      <c r="E14">
        <f>Tableau6[[#This Row],[Potential (PJ)]]/3.6</f>
        <v>0.63888888888888884</v>
      </c>
      <c r="F14">
        <v>3.484</v>
      </c>
      <c r="G14">
        <f>Tableau6[[#This Row],[Cost (€/GJ)]]*3.6</f>
        <v>12.542400000000001</v>
      </c>
      <c r="H14">
        <v>2.0635593220338988</v>
      </c>
      <c r="I14">
        <f>Tableau6[[#This Row],[GHG (kgCO2eq/GJ)]]*3.6</f>
        <v>7.4288135593220357</v>
      </c>
      <c r="J14" t="s">
        <v>105</v>
      </c>
      <c r="K14" t="s">
        <v>108</v>
      </c>
    </row>
    <row r="15" spans="1:11" x14ac:dyDescent="0.3">
      <c r="A15" t="s">
        <v>7</v>
      </c>
      <c r="B15" t="s">
        <v>51</v>
      </c>
      <c r="C15" t="s">
        <v>75</v>
      </c>
      <c r="D15">
        <v>1.397437</v>
      </c>
      <c r="E15">
        <f>Tableau6[[#This Row],[Potential (PJ)]]/3.6</f>
        <v>0.38817694444444445</v>
      </c>
      <c r="F15">
        <v>0.14069241575201899</v>
      </c>
      <c r="G15">
        <f>Tableau6[[#This Row],[Cost (€/GJ)]]*3.6</f>
        <v>0.50649269670726838</v>
      </c>
      <c r="H15">
        <v>11.74</v>
      </c>
      <c r="I15">
        <f>Tableau6[[#This Row],[GHG (kgCO2eq/GJ)]]*3.6</f>
        <v>42.264000000000003</v>
      </c>
      <c r="J15" t="s">
        <v>104</v>
      </c>
      <c r="K15" t="s">
        <v>108</v>
      </c>
    </row>
    <row r="16" spans="1:11" x14ac:dyDescent="0.3">
      <c r="A16" t="s">
        <v>7</v>
      </c>
      <c r="B16" t="s">
        <v>52</v>
      </c>
      <c r="C16" t="s">
        <v>76</v>
      </c>
      <c r="D16">
        <v>2.5999999999999999E-2</v>
      </c>
      <c r="E16">
        <f>Tableau6[[#This Row],[Potential (PJ)]]/3.6</f>
        <v>7.2222222222222219E-3</v>
      </c>
      <c r="F16">
        <v>6.5250000000000004</v>
      </c>
      <c r="G16">
        <f>Tableau6[[#This Row],[Cost (€/GJ)]]*3.6</f>
        <v>23.490000000000002</v>
      </c>
      <c r="H16">
        <v>12.68872359754714</v>
      </c>
      <c r="I16">
        <f>Tableau6[[#This Row],[GHG (kgCO2eq/GJ)]]*3.6</f>
        <v>45.679404951169708</v>
      </c>
      <c r="J16" t="s">
        <v>105</v>
      </c>
      <c r="K16" t="s">
        <v>108</v>
      </c>
    </row>
    <row r="17" spans="1:11" x14ac:dyDescent="0.3">
      <c r="A17" t="s">
        <v>7</v>
      </c>
      <c r="B17" t="s">
        <v>53</v>
      </c>
      <c r="C17" t="s">
        <v>77</v>
      </c>
      <c r="D17">
        <v>1.3</v>
      </c>
      <c r="E17">
        <f>Tableau6[[#This Row],[Potential (PJ)]]/3.6</f>
        <v>0.3611111111111111</v>
      </c>
      <c r="F17">
        <v>0</v>
      </c>
      <c r="G17">
        <f>Tableau6[[#This Row],[Cost (€/GJ)]]*3.6</f>
        <v>0</v>
      </c>
      <c r="H17">
        <v>3.86607608129234</v>
      </c>
      <c r="I17">
        <f>Tableau6[[#This Row],[GHG (kgCO2eq/GJ)]]*3.6</f>
        <v>13.917873892652425</v>
      </c>
      <c r="J17" t="s">
        <v>104</v>
      </c>
      <c r="K17" t="s">
        <v>108</v>
      </c>
    </row>
    <row r="18" spans="1:11" x14ac:dyDescent="0.3">
      <c r="A18" t="s">
        <v>7</v>
      </c>
      <c r="B18" t="s">
        <v>54</v>
      </c>
      <c r="C18" t="s">
        <v>78</v>
      </c>
      <c r="D18">
        <v>4.9000000000000004</v>
      </c>
      <c r="E18">
        <f>Tableau6[[#This Row],[Potential (PJ)]]/3.6</f>
        <v>1.3611111111111112</v>
      </c>
      <c r="F18">
        <v>0</v>
      </c>
      <c r="G18">
        <f>Tableau6[[#This Row],[Cost (€/GJ)]]*3.6</f>
        <v>0</v>
      </c>
      <c r="H18">
        <v>3.86607608129234</v>
      </c>
      <c r="I18">
        <f>Tableau6[[#This Row],[GHG (kgCO2eq/GJ)]]*3.6</f>
        <v>13.917873892652425</v>
      </c>
      <c r="J18" t="s">
        <v>104</v>
      </c>
      <c r="K18" t="s">
        <v>108</v>
      </c>
    </row>
    <row r="19" spans="1:11" x14ac:dyDescent="0.3">
      <c r="A19" t="s">
        <v>8</v>
      </c>
      <c r="B19" t="s">
        <v>46</v>
      </c>
      <c r="C19" t="s">
        <v>64</v>
      </c>
      <c r="D19">
        <v>0.1</v>
      </c>
      <c r="E19">
        <f>Tableau6[[#This Row],[Potential (PJ)]]/3.6</f>
        <v>2.777777777777778E-2</v>
      </c>
      <c r="F19">
        <v>2.0630000000000002</v>
      </c>
      <c r="G19">
        <f>Tableau6[[#This Row],[Cost (€/GJ)]]*3.6</f>
        <v>7.426800000000001</v>
      </c>
      <c r="H19">
        <v>2.9521711768407801</v>
      </c>
      <c r="I19">
        <f>Tableau6[[#This Row],[GHG (kgCO2eq/GJ)]]*3.6</f>
        <v>10.627816236626808</v>
      </c>
      <c r="J19" t="s">
        <v>104</v>
      </c>
      <c r="K19" t="s">
        <v>108</v>
      </c>
    </row>
    <row r="20" spans="1:11" x14ac:dyDescent="0.3">
      <c r="A20" t="s">
        <v>8</v>
      </c>
      <c r="B20" t="s">
        <v>46</v>
      </c>
      <c r="C20" t="s">
        <v>79</v>
      </c>
      <c r="D20">
        <v>10</v>
      </c>
      <c r="E20">
        <f>Tableau6[[#This Row],[Potential (PJ)]]/3.6</f>
        <v>2.7777777777777777</v>
      </c>
      <c r="F20">
        <v>10.12252</v>
      </c>
      <c r="G20">
        <f>Tableau6[[#This Row],[Cost (€/GJ)]]*3.6</f>
        <v>36.441071999999998</v>
      </c>
      <c r="H20">
        <v>6.8428961748633883</v>
      </c>
      <c r="I20">
        <f>Tableau6[[#This Row],[GHG (kgCO2eq/GJ)]]*3.6</f>
        <v>24.634426229508197</v>
      </c>
      <c r="J20" t="s">
        <v>104</v>
      </c>
      <c r="K20" t="s">
        <v>108</v>
      </c>
    </row>
    <row r="21" spans="1:11" x14ac:dyDescent="0.3">
      <c r="A21" t="s">
        <v>8</v>
      </c>
      <c r="B21" t="s">
        <v>46</v>
      </c>
      <c r="C21" t="s">
        <v>80</v>
      </c>
      <c r="D21">
        <v>7.2874999999999996</v>
      </c>
      <c r="E21">
        <f>Tableau6[[#This Row],[Potential (PJ)]]/3.6</f>
        <v>2.0243055555555554</v>
      </c>
      <c r="F21">
        <v>0.71274443695212408</v>
      </c>
      <c r="G21">
        <f>Tableau6[[#This Row],[Cost (€/GJ)]]*3.6</f>
        <v>2.5658799730276467</v>
      </c>
      <c r="H21">
        <v>28.139870918023309</v>
      </c>
      <c r="I21">
        <f>Tableau6[[#This Row],[GHG (kgCO2eq/GJ)]]*3.6</f>
        <v>101.30353530488391</v>
      </c>
      <c r="J21" t="s">
        <v>105</v>
      </c>
      <c r="K21" t="s">
        <v>108</v>
      </c>
    </row>
    <row r="22" spans="1:11" x14ac:dyDescent="0.3">
      <c r="A22" t="s">
        <v>8</v>
      </c>
      <c r="B22" t="s">
        <v>46</v>
      </c>
      <c r="C22" t="s">
        <v>81</v>
      </c>
      <c r="D22">
        <v>2.6648999999999998</v>
      </c>
      <c r="E22">
        <f>Tableau6[[#This Row],[Potential (PJ)]]/3.6</f>
        <v>0.74024999999999996</v>
      </c>
      <c r="F22">
        <v>1.242655699177438</v>
      </c>
      <c r="G22">
        <f>Tableau6[[#This Row],[Cost (€/GJ)]]*3.6</f>
        <v>4.4735605170387771</v>
      </c>
      <c r="H22">
        <v>8.9647473560517046</v>
      </c>
      <c r="I22">
        <f>Tableau6[[#This Row],[GHG (kgCO2eq/GJ)]]*3.6</f>
        <v>32.273090481786134</v>
      </c>
      <c r="J22" t="s">
        <v>105</v>
      </c>
      <c r="K22" t="s">
        <v>108</v>
      </c>
    </row>
    <row r="23" spans="1:11" x14ac:dyDescent="0.3">
      <c r="A23" t="s">
        <v>8</v>
      </c>
      <c r="B23" t="s">
        <v>46</v>
      </c>
      <c r="C23" t="s">
        <v>66</v>
      </c>
      <c r="D23">
        <v>5.5</v>
      </c>
      <c r="E23">
        <f>Tableau6[[#This Row],[Potential (PJ)]]/3.6</f>
        <v>1.5277777777777777</v>
      </c>
      <c r="F23">
        <v>10.47369090909091</v>
      </c>
      <c r="G23">
        <f>Tableau6[[#This Row],[Cost (€/GJ)]]*3.6</f>
        <v>37.705287272727276</v>
      </c>
      <c r="H23">
        <v>6.8428961748633883</v>
      </c>
      <c r="I23">
        <f>Tableau6[[#This Row],[GHG (kgCO2eq/GJ)]]*3.6</f>
        <v>24.634426229508197</v>
      </c>
      <c r="J23" t="s">
        <v>104</v>
      </c>
      <c r="K23" t="s">
        <v>108</v>
      </c>
    </row>
    <row r="24" spans="1:11" x14ac:dyDescent="0.3">
      <c r="A24" t="s">
        <v>8</v>
      </c>
      <c r="B24" t="s">
        <v>46</v>
      </c>
      <c r="C24" t="s">
        <v>82</v>
      </c>
      <c r="D24">
        <v>1</v>
      </c>
      <c r="E24">
        <f>Tableau6[[#This Row],[Potential (PJ)]]/3.6</f>
        <v>0.27777777777777779</v>
      </c>
      <c r="F24">
        <v>6.1947999999999999</v>
      </c>
      <c r="G24">
        <f>Tableau6[[#This Row],[Cost (€/GJ)]]*3.6</f>
        <v>22.301279999999998</v>
      </c>
      <c r="H24">
        <v>6.8428961748633883</v>
      </c>
      <c r="I24">
        <f>Tableau6[[#This Row],[GHG (kgCO2eq/GJ)]]*3.6</f>
        <v>24.634426229508197</v>
      </c>
      <c r="J24" t="s">
        <v>104</v>
      </c>
      <c r="K24" t="s">
        <v>108</v>
      </c>
    </row>
    <row r="25" spans="1:11" x14ac:dyDescent="0.3">
      <c r="A25" t="s">
        <v>8</v>
      </c>
      <c r="B25" t="s">
        <v>46</v>
      </c>
      <c r="C25" t="s">
        <v>83</v>
      </c>
      <c r="D25">
        <v>0.3</v>
      </c>
      <c r="E25">
        <f>Tableau6[[#This Row],[Potential (PJ)]]/3.6</f>
        <v>8.3333333333333329E-2</v>
      </c>
      <c r="F25">
        <v>0</v>
      </c>
      <c r="G25">
        <f>Tableau6[[#This Row],[Cost (€/GJ)]]*3.6</f>
        <v>0</v>
      </c>
      <c r="H25">
        <v>6.8428961748633883</v>
      </c>
      <c r="I25">
        <f>Tableau6[[#This Row],[GHG (kgCO2eq/GJ)]]*3.6</f>
        <v>24.634426229508197</v>
      </c>
      <c r="J25" t="s">
        <v>104</v>
      </c>
      <c r="K25" t="s">
        <v>108</v>
      </c>
    </row>
    <row r="26" spans="1:11" x14ac:dyDescent="0.3">
      <c r="A26" t="s">
        <v>8</v>
      </c>
      <c r="B26" t="s">
        <v>46</v>
      </c>
      <c r="C26" t="s">
        <v>84</v>
      </c>
      <c r="D26">
        <v>0.3</v>
      </c>
      <c r="E26">
        <f>Tableau6[[#This Row],[Potential (PJ)]]/3.6</f>
        <v>8.3333333333333329E-2</v>
      </c>
      <c r="F26">
        <v>4.4939999999999998</v>
      </c>
      <c r="G26">
        <f>Tableau6[[#This Row],[Cost (€/GJ)]]*3.6</f>
        <v>16.1784</v>
      </c>
      <c r="H26">
        <v>28.139870918023309</v>
      </c>
      <c r="I26">
        <f>Tableau6[[#This Row],[GHG (kgCO2eq/GJ)]]*3.6</f>
        <v>101.30353530488391</v>
      </c>
      <c r="J26" t="s">
        <v>105</v>
      </c>
      <c r="K26" t="s">
        <v>108</v>
      </c>
    </row>
    <row r="27" spans="1:11" x14ac:dyDescent="0.3">
      <c r="A27" t="s">
        <v>8</v>
      </c>
      <c r="B27" t="s">
        <v>46</v>
      </c>
      <c r="C27" t="s">
        <v>85</v>
      </c>
      <c r="D27">
        <v>0.4</v>
      </c>
      <c r="E27">
        <f>Tableau6[[#This Row],[Potential (PJ)]]/3.6</f>
        <v>0.11111111111111112</v>
      </c>
      <c r="F27">
        <v>4.7530000000000001</v>
      </c>
      <c r="G27">
        <f>Tableau6[[#This Row],[Cost (€/GJ)]]*3.6</f>
        <v>17.110800000000001</v>
      </c>
      <c r="H27">
        <v>2.9521711768407801</v>
      </c>
      <c r="I27">
        <f>Tableau6[[#This Row],[GHG (kgCO2eq/GJ)]]*3.6</f>
        <v>10.627816236626808</v>
      </c>
      <c r="J27" t="s">
        <v>104</v>
      </c>
      <c r="K27" t="s">
        <v>108</v>
      </c>
    </row>
    <row r="28" spans="1:11" x14ac:dyDescent="0.3">
      <c r="A28" t="s">
        <v>8</v>
      </c>
      <c r="B28" t="s">
        <v>55</v>
      </c>
      <c r="C28" t="s">
        <v>86</v>
      </c>
      <c r="D28">
        <v>6.4399999999999999E-2</v>
      </c>
      <c r="E28">
        <f>Tableau6[[#This Row],[Potential (PJ)]]/3.6</f>
        <v>1.7888888888888888E-2</v>
      </c>
      <c r="F28">
        <v>10.414</v>
      </c>
      <c r="G28">
        <f>Tableau6[[#This Row],[Cost (€/GJ)]]*3.6</f>
        <v>37.490400000000001</v>
      </c>
      <c r="H28">
        <v>9.3000000000000007</v>
      </c>
      <c r="I28">
        <f>Tableau6[[#This Row],[GHG (kgCO2eq/GJ)]]*3.6</f>
        <v>33.480000000000004</v>
      </c>
      <c r="J28" t="s">
        <v>106</v>
      </c>
      <c r="K28" t="s">
        <v>109</v>
      </c>
    </row>
    <row r="29" spans="1:11" x14ac:dyDescent="0.3">
      <c r="A29" t="s">
        <v>8</v>
      </c>
      <c r="B29" t="s">
        <v>55</v>
      </c>
      <c r="C29" t="s">
        <v>87</v>
      </c>
      <c r="D29">
        <v>0.255</v>
      </c>
      <c r="E29">
        <f>Tableau6[[#This Row],[Potential (PJ)]]/3.6</f>
        <v>7.0833333333333331E-2</v>
      </c>
      <c r="F29">
        <v>11.951000000000001</v>
      </c>
      <c r="G29">
        <f>Tableau6[[#This Row],[Cost (€/GJ)]]*3.6</f>
        <v>43.023600000000002</v>
      </c>
      <c r="H29">
        <v>9.3000000000000007</v>
      </c>
      <c r="I29">
        <f>Tableau6[[#This Row],[GHG (kgCO2eq/GJ)]]*3.6</f>
        <v>33.480000000000004</v>
      </c>
      <c r="J29" t="s">
        <v>106</v>
      </c>
      <c r="K29" t="s">
        <v>109</v>
      </c>
    </row>
    <row r="30" spans="1:11" x14ac:dyDescent="0.3">
      <c r="A30" t="s">
        <v>8</v>
      </c>
      <c r="B30" t="s">
        <v>55</v>
      </c>
      <c r="C30" t="s">
        <v>88</v>
      </c>
      <c r="D30">
        <v>0.35749999999999998</v>
      </c>
      <c r="E30">
        <f>Tableau6[[#This Row],[Potential (PJ)]]/3.6</f>
        <v>9.930555555555555E-2</v>
      </c>
      <c r="F30">
        <v>10.555</v>
      </c>
      <c r="G30">
        <f>Tableau6[[#This Row],[Cost (€/GJ)]]*3.6</f>
        <v>37.997999999999998</v>
      </c>
      <c r="H30">
        <v>9.3000000000000007</v>
      </c>
      <c r="I30">
        <f>Tableau6[[#This Row],[GHG (kgCO2eq/GJ)]]*3.6</f>
        <v>33.480000000000004</v>
      </c>
      <c r="J30" t="s">
        <v>106</v>
      </c>
      <c r="K30" t="s">
        <v>109</v>
      </c>
    </row>
    <row r="31" spans="1:11" x14ac:dyDescent="0.3">
      <c r="A31" t="s">
        <v>8</v>
      </c>
      <c r="B31" t="s">
        <v>55</v>
      </c>
      <c r="C31" t="s">
        <v>89</v>
      </c>
      <c r="D31">
        <v>7.8699999999999992E-2</v>
      </c>
      <c r="E31">
        <f>Tableau6[[#This Row],[Potential (PJ)]]/3.6</f>
        <v>2.1861111111111109E-2</v>
      </c>
      <c r="F31">
        <v>0</v>
      </c>
      <c r="G31">
        <f>Tableau6[[#This Row],[Cost (€/GJ)]]*3.6</f>
        <v>0</v>
      </c>
      <c r="H31">
        <v>9.3000000000000007</v>
      </c>
      <c r="I31">
        <f>Tableau6[[#This Row],[GHG (kgCO2eq/GJ)]]*3.6</f>
        <v>33.480000000000004</v>
      </c>
      <c r="J31" t="s">
        <v>106</v>
      </c>
      <c r="K31" t="s">
        <v>109</v>
      </c>
    </row>
    <row r="32" spans="1:11" x14ac:dyDescent="0.3">
      <c r="A32" t="s">
        <v>8</v>
      </c>
      <c r="B32" t="s">
        <v>55</v>
      </c>
      <c r="C32" t="s">
        <v>90</v>
      </c>
      <c r="D32">
        <v>1.9599999999999999E-2</v>
      </c>
      <c r="E32">
        <f>Tableau6[[#This Row],[Potential (PJ)]]/3.6</f>
        <v>5.4444444444444445E-3</v>
      </c>
      <c r="F32">
        <v>12.005000000000001</v>
      </c>
      <c r="G32">
        <f>Tableau6[[#This Row],[Cost (€/GJ)]]*3.6</f>
        <v>43.218000000000004</v>
      </c>
      <c r="H32">
        <v>9.3000000000000007</v>
      </c>
      <c r="I32">
        <f>Tableau6[[#This Row],[GHG (kgCO2eq/GJ)]]*3.6</f>
        <v>33.480000000000004</v>
      </c>
      <c r="J32" t="s">
        <v>106</v>
      </c>
      <c r="K32" t="s">
        <v>109</v>
      </c>
    </row>
    <row r="33" spans="1:11" x14ac:dyDescent="0.3">
      <c r="A33" t="s">
        <v>8</v>
      </c>
      <c r="B33" t="s">
        <v>55</v>
      </c>
      <c r="C33" t="s">
        <v>91</v>
      </c>
      <c r="D33">
        <v>6.7599999999999993E-2</v>
      </c>
      <c r="E33">
        <f>Tableau6[[#This Row],[Potential (PJ)]]/3.6</f>
        <v>1.8777777777777775E-2</v>
      </c>
      <c r="F33">
        <v>10.369</v>
      </c>
      <c r="G33">
        <f>Tableau6[[#This Row],[Cost (€/GJ)]]*3.6</f>
        <v>37.328400000000002</v>
      </c>
      <c r="H33">
        <v>9.3000000000000007</v>
      </c>
      <c r="I33">
        <f>Tableau6[[#This Row],[GHG (kgCO2eq/GJ)]]*3.6</f>
        <v>33.480000000000004</v>
      </c>
      <c r="J33" t="s">
        <v>106</v>
      </c>
      <c r="K33" t="s">
        <v>109</v>
      </c>
    </row>
    <row r="34" spans="1:11" x14ac:dyDescent="0.3">
      <c r="A34" t="s">
        <v>8</v>
      </c>
      <c r="B34" t="s">
        <v>55</v>
      </c>
      <c r="C34" t="s">
        <v>92</v>
      </c>
      <c r="D34">
        <v>0.33368999999999999</v>
      </c>
      <c r="E34">
        <f>Tableau6[[#This Row],[Potential (PJ)]]/3.6</f>
        <v>9.2691666666666658E-2</v>
      </c>
      <c r="F34">
        <v>11.951000000000001</v>
      </c>
      <c r="G34">
        <f>Tableau6[[#This Row],[Cost (€/GJ)]]*3.6</f>
        <v>43.023600000000002</v>
      </c>
      <c r="H34">
        <v>9.3000000000000007</v>
      </c>
      <c r="I34">
        <f>Tableau6[[#This Row],[GHG (kgCO2eq/GJ)]]*3.6</f>
        <v>33.480000000000004</v>
      </c>
      <c r="J34" t="s">
        <v>106</v>
      </c>
      <c r="K34" t="s">
        <v>109</v>
      </c>
    </row>
    <row r="35" spans="1:11" x14ac:dyDescent="0.3">
      <c r="A35" t="s">
        <v>8</v>
      </c>
      <c r="B35" t="s">
        <v>56</v>
      </c>
      <c r="C35" t="s">
        <v>93</v>
      </c>
      <c r="D35">
        <v>15.14</v>
      </c>
      <c r="E35">
        <f>Tableau6[[#This Row],[Potential (PJ)]]/3.6</f>
        <v>4.2055555555555557</v>
      </c>
      <c r="F35">
        <v>2.939759036144578</v>
      </c>
      <c r="G35">
        <f>Tableau6[[#This Row],[Cost (€/GJ)]]*3.6</f>
        <v>10.583132530120482</v>
      </c>
      <c r="H35">
        <v>16.899999999999999</v>
      </c>
      <c r="I35">
        <f>Tableau6[[#This Row],[GHG (kgCO2eq/GJ)]]*3.6</f>
        <v>60.839999999999996</v>
      </c>
      <c r="J35" t="s">
        <v>106</v>
      </c>
      <c r="K35" t="s">
        <v>109</v>
      </c>
    </row>
    <row r="36" spans="1:11" x14ac:dyDescent="0.3">
      <c r="A36" t="s">
        <v>8</v>
      </c>
      <c r="B36" t="s">
        <v>47</v>
      </c>
      <c r="C36" t="s">
        <v>68</v>
      </c>
      <c r="D36">
        <v>9.1</v>
      </c>
      <c r="E36">
        <f>Tableau6[[#This Row],[Potential (PJ)]]/3.6</f>
        <v>2.5277777777777777</v>
      </c>
      <c r="F36">
        <v>5.2977582417582418</v>
      </c>
      <c r="G36">
        <f>Tableau6[[#This Row],[Cost (€/GJ)]]*3.6</f>
        <v>19.07192967032967</v>
      </c>
      <c r="H36">
        <v>21.3</v>
      </c>
      <c r="I36">
        <f>Tableau6[[#This Row],[GHG (kgCO2eq/GJ)]]*3.6</f>
        <v>76.680000000000007</v>
      </c>
      <c r="J36" t="s">
        <v>104</v>
      </c>
      <c r="K36" t="s">
        <v>109</v>
      </c>
    </row>
    <row r="37" spans="1:11" x14ac:dyDescent="0.3">
      <c r="A37" t="s">
        <v>8</v>
      </c>
      <c r="B37" t="s">
        <v>47</v>
      </c>
      <c r="C37" t="s">
        <v>69</v>
      </c>
      <c r="D37">
        <v>21</v>
      </c>
      <c r="E37">
        <f>Tableau6[[#This Row],[Potential (PJ)]]/3.6</f>
        <v>5.833333333333333</v>
      </c>
      <c r="F37">
        <v>4.6394809523809526</v>
      </c>
      <c r="G37">
        <f>Tableau6[[#This Row],[Cost (€/GJ)]]*3.6</f>
        <v>16.70213142857143</v>
      </c>
      <c r="H37">
        <v>21.3</v>
      </c>
      <c r="I37">
        <f>Tableau6[[#This Row],[GHG (kgCO2eq/GJ)]]*3.6</f>
        <v>76.680000000000007</v>
      </c>
      <c r="J37" t="s">
        <v>104</v>
      </c>
      <c r="K37" t="s">
        <v>109</v>
      </c>
    </row>
    <row r="38" spans="1:11" x14ac:dyDescent="0.3">
      <c r="A38" t="s">
        <v>8</v>
      </c>
      <c r="B38" t="s">
        <v>57</v>
      </c>
      <c r="C38" t="s">
        <v>94</v>
      </c>
      <c r="D38">
        <v>6</v>
      </c>
      <c r="E38">
        <f>Tableau6[[#This Row],[Potential (PJ)]]/3.6</f>
        <v>1.6666666666666665</v>
      </c>
      <c r="F38">
        <v>9.6004833333333348</v>
      </c>
      <c r="G38">
        <f>Tableau6[[#This Row],[Cost (€/GJ)]]*3.6</f>
        <v>34.561740000000007</v>
      </c>
      <c r="H38">
        <v>15</v>
      </c>
      <c r="I38">
        <f>Tableau6[[#This Row],[GHG (kgCO2eq/GJ)]]*3.6</f>
        <v>54</v>
      </c>
      <c r="J38" t="s">
        <v>104</v>
      </c>
      <c r="K38" t="s">
        <v>109</v>
      </c>
    </row>
    <row r="39" spans="1:11" x14ac:dyDescent="0.3">
      <c r="A39" t="s">
        <v>8</v>
      </c>
      <c r="B39" t="s">
        <v>49</v>
      </c>
      <c r="C39" t="s">
        <v>71</v>
      </c>
      <c r="D39">
        <v>202.85158000000001</v>
      </c>
      <c r="E39">
        <f>Tableau6[[#This Row],[Potential (PJ)]]/3.6</f>
        <v>56.347661111111115</v>
      </c>
      <c r="F39">
        <v>4.9610125947749566</v>
      </c>
      <c r="G39">
        <f>Tableau6[[#This Row],[Cost (€/GJ)]]*3.6</f>
        <v>17.859645341189843</v>
      </c>
      <c r="H39">
        <v>3.86607608129234</v>
      </c>
      <c r="I39">
        <f>Tableau6[[#This Row],[GHG (kgCO2eq/GJ)]]*3.6</f>
        <v>13.917873892652425</v>
      </c>
      <c r="J39" t="s">
        <v>104</v>
      </c>
      <c r="K39" t="s">
        <v>108</v>
      </c>
    </row>
    <row r="40" spans="1:11" x14ac:dyDescent="0.3">
      <c r="A40" t="s">
        <v>8</v>
      </c>
      <c r="B40" t="s">
        <v>49</v>
      </c>
      <c r="C40" t="s">
        <v>72</v>
      </c>
      <c r="D40">
        <v>24.1</v>
      </c>
      <c r="E40">
        <f>Tableau6[[#This Row],[Potential (PJ)]]/3.6</f>
        <v>6.6944444444444446</v>
      </c>
      <c r="F40">
        <v>3.9701327800829871</v>
      </c>
      <c r="G40">
        <f>Tableau6[[#This Row],[Cost (€/GJ)]]*3.6</f>
        <v>14.292478008298755</v>
      </c>
      <c r="H40">
        <v>3.86607608129234</v>
      </c>
      <c r="I40">
        <f>Tableau6[[#This Row],[GHG (kgCO2eq/GJ)]]*3.6</f>
        <v>13.917873892652425</v>
      </c>
      <c r="J40" t="s">
        <v>104</v>
      </c>
      <c r="K40" t="s">
        <v>108</v>
      </c>
    </row>
    <row r="41" spans="1:11" x14ac:dyDescent="0.3">
      <c r="A41" t="s">
        <v>8</v>
      </c>
      <c r="B41" t="s">
        <v>58</v>
      </c>
      <c r="C41" t="s">
        <v>95</v>
      </c>
      <c r="D41">
        <v>8.8825099999999999</v>
      </c>
      <c r="E41">
        <f>Tableau6[[#This Row],[Potential (PJ)]]/3.6</f>
        <v>2.4673638888888889</v>
      </c>
      <c r="F41">
        <v>2.8688883919072419</v>
      </c>
      <c r="G41">
        <f>Tableau6[[#This Row],[Cost (€/GJ)]]*3.6</f>
        <v>10.32799821086607</v>
      </c>
      <c r="H41">
        <v>2.9521711768407801</v>
      </c>
      <c r="I41">
        <f>Tableau6[[#This Row],[GHG (kgCO2eq/GJ)]]*3.6</f>
        <v>10.627816236626808</v>
      </c>
      <c r="J41" t="s">
        <v>104</v>
      </c>
      <c r="K41" t="s">
        <v>108</v>
      </c>
    </row>
    <row r="42" spans="1:11" x14ac:dyDescent="0.3">
      <c r="A42" t="s">
        <v>8</v>
      </c>
      <c r="B42" t="s">
        <v>50</v>
      </c>
      <c r="C42" t="s">
        <v>73</v>
      </c>
      <c r="D42">
        <v>2.1</v>
      </c>
      <c r="E42">
        <f>Tableau6[[#This Row],[Potential (PJ)]]/3.6</f>
        <v>0.58333333333333337</v>
      </c>
      <c r="F42">
        <v>5.5201904761904759</v>
      </c>
      <c r="G42">
        <f>Tableau6[[#This Row],[Cost (€/GJ)]]*3.6</f>
        <v>19.872685714285712</v>
      </c>
      <c r="H42">
        <v>20.723404255319149</v>
      </c>
      <c r="I42">
        <f>Tableau6[[#This Row],[GHG (kgCO2eq/GJ)]]*3.6</f>
        <v>74.604255319148933</v>
      </c>
      <c r="J42" t="s">
        <v>105</v>
      </c>
      <c r="K42" t="s">
        <v>108</v>
      </c>
    </row>
    <row r="43" spans="1:11" x14ac:dyDescent="0.3">
      <c r="A43" t="s">
        <v>8</v>
      </c>
      <c r="B43" t="s">
        <v>50</v>
      </c>
      <c r="C43" t="s">
        <v>74</v>
      </c>
      <c r="D43">
        <v>7.1999999999999993</v>
      </c>
      <c r="E43">
        <f>Tableau6[[#This Row],[Potential (PJ)]]/3.6</f>
        <v>1.9999999999999998</v>
      </c>
      <c r="F43">
        <v>6.2404722222222224</v>
      </c>
      <c r="G43">
        <f>Tableau6[[#This Row],[Cost (€/GJ)]]*3.6</f>
        <v>22.465700000000002</v>
      </c>
      <c r="H43">
        <v>2.0635593220338988</v>
      </c>
      <c r="I43">
        <f>Tableau6[[#This Row],[GHG (kgCO2eq/GJ)]]*3.6</f>
        <v>7.4288135593220357</v>
      </c>
      <c r="J43" t="s">
        <v>105</v>
      </c>
      <c r="K43" t="s">
        <v>108</v>
      </c>
    </row>
    <row r="44" spans="1:11" x14ac:dyDescent="0.3">
      <c r="A44" t="s">
        <v>8</v>
      </c>
      <c r="B44" t="s">
        <v>59</v>
      </c>
      <c r="C44" t="s">
        <v>96</v>
      </c>
      <c r="D44">
        <v>0.1971</v>
      </c>
      <c r="E44">
        <f>Tableau6[[#This Row],[Potential (PJ)]]/3.6</f>
        <v>5.475E-2</v>
      </c>
      <c r="F44">
        <v>17.393000000000001</v>
      </c>
      <c r="G44">
        <f>Tableau6[[#This Row],[Cost (€/GJ)]]*3.6</f>
        <v>62.614800000000002</v>
      </c>
      <c r="H44">
        <v>13.9</v>
      </c>
      <c r="I44">
        <f>Tableau6[[#This Row],[GHG (kgCO2eq/GJ)]]*3.6</f>
        <v>50.04</v>
      </c>
      <c r="J44" t="s">
        <v>107</v>
      </c>
      <c r="K44" t="s">
        <v>109</v>
      </c>
    </row>
    <row r="45" spans="1:11" x14ac:dyDescent="0.3">
      <c r="A45" t="s">
        <v>8</v>
      </c>
      <c r="B45" t="s">
        <v>59</v>
      </c>
      <c r="C45" t="s">
        <v>97</v>
      </c>
      <c r="D45">
        <v>0.62469999999999992</v>
      </c>
      <c r="E45">
        <f>Tableau6[[#This Row],[Potential (PJ)]]/3.6</f>
        <v>0.17352777777777775</v>
      </c>
      <c r="F45">
        <v>16.657623440043409</v>
      </c>
      <c r="G45">
        <f>Tableau6[[#This Row],[Cost (€/GJ)]]*3.6</f>
        <v>59.967444384156273</v>
      </c>
      <c r="H45">
        <v>13.9</v>
      </c>
      <c r="I45">
        <f>Tableau6[[#This Row],[GHG (kgCO2eq/GJ)]]*3.6</f>
        <v>50.04</v>
      </c>
      <c r="J45" t="s">
        <v>107</v>
      </c>
      <c r="K45" t="s">
        <v>109</v>
      </c>
    </row>
    <row r="46" spans="1:11" x14ac:dyDescent="0.3">
      <c r="A46" t="s">
        <v>8</v>
      </c>
      <c r="B46" t="s">
        <v>51</v>
      </c>
      <c r="C46" t="s">
        <v>75</v>
      </c>
      <c r="D46">
        <v>7.2673740000000002</v>
      </c>
      <c r="E46">
        <f>Tableau6[[#This Row],[Potential (PJ)]]/3.6</f>
        <v>2.0187149999999998</v>
      </c>
      <c r="F46">
        <v>0.16395953979390099</v>
      </c>
      <c r="G46">
        <f>Tableau6[[#This Row],[Cost (€/GJ)]]*3.6</f>
        <v>0.5902543432580436</v>
      </c>
      <c r="H46">
        <v>11.74</v>
      </c>
      <c r="I46">
        <f>Tableau6[[#This Row],[GHG (kgCO2eq/GJ)]]*3.6</f>
        <v>42.264000000000003</v>
      </c>
      <c r="J46" t="s">
        <v>104</v>
      </c>
      <c r="K46" t="s">
        <v>108</v>
      </c>
    </row>
    <row r="47" spans="1:11" x14ac:dyDescent="0.3">
      <c r="A47" t="s">
        <v>8</v>
      </c>
      <c r="B47" t="s">
        <v>60</v>
      </c>
      <c r="C47" t="s">
        <v>98</v>
      </c>
      <c r="D47">
        <v>1.8639399999999999</v>
      </c>
      <c r="E47">
        <f>Tableau6[[#This Row],[Potential (PJ)]]/3.6</f>
        <v>0.51776111111111112</v>
      </c>
      <c r="F47">
        <v>20.300751879699249</v>
      </c>
      <c r="G47">
        <f>Tableau6[[#This Row],[Cost (€/GJ)]]*3.6</f>
        <v>73.082706766917298</v>
      </c>
      <c r="H47">
        <v>21</v>
      </c>
      <c r="I47">
        <f>Tableau6[[#This Row],[GHG (kgCO2eq/GJ)]]*3.6</f>
        <v>75.600000000000009</v>
      </c>
      <c r="J47" t="s">
        <v>107</v>
      </c>
      <c r="K47" t="s">
        <v>109</v>
      </c>
    </row>
    <row r="48" spans="1:11" x14ac:dyDescent="0.3">
      <c r="A48" t="s">
        <v>8</v>
      </c>
      <c r="B48" t="s">
        <v>52</v>
      </c>
      <c r="C48" t="s">
        <v>76</v>
      </c>
      <c r="D48">
        <v>3.4129999999999998</v>
      </c>
      <c r="E48">
        <f>Tableau6[[#This Row],[Potential (PJ)]]/3.6</f>
        <v>0.94805555555555543</v>
      </c>
      <c r="F48">
        <v>6.5250000000000004</v>
      </c>
      <c r="G48">
        <f>Tableau6[[#This Row],[Cost (€/GJ)]]*3.6</f>
        <v>23.490000000000002</v>
      </c>
      <c r="H48">
        <v>12.68872359754714</v>
      </c>
      <c r="I48">
        <f>Tableau6[[#This Row],[GHG (kgCO2eq/GJ)]]*3.6</f>
        <v>45.679404951169708</v>
      </c>
      <c r="J48" t="s">
        <v>105</v>
      </c>
      <c r="K48" t="s">
        <v>108</v>
      </c>
    </row>
    <row r="49" spans="1:11" x14ac:dyDescent="0.3">
      <c r="A49" t="s">
        <v>8</v>
      </c>
      <c r="B49" t="s">
        <v>53</v>
      </c>
      <c r="C49" t="s">
        <v>77</v>
      </c>
      <c r="D49">
        <v>12.2</v>
      </c>
      <c r="E49">
        <f>Tableau6[[#This Row],[Potential (PJ)]]/3.6</f>
        <v>3.3888888888888884</v>
      </c>
      <c r="F49">
        <v>3.9697131147540992</v>
      </c>
      <c r="G49">
        <f>Tableau6[[#This Row],[Cost (€/GJ)]]*3.6</f>
        <v>14.290967213114758</v>
      </c>
      <c r="H49">
        <v>3.86607608129234</v>
      </c>
      <c r="I49">
        <f>Tableau6[[#This Row],[GHG (kgCO2eq/GJ)]]*3.6</f>
        <v>13.917873892652425</v>
      </c>
      <c r="J49" t="s">
        <v>104</v>
      </c>
      <c r="K49" t="s">
        <v>108</v>
      </c>
    </row>
    <row r="50" spans="1:11" x14ac:dyDescent="0.3">
      <c r="A50" t="s">
        <v>8</v>
      </c>
      <c r="B50" t="s">
        <v>61</v>
      </c>
      <c r="C50" t="s">
        <v>99</v>
      </c>
      <c r="D50">
        <v>46.6</v>
      </c>
      <c r="E50">
        <f>Tableau6[[#This Row],[Potential (PJ)]]/3.6</f>
        <v>12.944444444444445</v>
      </c>
      <c r="F50">
        <v>2.0611974248927041</v>
      </c>
      <c r="G50">
        <f>Tableau6[[#This Row],[Cost (€/GJ)]]*3.6</f>
        <v>7.4203107296137345</v>
      </c>
      <c r="H50">
        <v>2.9245635910224439</v>
      </c>
      <c r="I50">
        <f>Tableau6[[#This Row],[GHG (kgCO2eq/GJ)]]*3.6</f>
        <v>10.528428927680798</v>
      </c>
      <c r="J50" t="s">
        <v>104</v>
      </c>
      <c r="K50" t="s">
        <v>108</v>
      </c>
    </row>
    <row r="51" spans="1:11" x14ac:dyDescent="0.3">
      <c r="A51" t="s">
        <v>8</v>
      </c>
      <c r="B51" t="s">
        <v>62</v>
      </c>
      <c r="C51" t="s">
        <v>100</v>
      </c>
      <c r="D51">
        <v>17</v>
      </c>
      <c r="E51">
        <f>Tableau6[[#This Row],[Potential (PJ)]]/3.6</f>
        <v>4.7222222222222223</v>
      </c>
      <c r="F51">
        <v>0.37235294117647061</v>
      </c>
      <c r="G51">
        <f>Tableau6[[#This Row],[Cost (€/GJ)]]*3.6</f>
        <v>1.3404705882352943</v>
      </c>
      <c r="H51">
        <v>2.6764106050305911</v>
      </c>
      <c r="I51">
        <f>Tableau6[[#This Row],[GHG (kgCO2eq/GJ)]]*3.6</f>
        <v>9.6350781781101276</v>
      </c>
      <c r="J51" t="s">
        <v>104</v>
      </c>
      <c r="K51" t="s">
        <v>108</v>
      </c>
    </row>
    <row r="52" spans="1:11" x14ac:dyDescent="0.3">
      <c r="A52" t="s">
        <v>8</v>
      </c>
      <c r="B52" t="s">
        <v>54</v>
      </c>
      <c r="C52" t="s">
        <v>78</v>
      </c>
      <c r="D52">
        <v>103.9</v>
      </c>
      <c r="E52">
        <f>Tableau6[[#This Row],[Potential (PJ)]]/3.6</f>
        <v>28.861111111111111</v>
      </c>
      <c r="F52">
        <v>8.2418084696823879</v>
      </c>
      <c r="G52">
        <f>Tableau6[[#This Row],[Cost (€/GJ)]]*3.6</f>
        <v>29.670510490856596</v>
      </c>
      <c r="H52">
        <v>3.86607608129234</v>
      </c>
      <c r="I52">
        <f>Tableau6[[#This Row],[GHG (kgCO2eq/GJ)]]*3.6</f>
        <v>13.917873892652425</v>
      </c>
      <c r="J52" t="s">
        <v>104</v>
      </c>
      <c r="K52" t="s">
        <v>108</v>
      </c>
    </row>
    <row r="53" spans="1:11" x14ac:dyDescent="0.3">
      <c r="A53" t="s">
        <v>9</v>
      </c>
      <c r="B53" t="s">
        <v>46</v>
      </c>
      <c r="C53" t="s">
        <v>64</v>
      </c>
      <c r="D53">
        <v>0.53795999999999999</v>
      </c>
      <c r="E53">
        <f>Tableau6[[#This Row],[Potential (PJ)]]/3.6</f>
        <v>0.14943333333333333</v>
      </c>
      <c r="F53">
        <v>6.633</v>
      </c>
      <c r="G53">
        <f>Tableau6[[#This Row],[Cost (€/GJ)]]*3.6</f>
        <v>23.878800000000002</v>
      </c>
      <c r="H53">
        <v>2.9521711768407801</v>
      </c>
      <c r="I53">
        <f>Tableau6[[#This Row],[GHG (kgCO2eq/GJ)]]*3.6</f>
        <v>10.627816236626808</v>
      </c>
      <c r="J53" t="s">
        <v>104</v>
      </c>
      <c r="K53" t="s">
        <v>108</v>
      </c>
    </row>
    <row r="54" spans="1:11" x14ac:dyDescent="0.3">
      <c r="A54" t="s">
        <v>9</v>
      </c>
      <c r="B54" t="s">
        <v>46</v>
      </c>
      <c r="C54" t="s">
        <v>65</v>
      </c>
      <c r="D54">
        <v>0.8</v>
      </c>
      <c r="E54">
        <f>Tableau6[[#This Row],[Potential (PJ)]]/3.6</f>
        <v>0.22222222222222224</v>
      </c>
      <c r="F54">
        <v>4.4370000000000003</v>
      </c>
      <c r="G54">
        <f>Tableau6[[#This Row],[Cost (€/GJ)]]*3.6</f>
        <v>15.973200000000002</v>
      </c>
      <c r="H54">
        <v>2.9521711768407801</v>
      </c>
      <c r="I54">
        <f>Tableau6[[#This Row],[GHG (kgCO2eq/GJ)]]*3.6</f>
        <v>10.627816236626808</v>
      </c>
      <c r="J54" t="s">
        <v>104</v>
      </c>
      <c r="K54" t="s">
        <v>108</v>
      </c>
    </row>
    <row r="55" spans="1:11" x14ac:dyDescent="0.3">
      <c r="A55" t="s">
        <v>9</v>
      </c>
      <c r="B55" t="s">
        <v>46</v>
      </c>
      <c r="C55" t="s">
        <v>66</v>
      </c>
      <c r="D55">
        <v>2.7</v>
      </c>
      <c r="E55">
        <f>Tableau6[[#This Row],[Potential (PJ)]]/3.6</f>
        <v>0.75</v>
      </c>
      <c r="F55">
        <v>2.556</v>
      </c>
      <c r="G55">
        <f>Tableau6[[#This Row],[Cost (€/GJ)]]*3.6</f>
        <v>9.2016000000000009</v>
      </c>
      <c r="H55">
        <v>6.8428961748633883</v>
      </c>
      <c r="I55">
        <f>Tableau6[[#This Row],[GHG (kgCO2eq/GJ)]]*3.6</f>
        <v>24.634426229508197</v>
      </c>
      <c r="J55" t="s">
        <v>104</v>
      </c>
      <c r="K55" t="s">
        <v>108</v>
      </c>
    </row>
    <row r="56" spans="1:11" x14ac:dyDescent="0.3">
      <c r="A56" t="s">
        <v>9</v>
      </c>
      <c r="B56" t="s">
        <v>46</v>
      </c>
      <c r="C56" t="s">
        <v>85</v>
      </c>
      <c r="D56">
        <v>0.1</v>
      </c>
      <c r="E56">
        <f>Tableau6[[#This Row],[Potential (PJ)]]/3.6</f>
        <v>2.777777777777778E-2</v>
      </c>
      <c r="F56">
        <v>4.1420000000000003</v>
      </c>
      <c r="G56">
        <f>Tableau6[[#This Row],[Cost (€/GJ)]]*3.6</f>
        <v>14.911200000000001</v>
      </c>
      <c r="H56">
        <v>2.9521711768407801</v>
      </c>
      <c r="I56">
        <f>Tableau6[[#This Row],[GHG (kgCO2eq/GJ)]]*3.6</f>
        <v>10.627816236626808</v>
      </c>
      <c r="J56" t="s">
        <v>104</v>
      </c>
      <c r="K56" t="s">
        <v>108</v>
      </c>
    </row>
    <row r="57" spans="1:11" x14ac:dyDescent="0.3">
      <c r="A57" t="s">
        <v>9</v>
      </c>
      <c r="B57" t="s">
        <v>47</v>
      </c>
      <c r="C57" t="s">
        <v>68</v>
      </c>
      <c r="D57">
        <v>44</v>
      </c>
      <c r="E57">
        <f>Tableau6[[#This Row],[Potential (PJ)]]/3.6</f>
        <v>12.222222222222221</v>
      </c>
      <c r="F57">
        <v>3.609</v>
      </c>
      <c r="G57">
        <f>Tableau6[[#This Row],[Cost (€/GJ)]]*3.6</f>
        <v>12.9924</v>
      </c>
      <c r="I57">
        <f>Tableau6[[#This Row],[GHG (kgCO2eq/GJ)]]*3.6</f>
        <v>0</v>
      </c>
      <c r="J57" t="s">
        <v>104</v>
      </c>
      <c r="K57" t="s">
        <v>109</v>
      </c>
    </row>
    <row r="58" spans="1:11" x14ac:dyDescent="0.3">
      <c r="A58" t="s">
        <v>9</v>
      </c>
      <c r="B58" t="s">
        <v>47</v>
      </c>
      <c r="C58" t="s">
        <v>69</v>
      </c>
      <c r="D58">
        <v>30.8</v>
      </c>
      <c r="E58">
        <f>Tableau6[[#This Row],[Potential (PJ)]]/3.6</f>
        <v>8.5555555555555554</v>
      </c>
      <c r="F58">
        <v>3.59</v>
      </c>
      <c r="G58">
        <f>Tableau6[[#This Row],[Cost (€/GJ)]]*3.6</f>
        <v>12.923999999999999</v>
      </c>
      <c r="I58">
        <f>Tableau6[[#This Row],[GHG (kgCO2eq/GJ)]]*3.6</f>
        <v>0</v>
      </c>
      <c r="J58" t="s">
        <v>104</v>
      </c>
      <c r="K58" t="s">
        <v>109</v>
      </c>
    </row>
    <row r="59" spans="1:11" x14ac:dyDescent="0.3">
      <c r="A59" t="s">
        <v>9</v>
      </c>
      <c r="B59" t="s">
        <v>48</v>
      </c>
      <c r="C59" t="s">
        <v>70</v>
      </c>
      <c r="D59">
        <v>16.3</v>
      </c>
      <c r="E59">
        <f>Tableau6[[#This Row],[Potential (PJ)]]/3.6</f>
        <v>4.5277777777777777</v>
      </c>
      <c r="F59">
        <v>9.141</v>
      </c>
      <c r="G59">
        <f>Tableau6[[#This Row],[Cost (€/GJ)]]*3.6</f>
        <v>32.907600000000002</v>
      </c>
      <c r="I59">
        <f>Tableau6[[#This Row],[GHG (kgCO2eq/GJ)]]*3.6</f>
        <v>0</v>
      </c>
      <c r="J59" t="s">
        <v>104</v>
      </c>
      <c r="K59" t="s">
        <v>109</v>
      </c>
    </row>
    <row r="60" spans="1:11" x14ac:dyDescent="0.3">
      <c r="A60" t="s">
        <v>9</v>
      </c>
      <c r="B60" t="s">
        <v>49</v>
      </c>
      <c r="C60" t="s">
        <v>71</v>
      </c>
      <c r="D60">
        <v>26.1797</v>
      </c>
      <c r="E60">
        <f>Tableau6[[#This Row],[Potential (PJ)]]/3.6</f>
        <v>7.2721388888888887</v>
      </c>
      <c r="F60">
        <v>0</v>
      </c>
      <c r="G60">
        <f>Tableau6[[#This Row],[Cost (€/GJ)]]*3.6</f>
        <v>0</v>
      </c>
      <c r="H60">
        <v>3.86607608129234</v>
      </c>
      <c r="I60">
        <f>Tableau6[[#This Row],[GHG (kgCO2eq/GJ)]]*3.6</f>
        <v>13.917873892652425</v>
      </c>
      <c r="J60" t="s">
        <v>104</v>
      </c>
      <c r="K60" t="s">
        <v>108</v>
      </c>
    </row>
    <row r="61" spans="1:11" x14ac:dyDescent="0.3">
      <c r="A61" t="s">
        <v>9</v>
      </c>
      <c r="B61" t="s">
        <v>49</v>
      </c>
      <c r="C61" t="s">
        <v>72</v>
      </c>
      <c r="D61">
        <v>10.7</v>
      </c>
      <c r="E61">
        <f>Tableau6[[#This Row],[Potential (PJ)]]/3.6</f>
        <v>2.9722222222222219</v>
      </c>
      <c r="F61">
        <v>0</v>
      </c>
      <c r="G61">
        <f>Tableau6[[#This Row],[Cost (€/GJ)]]*3.6</f>
        <v>0</v>
      </c>
      <c r="H61">
        <v>3.86607608129234</v>
      </c>
      <c r="I61">
        <f>Tableau6[[#This Row],[GHG (kgCO2eq/GJ)]]*3.6</f>
        <v>13.917873892652425</v>
      </c>
      <c r="J61" t="s">
        <v>104</v>
      </c>
      <c r="K61" t="s">
        <v>108</v>
      </c>
    </row>
    <row r="62" spans="1:11" x14ac:dyDescent="0.3">
      <c r="A62" t="s">
        <v>9</v>
      </c>
      <c r="B62" t="s">
        <v>50</v>
      </c>
      <c r="C62" t="s">
        <v>73</v>
      </c>
      <c r="D62">
        <v>0.6</v>
      </c>
      <c r="E62">
        <f>Tableau6[[#This Row],[Potential (PJ)]]/3.6</f>
        <v>0.16666666666666666</v>
      </c>
      <c r="F62">
        <v>5.4240000000000004</v>
      </c>
      <c r="G62">
        <f>Tableau6[[#This Row],[Cost (€/GJ)]]*3.6</f>
        <v>19.526400000000002</v>
      </c>
      <c r="H62">
        <v>20.723404255319149</v>
      </c>
      <c r="I62">
        <f>Tableau6[[#This Row],[GHG (kgCO2eq/GJ)]]*3.6</f>
        <v>74.604255319148933</v>
      </c>
      <c r="J62" t="s">
        <v>105</v>
      </c>
      <c r="K62" t="s">
        <v>108</v>
      </c>
    </row>
    <row r="63" spans="1:11" x14ac:dyDescent="0.3">
      <c r="A63" t="s">
        <v>9</v>
      </c>
      <c r="B63" t="s">
        <v>50</v>
      </c>
      <c r="C63" t="s">
        <v>74</v>
      </c>
      <c r="D63">
        <v>1.8</v>
      </c>
      <c r="E63">
        <f>Tableau6[[#This Row],[Potential (PJ)]]/3.6</f>
        <v>0.5</v>
      </c>
      <c r="F63">
        <v>3.484</v>
      </c>
      <c r="G63">
        <f>Tableau6[[#This Row],[Cost (€/GJ)]]*3.6</f>
        <v>12.542400000000001</v>
      </c>
      <c r="H63">
        <v>2.0635593220338988</v>
      </c>
      <c r="I63">
        <f>Tableau6[[#This Row],[GHG (kgCO2eq/GJ)]]*3.6</f>
        <v>7.4288135593220357</v>
      </c>
      <c r="J63" t="s">
        <v>105</v>
      </c>
      <c r="K63" t="s">
        <v>108</v>
      </c>
    </row>
    <row r="64" spans="1:11" x14ac:dyDescent="0.3">
      <c r="A64" t="s">
        <v>9</v>
      </c>
      <c r="B64" t="s">
        <v>51</v>
      </c>
      <c r="C64" t="s">
        <v>75</v>
      </c>
      <c r="D64">
        <v>0</v>
      </c>
      <c r="E64">
        <f>Tableau6[[#This Row],[Potential (PJ)]]/3.6</f>
        <v>0</v>
      </c>
      <c r="F64">
        <v>0</v>
      </c>
      <c r="G64">
        <f>Tableau6[[#This Row],[Cost (€/GJ)]]*3.6</f>
        <v>0</v>
      </c>
      <c r="H64">
        <v>11.74</v>
      </c>
      <c r="I64">
        <f>Tableau6[[#This Row],[GHG (kgCO2eq/GJ)]]*3.6</f>
        <v>42.264000000000003</v>
      </c>
      <c r="J64" t="s">
        <v>104</v>
      </c>
      <c r="K64" t="s">
        <v>108</v>
      </c>
    </row>
    <row r="65" spans="1:11" x14ac:dyDescent="0.3">
      <c r="A65" t="s">
        <v>9</v>
      </c>
      <c r="B65" t="s">
        <v>52</v>
      </c>
      <c r="C65" t="s">
        <v>76</v>
      </c>
      <c r="D65">
        <v>0.05</v>
      </c>
      <c r="E65">
        <f>Tableau6[[#This Row],[Potential (PJ)]]/3.6</f>
        <v>1.388888888888889E-2</v>
      </c>
      <c r="F65">
        <v>0</v>
      </c>
      <c r="G65">
        <f>Tableau6[[#This Row],[Cost (€/GJ)]]*3.6</f>
        <v>0</v>
      </c>
      <c r="H65">
        <v>12.68872359754714</v>
      </c>
      <c r="I65">
        <f>Tableau6[[#This Row],[GHG (kgCO2eq/GJ)]]*3.6</f>
        <v>45.679404951169708</v>
      </c>
      <c r="J65" t="s">
        <v>105</v>
      </c>
      <c r="K65" t="s">
        <v>108</v>
      </c>
    </row>
    <row r="66" spans="1:11" x14ac:dyDescent="0.3">
      <c r="A66" t="s">
        <v>9</v>
      </c>
      <c r="B66" t="s">
        <v>53</v>
      </c>
      <c r="C66" t="s">
        <v>77</v>
      </c>
      <c r="D66">
        <v>5.6</v>
      </c>
      <c r="E66">
        <f>Tableau6[[#This Row],[Potential (PJ)]]/3.6</f>
        <v>1.5555555555555554</v>
      </c>
      <c r="F66">
        <v>0</v>
      </c>
      <c r="G66">
        <f>Tableau6[[#This Row],[Cost (€/GJ)]]*3.6</f>
        <v>0</v>
      </c>
      <c r="H66">
        <v>3.86607608129234</v>
      </c>
      <c r="I66">
        <f>Tableau6[[#This Row],[GHG (kgCO2eq/GJ)]]*3.6</f>
        <v>13.917873892652425</v>
      </c>
      <c r="J66" t="s">
        <v>104</v>
      </c>
      <c r="K66" t="s">
        <v>108</v>
      </c>
    </row>
    <row r="67" spans="1:11" x14ac:dyDescent="0.3">
      <c r="A67" t="s">
        <v>9</v>
      </c>
      <c r="B67" t="s">
        <v>54</v>
      </c>
      <c r="C67" t="s">
        <v>78</v>
      </c>
      <c r="D67">
        <v>13.7</v>
      </c>
      <c r="E67">
        <f>Tableau6[[#This Row],[Potential (PJ)]]/3.6</f>
        <v>3.8055555555555554</v>
      </c>
      <c r="F67">
        <v>0</v>
      </c>
      <c r="G67">
        <f>Tableau6[[#This Row],[Cost (€/GJ)]]*3.6</f>
        <v>0</v>
      </c>
      <c r="H67">
        <v>3.86607608129234</v>
      </c>
      <c r="I67">
        <f>Tableau6[[#This Row],[GHG (kgCO2eq/GJ)]]*3.6</f>
        <v>13.917873892652425</v>
      </c>
      <c r="J67" t="s">
        <v>104</v>
      </c>
      <c r="K67" t="s">
        <v>108</v>
      </c>
    </row>
    <row r="68" spans="1:11" x14ac:dyDescent="0.3">
      <c r="A68" t="s">
        <v>10</v>
      </c>
      <c r="B68" t="s">
        <v>46</v>
      </c>
      <c r="C68" t="s">
        <v>64</v>
      </c>
      <c r="D68">
        <v>0.2</v>
      </c>
      <c r="E68">
        <f>Tableau6[[#This Row],[Potential (PJ)]]/3.6</f>
        <v>5.5555555555555559E-2</v>
      </c>
      <c r="F68">
        <v>6.4105000000000008</v>
      </c>
      <c r="G68">
        <f>Tableau6[[#This Row],[Cost (€/GJ)]]*3.6</f>
        <v>23.077800000000003</v>
      </c>
      <c r="H68">
        <v>2.9521711768407801</v>
      </c>
      <c r="I68">
        <f>Tableau6[[#This Row],[GHG (kgCO2eq/GJ)]]*3.6</f>
        <v>10.627816236626808</v>
      </c>
      <c r="J68" t="s">
        <v>104</v>
      </c>
      <c r="K68" t="s">
        <v>108</v>
      </c>
    </row>
    <row r="69" spans="1:11" x14ac:dyDescent="0.3">
      <c r="A69" t="s">
        <v>10</v>
      </c>
      <c r="B69" t="s">
        <v>46</v>
      </c>
      <c r="C69" t="s">
        <v>79</v>
      </c>
      <c r="D69">
        <v>4.3</v>
      </c>
      <c r="E69">
        <f>Tableau6[[#This Row],[Potential (PJ)]]/3.6</f>
        <v>1.1944444444444444</v>
      </c>
      <c r="F69">
        <v>4.8063720930232563</v>
      </c>
      <c r="G69">
        <f>Tableau6[[#This Row],[Cost (€/GJ)]]*3.6</f>
        <v>17.302939534883723</v>
      </c>
      <c r="H69">
        <v>6.8428961748633883</v>
      </c>
      <c r="I69">
        <f>Tableau6[[#This Row],[GHG (kgCO2eq/GJ)]]*3.6</f>
        <v>24.634426229508197</v>
      </c>
      <c r="J69" t="s">
        <v>104</v>
      </c>
      <c r="K69" t="s">
        <v>108</v>
      </c>
    </row>
    <row r="70" spans="1:11" x14ac:dyDescent="0.3">
      <c r="A70" t="s">
        <v>10</v>
      </c>
      <c r="B70" t="s">
        <v>46</v>
      </c>
      <c r="C70" t="s">
        <v>80</v>
      </c>
      <c r="D70">
        <v>0.51829999999999998</v>
      </c>
      <c r="E70">
        <f>Tableau6[[#This Row],[Potential (PJ)]]/3.6</f>
        <v>0.14397222222222222</v>
      </c>
      <c r="F70">
        <v>1.026972353337829</v>
      </c>
      <c r="G70">
        <f>Tableau6[[#This Row],[Cost (€/GJ)]]*3.6</f>
        <v>3.6971004720161846</v>
      </c>
      <c r="H70">
        <v>28.139870918023309</v>
      </c>
      <c r="I70">
        <f>Tableau6[[#This Row],[GHG (kgCO2eq/GJ)]]*3.6</f>
        <v>101.30353530488391</v>
      </c>
      <c r="J70" t="s">
        <v>105</v>
      </c>
      <c r="K70" t="s">
        <v>108</v>
      </c>
    </row>
    <row r="71" spans="1:11" x14ac:dyDescent="0.3">
      <c r="A71" t="s">
        <v>10</v>
      </c>
      <c r="B71" t="s">
        <v>46</v>
      </c>
      <c r="C71" t="s">
        <v>81</v>
      </c>
      <c r="D71">
        <v>1.3620000000000001</v>
      </c>
      <c r="E71">
        <f>Tableau6[[#This Row],[Potential (PJ)]]/3.6</f>
        <v>0.37833333333333335</v>
      </c>
      <c r="F71">
        <v>1.078730904817861</v>
      </c>
      <c r="G71">
        <f>Tableau6[[#This Row],[Cost (€/GJ)]]*3.6</f>
        <v>3.8834312573442999</v>
      </c>
      <c r="H71">
        <v>8.9647473560517046</v>
      </c>
      <c r="I71">
        <f>Tableau6[[#This Row],[GHG (kgCO2eq/GJ)]]*3.6</f>
        <v>32.273090481786134</v>
      </c>
      <c r="J71" t="s">
        <v>105</v>
      </c>
      <c r="K71" t="s">
        <v>108</v>
      </c>
    </row>
    <row r="72" spans="1:11" x14ac:dyDescent="0.3">
      <c r="A72" t="s">
        <v>10</v>
      </c>
      <c r="B72" t="s">
        <v>46</v>
      </c>
      <c r="C72" t="s">
        <v>66</v>
      </c>
      <c r="D72">
        <v>2.2999999999999998</v>
      </c>
      <c r="E72">
        <f>Tableau6[[#This Row],[Potential (PJ)]]/3.6</f>
        <v>0.63888888888888884</v>
      </c>
      <c r="F72">
        <v>4.970478260869565</v>
      </c>
      <c r="G72">
        <f>Tableau6[[#This Row],[Cost (€/GJ)]]*3.6</f>
        <v>17.893721739130434</v>
      </c>
      <c r="H72">
        <v>6.8428961748633883</v>
      </c>
      <c r="I72">
        <f>Tableau6[[#This Row],[GHG (kgCO2eq/GJ)]]*3.6</f>
        <v>24.634426229508197</v>
      </c>
      <c r="J72" t="s">
        <v>104</v>
      </c>
      <c r="K72" t="s">
        <v>108</v>
      </c>
    </row>
    <row r="73" spans="1:11" x14ac:dyDescent="0.3">
      <c r="A73" t="s">
        <v>10</v>
      </c>
      <c r="B73" t="s">
        <v>46</v>
      </c>
      <c r="C73" t="s">
        <v>82</v>
      </c>
      <c r="D73">
        <v>0.4</v>
      </c>
      <c r="E73">
        <f>Tableau6[[#This Row],[Potential (PJ)]]/3.6</f>
        <v>0.11111111111111112</v>
      </c>
      <c r="F73">
        <v>3.036</v>
      </c>
      <c r="G73">
        <f>Tableau6[[#This Row],[Cost (€/GJ)]]*3.6</f>
        <v>10.929600000000001</v>
      </c>
      <c r="H73">
        <v>6.8428961748633883</v>
      </c>
      <c r="I73">
        <f>Tableau6[[#This Row],[GHG (kgCO2eq/GJ)]]*3.6</f>
        <v>24.634426229508197</v>
      </c>
      <c r="J73" t="s">
        <v>104</v>
      </c>
      <c r="K73" t="s">
        <v>108</v>
      </c>
    </row>
    <row r="74" spans="1:11" x14ac:dyDescent="0.3">
      <c r="A74" t="s">
        <v>10</v>
      </c>
      <c r="B74" t="s">
        <v>46</v>
      </c>
      <c r="C74" t="s">
        <v>83</v>
      </c>
      <c r="D74">
        <v>0.60000000000000009</v>
      </c>
      <c r="E74">
        <f>Tableau6[[#This Row],[Potential (PJ)]]/3.6</f>
        <v>0.16666666666666669</v>
      </c>
      <c r="F74">
        <v>0</v>
      </c>
      <c r="G74">
        <f>Tableau6[[#This Row],[Cost (€/GJ)]]*3.6</f>
        <v>0</v>
      </c>
      <c r="H74">
        <v>6.8428961748633883</v>
      </c>
      <c r="I74">
        <f>Tableau6[[#This Row],[GHG (kgCO2eq/GJ)]]*3.6</f>
        <v>24.634426229508197</v>
      </c>
      <c r="J74" t="s">
        <v>104</v>
      </c>
      <c r="K74" t="s">
        <v>108</v>
      </c>
    </row>
    <row r="75" spans="1:11" x14ac:dyDescent="0.3">
      <c r="A75" t="s">
        <v>10</v>
      </c>
      <c r="B75" t="s">
        <v>46</v>
      </c>
      <c r="C75" t="s">
        <v>84</v>
      </c>
      <c r="D75">
        <v>0.60000000000000009</v>
      </c>
      <c r="E75">
        <f>Tableau6[[#This Row],[Potential (PJ)]]/3.6</f>
        <v>0.16666666666666669</v>
      </c>
      <c r="F75">
        <v>2.7909999999999999</v>
      </c>
      <c r="G75">
        <f>Tableau6[[#This Row],[Cost (€/GJ)]]*3.6</f>
        <v>10.047599999999999</v>
      </c>
      <c r="H75">
        <v>28.139870918023309</v>
      </c>
      <c r="I75">
        <f>Tableau6[[#This Row],[GHG (kgCO2eq/GJ)]]*3.6</f>
        <v>101.30353530488391</v>
      </c>
      <c r="J75" t="s">
        <v>105</v>
      </c>
      <c r="K75" t="s">
        <v>108</v>
      </c>
    </row>
    <row r="76" spans="1:11" x14ac:dyDescent="0.3">
      <c r="A76" t="s">
        <v>10</v>
      </c>
      <c r="B76" t="s">
        <v>55</v>
      </c>
      <c r="C76" t="s">
        <v>86</v>
      </c>
      <c r="D76">
        <v>1.1577999999999999</v>
      </c>
      <c r="E76">
        <f>Tableau6[[#This Row],[Potential (PJ)]]/3.6</f>
        <v>0.32161111111111107</v>
      </c>
      <c r="F76">
        <v>10.996</v>
      </c>
      <c r="G76">
        <f>Tableau6[[#This Row],[Cost (€/GJ)]]*3.6</f>
        <v>39.585599999999999</v>
      </c>
      <c r="H76">
        <v>26.8</v>
      </c>
      <c r="I76">
        <f>Tableau6[[#This Row],[GHG (kgCO2eq/GJ)]]*3.6</f>
        <v>96.48</v>
      </c>
      <c r="J76" t="s">
        <v>106</v>
      </c>
      <c r="K76" t="s">
        <v>109</v>
      </c>
    </row>
    <row r="77" spans="1:11" x14ac:dyDescent="0.3">
      <c r="A77" t="s">
        <v>10</v>
      </c>
      <c r="B77" t="s">
        <v>55</v>
      </c>
      <c r="C77" t="s">
        <v>88</v>
      </c>
      <c r="D77">
        <v>1.4925999999999999</v>
      </c>
      <c r="E77">
        <f>Tableau6[[#This Row],[Potential (PJ)]]/3.6</f>
        <v>0.4146111111111111</v>
      </c>
      <c r="F77">
        <v>6.9740000000000029</v>
      </c>
      <c r="G77">
        <f>Tableau6[[#This Row],[Cost (€/GJ)]]*3.6</f>
        <v>25.106400000000011</v>
      </c>
      <c r="H77">
        <v>26.8</v>
      </c>
      <c r="I77">
        <f>Tableau6[[#This Row],[GHG (kgCO2eq/GJ)]]*3.6</f>
        <v>96.48</v>
      </c>
      <c r="J77" t="s">
        <v>106</v>
      </c>
      <c r="K77" t="s">
        <v>109</v>
      </c>
    </row>
    <row r="78" spans="1:11" x14ac:dyDescent="0.3">
      <c r="A78" t="s">
        <v>10</v>
      </c>
      <c r="B78" t="s">
        <v>55</v>
      </c>
      <c r="C78" t="s">
        <v>92</v>
      </c>
      <c r="D78">
        <v>2.5585399999999998</v>
      </c>
      <c r="E78">
        <f>Tableau6[[#This Row],[Potential (PJ)]]/3.6</f>
        <v>0.71070555555555548</v>
      </c>
      <c r="F78">
        <v>12.066000000000001</v>
      </c>
      <c r="G78">
        <f>Tableau6[[#This Row],[Cost (€/GJ)]]*3.6</f>
        <v>43.437600000000003</v>
      </c>
      <c r="H78">
        <v>26.8</v>
      </c>
      <c r="I78">
        <f>Tableau6[[#This Row],[GHG (kgCO2eq/GJ)]]*3.6</f>
        <v>96.48</v>
      </c>
      <c r="J78" t="s">
        <v>106</v>
      </c>
      <c r="K78" t="s">
        <v>109</v>
      </c>
    </row>
    <row r="79" spans="1:11" x14ac:dyDescent="0.3">
      <c r="A79" t="s">
        <v>10</v>
      </c>
      <c r="B79" t="s">
        <v>56</v>
      </c>
      <c r="C79" t="s">
        <v>93</v>
      </c>
      <c r="D79">
        <v>19.106100000000001</v>
      </c>
      <c r="E79">
        <f>Tableau6[[#This Row],[Potential (PJ)]]/3.6</f>
        <v>5.3072500000000007</v>
      </c>
      <c r="F79">
        <v>2.939759036144578</v>
      </c>
      <c r="G79">
        <f>Tableau6[[#This Row],[Cost (€/GJ)]]*3.6</f>
        <v>10.583132530120482</v>
      </c>
      <c r="H79">
        <v>31.2</v>
      </c>
      <c r="I79">
        <f>Tableau6[[#This Row],[GHG (kgCO2eq/GJ)]]*3.6</f>
        <v>112.32</v>
      </c>
      <c r="J79" t="s">
        <v>106</v>
      </c>
      <c r="K79" t="s">
        <v>109</v>
      </c>
    </row>
    <row r="80" spans="1:11" x14ac:dyDescent="0.3">
      <c r="A80" t="s">
        <v>10</v>
      </c>
      <c r="B80" t="s">
        <v>47</v>
      </c>
      <c r="C80" t="s">
        <v>68</v>
      </c>
      <c r="D80">
        <v>4.9000000000000004</v>
      </c>
      <c r="E80">
        <f>Tableau6[[#This Row],[Potential (PJ)]]/3.6</f>
        <v>1.3611111111111112</v>
      </c>
      <c r="F80">
        <v>6.2077142857142853</v>
      </c>
      <c r="G80">
        <f>Tableau6[[#This Row],[Cost (€/GJ)]]*3.6</f>
        <v>22.347771428571427</v>
      </c>
      <c r="H80">
        <v>20.5</v>
      </c>
      <c r="I80">
        <f>Tableau6[[#This Row],[GHG (kgCO2eq/GJ)]]*3.6</f>
        <v>73.8</v>
      </c>
      <c r="J80" t="s">
        <v>104</v>
      </c>
      <c r="K80" t="s">
        <v>109</v>
      </c>
    </row>
    <row r="81" spans="1:11" x14ac:dyDescent="0.3">
      <c r="A81" t="s">
        <v>10</v>
      </c>
      <c r="B81" t="s">
        <v>47</v>
      </c>
      <c r="C81" t="s">
        <v>69</v>
      </c>
      <c r="D81">
        <v>12.7</v>
      </c>
      <c r="E81">
        <f>Tableau6[[#This Row],[Potential (PJ)]]/3.6</f>
        <v>3.5277777777777777</v>
      </c>
      <c r="F81">
        <v>5.2684803149606303</v>
      </c>
      <c r="G81">
        <f>Tableau6[[#This Row],[Cost (€/GJ)]]*3.6</f>
        <v>18.96652913385827</v>
      </c>
      <c r="H81">
        <v>20.5</v>
      </c>
      <c r="I81">
        <f>Tableau6[[#This Row],[GHG (kgCO2eq/GJ)]]*3.6</f>
        <v>73.8</v>
      </c>
      <c r="J81" t="s">
        <v>104</v>
      </c>
      <c r="K81" t="s">
        <v>109</v>
      </c>
    </row>
    <row r="82" spans="1:11" x14ac:dyDescent="0.3">
      <c r="A82" t="s">
        <v>10</v>
      </c>
      <c r="B82" t="s">
        <v>57</v>
      </c>
      <c r="C82" t="s">
        <v>94</v>
      </c>
      <c r="D82">
        <v>4.4000000000000004</v>
      </c>
      <c r="E82">
        <f>Tableau6[[#This Row],[Potential (PJ)]]/3.6</f>
        <v>1.2222222222222223</v>
      </c>
      <c r="F82">
        <v>9.6062045454545437</v>
      </c>
      <c r="G82">
        <f>Tableau6[[#This Row],[Cost (€/GJ)]]*3.6</f>
        <v>34.582336363636358</v>
      </c>
      <c r="H82">
        <v>16.399999999999999</v>
      </c>
      <c r="I82">
        <f>Tableau6[[#This Row],[GHG (kgCO2eq/GJ)]]*3.6</f>
        <v>59.04</v>
      </c>
      <c r="J82" t="s">
        <v>104</v>
      </c>
      <c r="K82" t="s">
        <v>109</v>
      </c>
    </row>
    <row r="83" spans="1:11" x14ac:dyDescent="0.3">
      <c r="A83" t="s">
        <v>10</v>
      </c>
      <c r="B83" t="s">
        <v>49</v>
      </c>
      <c r="C83" t="s">
        <v>71</v>
      </c>
      <c r="D83">
        <v>38.396450000000002</v>
      </c>
      <c r="E83">
        <f>Tableau6[[#This Row],[Potential (PJ)]]/3.6</f>
        <v>10.665680555555555</v>
      </c>
      <c r="F83">
        <v>5.0554311500151714</v>
      </c>
      <c r="G83">
        <f>Tableau6[[#This Row],[Cost (€/GJ)]]*3.6</f>
        <v>18.199552140054617</v>
      </c>
      <c r="H83">
        <v>3.86607608129234</v>
      </c>
      <c r="I83">
        <f>Tableau6[[#This Row],[GHG (kgCO2eq/GJ)]]*3.6</f>
        <v>13.917873892652425</v>
      </c>
      <c r="J83" t="s">
        <v>104</v>
      </c>
      <c r="K83" t="s">
        <v>108</v>
      </c>
    </row>
    <row r="84" spans="1:11" x14ac:dyDescent="0.3">
      <c r="A84" t="s">
        <v>10</v>
      </c>
      <c r="B84" t="s">
        <v>49</v>
      </c>
      <c r="C84" t="s">
        <v>72</v>
      </c>
      <c r="D84">
        <v>4</v>
      </c>
      <c r="E84">
        <f>Tableau6[[#This Row],[Potential (PJ)]]/3.6</f>
        <v>1.1111111111111112</v>
      </c>
      <c r="F84">
        <v>4.0507749999999998</v>
      </c>
      <c r="G84">
        <f>Tableau6[[#This Row],[Cost (€/GJ)]]*3.6</f>
        <v>14.582789999999999</v>
      </c>
      <c r="H84">
        <v>3.86607608129234</v>
      </c>
      <c r="I84">
        <f>Tableau6[[#This Row],[GHG (kgCO2eq/GJ)]]*3.6</f>
        <v>13.917873892652425</v>
      </c>
      <c r="J84" t="s">
        <v>104</v>
      </c>
      <c r="K84" t="s">
        <v>108</v>
      </c>
    </row>
    <row r="85" spans="1:11" x14ac:dyDescent="0.3">
      <c r="A85" t="s">
        <v>10</v>
      </c>
      <c r="B85" t="s">
        <v>58</v>
      </c>
      <c r="C85" t="s">
        <v>95</v>
      </c>
      <c r="D85">
        <v>14.33615</v>
      </c>
      <c r="E85">
        <f>Tableau6[[#This Row],[Potential (PJ)]]/3.6</f>
        <v>3.9822638888888888</v>
      </c>
      <c r="F85">
        <v>2.933203373988134</v>
      </c>
      <c r="G85">
        <f>Tableau6[[#This Row],[Cost (€/GJ)]]*3.6</f>
        <v>10.559532146357283</v>
      </c>
      <c r="H85">
        <v>2.9521711768407801</v>
      </c>
      <c r="I85">
        <f>Tableau6[[#This Row],[GHG (kgCO2eq/GJ)]]*3.6</f>
        <v>10.627816236626808</v>
      </c>
      <c r="J85" t="s">
        <v>104</v>
      </c>
      <c r="K85" t="s">
        <v>108</v>
      </c>
    </row>
    <row r="86" spans="1:11" x14ac:dyDescent="0.3">
      <c r="A86" t="s">
        <v>10</v>
      </c>
      <c r="B86" t="s">
        <v>50</v>
      </c>
      <c r="C86" t="s">
        <v>73</v>
      </c>
      <c r="D86">
        <v>12.4</v>
      </c>
      <c r="E86">
        <f>Tableau6[[#This Row],[Potential (PJ)]]/3.6</f>
        <v>3.4444444444444446</v>
      </c>
      <c r="F86">
        <v>5.6702500000000002</v>
      </c>
      <c r="G86">
        <f>Tableau6[[#This Row],[Cost (€/GJ)]]*3.6</f>
        <v>20.4129</v>
      </c>
      <c r="H86">
        <v>20.723404255319149</v>
      </c>
      <c r="I86">
        <f>Tableau6[[#This Row],[GHG (kgCO2eq/GJ)]]*3.6</f>
        <v>74.604255319148933</v>
      </c>
      <c r="J86" t="s">
        <v>105</v>
      </c>
      <c r="K86" t="s">
        <v>108</v>
      </c>
    </row>
    <row r="87" spans="1:11" x14ac:dyDescent="0.3">
      <c r="A87" t="s">
        <v>10</v>
      </c>
      <c r="B87" t="s">
        <v>50</v>
      </c>
      <c r="C87" t="s">
        <v>74</v>
      </c>
      <c r="D87">
        <v>53.7</v>
      </c>
      <c r="E87">
        <f>Tableau6[[#This Row],[Potential (PJ)]]/3.6</f>
        <v>14.916666666666668</v>
      </c>
      <c r="F87">
        <v>6.3161005586592172</v>
      </c>
      <c r="G87">
        <f>Tableau6[[#This Row],[Cost (€/GJ)]]*3.6</f>
        <v>22.737962011173181</v>
      </c>
      <c r="H87">
        <v>2.0635593220338988</v>
      </c>
      <c r="I87">
        <f>Tableau6[[#This Row],[GHG (kgCO2eq/GJ)]]*3.6</f>
        <v>7.4288135593220357</v>
      </c>
      <c r="J87" t="s">
        <v>105</v>
      </c>
      <c r="K87" t="s">
        <v>108</v>
      </c>
    </row>
    <row r="88" spans="1:11" x14ac:dyDescent="0.3">
      <c r="A88" t="s">
        <v>10</v>
      </c>
      <c r="B88" t="s">
        <v>51</v>
      </c>
      <c r="C88" t="s">
        <v>75</v>
      </c>
      <c r="D88">
        <v>32.143799999999999</v>
      </c>
      <c r="E88">
        <f>Tableau6[[#This Row],[Potential (PJ)]]/3.6</f>
        <v>8.9288333333333334</v>
      </c>
      <c r="F88">
        <v>5.4483201110201898E-2</v>
      </c>
      <c r="G88">
        <f>Tableau6[[#This Row],[Cost (€/GJ)]]*3.6</f>
        <v>0.19613952399672685</v>
      </c>
      <c r="H88">
        <v>11.74</v>
      </c>
      <c r="I88">
        <f>Tableau6[[#This Row],[GHG (kgCO2eq/GJ)]]*3.6</f>
        <v>42.264000000000003</v>
      </c>
      <c r="J88" t="s">
        <v>104</v>
      </c>
      <c r="K88" t="s">
        <v>108</v>
      </c>
    </row>
    <row r="89" spans="1:11" x14ac:dyDescent="0.3">
      <c r="A89" t="s">
        <v>10</v>
      </c>
      <c r="B89" t="s">
        <v>60</v>
      </c>
      <c r="C89" t="s">
        <v>98</v>
      </c>
      <c r="D89">
        <v>2.4854400000000001</v>
      </c>
      <c r="E89">
        <f>Tableau6[[#This Row],[Potential (PJ)]]/3.6</f>
        <v>0.69040000000000001</v>
      </c>
      <c r="F89">
        <v>24.86573576799141</v>
      </c>
      <c r="G89">
        <f>Tableau6[[#This Row],[Cost (€/GJ)]]*3.6</f>
        <v>89.516648764769073</v>
      </c>
      <c r="H89">
        <v>37.799999999999997</v>
      </c>
      <c r="I89">
        <f>Tableau6[[#This Row],[GHG (kgCO2eq/GJ)]]*3.6</f>
        <v>136.07999999999998</v>
      </c>
      <c r="J89" t="s">
        <v>107</v>
      </c>
      <c r="K89" t="s">
        <v>109</v>
      </c>
    </row>
    <row r="90" spans="1:11" x14ac:dyDescent="0.3">
      <c r="A90" t="s">
        <v>10</v>
      </c>
      <c r="B90" t="s">
        <v>52</v>
      </c>
      <c r="C90" t="s">
        <v>76</v>
      </c>
      <c r="D90">
        <v>11.147</v>
      </c>
      <c r="E90">
        <f>Tableau6[[#This Row],[Potential (PJ)]]/3.6</f>
        <v>3.0963888888888889</v>
      </c>
      <c r="F90">
        <v>6.5250000000000004</v>
      </c>
      <c r="G90">
        <f>Tableau6[[#This Row],[Cost (€/GJ)]]*3.6</f>
        <v>23.490000000000002</v>
      </c>
      <c r="H90">
        <v>12.68872359754714</v>
      </c>
      <c r="I90">
        <f>Tableau6[[#This Row],[GHG (kgCO2eq/GJ)]]*3.6</f>
        <v>45.679404951169708</v>
      </c>
      <c r="J90" t="s">
        <v>105</v>
      </c>
      <c r="K90" t="s">
        <v>108</v>
      </c>
    </row>
    <row r="91" spans="1:11" x14ac:dyDescent="0.3">
      <c r="A91" t="s">
        <v>10</v>
      </c>
      <c r="B91" t="s">
        <v>53</v>
      </c>
      <c r="C91" t="s">
        <v>77</v>
      </c>
      <c r="D91">
        <v>1.5</v>
      </c>
      <c r="E91">
        <f>Tableau6[[#This Row],[Potential (PJ)]]/3.6</f>
        <v>0.41666666666666663</v>
      </c>
      <c r="F91">
        <v>4.0506666666666673</v>
      </c>
      <c r="G91">
        <f>Tableau6[[#This Row],[Cost (€/GJ)]]*3.6</f>
        <v>14.582400000000003</v>
      </c>
      <c r="H91">
        <v>3.86607608129234</v>
      </c>
      <c r="I91">
        <f>Tableau6[[#This Row],[GHG (kgCO2eq/GJ)]]*3.6</f>
        <v>13.917873892652425</v>
      </c>
      <c r="J91" t="s">
        <v>104</v>
      </c>
      <c r="K91" t="s">
        <v>108</v>
      </c>
    </row>
    <row r="92" spans="1:11" x14ac:dyDescent="0.3">
      <c r="A92" t="s">
        <v>10</v>
      </c>
      <c r="B92" t="s">
        <v>61</v>
      </c>
      <c r="C92" t="s">
        <v>99</v>
      </c>
      <c r="D92">
        <v>26.7</v>
      </c>
      <c r="E92">
        <f>Tableau6[[#This Row],[Potential (PJ)]]/3.6</f>
        <v>7.4166666666666661</v>
      </c>
      <c r="F92">
        <v>2.0859400749063668</v>
      </c>
      <c r="G92">
        <f>Tableau6[[#This Row],[Cost (€/GJ)]]*3.6</f>
        <v>7.5093842696629203</v>
      </c>
      <c r="H92">
        <v>2.9245635910224439</v>
      </c>
      <c r="I92">
        <f>Tableau6[[#This Row],[GHG (kgCO2eq/GJ)]]*3.6</f>
        <v>10.528428927680798</v>
      </c>
      <c r="J92" t="s">
        <v>104</v>
      </c>
      <c r="K92" t="s">
        <v>108</v>
      </c>
    </row>
    <row r="93" spans="1:11" x14ac:dyDescent="0.3">
      <c r="A93" t="s">
        <v>10</v>
      </c>
      <c r="B93" t="s">
        <v>62</v>
      </c>
      <c r="C93" t="s">
        <v>100</v>
      </c>
      <c r="D93">
        <v>13.1</v>
      </c>
      <c r="E93">
        <f>Tableau6[[#This Row],[Potential (PJ)]]/3.6</f>
        <v>3.6388888888888888</v>
      </c>
      <c r="F93">
        <v>0.4870229007633588</v>
      </c>
      <c r="G93">
        <f>Tableau6[[#This Row],[Cost (€/GJ)]]*3.6</f>
        <v>1.7532824427480918</v>
      </c>
      <c r="H93">
        <v>2.6764106050305911</v>
      </c>
      <c r="I93">
        <f>Tableau6[[#This Row],[GHG (kgCO2eq/GJ)]]*3.6</f>
        <v>9.6350781781101276</v>
      </c>
      <c r="J93" t="s">
        <v>104</v>
      </c>
      <c r="K93" t="s">
        <v>108</v>
      </c>
    </row>
    <row r="94" spans="1:11" x14ac:dyDescent="0.3">
      <c r="A94" t="s">
        <v>10</v>
      </c>
      <c r="B94" t="s">
        <v>54</v>
      </c>
      <c r="C94" t="s">
        <v>78</v>
      </c>
      <c r="D94">
        <v>16.100000000000001</v>
      </c>
      <c r="E94">
        <f>Tableau6[[#This Row],[Potential (PJ)]]/3.6</f>
        <v>4.4722222222222223</v>
      </c>
      <c r="F94">
        <v>8.4074844720496884</v>
      </c>
      <c r="G94">
        <f>Tableau6[[#This Row],[Cost (€/GJ)]]*3.6</f>
        <v>30.266944099378879</v>
      </c>
      <c r="H94">
        <v>3.86607608129234</v>
      </c>
      <c r="I94">
        <f>Tableau6[[#This Row],[GHG (kgCO2eq/GJ)]]*3.6</f>
        <v>13.917873892652425</v>
      </c>
      <c r="J94" t="s">
        <v>104</v>
      </c>
      <c r="K94" t="s">
        <v>108</v>
      </c>
    </row>
    <row r="95" spans="1:11" x14ac:dyDescent="0.3">
      <c r="A95" t="s">
        <v>11</v>
      </c>
      <c r="B95" t="s">
        <v>46</v>
      </c>
      <c r="C95" t="s">
        <v>64</v>
      </c>
      <c r="D95">
        <v>6.5329999999999999E-2</v>
      </c>
      <c r="E95">
        <f>Tableau6[[#This Row],[Potential (PJ)]]/3.6</f>
        <v>1.8147222222222221E-2</v>
      </c>
      <c r="F95">
        <v>7.053653145568652</v>
      </c>
      <c r="G95">
        <f>Tableau6[[#This Row],[Cost (€/GJ)]]*3.6</f>
        <v>25.393151324047146</v>
      </c>
      <c r="H95">
        <v>2.9521711768407801</v>
      </c>
      <c r="I95">
        <f>Tableau6[[#This Row],[GHG (kgCO2eq/GJ)]]*3.6</f>
        <v>10.627816236626808</v>
      </c>
      <c r="J95" t="s">
        <v>104</v>
      </c>
      <c r="K95" t="s">
        <v>108</v>
      </c>
    </row>
    <row r="96" spans="1:11" x14ac:dyDescent="0.3">
      <c r="A96" t="s">
        <v>11</v>
      </c>
      <c r="B96" t="s">
        <v>46</v>
      </c>
      <c r="C96" t="s">
        <v>79</v>
      </c>
      <c r="D96">
        <v>25.1</v>
      </c>
      <c r="E96">
        <f>Tableau6[[#This Row],[Potential (PJ)]]/3.6</f>
        <v>6.9722222222222223</v>
      </c>
      <c r="F96">
        <v>2.7321872509960161</v>
      </c>
      <c r="G96">
        <f>Tableau6[[#This Row],[Cost (€/GJ)]]*3.6</f>
        <v>9.8358741035856578</v>
      </c>
      <c r="H96">
        <v>6.8428961748633883</v>
      </c>
      <c r="I96">
        <f>Tableau6[[#This Row],[GHG (kgCO2eq/GJ)]]*3.6</f>
        <v>24.634426229508197</v>
      </c>
      <c r="J96" t="s">
        <v>104</v>
      </c>
      <c r="K96" t="s">
        <v>108</v>
      </c>
    </row>
    <row r="97" spans="1:11" x14ac:dyDescent="0.3">
      <c r="A97" t="s">
        <v>11</v>
      </c>
      <c r="B97" t="s">
        <v>46</v>
      </c>
      <c r="C97" t="s">
        <v>65</v>
      </c>
      <c r="D97">
        <v>0.5</v>
      </c>
      <c r="E97">
        <f>Tableau6[[#This Row],[Potential (PJ)]]/3.6</f>
        <v>0.1388888888888889</v>
      </c>
      <c r="F97">
        <v>4.3575999999999997</v>
      </c>
      <c r="G97">
        <f>Tableau6[[#This Row],[Cost (€/GJ)]]*3.6</f>
        <v>15.68736</v>
      </c>
      <c r="H97">
        <v>2.9521711768407801</v>
      </c>
      <c r="I97">
        <f>Tableau6[[#This Row],[GHG (kgCO2eq/GJ)]]*3.6</f>
        <v>10.627816236626808</v>
      </c>
      <c r="J97" t="s">
        <v>104</v>
      </c>
      <c r="K97" t="s">
        <v>108</v>
      </c>
    </row>
    <row r="98" spans="1:11" x14ac:dyDescent="0.3">
      <c r="A98" t="s">
        <v>11</v>
      </c>
      <c r="B98" t="s">
        <v>46</v>
      </c>
      <c r="C98" t="s">
        <v>80</v>
      </c>
      <c r="D98">
        <v>0.35670000000000002</v>
      </c>
      <c r="E98">
        <f>Tableau6[[#This Row],[Potential (PJ)]]/3.6</f>
        <v>9.9083333333333329E-2</v>
      </c>
      <c r="F98">
        <v>0.44234659474039112</v>
      </c>
      <c r="G98">
        <f>Tableau6[[#This Row],[Cost (€/GJ)]]*3.6</f>
        <v>1.5924477410654081</v>
      </c>
      <c r="H98">
        <v>28.139870918023309</v>
      </c>
      <c r="I98">
        <f>Tableau6[[#This Row],[GHG (kgCO2eq/GJ)]]*3.6</f>
        <v>101.30353530488391</v>
      </c>
      <c r="J98" t="s">
        <v>105</v>
      </c>
      <c r="K98" t="s">
        <v>108</v>
      </c>
    </row>
    <row r="99" spans="1:11" x14ac:dyDescent="0.3">
      <c r="A99" t="s">
        <v>11</v>
      </c>
      <c r="B99" t="s">
        <v>46</v>
      </c>
      <c r="C99" t="s">
        <v>81</v>
      </c>
      <c r="D99">
        <v>7.1999999999999998E-3</v>
      </c>
      <c r="E99">
        <f>Tableau6[[#This Row],[Potential (PJ)]]/3.6</f>
        <v>2E-3</v>
      </c>
      <c r="F99">
        <v>2.839600470035252</v>
      </c>
      <c r="G99">
        <f>Tableau6[[#This Row],[Cost (€/GJ)]]*3.6</f>
        <v>10.222561692126908</v>
      </c>
      <c r="H99">
        <v>8.9647473560517046</v>
      </c>
      <c r="I99">
        <f>Tableau6[[#This Row],[GHG (kgCO2eq/GJ)]]*3.6</f>
        <v>32.273090481786134</v>
      </c>
      <c r="J99" t="s">
        <v>105</v>
      </c>
      <c r="K99" t="s">
        <v>108</v>
      </c>
    </row>
    <row r="100" spans="1:11" x14ac:dyDescent="0.3">
      <c r="A100" t="s">
        <v>11</v>
      </c>
      <c r="B100" t="s">
        <v>46</v>
      </c>
      <c r="C100" t="s">
        <v>66</v>
      </c>
      <c r="D100">
        <v>5.5</v>
      </c>
      <c r="E100">
        <f>Tableau6[[#This Row],[Potential (PJ)]]/3.6</f>
        <v>1.5277777777777777</v>
      </c>
      <c r="F100">
        <v>2.817581818181818</v>
      </c>
      <c r="G100">
        <f>Tableau6[[#This Row],[Cost (€/GJ)]]*3.6</f>
        <v>10.143294545454545</v>
      </c>
      <c r="H100">
        <v>6.8428961748633883</v>
      </c>
      <c r="I100">
        <f>Tableau6[[#This Row],[GHG (kgCO2eq/GJ)]]*3.6</f>
        <v>24.634426229508197</v>
      </c>
      <c r="J100" t="s">
        <v>104</v>
      </c>
      <c r="K100" t="s">
        <v>108</v>
      </c>
    </row>
    <row r="101" spans="1:11" x14ac:dyDescent="0.3">
      <c r="A101" t="s">
        <v>11</v>
      </c>
      <c r="B101" t="s">
        <v>46</v>
      </c>
      <c r="C101" t="s">
        <v>82</v>
      </c>
      <c r="D101">
        <v>10</v>
      </c>
      <c r="E101">
        <f>Tableau6[[#This Row],[Potential (PJ)]]/3.6</f>
        <v>2.7777777777777777</v>
      </c>
      <c r="F101">
        <v>1.74749</v>
      </c>
      <c r="G101">
        <f>Tableau6[[#This Row],[Cost (€/GJ)]]*3.6</f>
        <v>6.2909639999999998</v>
      </c>
      <c r="H101">
        <v>6.8428961748633883</v>
      </c>
      <c r="I101">
        <f>Tableau6[[#This Row],[GHG (kgCO2eq/GJ)]]*3.6</f>
        <v>24.634426229508197</v>
      </c>
      <c r="J101" t="s">
        <v>104</v>
      </c>
      <c r="K101" t="s">
        <v>108</v>
      </c>
    </row>
    <row r="102" spans="1:11" x14ac:dyDescent="0.3">
      <c r="A102" t="s">
        <v>11</v>
      </c>
      <c r="B102" t="s">
        <v>46</v>
      </c>
      <c r="C102" t="s">
        <v>83</v>
      </c>
      <c r="D102">
        <v>0.35548000000000002</v>
      </c>
      <c r="E102">
        <f>Tableau6[[#This Row],[Potential (PJ)]]/3.6</f>
        <v>9.874444444444444E-2</v>
      </c>
      <c r="F102">
        <v>2.62</v>
      </c>
      <c r="G102">
        <f>Tableau6[[#This Row],[Cost (€/GJ)]]*3.6</f>
        <v>9.4320000000000004</v>
      </c>
      <c r="H102">
        <v>6.8428961748633883</v>
      </c>
      <c r="I102">
        <f>Tableau6[[#This Row],[GHG (kgCO2eq/GJ)]]*3.6</f>
        <v>24.634426229508197</v>
      </c>
      <c r="J102" t="s">
        <v>104</v>
      </c>
      <c r="K102" t="s">
        <v>108</v>
      </c>
    </row>
    <row r="103" spans="1:11" x14ac:dyDescent="0.3">
      <c r="A103" t="s">
        <v>11</v>
      </c>
      <c r="B103" t="s">
        <v>46</v>
      </c>
      <c r="C103" t="s">
        <v>85</v>
      </c>
      <c r="D103">
        <v>0.70000000000000007</v>
      </c>
      <c r="E103">
        <f>Tableau6[[#This Row],[Potential (PJ)]]/3.6</f>
        <v>0.19444444444444445</v>
      </c>
      <c r="F103">
        <v>3.7318571428571432</v>
      </c>
      <c r="G103">
        <f>Tableau6[[#This Row],[Cost (€/GJ)]]*3.6</f>
        <v>13.434685714285715</v>
      </c>
      <c r="H103">
        <v>2.9521711768407801</v>
      </c>
      <c r="I103">
        <f>Tableau6[[#This Row],[GHG (kgCO2eq/GJ)]]*3.6</f>
        <v>10.627816236626808</v>
      </c>
      <c r="J103" t="s">
        <v>104</v>
      </c>
      <c r="K103" t="s">
        <v>108</v>
      </c>
    </row>
    <row r="104" spans="1:11" x14ac:dyDescent="0.3">
      <c r="A104" t="s">
        <v>11</v>
      </c>
      <c r="B104" t="s">
        <v>55</v>
      </c>
      <c r="C104" t="s">
        <v>86</v>
      </c>
      <c r="D104">
        <v>2.4165000000000001</v>
      </c>
      <c r="E104">
        <f>Tableau6[[#This Row],[Potential (PJ)]]/3.6</f>
        <v>0.67125000000000001</v>
      </c>
      <c r="F104">
        <v>10.028</v>
      </c>
      <c r="G104">
        <f>Tableau6[[#This Row],[Cost (€/GJ)]]*3.6</f>
        <v>36.1008</v>
      </c>
      <c r="H104">
        <v>9.1</v>
      </c>
      <c r="I104">
        <f>Tableau6[[#This Row],[GHG (kgCO2eq/GJ)]]*3.6</f>
        <v>32.76</v>
      </c>
      <c r="J104" t="s">
        <v>106</v>
      </c>
      <c r="K104" t="s">
        <v>109</v>
      </c>
    </row>
    <row r="105" spans="1:11" x14ac:dyDescent="0.3">
      <c r="A105" t="s">
        <v>11</v>
      </c>
      <c r="B105" t="s">
        <v>55</v>
      </c>
      <c r="C105" t="s">
        <v>87</v>
      </c>
      <c r="D105">
        <v>2.1322999999999999</v>
      </c>
      <c r="E105">
        <f>Tableau6[[#This Row],[Potential (PJ)]]/3.6</f>
        <v>0.59230555555555553</v>
      </c>
      <c r="F105">
        <v>10.538</v>
      </c>
      <c r="G105">
        <f>Tableau6[[#This Row],[Cost (€/GJ)]]*3.6</f>
        <v>37.936800000000005</v>
      </c>
      <c r="H105">
        <v>9.1</v>
      </c>
      <c r="I105">
        <f>Tableau6[[#This Row],[GHG (kgCO2eq/GJ)]]*3.6</f>
        <v>32.76</v>
      </c>
      <c r="J105" t="s">
        <v>106</v>
      </c>
      <c r="K105" t="s">
        <v>109</v>
      </c>
    </row>
    <row r="106" spans="1:11" x14ac:dyDescent="0.3">
      <c r="A106" t="s">
        <v>11</v>
      </c>
      <c r="B106" t="s">
        <v>55</v>
      </c>
      <c r="C106" t="s">
        <v>88</v>
      </c>
      <c r="D106">
        <v>2.5491999999999999</v>
      </c>
      <c r="E106">
        <f>Tableau6[[#This Row],[Potential (PJ)]]/3.6</f>
        <v>0.70811111111111102</v>
      </c>
      <c r="F106">
        <v>11.048999999999999</v>
      </c>
      <c r="G106">
        <f>Tableau6[[#This Row],[Cost (€/GJ)]]*3.6</f>
        <v>39.776400000000002</v>
      </c>
      <c r="H106">
        <v>9.1</v>
      </c>
      <c r="I106">
        <f>Tableau6[[#This Row],[GHG (kgCO2eq/GJ)]]*3.6</f>
        <v>32.76</v>
      </c>
      <c r="J106" t="s">
        <v>106</v>
      </c>
      <c r="K106" t="s">
        <v>109</v>
      </c>
    </row>
    <row r="107" spans="1:11" x14ac:dyDescent="0.3">
      <c r="A107" t="s">
        <v>11</v>
      </c>
      <c r="B107" t="s">
        <v>55</v>
      </c>
      <c r="C107" t="s">
        <v>92</v>
      </c>
      <c r="D107">
        <v>2.3208199999999999</v>
      </c>
      <c r="E107">
        <f>Tableau6[[#This Row],[Potential (PJ)]]/3.6</f>
        <v>0.6446722222222222</v>
      </c>
      <c r="F107">
        <v>10.538</v>
      </c>
      <c r="G107">
        <f>Tableau6[[#This Row],[Cost (€/GJ)]]*3.6</f>
        <v>37.936800000000005</v>
      </c>
      <c r="H107">
        <v>9.1</v>
      </c>
      <c r="I107">
        <f>Tableau6[[#This Row],[GHG (kgCO2eq/GJ)]]*3.6</f>
        <v>32.76</v>
      </c>
      <c r="J107" t="s">
        <v>106</v>
      </c>
      <c r="K107" t="s">
        <v>109</v>
      </c>
    </row>
    <row r="108" spans="1:11" x14ac:dyDescent="0.3">
      <c r="A108" t="s">
        <v>11</v>
      </c>
      <c r="B108" t="s">
        <v>56</v>
      </c>
      <c r="C108" t="s">
        <v>93</v>
      </c>
      <c r="D108">
        <v>9.4359000000000002</v>
      </c>
      <c r="E108">
        <f>Tableau6[[#This Row],[Potential (PJ)]]/3.6</f>
        <v>2.6210833333333334</v>
      </c>
      <c r="F108">
        <v>6.7759036144578308</v>
      </c>
      <c r="G108">
        <f>Tableau6[[#This Row],[Cost (€/GJ)]]*3.6</f>
        <v>24.393253012048191</v>
      </c>
      <c r="H108">
        <v>22.9</v>
      </c>
      <c r="I108">
        <f>Tableau6[[#This Row],[GHG (kgCO2eq/GJ)]]*3.6</f>
        <v>82.44</v>
      </c>
      <c r="J108" t="s">
        <v>106</v>
      </c>
      <c r="K108" t="s">
        <v>109</v>
      </c>
    </row>
    <row r="109" spans="1:11" x14ac:dyDescent="0.3">
      <c r="A109" t="s">
        <v>11</v>
      </c>
      <c r="B109" t="s">
        <v>47</v>
      </c>
      <c r="C109" t="s">
        <v>68</v>
      </c>
      <c r="D109">
        <v>54.2</v>
      </c>
      <c r="E109">
        <f>Tableau6[[#This Row],[Potential (PJ)]]/3.6</f>
        <v>15.055555555555555</v>
      </c>
      <c r="F109">
        <v>2.9729741697416969</v>
      </c>
      <c r="G109">
        <f>Tableau6[[#This Row],[Cost (€/GJ)]]*3.6</f>
        <v>10.702707011070109</v>
      </c>
      <c r="H109">
        <v>15</v>
      </c>
      <c r="I109">
        <f>Tableau6[[#This Row],[GHG (kgCO2eq/GJ)]]*3.6</f>
        <v>54</v>
      </c>
      <c r="J109" t="s">
        <v>104</v>
      </c>
      <c r="K109" t="s">
        <v>109</v>
      </c>
    </row>
    <row r="110" spans="1:11" x14ac:dyDescent="0.3">
      <c r="A110" t="s">
        <v>11</v>
      </c>
      <c r="B110" t="s">
        <v>47</v>
      </c>
      <c r="C110" t="s">
        <v>69</v>
      </c>
      <c r="D110">
        <v>38.6</v>
      </c>
      <c r="E110">
        <f>Tableau6[[#This Row],[Potential (PJ)]]/3.6</f>
        <v>10.722222222222223</v>
      </c>
      <c r="F110">
        <v>2.883554404145078</v>
      </c>
      <c r="G110">
        <f>Tableau6[[#This Row],[Cost (€/GJ)]]*3.6</f>
        <v>10.380795854922281</v>
      </c>
      <c r="H110">
        <v>15</v>
      </c>
      <c r="I110">
        <f>Tableau6[[#This Row],[GHG (kgCO2eq/GJ)]]*3.6</f>
        <v>54</v>
      </c>
      <c r="J110" t="s">
        <v>104</v>
      </c>
      <c r="K110" t="s">
        <v>109</v>
      </c>
    </row>
    <row r="111" spans="1:11" x14ac:dyDescent="0.3">
      <c r="A111" t="s">
        <v>11</v>
      </c>
      <c r="B111" t="s">
        <v>57</v>
      </c>
      <c r="C111" t="s">
        <v>94</v>
      </c>
      <c r="D111">
        <v>14.6</v>
      </c>
      <c r="E111">
        <f>Tableau6[[#This Row],[Potential (PJ)]]/3.6</f>
        <v>4.0555555555555554</v>
      </c>
      <c r="F111">
        <v>7.5746712328767121</v>
      </c>
      <c r="G111">
        <f>Tableau6[[#This Row],[Cost (€/GJ)]]*3.6</f>
        <v>27.268816438356165</v>
      </c>
      <c r="H111">
        <v>15.5</v>
      </c>
      <c r="I111">
        <f>Tableau6[[#This Row],[GHG (kgCO2eq/GJ)]]*3.6</f>
        <v>55.800000000000004</v>
      </c>
      <c r="J111" t="s">
        <v>104</v>
      </c>
      <c r="K111" t="s">
        <v>109</v>
      </c>
    </row>
    <row r="112" spans="1:11" x14ac:dyDescent="0.3">
      <c r="A112" t="s">
        <v>11</v>
      </c>
      <c r="B112" t="s">
        <v>49</v>
      </c>
      <c r="C112" t="s">
        <v>71</v>
      </c>
      <c r="D112">
        <v>166.90867</v>
      </c>
      <c r="E112">
        <f>Tableau6[[#This Row],[Potential (PJ)]]/3.6</f>
        <v>46.363519444444442</v>
      </c>
      <c r="F112">
        <v>2.4568223780705938</v>
      </c>
      <c r="G112">
        <f>Tableau6[[#This Row],[Cost (€/GJ)]]*3.6</f>
        <v>8.8445605610541378</v>
      </c>
      <c r="H112">
        <v>3.86607608129234</v>
      </c>
      <c r="I112">
        <f>Tableau6[[#This Row],[GHG (kgCO2eq/GJ)]]*3.6</f>
        <v>13.917873892652425</v>
      </c>
      <c r="J112" t="s">
        <v>104</v>
      </c>
      <c r="K112" t="s">
        <v>108</v>
      </c>
    </row>
    <row r="113" spans="1:11" x14ac:dyDescent="0.3">
      <c r="A113" t="s">
        <v>11</v>
      </c>
      <c r="B113" t="s">
        <v>49</v>
      </c>
      <c r="C113" t="s">
        <v>72</v>
      </c>
      <c r="D113">
        <v>23.4</v>
      </c>
      <c r="E113">
        <f>Tableau6[[#This Row],[Potential (PJ)]]/3.6</f>
        <v>6.4999999999999991</v>
      </c>
      <c r="F113">
        <v>3.3377564102564099</v>
      </c>
      <c r="G113">
        <f>Tableau6[[#This Row],[Cost (€/GJ)]]*3.6</f>
        <v>12.015923076923077</v>
      </c>
      <c r="H113">
        <v>3.86607608129234</v>
      </c>
      <c r="I113">
        <f>Tableau6[[#This Row],[GHG (kgCO2eq/GJ)]]*3.6</f>
        <v>13.917873892652425</v>
      </c>
      <c r="J113" t="s">
        <v>104</v>
      </c>
      <c r="K113" t="s">
        <v>108</v>
      </c>
    </row>
    <row r="114" spans="1:11" x14ac:dyDescent="0.3">
      <c r="A114" t="s">
        <v>11</v>
      </c>
      <c r="B114" t="s">
        <v>58</v>
      </c>
      <c r="C114" t="s">
        <v>95</v>
      </c>
      <c r="D114">
        <v>9.5657700000000006</v>
      </c>
      <c r="E114">
        <f>Tableau6[[#This Row],[Potential (PJ)]]/3.6</f>
        <v>2.6571583333333333</v>
      </c>
      <c r="F114">
        <v>2.9329999999999998</v>
      </c>
      <c r="G114">
        <f>Tableau6[[#This Row],[Cost (€/GJ)]]*3.6</f>
        <v>10.5588</v>
      </c>
      <c r="H114">
        <v>2.9521711768407801</v>
      </c>
      <c r="I114">
        <f>Tableau6[[#This Row],[GHG (kgCO2eq/GJ)]]*3.6</f>
        <v>10.627816236626808</v>
      </c>
      <c r="J114" t="s">
        <v>104</v>
      </c>
      <c r="K114" t="s">
        <v>108</v>
      </c>
    </row>
    <row r="115" spans="1:11" x14ac:dyDescent="0.3">
      <c r="A115" t="s">
        <v>11</v>
      </c>
      <c r="B115" t="s">
        <v>50</v>
      </c>
      <c r="C115" t="s">
        <v>73</v>
      </c>
      <c r="D115">
        <v>0.3</v>
      </c>
      <c r="E115">
        <f>Tableau6[[#This Row],[Potential (PJ)]]/3.6</f>
        <v>8.3333333333333329E-2</v>
      </c>
      <c r="F115">
        <v>5.0996666666666659</v>
      </c>
      <c r="G115">
        <f>Tableau6[[#This Row],[Cost (€/GJ)]]*3.6</f>
        <v>18.358799999999999</v>
      </c>
      <c r="H115">
        <v>20.723404255319149</v>
      </c>
      <c r="I115">
        <f>Tableau6[[#This Row],[GHG (kgCO2eq/GJ)]]*3.6</f>
        <v>74.604255319148933</v>
      </c>
      <c r="J115" t="s">
        <v>105</v>
      </c>
      <c r="K115" t="s">
        <v>108</v>
      </c>
    </row>
    <row r="116" spans="1:11" x14ac:dyDescent="0.3">
      <c r="A116" t="s">
        <v>11</v>
      </c>
      <c r="B116" t="s">
        <v>50</v>
      </c>
      <c r="C116" t="s">
        <v>74</v>
      </c>
      <c r="D116">
        <v>7.8999999999999986</v>
      </c>
      <c r="E116">
        <f>Tableau6[[#This Row],[Potential (PJ)]]/3.6</f>
        <v>2.1944444444444442</v>
      </c>
      <c r="F116">
        <v>3.3223037974683538</v>
      </c>
      <c r="G116">
        <f>Tableau6[[#This Row],[Cost (€/GJ)]]*3.6</f>
        <v>11.960293670886074</v>
      </c>
      <c r="H116">
        <v>2.0635593220338988</v>
      </c>
      <c r="I116">
        <f>Tableau6[[#This Row],[GHG (kgCO2eq/GJ)]]*3.6</f>
        <v>7.4288135593220357</v>
      </c>
      <c r="J116" t="s">
        <v>105</v>
      </c>
      <c r="K116" t="s">
        <v>108</v>
      </c>
    </row>
    <row r="117" spans="1:11" x14ac:dyDescent="0.3">
      <c r="A117" t="s">
        <v>11</v>
      </c>
      <c r="B117" t="s">
        <v>59</v>
      </c>
      <c r="C117" t="s">
        <v>96</v>
      </c>
      <c r="D117">
        <v>0.23119999999999999</v>
      </c>
      <c r="E117">
        <f>Tableau6[[#This Row],[Potential (PJ)]]/3.6</f>
        <v>6.4222222222222222E-2</v>
      </c>
      <c r="F117">
        <v>19.167000000000002</v>
      </c>
      <c r="G117">
        <f>Tableau6[[#This Row],[Cost (€/GJ)]]*3.6</f>
        <v>69.001200000000011</v>
      </c>
      <c r="H117">
        <v>15.2</v>
      </c>
      <c r="I117">
        <f>Tableau6[[#This Row],[GHG (kgCO2eq/GJ)]]*3.6</f>
        <v>54.72</v>
      </c>
      <c r="J117" t="s">
        <v>107</v>
      </c>
      <c r="K117" t="s">
        <v>109</v>
      </c>
    </row>
    <row r="118" spans="1:11" x14ac:dyDescent="0.3">
      <c r="A118" t="s">
        <v>11</v>
      </c>
      <c r="B118" t="s">
        <v>59</v>
      </c>
      <c r="C118" t="s">
        <v>97</v>
      </c>
      <c r="D118">
        <v>5.5411000000000001</v>
      </c>
      <c r="E118">
        <f>Tableau6[[#This Row],[Potential (PJ)]]/3.6</f>
        <v>1.5391944444444445</v>
      </c>
      <c r="F118">
        <v>13.4020618556701</v>
      </c>
      <c r="G118">
        <f>Tableau6[[#This Row],[Cost (€/GJ)]]*3.6</f>
        <v>48.247422680412363</v>
      </c>
      <c r="H118">
        <v>15.2</v>
      </c>
      <c r="I118">
        <f>Tableau6[[#This Row],[GHG (kgCO2eq/GJ)]]*3.6</f>
        <v>54.72</v>
      </c>
      <c r="J118" t="s">
        <v>107</v>
      </c>
      <c r="K118" t="s">
        <v>109</v>
      </c>
    </row>
    <row r="119" spans="1:11" x14ac:dyDescent="0.3">
      <c r="A119" t="s">
        <v>11</v>
      </c>
      <c r="B119" t="s">
        <v>51</v>
      </c>
      <c r="C119" t="s">
        <v>75</v>
      </c>
      <c r="D119">
        <v>2.7935699999999999</v>
      </c>
      <c r="E119">
        <f>Tableau6[[#This Row],[Potential (PJ)]]/3.6</f>
        <v>0.77599166666666664</v>
      </c>
      <c r="F119">
        <v>5.3266986230431998E-5</v>
      </c>
      <c r="G119">
        <f>Tableau6[[#This Row],[Cost (€/GJ)]]*3.6</f>
        <v>1.9176115042955519E-4</v>
      </c>
      <c r="H119">
        <v>11.74</v>
      </c>
      <c r="I119">
        <f>Tableau6[[#This Row],[GHG (kgCO2eq/GJ)]]*3.6</f>
        <v>42.264000000000003</v>
      </c>
      <c r="J119" t="s">
        <v>104</v>
      </c>
      <c r="K119" t="s">
        <v>108</v>
      </c>
    </row>
    <row r="120" spans="1:11" x14ac:dyDescent="0.3">
      <c r="A120" t="s">
        <v>11</v>
      </c>
      <c r="B120" t="s">
        <v>60</v>
      </c>
      <c r="C120" t="s">
        <v>98</v>
      </c>
      <c r="D120">
        <v>4.1035599999999999</v>
      </c>
      <c r="E120">
        <f>Tableau6[[#This Row],[Potential (PJ)]]/3.6</f>
        <v>1.1398777777777778</v>
      </c>
      <c r="F120">
        <v>15.789473684210529</v>
      </c>
      <c r="G120">
        <f>Tableau6[[#This Row],[Cost (€/GJ)]]*3.6</f>
        <v>56.842105263157904</v>
      </c>
      <c r="H120">
        <v>1.5</v>
      </c>
      <c r="I120">
        <f>Tableau6[[#This Row],[GHG (kgCO2eq/GJ)]]*3.6</f>
        <v>5.4</v>
      </c>
      <c r="J120" t="s">
        <v>107</v>
      </c>
      <c r="K120" t="s">
        <v>109</v>
      </c>
    </row>
    <row r="121" spans="1:11" x14ac:dyDescent="0.3">
      <c r="A121" t="s">
        <v>11</v>
      </c>
      <c r="B121" t="s">
        <v>53</v>
      </c>
      <c r="C121" t="s">
        <v>77</v>
      </c>
      <c r="D121">
        <v>3.7</v>
      </c>
      <c r="E121">
        <f>Tableau6[[#This Row],[Potential (PJ)]]/3.6</f>
        <v>1.0277777777777779</v>
      </c>
      <c r="F121">
        <v>3.337783783783784</v>
      </c>
      <c r="G121">
        <f>Tableau6[[#This Row],[Cost (€/GJ)]]*3.6</f>
        <v>12.016021621621622</v>
      </c>
      <c r="H121">
        <v>3.86607608129234</v>
      </c>
      <c r="I121">
        <f>Tableau6[[#This Row],[GHG (kgCO2eq/GJ)]]*3.6</f>
        <v>13.917873892652425</v>
      </c>
      <c r="J121" t="s">
        <v>104</v>
      </c>
      <c r="K121" t="s">
        <v>108</v>
      </c>
    </row>
    <row r="122" spans="1:11" x14ac:dyDescent="0.3">
      <c r="A122" t="s">
        <v>11</v>
      </c>
      <c r="B122" t="s">
        <v>61</v>
      </c>
      <c r="C122" t="s">
        <v>99</v>
      </c>
      <c r="D122">
        <v>5.0999999999999996</v>
      </c>
      <c r="E122">
        <f>Tableau6[[#This Row],[Potential (PJ)]]/3.6</f>
        <v>1.4166666666666665</v>
      </c>
      <c r="F122">
        <v>1.493568627450981</v>
      </c>
      <c r="G122">
        <f>Tableau6[[#This Row],[Cost (€/GJ)]]*3.6</f>
        <v>5.3768470588235315</v>
      </c>
      <c r="H122">
        <v>2.9245635910224439</v>
      </c>
      <c r="I122">
        <f>Tableau6[[#This Row],[GHG (kgCO2eq/GJ)]]*3.6</f>
        <v>10.528428927680798</v>
      </c>
      <c r="J122" t="s">
        <v>104</v>
      </c>
      <c r="K122" t="s">
        <v>108</v>
      </c>
    </row>
    <row r="123" spans="1:11" x14ac:dyDescent="0.3">
      <c r="A123" t="s">
        <v>11</v>
      </c>
      <c r="B123" t="s">
        <v>62</v>
      </c>
      <c r="C123" t="s">
        <v>100</v>
      </c>
      <c r="D123">
        <v>1.4</v>
      </c>
      <c r="E123">
        <f>Tableau6[[#This Row],[Potential (PJ)]]/3.6</f>
        <v>0.38888888888888884</v>
      </c>
      <c r="F123">
        <v>0.31428571428571428</v>
      </c>
      <c r="G123">
        <f>Tableau6[[#This Row],[Cost (€/GJ)]]*3.6</f>
        <v>1.1314285714285715</v>
      </c>
      <c r="H123">
        <v>2.6764106050305911</v>
      </c>
      <c r="I123">
        <f>Tableau6[[#This Row],[GHG (kgCO2eq/GJ)]]*3.6</f>
        <v>9.6350781781101276</v>
      </c>
      <c r="J123" t="s">
        <v>104</v>
      </c>
      <c r="K123" t="s">
        <v>108</v>
      </c>
    </row>
    <row r="124" spans="1:11" x14ac:dyDescent="0.3">
      <c r="A124" t="s">
        <v>11</v>
      </c>
      <c r="B124" t="s">
        <v>54</v>
      </c>
      <c r="C124" t="s">
        <v>78</v>
      </c>
      <c r="D124">
        <v>25.7</v>
      </c>
      <c r="E124">
        <f>Tableau6[[#This Row],[Potential (PJ)]]/3.6</f>
        <v>7.1388888888888884</v>
      </c>
      <c r="F124">
        <v>3.2846420233463038</v>
      </c>
      <c r="G124">
        <f>Tableau6[[#This Row],[Cost (€/GJ)]]*3.6</f>
        <v>11.824711284046694</v>
      </c>
      <c r="H124">
        <v>3.86607608129234</v>
      </c>
      <c r="I124">
        <f>Tableau6[[#This Row],[GHG (kgCO2eq/GJ)]]*3.6</f>
        <v>13.917873892652425</v>
      </c>
      <c r="J124" t="s">
        <v>104</v>
      </c>
      <c r="K124" t="s">
        <v>108</v>
      </c>
    </row>
    <row r="125" spans="1:11" x14ac:dyDescent="0.3">
      <c r="A125" t="s">
        <v>12</v>
      </c>
      <c r="B125" t="s">
        <v>49</v>
      </c>
      <c r="C125" t="s">
        <v>71</v>
      </c>
      <c r="D125">
        <v>112.84922</v>
      </c>
      <c r="E125">
        <f>Tableau6[[#This Row],[Potential (PJ)]]/3.6</f>
        <v>31.347005555555555</v>
      </c>
      <c r="F125">
        <v>0</v>
      </c>
      <c r="G125">
        <f>Tableau6[[#This Row],[Cost (€/GJ)]]*3.6</f>
        <v>0</v>
      </c>
      <c r="H125">
        <v>3.86607608129234</v>
      </c>
      <c r="I125">
        <f>Tableau6[[#This Row],[GHG (kgCO2eq/GJ)]]*3.6</f>
        <v>13.917873892652425</v>
      </c>
      <c r="J125" t="s">
        <v>104</v>
      </c>
      <c r="K125" t="s">
        <v>108</v>
      </c>
    </row>
    <row r="126" spans="1:11" x14ac:dyDescent="0.3">
      <c r="A126" t="s">
        <v>12</v>
      </c>
      <c r="B126" t="s">
        <v>49</v>
      </c>
      <c r="C126" t="s">
        <v>72</v>
      </c>
      <c r="D126">
        <v>9.1999999999999993</v>
      </c>
      <c r="E126">
        <f>Tableau6[[#This Row],[Potential (PJ)]]/3.6</f>
        <v>2.5555555555555554</v>
      </c>
      <c r="F126">
        <v>0</v>
      </c>
      <c r="G126">
        <f>Tableau6[[#This Row],[Cost (€/GJ)]]*3.6</f>
        <v>0</v>
      </c>
      <c r="H126">
        <v>3.86607608129234</v>
      </c>
      <c r="I126">
        <f>Tableau6[[#This Row],[GHG (kgCO2eq/GJ)]]*3.6</f>
        <v>13.917873892652425</v>
      </c>
      <c r="J126" t="s">
        <v>104</v>
      </c>
      <c r="K126" t="s">
        <v>108</v>
      </c>
    </row>
    <row r="127" spans="1:11" x14ac:dyDescent="0.3">
      <c r="A127" t="s">
        <v>12</v>
      </c>
      <c r="B127" t="s">
        <v>51</v>
      </c>
      <c r="C127" t="s">
        <v>75</v>
      </c>
      <c r="D127">
        <v>23.511839999999999</v>
      </c>
      <c r="E127">
        <f>Tableau6[[#This Row],[Potential (PJ)]]/3.6</f>
        <v>6.5310666666666659</v>
      </c>
      <c r="F127">
        <v>0.16395953979390099</v>
      </c>
      <c r="G127">
        <f>Tableau6[[#This Row],[Cost (€/GJ)]]*3.6</f>
        <v>0.5902543432580436</v>
      </c>
      <c r="H127">
        <v>11.74</v>
      </c>
      <c r="I127">
        <f>Tableau6[[#This Row],[GHG (kgCO2eq/GJ)]]*3.6</f>
        <v>42.264000000000003</v>
      </c>
      <c r="J127" t="s">
        <v>104</v>
      </c>
      <c r="K127" t="s">
        <v>108</v>
      </c>
    </row>
    <row r="128" spans="1:11" x14ac:dyDescent="0.3">
      <c r="A128" t="s">
        <v>12</v>
      </c>
      <c r="B128" t="s">
        <v>53</v>
      </c>
      <c r="C128" t="s">
        <v>77</v>
      </c>
      <c r="D128">
        <v>3</v>
      </c>
      <c r="E128">
        <f>Tableau6[[#This Row],[Potential (PJ)]]/3.6</f>
        <v>0.83333333333333326</v>
      </c>
      <c r="F128">
        <v>0</v>
      </c>
      <c r="G128">
        <f>Tableau6[[#This Row],[Cost (€/GJ)]]*3.6</f>
        <v>0</v>
      </c>
      <c r="H128">
        <v>3.86607608129234</v>
      </c>
      <c r="I128">
        <f>Tableau6[[#This Row],[GHG (kgCO2eq/GJ)]]*3.6</f>
        <v>13.917873892652425</v>
      </c>
      <c r="J128" t="s">
        <v>104</v>
      </c>
      <c r="K128" t="s">
        <v>108</v>
      </c>
    </row>
    <row r="129" spans="1:11" x14ac:dyDescent="0.3">
      <c r="A129" t="s">
        <v>12</v>
      </c>
      <c r="B129" t="s">
        <v>54</v>
      </c>
      <c r="C129" t="s">
        <v>78</v>
      </c>
      <c r="D129">
        <v>34.4</v>
      </c>
      <c r="E129">
        <f>Tableau6[[#This Row],[Potential (PJ)]]/3.6</f>
        <v>9.5555555555555554</v>
      </c>
      <c r="F129">
        <v>0</v>
      </c>
      <c r="G129">
        <f>Tableau6[[#This Row],[Cost (€/GJ)]]*3.6</f>
        <v>0</v>
      </c>
      <c r="H129">
        <v>3.86607608129234</v>
      </c>
      <c r="I129">
        <f>Tableau6[[#This Row],[GHG (kgCO2eq/GJ)]]*3.6</f>
        <v>13.917873892652425</v>
      </c>
      <c r="J129" t="s">
        <v>104</v>
      </c>
      <c r="K129" t="s">
        <v>108</v>
      </c>
    </row>
    <row r="130" spans="1:11" x14ac:dyDescent="0.3">
      <c r="A130" t="s">
        <v>13</v>
      </c>
      <c r="B130" t="s">
        <v>46</v>
      </c>
      <c r="C130" t="s">
        <v>63</v>
      </c>
      <c r="D130">
        <v>3.5000000000000003E-2</v>
      </c>
      <c r="E130">
        <f>Tableau6[[#This Row],[Potential (PJ)]]/3.6</f>
        <v>9.7222222222222224E-3</v>
      </c>
      <c r="F130">
        <v>2.9286474973375931</v>
      </c>
      <c r="G130">
        <f>Tableau6[[#This Row],[Cost (€/GJ)]]*3.6</f>
        <v>10.543130990415335</v>
      </c>
      <c r="H130">
        <v>3.950479233226837</v>
      </c>
      <c r="I130">
        <f>Tableau6[[#This Row],[GHG (kgCO2eq/GJ)]]*3.6</f>
        <v>14.221725239616614</v>
      </c>
      <c r="J130" t="s">
        <v>104</v>
      </c>
      <c r="K130" t="s">
        <v>108</v>
      </c>
    </row>
    <row r="131" spans="1:11" x14ac:dyDescent="0.3">
      <c r="A131" t="s">
        <v>13</v>
      </c>
      <c r="B131" t="s">
        <v>46</v>
      </c>
      <c r="C131" t="s">
        <v>64</v>
      </c>
      <c r="D131">
        <v>1.763E-2</v>
      </c>
      <c r="E131">
        <f>Tableau6[[#This Row],[Potential (PJ)]]/3.6</f>
        <v>4.8972222222222221E-3</v>
      </c>
      <c r="F131">
        <v>7.0579999999999998</v>
      </c>
      <c r="G131">
        <f>Tableau6[[#This Row],[Cost (€/GJ)]]*3.6</f>
        <v>25.408799999999999</v>
      </c>
      <c r="H131">
        <v>2.9521711768407801</v>
      </c>
      <c r="I131">
        <f>Tableau6[[#This Row],[GHG (kgCO2eq/GJ)]]*3.6</f>
        <v>10.627816236626808</v>
      </c>
      <c r="J131" t="s">
        <v>104</v>
      </c>
      <c r="K131" t="s">
        <v>108</v>
      </c>
    </row>
    <row r="132" spans="1:11" x14ac:dyDescent="0.3">
      <c r="A132" t="s">
        <v>13</v>
      </c>
      <c r="B132" t="s">
        <v>46</v>
      </c>
      <c r="C132" t="s">
        <v>65</v>
      </c>
      <c r="D132">
        <v>0.1</v>
      </c>
      <c r="E132">
        <f>Tableau6[[#This Row],[Potential (PJ)]]/3.6</f>
        <v>2.777777777777778E-2</v>
      </c>
      <c r="F132">
        <v>5.5010000000000003</v>
      </c>
      <c r="G132">
        <f>Tableau6[[#This Row],[Cost (€/GJ)]]*3.6</f>
        <v>19.803600000000003</v>
      </c>
      <c r="H132">
        <v>2.9521711768407801</v>
      </c>
      <c r="I132">
        <f>Tableau6[[#This Row],[GHG (kgCO2eq/GJ)]]*3.6</f>
        <v>10.627816236626808</v>
      </c>
      <c r="J132" t="s">
        <v>104</v>
      </c>
      <c r="K132" t="s">
        <v>108</v>
      </c>
    </row>
    <row r="133" spans="1:11" x14ac:dyDescent="0.3">
      <c r="A133" t="s">
        <v>13</v>
      </c>
      <c r="B133" t="s">
        <v>46</v>
      </c>
      <c r="C133" t="s">
        <v>102</v>
      </c>
      <c r="D133">
        <v>0.1</v>
      </c>
      <c r="E133">
        <f>Tableau6[[#This Row],[Potential (PJ)]]/3.6</f>
        <v>2.777777777777778E-2</v>
      </c>
      <c r="F133">
        <v>4.8659999999999997</v>
      </c>
      <c r="G133">
        <f>Tableau6[[#This Row],[Cost (€/GJ)]]*3.6</f>
        <v>17.517599999999998</v>
      </c>
      <c r="H133">
        <v>2.9521711768407801</v>
      </c>
      <c r="I133">
        <f>Tableau6[[#This Row],[GHG (kgCO2eq/GJ)]]*3.6</f>
        <v>10.627816236626808</v>
      </c>
      <c r="J133" t="s">
        <v>104</v>
      </c>
      <c r="K133" t="s">
        <v>108</v>
      </c>
    </row>
    <row r="134" spans="1:11" x14ac:dyDescent="0.3">
      <c r="A134" t="s">
        <v>13</v>
      </c>
      <c r="B134" t="s">
        <v>46</v>
      </c>
      <c r="C134" t="s">
        <v>80</v>
      </c>
      <c r="D134">
        <v>0.11409999999999999</v>
      </c>
      <c r="E134">
        <f>Tableau6[[#This Row],[Potential (PJ)]]/3.6</f>
        <v>3.1694444444444442E-2</v>
      </c>
      <c r="F134">
        <v>1.2157788267026299</v>
      </c>
      <c r="G134">
        <f>Tableau6[[#This Row],[Cost (€/GJ)]]*3.6</f>
        <v>4.376803776129468</v>
      </c>
      <c r="H134">
        <v>28.139870918023309</v>
      </c>
      <c r="I134">
        <f>Tableau6[[#This Row],[GHG (kgCO2eq/GJ)]]*3.6</f>
        <v>101.30353530488391</v>
      </c>
      <c r="J134" t="s">
        <v>105</v>
      </c>
      <c r="K134" t="s">
        <v>108</v>
      </c>
    </row>
    <row r="135" spans="1:11" x14ac:dyDescent="0.3">
      <c r="A135" t="s">
        <v>13</v>
      </c>
      <c r="B135" t="s">
        <v>46</v>
      </c>
      <c r="C135" t="s">
        <v>81</v>
      </c>
      <c r="D135">
        <v>1.4E-3</v>
      </c>
      <c r="E135">
        <f>Tableau6[[#This Row],[Potential (PJ)]]/3.6</f>
        <v>3.8888888888888887E-4</v>
      </c>
      <c r="F135">
        <v>3.252643948296122</v>
      </c>
      <c r="G135">
        <f>Tableau6[[#This Row],[Cost (€/GJ)]]*3.6</f>
        <v>11.709518213866039</v>
      </c>
      <c r="H135">
        <v>8.9647473560517046</v>
      </c>
      <c r="I135">
        <f>Tableau6[[#This Row],[GHG (kgCO2eq/GJ)]]*3.6</f>
        <v>32.273090481786134</v>
      </c>
      <c r="J135" t="s">
        <v>105</v>
      </c>
      <c r="K135" t="s">
        <v>108</v>
      </c>
    </row>
    <row r="136" spans="1:11" x14ac:dyDescent="0.3">
      <c r="A136" t="s">
        <v>13</v>
      </c>
      <c r="B136" t="s">
        <v>46</v>
      </c>
      <c r="C136" t="s">
        <v>67</v>
      </c>
      <c r="D136">
        <v>0.1</v>
      </c>
      <c r="E136">
        <f>Tableau6[[#This Row],[Potential (PJ)]]/3.6</f>
        <v>2.777777777777778E-2</v>
      </c>
      <c r="F136">
        <v>7.5810000000000004</v>
      </c>
      <c r="G136">
        <f>Tableau6[[#This Row],[Cost (€/GJ)]]*3.6</f>
        <v>27.291600000000003</v>
      </c>
      <c r="H136">
        <v>2.9521711768407801</v>
      </c>
      <c r="I136">
        <f>Tableau6[[#This Row],[GHG (kgCO2eq/GJ)]]*3.6</f>
        <v>10.627816236626808</v>
      </c>
      <c r="J136" t="s">
        <v>104</v>
      </c>
      <c r="K136" t="s">
        <v>108</v>
      </c>
    </row>
    <row r="137" spans="1:11" x14ac:dyDescent="0.3">
      <c r="A137" t="s">
        <v>13</v>
      </c>
      <c r="B137" t="s">
        <v>46</v>
      </c>
      <c r="C137" t="s">
        <v>85</v>
      </c>
      <c r="D137">
        <v>0.1</v>
      </c>
      <c r="E137">
        <f>Tableau6[[#This Row],[Potential (PJ)]]/3.6</f>
        <v>2.777777777777778E-2</v>
      </c>
      <c r="F137">
        <v>3.967000000000001</v>
      </c>
      <c r="G137">
        <f>Tableau6[[#This Row],[Cost (€/GJ)]]*3.6</f>
        <v>14.281200000000004</v>
      </c>
      <c r="H137">
        <v>2.9521711768407801</v>
      </c>
      <c r="I137">
        <f>Tableau6[[#This Row],[GHG (kgCO2eq/GJ)]]*3.6</f>
        <v>10.627816236626808</v>
      </c>
      <c r="J137" t="s">
        <v>104</v>
      </c>
      <c r="K137" t="s">
        <v>108</v>
      </c>
    </row>
    <row r="138" spans="1:11" x14ac:dyDescent="0.3">
      <c r="A138" t="s">
        <v>13</v>
      </c>
      <c r="B138" t="s">
        <v>47</v>
      </c>
      <c r="C138" t="s">
        <v>68</v>
      </c>
      <c r="D138">
        <v>2.2000000000000002</v>
      </c>
      <c r="E138">
        <f>Tableau6[[#This Row],[Potential (PJ)]]/3.6</f>
        <v>0.61111111111111116</v>
      </c>
      <c r="F138">
        <v>4.774</v>
      </c>
      <c r="G138">
        <f>Tableau6[[#This Row],[Cost (€/GJ)]]*3.6</f>
        <v>17.186399999999999</v>
      </c>
      <c r="H138">
        <v>13.8</v>
      </c>
      <c r="I138">
        <f>Tableau6[[#This Row],[GHG (kgCO2eq/GJ)]]*3.6</f>
        <v>49.680000000000007</v>
      </c>
      <c r="J138" t="s">
        <v>104</v>
      </c>
      <c r="K138" t="s">
        <v>109</v>
      </c>
    </row>
    <row r="139" spans="1:11" x14ac:dyDescent="0.3">
      <c r="A139" t="s">
        <v>13</v>
      </c>
      <c r="B139" t="s">
        <v>48</v>
      </c>
      <c r="C139" t="s">
        <v>70</v>
      </c>
      <c r="D139">
        <v>0.8</v>
      </c>
      <c r="E139">
        <f>Tableau6[[#This Row],[Potential (PJ)]]/3.6</f>
        <v>0.22222222222222224</v>
      </c>
      <c r="F139">
        <v>11.564</v>
      </c>
      <c r="G139">
        <f>Tableau6[[#This Row],[Cost (€/GJ)]]*3.6</f>
        <v>41.630400000000002</v>
      </c>
      <c r="H139">
        <v>0</v>
      </c>
      <c r="I139">
        <f>Tableau6[[#This Row],[GHG (kgCO2eq/GJ)]]*3.6</f>
        <v>0</v>
      </c>
      <c r="J139" t="s">
        <v>104</v>
      </c>
      <c r="K139" t="s">
        <v>109</v>
      </c>
    </row>
    <row r="140" spans="1:11" x14ac:dyDescent="0.3">
      <c r="A140" t="s">
        <v>13</v>
      </c>
      <c r="B140" t="s">
        <v>50</v>
      </c>
      <c r="C140" t="s">
        <v>73</v>
      </c>
      <c r="D140">
        <v>0.7</v>
      </c>
      <c r="E140">
        <f>Tableau6[[#This Row],[Potential (PJ)]]/3.6</f>
        <v>0.19444444444444442</v>
      </c>
      <c r="F140">
        <v>5.37</v>
      </c>
      <c r="G140">
        <f>Tableau6[[#This Row],[Cost (€/GJ)]]*3.6</f>
        <v>19.332000000000001</v>
      </c>
      <c r="H140">
        <v>20.723404255319149</v>
      </c>
      <c r="I140">
        <f>Tableau6[[#This Row],[GHG (kgCO2eq/GJ)]]*3.6</f>
        <v>74.604255319148933</v>
      </c>
      <c r="J140" t="s">
        <v>105</v>
      </c>
      <c r="K140" t="s">
        <v>108</v>
      </c>
    </row>
    <row r="141" spans="1:11" x14ac:dyDescent="0.3">
      <c r="A141" t="s">
        <v>13</v>
      </c>
      <c r="B141" t="s">
        <v>50</v>
      </c>
      <c r="C141" t="s">
        <v>74</v>
      </c>
      <c r="D141">
        <v>4.4000000000000004</v>
      </c>
      <c r="E141">
        <f>Tableau6[[#This Row],[Potential (PJ)]]/3.6</f>
        <v>1.2222222222222223</v>
      </c>
      <c r="F141">
        <v>4.0579999999999998</v>
      </c>
      <c r="G141">
        <f>Tableau6[[#This Row],[Cost (€/GJ)]]*3.6</f>
        <v>14.6088</v>
      </c>
      <c r="H141">
        <v>2.0635593220338988</v>
      </c>
      <c r="I141">
        <f>Tableau6[[#This Row],[GHG (kgCO2eq/GJ)]]*3.6</f>
        <v>7.4288135593220357</v>
      </c>
      <c r="J141" t="s">
        <v>105</v>
      </c>
      <c r="K141" t="s">
        <v>108</v>
      </c>
    </row>
    <row r="142" spans="1:11" x14ac:dyDescent="0.3">
      <c r="A142" t="s">
        <v>13</v>
      </c>
      <c r="B142" t="s">
        <v>51</v>
      </c>
      <c r="C142" t="s">
        <v>75</v>
      </c>
      <c r="D142">
        <v>1.628377</v>
      </c>
      <c r="E142">
        <f>Tableau6[[#This Row],[Potential (PJ)]]/3.6</f>
        <v>0.45232694444444443</v>
      </c>
      <c r="F142">
        <v>5.8885210432804303E-3</v>
      </c>
      <c r="G142">
        <f>Tableau6[[#This Row],[Cost (€/GJ)]]*3.6</f>
        <v>2.1198675755809551E-2</v>
      </c>
      <c r="H142">
        <v>11.74</v>
      </c>
      <c r="I142">
        <f>Tableau6[[#This Row],[GHG (kgCO2eq/GJ)]]*3.6</f>
        <v>42.264000000000003</v>
      </c>
      <c r="J142" t="s">
        <v>104</v>
      </c>
      <c r="K142" t="s">
        <v>108</v>
      </c>
    </row>
    <row r="143" spans="1:11" x14ac:dyDescent="0.3">
      <c r="A143" t="s">
        <v>13</v>
      </c>
      <c r="B143" t="s">
        <v>52</v>
      </c>
      <c r="C143" t="s">
        <v>76</v>
      </c>
      <c r="D143">
        <v>1E-3</v>
      </c>
      <c r="E143">
        <f>Tableau6[[#This Row],[Potential (PJ)]]/3.6</f>
        <v>2.7777777777777778E-4</v>
      </c>
      <c r="F143">
        <v>6.5250000000000004</v>
      </c>
      <c r="G143">
        <f>Tableau6[[#This Row],[Cost (€/GJ)]]*3.6</f>
        <v>23.490000000000002</v>
      </c>
      <c r="H143">
        <v>12.68872359754714</v>
      </c>
      <c r="I143">
        <f>Tableau6[[#This Row],[GHG (kgCO2eq/GJ)]]*3.6</f>
        <v>45.679404951169708</v>
      </c>
      <c r="J143" t="s">
        <v>105</v>
      </c>
      <c r="K143" t="s">
        <v>108</v>
      </c>
    </row>
    <row r="144" spans="1:11" x14ac:dyDescent="0.3">
      <c r="A144" t="s">
        <v>14</v>
      </c>
      <c r="B144" t="s">
        <v>46</v>
      </c>
      <c r="C144" t="s">
        <v>64</v>
      </c>
      <c r="D144">
        <v>0.17102999999999999</v>
      </c>
      <c r="E144">
        <f>Tableau6[[#This Row],[Potential (PJ)]]/3.6</f>
        <v>4.7508333333333326E-2</v>
      </c>
      <c r="F144">
        <v>6.3408450564228502</v>
      </c>
      <c r="G144">
        <f>Tableau6[[#This Row],[Cost (€/GJ)]]*3.6</f>
        <v>22.827042203122261</v>
      </c>
      <c r="H144">
        <v>2.9521711768407801</v>
      </c>
      <c r="I144">
        <f>Tableau6[[#This Row],[GHG (kgCO2eq/GJ)]]*3.6</f>
        <v>10.627816236626808</v>
      </c>
      <c r="J144" t="s">
        <v>104</v>
      </c>
      <c r="K144" t="s">
        <v>108</v>
      </c>
    </row>
    <row r="145" spans="1:11" x14ac:dyDescent="0.3">
      <c r="A145" t="s">
        <v>14</v>
      </c>
      <c r="B145" t="s">
        <v>46</v>
      </c>
      <c r="C145" t="s">
        <v>79</v>
      </c>
      <c r="D145">
        <v>38.299999999999997</v>
      </c>
      <c r="E145">
        <f>Tableau6[[#This Row],[Potential (PJ)]]/3.6</f>
        <v>10.638888888888888</v>
      </c>
      <c r="F145">
        <v>4.1938668407310713</v>
      </c>
      <c r="G145">
        <f>Tableau6[[#This Row],[Cost (€/GJ)]]*3.6</f>
        <v>15.097920626631858</v>
      </c>
      <c r="H145">
        <v>6.8428961748633883</v>
      </c>
      <c r="I145">
        <f>Tableau6[[#This Row],[GHG (kgCO2eq/GJ)]]*3.6</f>
        <v>24.634426229508197</v>
      </c>
      <c r="J145" t="s">
        <v>104</v>
      </c>
      <c r="K145" t="s">
        <v>108</v>
      </c>
    </row>
    <row r="146" spans="1:11" x14ac:dyDescent="0.3">
      <c r="A146" t="s">
        <v>14</v>
      </c>
      <c r="B146" t="s">
        <v>46</v>
      </c>
      <c r="C146" t="s">
        <v>80</v>
      </c>
      <c r="D146">
        <v>0.40600000000000003</v>
      </c>
      <c r="E146">
        <f>Tableau6[[#This Row],[Potential (PJ)]]/3.6</f>
        <v>0.11277777777777778</v>
      </c>
      <c r="F146">
        <v>0.48482805124747141</v>
      </c>
      <c r="G146">
        <f>Tableau6[[#This Row],[Cost (€/GJ)]]*3.6</f>
        <v>1.7453809844908972</v>
      </c>
      <c r="H146">
        <v>28.139870918023309</v>
      </c>
      <c r="I146">
        <f>Tableau6[[#This Row],[GHG (kgCO2eq/GJ)]]*3.6</f>
        <v>101.30353530488391</v>
      </c>
      <c r="J146" t="s">
        <v>105</v>
      </c>
      <c r="K146" t="s">
        <v>108</v>
      </c>
    </row>
    <row r="147" spans="1:11" x14ac:dyDescent="0.3">
      <c r="A147" t="s">
        <v>14</v>
      </c>
      <c r="B147" t="s">
        <v>46</v>
      </c>
      <c r="C147" t="s">
        <v>81</v>
      </c>
      <c r="D147">
        <v>0.96960000000000002</v>
      </c>
      <c r="E147">
        <f>Tableau6[[#This Row],[Potential (PJ)]]/3.6</f>
        <v>0.26933333333333331</v>
      </c>
      <c r="F147">
        <v>1.2338425381903639</v>
      </c>
      <c r="G147">
        <f>Tableau6[[#This Row],[Cost (€/GJ)]]*3.6</f>
        <v>4.4418331374853102</v>
      </c>
      <c r="H147">
        <v>8.9647473560517046</v>
      </c>
      <c r="I147">
        <f>Tableau6[[#This Row],[GHG (kgCO2eq/GJ)]]*3.6</f>
        <v>32.273090481786134</v>
      </c>
      <c r="J147" t="s">
        <v>105</v>
      </c>
      <c r="K147" t="s">
        <v>108</v>
      </c>
    </row>
    <row r="148" spans="1:11" x14ac:dyDescent="0.3">
      <c r="A148" t="s">
        <v>14</v>
      </c>
      <c r="B148" t="s">
        <v>46</v>
      </c>
      <c r="C148" t="s">
        <v>66</v>
      </c>
      <c r="D148">
        <v>4.2</v>
      </c>
      <c r="E148">
        <f>Tableau6[[#This Row],[Potential (PJ)]]/3.6</f>
        <v>1.1666666666666667</v>
      </c>
      <c r="F148">
        <v>4.331428571428571</v>
      </c>
      <c r="G148">
        <f>Tableau6[[#This Row],[Cost (€/GJ)]]*3.6</f>
        <v>15.593142857142857</v>
      </c>
      <c r="H148">
        <v>6.8428961748633883</v>
      </c>
      <c r="I148">
        <f>Tableau6[[#This Row],[GHG (kgCO2eq/GJ)]]*3.6</f>
        <v>24.634426229508197</v>
      </c>
      <c r="J148" t="s">
        <v>104</v>
      </c>
      <c r="K148" t="s">
        <v>108</v>
      </c>
    </row>
    <row r="149" spans="1:11" x14ac:dyDescent="0.3">
      <c r="A149" t="s">
        <v>14</v>
      </c>
      <c r="B149" t="s">
        <v>46</v>
      </c>
      <c r="C149" t="s">
        <v>82</v>
      </c>
      <c r="D149">
        <v>4.5999999999999996</v>
      </c>
      <c r="E149">
        <f>Tableau6[[#This Row],[Potential (PJ)]]/3.6</f>
        <v>1.2777777777777777</v>
      </c>
      <c r="F149">
        <v>2.6274130434782612</v>
      </c>
      <c r="G149">
        <f>Tableau6[[#This Row],[Cost (€/GJ)]]*3.6</f>
        <v>9.4586869565217402</v>
      </c>
      <c r="H149">
        <v>6.8428961748633883</v>
      </c>
      <c r="I149">
        <f>Tableau6[[#This Row],[GHG (kgCO2eq/GJ)]]*3.6</f>
        <v>24.634426229508197</v>
      </c>
      <c r="J149" t="s">
        <v>104</v>
      </c>
      <c r="K149" t="s">
        <v>108</v>
      </c>
    </row>
    <row r="150" spans="1:11" x14ac:dyDescent="0.3">
      <c r="A150" t="s">
        <v>14</v>
      </c>
      <c r="B150" t="s">
        <v>46</v>
      </c>
      <c r="C150" t="s">
        <v>84</v>
      </c>
      <c r="D150">
        <v>0.60000000000000009</v>
      </c>
      <c r="E150">
        <f>Tableau6[[#This Row],[Potential (PJ)]]/3.6</f>
        <v>0.16666666666666669</v>
      </c>
      <c r="F150">
        <v>2.2734999999999999</v>
      </c>
      <c r="G150">
        <f>Tableau6[[#This Row],[Cost (€/GJ)]]*3.6</f>
        <v>8.1845999999999997</v>
      </c>
      <c r="H150">
        <v>28.139870918023309</v>
      </c>
      <c r="I150">
        <f>Tableau6[[#This Row],[GHG (kgCO2eq/GJ)]]*3.6</f>
        <v>101.30353530488391</v>
      </c>
      <c r="J150" t="s">
        <v>105</v>
      </c>
      <c r="K150" t="s">
        <v>108</v>
      </c>
    </row>
    <row r="151" spans="1:11" x14ac:dyDescent="0.3">
      <c r="A151" t="s">
        <v>14</v>
      </c>
      <c r="B151" t="s">
        <v>46</v>
      </c>
      <c r="C151" t="s">
        <v>85</v>
      </c>
      <c r="D151">
        <v>0.2</v>
      </c>
      <c r="E151">
        <f>Tableau6[[#This Row],[Potential (PJ)]]/3.6</f>
        <v>5.5555555555555559E-2</v>
      </c>
      <c r="F151">
        <v>3.7879999999999998</v>
      </c>
      <c r="G151">
        <f>Tableau6[[#This Row],[Cost (€/GJ)]]*3.6</f>
        <v>13.636799999999999</v>
      </c>
      <c r="H151">
        <v>2.9521711768407801</v>
      </c>
      <c r="I151">
        <f>Tableau6[[#This Row],[GHG (kgCO2eq/GJ)]]*3.6</f>
        <v>10.627816236626808</v>
      </c>
      <c r="J151" t="s">
        <v>104</v>
      </c>
      <c r="K151" t="s">
        <v>108</v>
      </c>
    </row>
    <row r="152" spans="1:11" x14ac:dyDescent="0.3">
      <c r="A152" t="s">
        <v>14</v>
      </c>
      <c r="B152" t="s">
        <v>55</v>
      </c>
      <c r="C152" t="s">
        <v>86</v>
      </c>
      <c r="D152">
        <v>0.46060000000000001</v>
      </c>
      <c r="E152">
        <f>Tableau6[[#This Row],[Potential (PJ)]]/3.6</f>
        <v>0.12794444444444444</v>
      </c>
      <c r="F152">
        <v>10.548</v>
      </c>
      <c r="G152">
        <f>Tableau6[[#This Row],[Cost (€/GJ)]]*3.6</f>
        <v>37.972799999999999</v>
      </c>
      <c r="H152">
        <v>11.9</v>
      </c>
      <c r="I152">
        <f>Tableau6[[#This Row],[GHG (kgCO2eq/GJ)]]*3.6</f>
        <v>42.84</v>
      </c>
      <c r="J152" t="s">
        <v>106</v>
      </c>
      <c r="K152" t="s">
        <v>109</v>
      </c>
    </row>
    <row r="153" spans="1:11" x14ac:dyDescent="0.3">
      <c r="A153" t="s">
        <v>14</v>
      </c>
      <c r="B153" t="s">
        <v>55</v>
      </c>
      <c r="C153" t="s">
        <v>88</v>
      </c>
      <c r="D153">
        <v>1.8991</v>
      </c>
      <c r="E153">
        <f>Tableau6[[#This Row],[Potential (PJ)]]/3.6</f>
        <v>0.52752777777777782</v>
      </c>
      <c r="F153">
        <v>10.798999999999999</v>
      </c>
      <c r="G153">
        <f>Tableau6[[#This Row],[Cost (€/GJ)]]*3.6</f>
        <v>38.876399999999997</v>
      </c>
      <c r="H153">
        <v>11.9</v>
      </c>
      <c r="I153">
        <f>Tableau6[[#This Row],[GHG (kgCO2eq/GJ)]]*3.6</f>
        <v>42.84</v>
      </c>
      <c r="J153" t="s">
        <v>106</v>
      </c>
      <c r="K153" t="s">
        <v>109</v>
      </c>
    </row>
    <row r="154" spans="1:11" x14ac:dyDescent="0.3">
      <c r="A154" t="s">
        <v>14</v>
      </c>
      <c r="B154" t="s">
        <v>55</v>
      </c>
      <c r="C154" t="s">
        <v>89</v>
      </c>
      <c r="D154">
        <v>0.1305</v>
      </c>
      <c r="E154">
        <f>Tableau6[[#This Row],[Potential (PJ)]]/3.6</f>
        <v>3.6249999999999998E-2</v>
      </c>
      <c r="F154">
        <v>0</v>
      </c>
      <c r="G154">
        <f>Tableau6[[#This Row],[Cost (€/GJ)]]*3.6</f>
        <v>0</v>
      </c>
      <c r="H154">
        <v>11.9</v>
      </c>
      <c r="I154">
        <f>Tableau6[[#This Row],[GHG (kgCO2eq/GJ)]]*3.6</f>
        <v>42.84</v>
      </c>
      <c r="J154" t="s">
        <v>106</v>
      </c>
      <c r="K154" t="s">
        <v>109</v>
      </c>
    </row>
    <row r="155" spans="1:11" x14ac:dyDescent="0.3">
      <c r="A155" t="s">
        <v>14</v>
      </c>
      <c r="B155" t="s">
        <v>55</v>
      </c>
      <c r="C155" t="s">
        <v>90</v>
      </c>
      <c r="D155">
        <v>6.4999999999999997E-3</v>
      </c>
      <c r="E155">
        <f>Tableau6[[#This Row],[Potential (PJ)]]/3.6</f>
        <v>1.8055555555555555E-3</v>
      </c>
      <c r="F155">
        <v>9.3460000000000019</v>
      </c>
      <c r="G155">
        <f>Tableau6[[#This Row],[Cost (€/GJ)]]*3.6</f>
        <v>33.645600000000009</v>
      </c>
      <c r="H155">
        <v>11.9</v>
      </c>
      <c r="I155">
        <f>Tableau6[[#This Row],[GHG (kgCO2eq/GJ)]]*3.6</f>
        <v>42.84</v>
      </c>
      <c r="J155" t="s">
        <v>106</v>
      </c>
      <c r="K155" t="s">
        <v>109</v>
      </c>
    </row>
    <row r="156" spans="1:11" x14ac:dyDescent="0.3">
      <c r="A156" t="s">
        <v>14</v>
      </c>
      <c r="B156" t="s">
        <v>55</v>
      </c>
      <c r="C156" t="s">
        <v>91</v>
      </c>
      <c r="D156">
        <v>0.1431</v>
      </c>
      <c r="E156">
        <f>Tableau6[[#This Row],[Potential (PJ)]]/3.6</f>
        <v>3.9750000000000001E-2</v>
      </c>
      <c r="F156">
        <v>10.103999999999999</v>
      </c>
      <c r="G156">
        <f>Tableau6[[#This Row],[Cost (€/GJ)]]*3.6</f>
        <v>36.374400000000001</v>
      </c>
      <c r="H156">
        <v>11.9</v>
      </c>
      <c r="I156">
        <f>Tableau6[[#This Row],[GHG (kgCO2eq/GJ)]]*3.6</f>
        <v>42.84</v>
      </c>
      <c r="J156" t="s">
        <v>106</v>
      </c>
      <c r="K156" t="s">
        <v>109</v>
      </c>
    </row>
    <row r="157" spans="1:11" x14ac:dyDescent="0.3">
      <c r="A157" t="s">
        <v>14</v>
      </c>
      <c r="B157" t="s">
        <v>55</v>
      </c>
      <c r="C157" t="s">
        <v>92</v>
      </c>
      <c r="D157">
        <v>1.00647</v>
      </c>
      <c r="E157">
        <f>Tableau6[[#This Row],[Potential (PJ)]]/3.6</f>
        <v>0.27957499999999996</v>
      </c>
      <c r="F157">
        <v>9.7859999999999996</v>
      </c>
      <c r="G157">
        <f>Tableau6[[#This Row],[Cost (€/GJ)]]*3.6</f>
        <v>35.229599999999998</v>
      </c>
      <c r="H157">
        <v>11.9</v>
      </c>
      <c r="I157">
        <f>Tableau6[[#This Row],[GHG (kgCO2eq/GJ)]]*3.6</f>
        <v>42.84</v>
      </c>
      <c r="J157" t="s">
        <v>106</v>
      </c>
      <c r="K157" t="s">
        <v>109</v>
      </c>
    </row>
    <row r="158" spans="1:11" x14ac:dyDescent="0.3">
      <c r="A158" t="s">
        <v>14</v>
      </c>
      <c r="B158" t="s">
        <v>56</v>
      </c>
      <c r="C158" t="s">
        <v>93</v>
      </c>
      <c r="D158">
        <v>16.105799999999999</v>
      </c>
      <c r="E158">
        <f>Tableau6[[#This Row],[Potential (PJ)]]/3.6</f>
        <v>4.4738333333333324</v>
      </c>
      <c r="F158">
        <v>2.9493975903614462</v>
      </c>
      <c r="G158">
        <f>Tableau6[[#This Row],[Cost (€/GJ)]]*3.6</f>
        <v>10.617831325301207</v>
      </c>
      <c r="H158">
        <v>20.3</v>
      </c>
      <c r="I158">
        <f>Tableau6[[#This Row],[GHG (kgCO2eq/GJ)]]*3.6</f>
        <v>73.08</v>
      </c>
      <c r="J158" t="s">
        <v>106</v>
      </c>
      <c r="K158" t="s">
        <v>109</v>
      </c>
    </row>
    <row r="159" spans="1:11" x14ac:dyDescent="0.3">
      <c r="A159" t="s">
        <v>14</v>
      </c>
      <c r="B159" t="s">
        <v>47</v>
      </c>
      <c r="C159" t="s">
        <v>68</v>
      </c>
      <c r="D159">
        <v>15.2</v>
      </c>
      <c r="E159">
        <f>Tableau6[[#This Row],[Potential (PJ)]]/3.6</f>
        <v>4.2222222222222223</v>
      </c>
      <c r="F159">
        <v>3.3951578947368422</v>
      </c>
      <c r="G159">
        <f>Tableau6[[#This Row],[Cost (€/GJ)]]*3.6</f>
        <v>12.222568421052632</v>
      </c>
      <c r="H159">
        <v>18.5</v>
      </c>
      <c r="I159">
        <f>Tableau6[[#This Row],[GHG (kgCO2eq/GJ)]]*3.6</f>
        <v>66.600000000000009</v>
      </c>
      <c r="J159" t="s">
        <v>104</v>
      </c>
      <c r="K159" t="s">
        <v>109</v>
      </c>
    </row>
    <row r="160" spans="1:11" x14ac:dyDescent="0.3">
      <c r="A160" t="s">
        <v>14</v>
      </c>
      <c r="B160" t="s">
        <v>47</v>
      </c>
      <c r="C160" t="s">
        <v>69</v>
      </c>
      <c r="D160">
        <v>19.5</v>
      </c>
      <c r="E160">
        <f>Tableau6[[#This Row],[Potential (PJ)]]/3.6</f>
        <v>5.416666666666667</v>
      </c>
      <c r="F160">
        <v>2.989441025641026</v>
      </c>
      <c r="G160">
        <f>Tableau6[[#This Row],[Cost (€/GJ)]]*3.6</f>
        <v>10.761987692307693</v>
      </c>
      <c r="H160">
        <v>18.5</v>
      </c>
      <c r="I160">
        <f>Tableau6[[#This Row],[GHG (kgCO2eq/GJ)]]*3.6</f>
        <v>66.600000000000009</v>
      </c>
      <c r="J160" t="s">
        <v>104</v>
      </c>
      <c r="K160" t="s">
        <v>109</v>
      </c>
    </row>
    <row r="161" spans="1:11" x14ac:dyDescent="0.3">
      <c r="A161" t="s">
        <v>14</v>
      </c>
      <c r="B161" t="s">
        <v>57</v>
      </c>
      <c r="C161" t="s">
        <v>94</v>
      </c>
      <c r="D161">
        <v>7.1000000000000014</v>
      </c>
      <c r="E161">
        <f>Tableau6[[#This Row],[Potential (PJ)]]/3.6</f>
        <v>1.9722222222222225</v>
      </c>
      <c r="F161">
        <v>7.5777605633802807</v>
      </c>
      <c r="G161">
        <f>Tableau6[[#This Row],[Cost (€/GJ)]]*3.6</f>
        <v>27.27993802816901</v>
      </c>
      <c r="H161">
        <v>14.4</v>
      </c>
      <c r="I161">
        <f>Tableau6[[#This Row],[GHG (kgCO2eq/GJ)]]*3.6</f>
        <v>51.84</v>
      </c>
      <c r="J161" t="s">
        <v>104</v>
      </c>
      <c r="K161" t="s">
        <v>109</v>
      </c>
    </row>
    <row r="162" spans="1:11" x14ac:dyDescent="0.3">
      <c r="A162" t="s">
        <v>14</v>
      </c>
      <c r="B162" t="s">
        <v>49</v>
      </c>
      <c r="C162" t="s">
        <v>71</v>
      </c>
      <c r="D162">
        <v>155.76437999999999</v>
      </c>
      <c r="E162">
        <f>Tableau6[[#This Row],[Potential (PJ)]]/3.6</f>
        <v>43.26788333333333</v>
      </c>
      <c r="F162">
        <v>4.7134408324932826</v>
      </c>
      <c r="G162">
        <f>Tableau6[[#This Row],[Cost (€/GJ)]]*3.6</f>
        <v>16.968386996975816</v>
      </c>
      <c r="H162">
        <v>3.86607608129234</v>
      </c>
      <c r="I162">
        <f>Tableau6[[#This Row],[GHG (kgCO2eq/GJ)]]*3.6</f>
        <v>13.917873892652425</v>
      </c>
      <c r="J162" t="s">
        <v>104</v>
      </c>
      <c r="K162" t="s">
        <v>108</v>
      </c>
    </row>
    <row r="163" spans="1:11" x14ac:dyDescent="0.3">
      <c r="A163" t="s">
        <v>14</v>
      </c>
      <c r="B163" t="s">
        <v>49</v>
      </c>
      <c r="C163" t="s">
        <v>72</v>
      </c>
      <c r="D163">
        <v>10.7</v>
      </c>
      <c r="E163">
        <f>Tableau6[[#This Row],[Potential (PJ)]]/3.6</f>
        <v>2.9722222222222219</v>
      </c>
      <c r="F163">
        <v>3.7817570093457942</v>
      </c>
      <c r="G163">
        <f>Tableau6[[#This Row],[Cost (€/GJ)]]*3.6</f>
        <v>13.614325233644859</v>
      </c>
      <c r="H163">
        <v>3.86607608129234</v>
      </c>
      <c r="I163">
        <f>Tableau6[[#This Row],[GHG (kgCO2eq/GJ)]]*3.6</f>
        <v>13.917873892652425</v>
      </c>
      <c r="J163" t="s">
        <v>104</v>
      </c>
      <c r="K163" t="s">
        <v>108</v>
      </c>
    </row>
    <row r="164" spans="1:11" x14ac:dyDescent="0.3">
      <c r="A164" t="s">
        <v>14</v>
      </c>
      <c r="B164" t="s">
        <v>58</v>
      </c>
      <c r="C164" t="s">
        <v>95</v>
      </c>
      <c r="D164">
        <v>20.472539999999999</v>
      </c>
      <c r="E164">
        <f>Tableau6[[#This Row],[Potential (PJ)]]/3.6</f>
        <v>5.6868166666666662</v>
      </c>
      <c r="F164">
        <v>2.9329999999999989</v>
      </c>
      <c r="G164">
        <f>Tableau6[[#This Row],[Cost (€/GJ)]]*3.6</f>
        <v>10.558799999999996</v>
      </c>
      <c r="H164">
        <v>2.9521711768407801</v>
      </c>
      <c r="I164">
        <f>Tableau6[[#This Row],[GHG (kgCO2eq/GJ)]]*3.6</f>
        <v>10.627816236626808</v>
      </c>
      <c r="J164" t="s">
        <v>104</v>
      </c>
      <c r="K164" t="s">
        <v>108</v>
      </c>
    </row>
    <row r="165" spans="1:11" x14ac:dyDescent="0.3">
      <c r="A165" t="s">
        <v>14</v>
      </c>
      <c r="B165" t="s">
        <v>50</v>
      </c>
      <c r="C165" t="s">
        <v>73</v>
      </c>
      <c r="D165">
        <v>4.3</v>
      </c>
      <c r="E165">
        <f>Tableau6[[#This Row],[Potential (PJ)]]/3.6</f>
        <v>1.1944444444444444</v>
      </c>
      <c r="F165">
        <v>5.0936744186046514</v>
      </c>
      <c r="G165">
        <f>Tableau6[[#This Row],[Cost (€/GJ)]]*3.6</f>
        <v>18.337227906976747</v>
      </c>
      <c r="H165">
        <v>20.723404255319149</v>
      </c>
      <c r="I165">
        <f>Tableau6[[#This Row],[GHG (kgCO2eq/GJ)]]*3.6</f>
        <v>74.604255319148933</v>
      </c>
      <c r="J165" t="s">
        <v>105</v>
      </c>
      <c r="K165" t="s">
        <v>108</v>
      </c>
    </row>
    <row r="166" spans="1:11" x14ac:dyDescent="0.3">
      <c r="A166" t="s">
        <v>14</v>
      </c>
      <c r="B166" t="s">
        <v>50</v>
      </c>
      <c r="C166" t="s">
        <v>74</v>
      </c>
      <c r="D166">
        <v>52.4</v>
      </c>
      <c r="E166">
        <f>Tableau6[[#This Row],[Potential (PJ)]]/3.6</f>
        <v>14.555555555555555</v>
      </c>
      <c r="F166">
        <v>3.6200896946564889</v>
      </c>
      <c r="G166">
        <f>Tableau6[[#This Row],[Cost (€/GJ)]]*3.6</f>
        <v>13.03232290076336</v>
      </c>
      <c r="H166">
        <v>2.0635593220338988</v>
      </c>
      <c r="I166">
        <f>Tableau6[[#This Row],[GHG (kgCO2eq/GJ)]]*3.6</f>
        <v>7.4288135593220357</v>
      </c>
      <c r="J166" t="s">
        <v>105</v>
      </c>
      <c r="K166" t="s">
        <v>108</v>
      </c>
    </row>
    <row r="167" spans="1:11" x14ac:dyDescent="0.3">
      <c r="A167" t="s">
        <v>14</v>
      </c>
      <c r="B167" t="s">
        <v>59</v>
      </c>
      <c r="C167" t="s">
        <v>96</v>
      </c>
      <c r="D167">
        <v>0.48209999999999997</v>
      </c>
      <c r="E167">
        <f>Tableau6[[#This Row],[Potential (PJ)]]/3.6</f>
        <v>0.13391666666666666</v>
      </c>
      <c r="F167">
        <v>18.337</v>
      </c>
      <c r="G167">
        <f>Tableau6[[#This Row],[Cost (€/GJ)]]*3.6</f>
        <v>66.013199999999998</v>
      </c>
      <c r="H167">
        <v>5.5</v>
      </c>
      <c r="I167">
        <f>Tableau6[[#This Row],[GHG (kgCO2eq/GJ)]]*3.6</f>
        <v>19.8</v>
      </c>
      <c r="J167" t="s">
        <v>107</v>
      </c>
      <c r="K167" t="s">
        <v>109</v>
      </c>
    </row>
    <row r="168" spans="1:11" x14ac:dyDescent="0.3">
      <c r="A168" t="s">
        <v>14</v>
      </c>
      <c r="B168" t="s">
        <v>59</v>
      </c>
      <c r="C168" t="s">
        <v>97</v>
      </c>
      <c r="D168">
        <v>0.2029</v>
      </c>
      <c r="E168">
        <f>Tableau6[[#This Row],[Potential (PJ)]]/3.6</f>
        <v>5.6361111111111112E-2</v>
      </c>
      <c r="F168">
        <v>14.81280520889853</v>
      </c>
      <c r="G168">
        <f>Tableau6[[#This Row],[Cost (€/GJ)]]*3.6</f>
        <v>53.32609875203471</v>
      </c>
      <c r="H168">
        <v>5.5</v>
      </c>
      <c r="I168">
        <f>Tableau6[[#This Row],[GHG (kgCO2eq/GJ)]]*3.6</f>
        <v>19.8</v>
      </c>
      <c r="J168" t="s">
        <v>107</v>
      </c>
      <c r="K168" t="s">
        <v>109</v>
      </c>
    </row>
    <row r="169" spans="1:11" x14ac:dyDescent="0.3">
      <c r="A169" t="s">
        <v>14</v>
      </c>
      <c r="B169" t="s">
        <v>51</v>
      </c>
      <c r="C169" t="s">
        <v>75</v>
      </c>
      <c r="D169">
        <v>2.889815</v>
      </c>
      <c r="E169">
        <f>Tableau6[[#This Row],[Potential (PJ)]]/3.6</f>
        <v>0.80272638888888892</v>
      </c>
      <c r="F169">
        <v>2.93194199055318E-4</v>
      </c>
      <c r="G169">
        <f>Tableau6[[#This Row],[Cost (€/GJ)]]*3.6</f>
        <v>1.0554991165991449E-3</v>
      </c>
      <c r="H169">
        <v>11.74</v>
      </c>
      <c r="I169">
        <f>Tableau6[[#This Row],[GHG (kgCO2eq/GJ)]]*3.6</f>
        <v>42.264000000000003</v>
      </c>
      <c r="J169" t="s">
        <v>104</v>
      </c>
      <c r="K169" t="s">
        <v>108</v>
      </c>
    </row>
    <row r="170" spans="1:11" x14ac:dyDescent="0.3">
      <c r="A170" t="s">
        <v>14</v>
      </c>
      <c r="B170" t="s">
        <v>60</v>
      </c>
      <c r="C170" t="s">
        <v>98</v>
      </c>
      <c r="D170">
        <v>6.7225299999999999</v>
      </c>
      <c r="E170">
        <f>Tableau6[[#This Row],[Potential (PJ)]]/3.6</f>
        <v>1.8673694444444444</v>
      </c>
      <c r="F170">
        <v>16.380236305048339</v>
      </c>
      <c r="G170">
        <f>Tableau6[[#This Row],[Cost (€/GJ)]]*3.6</f>
        <v>58.968850698174023</v>
      </c>
      <c r="H170">
        <v>27.8</v>
      </c>
      <c r="I170">
        <f>Tableau6[[#This Row],[GHG (kgCO2eq/GJ)]]*3.6</f>
        <v>100.08</v>
      </c>
      <c r="J170" t="s">
        <v>107</v>
      </c>
      <c r="K170" t="s">
        <v>109</v>
      </c>
    </row>
    <row r="171" spans="1:11" x14ac:dyDescent="0.3">
      <c r="A171" t="s">
        <v>14</v>
      </c>
      <c r="B171" t="s">
        <v>52</v>
      </c>
      <c r="C171" t="s">
        <v>76</v>
      </c>
      <c r="D171">
        <v>0.374</v>
      </c>
      <c r="E171">
        <f>Tableau6[[#This Row],[Potential (PJ)]]/3.6</f>
        <v>0.10388888888888889</v>
      </c>
      <c r="F171">
        <v>6.5250000000000004</v>
      </c>
      <c r="G171">
        <f>Tableau6[[#This Row],[Cost (€/GJ)]]*3.6</f>
        <v>23.490000000000002</v>
      </c>
      <c r="H171">
        <v>12.68872359754714</v>
      </c>
      <c r="I171">
        <f>Tableau6[[#This Row],[GHG (kgCO2eq/GJ)]]*3.6</f>
        <v>45.679404951169708</v>
      </c>
      <c r="J171" t="s">
        <v>105</v>
      </c>
      <c r="K171" t="s">
        <v>108</v>
      </c>
    </row>
    <row r="172" spans="1:11" x14ac:dyDescent="0.3">
      <c r="A172" t="s">
        <v>14</v>
      </c>
      <c r="B172" t="s">
        <v>53</v>
      </c>
      <c r="C172" t="s">
        <v>77</v>
      </c>
      <c r="D172">
        <v>4.8999999999999986</v>
      </c>
      <c r="E172">
        <f>Tableau6[[#This Row],[Potential (PJ)]]/3.6</f>
        <v>1.3611111111111107</v>
      </c>
      <c r="F172">
        <v>3.7817551020408171</v>
      </c>
      <c r="G172">
        <f>Tableau6[[#This Row],[Cost (€/GJ)]]*3.6</f>
        <v>13.614318367346941</v>
      </c>
      <c r="H172">
        <v>3.86607608129234</v>
      </c>
      <c r="I172">
        <f>Tableau6[[#This Row],[GHG (kgCO2eq/GJ)]]*3.6</f>
        <v>13.917873892652425</v>
      </c>
      <c r="J172" t="s">
        <v>104</v>
      </c>
      <c r="K172" t="s">
        <v>108</v>
      </c>
    </row>
    <row r="173" spans="1:11" x14ac:dyDescent="0.3">
      <c r="A173" t="s">
        <v>14</v>
      </c>
      <c r="B173" t="s">
        <v>61</v>
      </c>
      <c r="C173" t="s">
        <v>99</v>
      </c>
      <c r="D173">
        <v>40.200000000000003</v>
      </c>
      <c r="E173">
        <f>Tableau6[[#This Row],[Potential (PJ)]]/3.6</f>
        <v>11.166666666666668</v>
      </c>
      <c r="F173">
        <v>1.621651741293533</v>
      </c>
      <c r="G173">
        <f>Tableau6[[#This Row],[Cost (€/GJ)]]*3.6</f>
        <v>5.8379462686567187</v>
      </c>
      <c r="H173">
        <v>2.9245635910224439</v>
      </c>
      <c r="I173">
        <f>Tableau6[[#This Row],[GHG (kgCO2eq/GJ)]]*3.6</f>
        <v>10.528428927680798</v>
      </c>
      <c r="J173" t="s">
        <v>104</v>
      </c>
      <c r="K173" t="s">
        <v>108</v>
      </c>
    </row>
    <row r="174" spans="1:11" x14ac:dyDescent="0.3">
      <c r="A174" t="s">
        <v>14</v>
      </c>
      <c r="B174" t="s">
        <v>62</v>
      </c>
      <c r="C174" t="s">
        <v>100</v>
      </c>
      <c r="D174">
        <v>14.4</v>
      </c>
      <c r="E174">
        <f>Tableau6[[#This Row],[Potential (PJ)]]/3.6</f>
        <v>4</v>
      </c>
      <c r="F174">
        <v>0.46458333333333329</v>
      </c>
      <c r="G174">
        <f>Tableau6[[#This Row],[Cost (€/GJ)]]*3.6</f>
        <v>1.6724999999999999</v>
      </c>
      <c r="H174">
        <v>2.6764106050305911</v>
      </c>
      <c r="I174">
        <f>Tableau6[[#This Row],[GHG (kgCO2eq/GJ)]]*3.6</f>
        <v>9.6350781781101276</v>
      </c>
      <c r="J174" t="s">
        <v>104</v>
      </c>
      <c r="K174" t="s">
        <v>108</v>
      </c>
    </row>
    <row r="175" spans="1:11" x14ac:dyDescent="0.3">
      <c r="A175" t="s">
        <v>14</v>
      </c>
      <c r="B175" t="s">
        <v>54</v>
      </c>
      <c r="C175" t="s">
        <v>78</v>
      </c>
      <c r="D175">
        <v>71.2</v>
      </c>
      <c r="E175">
        <f>Tableau6[[#This Row],[Potential (PJ)]]/3.6</f>
        <v>19.777777777777779</v>
      </c>
      <c r="F175">
        <v>7.9236081460674148</v>
      </c>
      <c r="G175">
        <f>Tableau6[[#This Row],[Cost (€/GJ)]]*3.6</f>
        <v>28.524989325842693</v>
      </c>
      <c r="H175">
        <v>3.86607608129234</v>
      </c>
      <c r="I175">
        <f>Tableau6[[#This Row],[GHG (kgCO2eq/GJ)]]*3.6</f>
        <v>13.917873892652425</v>
      </c>
      <c r="J175" t="s">
        <v>104</v>
      </c>
      <c r="K175" t="s">
        <v>108</v>
      </c>
    </row>
    <row r="176" spans="1:11" x14ac:dyDescent="0.3">
      <c r="A176" t="s">
        <v>15</v>
      </c>
      <c r="B176" t="s">
        <v>46</v>
      </c>
      <c r="C176" t="s">
        <v>64</v>
      </c>
      <c r="D176">
        <v>0.38158999999999998</v>
      </c>
      <c r="E176">
        <f>Tableau6[[#This Row],[Potential (PJ)]]/3.6</f>
        <v>0.10599722222222221</v>
      </c>
      <c r="F176">
        <v>6.9993788359233742</v>
      </c>
      <c r="G176">
        <f>Tableau6[[#This Row],[Cost (€/GJ)]]*3.6</f>
        <v>25.197763809324147</v>
      </c>
      <c r="H176">
        <v>2.9521711768407801</v>
      </c>
      <c r="I176">
        <f>Tableau6[[#This Row],[GHG (kgCO2eq/GJ)]]*3.6</f>
        <v>10.627816236626808</v>
      </c>
      <c r="J176" t="s">
        <v>104</v>
      </c>
      <c r="K176" t="s">
        <v>108</v>
      </c>
    </row>
    <row r="177" spans="1:11" x14ac:dyDescent="0.3">
      <c r="A177" t="s">
        <v>15</v>
      </c>
      <c r="B177" t="s">
        <v>46</v>
      </c>
      <c r="C177" t="s">
        <v>79</v>
      </c>
      <c r="D177">
        <v>145.30000000000001</v>
      </c>
      <c r="E177">
        <f>Tableau6[[#This Row],[Potential (PJ)]]/3.6</f>
        <v>40.361111111111114</v>
      </c>
      <c r="F177">
        <v>5.4557845836200958</v>
      </c>
      <c r="G177">
        <f>Tableau6[[#This Row],[Cost (€/GJ)]]*3.6</f>
        <v>19.640824501032345</v>
      </c>
      <c r="H177">
        <v>6.8428961748633883</v>
      </c>
      <c r="I177">
        <f>Tableau6[[#This Row],[GHG (kgCO2eq/GJ)]]*3.6</f>
        <v>24.634426229508197</v>
      </c>
      <c r="J177" t="s">
        <v>104</v>
      </c>
      <c r="K177" t="s">
        <v>108</v>
      </c>
    </row>
    <row r="178" spans="1:11" x14ac:dyDescent="0.3">
      <c r="A178" t="s">
        <v>15</v>
      </c>
      <c r="B178" t="s">
        <v>46</v>
      </c>
      <c r="C178" t="s">
        <v>65</v>
      </c>
      <c r="D178">
        <v>0.3</v>
      </c>
      <c r="E178">
        <f>Tableau6[[#This Row],[Potential (PJ)]]/3.6</f>
        <v>8.3333333333333329E-2</v>
      </c>
      <c r="F178">
        <v>6.6466666666666656</v>
      </c>
      <c r="G178">
        <f>Tableau6[[#This Row],[Cost (€/GJ)]]*3.6</f>
        <v>23.927999999999997</v>
      </c>
      <c r="H178">
        <v>2.9521711768407801</v>
      </c>
      <c r="I178">
        <f>Tableau6[[#This Row],[GHG (kgCO2eq/GJ)]]*3.6</f>
        <v>10.627816236626808</v>
      </c>
      <c r="J178" t="s">
        <v>104</v>
      </c>
      <c r="K178" t="s">
        <v>108</v>
      </c>
    </row>
    <row r="179" spans="1:11" x14ac:dyDescent="0.3">
      <c r="A179" t="s">
        <v>15</v>
      </c>
      <c r="B179" t="s">
        <v>46</v>
      </c>
      <c r="C179" t="s">
        <v>80</v>
      </c>
      <c r="D179">
        <v>29.923999999999999</v>
      </c>
      <c r="E179">
        <f>Tableau6[[#This Row],[Potential (PJ)]]/3.6</f>
        <v>8.3122222222222213</v>
      </c>
      <c r="F179">
        <v>1.21105866486851</v>
      </c>
      <c r="G179">
        <f>Tableau6[[#This Row],[Cost (€/GJ)]]*3.6</f>
        <v>4.3598111935266362</v>
      </c>
      <c r="H179">
        <v>28.139870918023309</v>
      </c>
      <c r="I179">
        <f>Tableau6[[#This Row],[GHG (kgCO2eq/GJ)]]*3.6</f>
        <v>101.30353530488391</v>
      </c>
      <c r="J179" t="s">
        <v>105</v>
      </c>
      <c r="K179" t="s">
        <v>108</v>
      </c>
    </row>
    <row r="180" spans="1:11" x14ac:dyDescent="0.3">
      <c r="A180" t="s">
        <v>15</v>
      </c>
      <c r="B180" t="s">
        <v>46</v>
      </c>
      <c r="C180" t="s">
        <v>81</v>
      </c>
      <c r="D180">
        <v>63.287599999999998</v>
      </c>
      <c r="E180">
        <f>Tableau6[[#This Row],[Potential (PJ)]]/3.6</f>
        <v>17.579888888888888</v>
      </c>
      <c r="F180">
        <v>1.7549941245593419</v>
      </c>
      <c r="G180">
        <f>Tableau6[[#This Row],[Cost (€/GJ)]]*3.6</f>
        <v>6.317978848413631</v>
      </c>
      <c r="H180">
        <v>8.9647473560517046</v>
      </c>
      <c r="I180">
        <f>Tableau6[[#This Row],[GHG (kgCO2eq/GJ)]]*3.6</f>
        <v>32.273090481786134</v>
      </c>
      <c r="J180" t="s">
        <v>105</v>
      </c>
      <c r="K180" t="s">
        <v>108</v>
      </c>
    </row>
    <row r="181" spans="1:11" x14ac:dyDescent="0.3">
      <c r="A181" t="s">
        <v>15</v>
      </c>
      <c r="B181" t="s">
        <v>46</v>
      </c>
      <c r="C181" t="s">
        <v>66</v>
      </c>
      <c r="D181">
        <v>14</v>
      </c>
      <c r="E181">
        <f>Tableau6[[#This Row],[Potential (PJ)]]/3.6</f>
        <v>3.8888888888888888</v>
      </c>
      <c r="F181">
        <v>5.634321428571428</v>
      </c>
      <c r="G181">
        <f>Tableau6[[#This Row],[Cost (€/GJ)]]*3.6</f>
        <v>20.283557142857141</v>
      </c>
      <c r="H181">
        <v>6.8428961748633883</v>
      </c>
      <c r="I181">
        <f>Tableau6[[#This Row],[GHG (kgCO2eq/GJ)]]*3.6</f>
        <v>24.634426229508197</v>
      </c>
      <c r="J181" t="s">
        <v>104</v>
      </c>
      <c r="K181" t="s">
        <v>108</v>
      </c>
    </row>
    <row r="182" spans="1:11" x14ac:dyDescent="0.3">
      <c r="A182" t="s">
        <v>15</v>
      </c>
      <c r="B182" t="s">
        <v>46</v>
      </c>
      <c r="C182" t="s">
        <v>82</v>
      </c>
      <c r="D182">
        <v>16.5</v>
      </c>
      <c r="E182">
        <f>Tableau6[[#This Row],[Potential (PJ)]]/3.6</f>
        <v>4.583333333333333</v>
      </c>
      <c r="F182">
        <v>3.415345454545454</v>
      </c>
      <c r="G182">
        <f>Tableau6[[#This Row],[Cost (€/GJ)]]*3.6</f>
        <v>12.295243636363635</v>
      </c>
      <c r="H182">
        <v>6.8428961748633883</v>
      </c>
      <c r="I182">
        <f>Tableau6[[#This Row],[GHG (kgCO2eq/GJ)]]*3.6</f>
        <v>24.634426229508197</v>
      </c>
      <c r="J182" t="s">
        <v>104</v>
      </c>
      <c r="K182" t="s">
        <v>108</v>
      </c>
    </row>
    <row r="183" spans="1:11" x14ac:dyDescent="0.3">
      <c r="A183" t="s">
        <v>15</v>
      </c>
      <c r="B183" t="s">
        <v>46</v>
      </c>
      <c r="C183" t="s">
        <v>84</v>
      </c>
      <c r="D183">
        <v>2.2999999999999998</v>
      </c>
      <c r="E183">
        <f>Tableau6[[#This Row],[Potential (PJ)]]/3.6</f>
        <v>0.63888888888888884</v>
      </c>
      <c r="F183">
        <v>2.9696086956521741</v>
      </c>
      <c r="G183">
        <f>Tableau6[[#This Row],[Cost (€/GJ)]]*3.6</f>
        <v>10.690591304347826</v>
      </c>
      <c r="H183">
        <v>28.139870918023309</v>
      </c>
      <c r="I183">
        <f>Tableau6[[#This Row],[GHG (kgCO2eq/GJ)]]*3.6</f>
        <v>101.30353530488391</v>
      </c>
      <c r="J183" t="s">
        <v>105</v>
      </c>
      <c r="K183" t="s">
        <v>108</v>
      </c>
    </row>
    <row r="184" spans="1:11" x14ac:dyDescent="0.3">
      <c r="A184" t="s">
        <v>15</v>
      </c>
      <c r="B184" t="s">
        <v>46</v>
      </c>
      <c r="C184" t="s">
        <v>85</v>
      </c>
      <c r="D184">
        <v>1.1000000000000001</v>
      </c>
      <c r="E184">
        <f>Tableau6[[#This Row],[Potential (PJ)]]/3.6</f>
        <v>0.30555555555555558</v>
      </c>
      <c r="F184">
        <v>4.814909090909091</v>
      </c>
      <c r="G184">
        <f>Tableau6[[#This Row],[Cost (€/GJ)]]*3.6</f>
        <v>17.333672727272727</v>
      </c>
      <c r="H184">
        <v>2.9521711768407801</v>
      </c>
      <c r="I184">
        <f>Tableau6[[#This Row],[GHG (kgCO2eq/GJ)]]*3.6</f>
        <v>10.627816236626808</v>
      </c>
      <c r="J184" t="s">
        <v>104</v>
      </c>
      <c r="K184" t="s">
        <v>108</v>
      </c>
    </row>
    <row r="185" spans="1:11" x14ac:dyDescent="0.3">
      <c r="A185" t="s">
        <v>15</v>
      </c>
      <c r="B185" t="s">
        <v>55</v>
      </c>
      <c r="C185" t="s">
        <v>86</v>
      </c>
      <c r="D185">
        <v>0.15</v>
      </c>
      <c r="E185">
        <f>Tableau6[[#This Row],[Potential (PJ)]]/3.6</f>
        <v>4.1666666666666664E-2</v>
      </c>
      <c r="F185">
        <v>11.824000000000011</v>
      </c>
      <c r="G185">
        <f>Tableau6[[#This Row],[Cost (€/GJ)]]*3.6</f>
        <v>42.566400000000037</v>
      </c>
      <c r="H185">
        <v>7.7</v>
      </c>
      <c r="I185">
        <f>Tableau6[[#This Row],[GHG (kgCO2eq/GJ)]]*3.6</f>
        <v>27.720000000000002</v>
      </c>
      <c r="J185" t="s">
        <v>106</v>
      </c>
      <c r="K185" t="s">
        <v>109</v>
      </c>
    </row>
    <row r="186" spans="1:11" x14ac:dyDescent="0.3">
      <c r="A186" t="s">
        <v>15</v>
      </c>
      <c r="B186" t="s">
        <v>55</v>
      </c>
      <c r="C186" t="s">
        <v>89</v>
      </c>
      <c r="D186">
        <v>3.27E-2</v>
      </c>
      <c r="E186">
        <f>Tableau6[[#This Row],[Potential (PJ)]]/3.6</f>
        <v>9.0833333333333339E-3</v>
      </c>
      <c r="F186">
        <v>0</v>
      </c>
      <c r="G186">
        <f>Tableau6[[#This Row],[Cost (€/GJ)]]*3.6</f>
        <v>0</v>
      </c>
      <c r="H186">
        <v>7.7</v>
      </c>
      <c r="I186">
        <f>Tableau6[[#This Row],[GHG (kgCO2eq/GJ)]]*3.6</f>
        <v>27.720000000000002</v>
      </c>
      <c r="J186" t="s">
        <v>106</v>
      </c>
      <c r="K186" t="s">
        <v>109</v>
      </c>
    </row>
    <row r="187" spans="1:11" x14ac:dyDescent="0.3">
      <c r="A187" t="s">
        <v>15</v>
      </c>
      <c r="B187" t="s">
        <v>55</v>
      </c>
      <c r="C187" t="s">
        <v>91</v>
      </c>
      <c r="D187">
        <v>0.46929999999999999</v>
      </c>
      <c r="E187">
        <f>Tableau6[[#This Row],[Potential (PJ)]]/3.6</f>
        <v>0.13036111111111109</v>
      </c>
      <c r="F187">
        <v>11.48199999999999</v>
      </c>
      <c r="G187">
        <f>Tableau6[[#This Row],[Cost (€/GJ)]]*3.6</f>
        <v>41.335199999999965</v>
      </c>
      <c r="H187">
        <v>7.7</v>
      </c>
      <c r="I187">
        <f>Tableau6[[#This Row],[GHG (kgCO2eq/GJ)]]*3.6</f>
        <v>27.720000000000002</v>
      </c>
      <c r="J187" t="s">
        <v>106</v>
      </c>
      <c r="K187" t="s">
        <v>109</v>
      </c>
    </row>
    <row r="188" spans="1:11" x14ac:dyDescent="0.3">
      <c r="A188" t="s">
        <v>15</v>
      </c>
      <c r="B188" t="s">
        <v>55</v>
      </c>
      <c r="C188" t="s">
        <v>92</v>
      </c>
      <c r="D188">
        <v>2.1174900000000001</v>
      </c>
      <c r="E188">
        <f>Tableau6[[#This Row],[Potential (PJ)]]/3.6</f>
        <v>0.58819166666666667</v>
      </c>
      <c r="F188">
        <v>12.74599999999999</v>
      </c>
      <c r="G188">
        <f>Tableau6[[#This Row],[Cost (€/GJ)]]*3.6</f>
        <v>45.885599999999961</v>
      </c>
      <c r="H188">
        <v>7.7</v>
      </c>
      <c r="I188">
        <f>Tableau6[[#This Row],[GHG (kgCO2eq/GJ)]]*3.6</f>
        <v>27.720000000000002</v>
      </c>
      <c r="J188" t="s">
        <v>106</v>
      </c>
      <c r="K188" t="s">
        <v>109</v>
      </c>
    </row>
    <row r="189" spans="1:11" x14ac:dyDescent="0.3">
      <c r="A189" t="s">
        <v>15</v>
      </c>
      <c r="B189" t="s">
        <v>56</v>
      </c>
      <c r="C189" t="s">
        <v>93</v>
      </c>
      <c r="D189">
        <v>53.833500000000001</v>
      </c>
      <c r="E189">
        <f>Tableau6[[#This Row],[Potential (PJ)]]/3.6</f>
        <v>14.953749999999999</v>
      </c>
      <c r="F189">
        <v>2.939759036144578</v>
      </c>
      <c r="G189">
        <f>Tableau6[[#This Row],[Cost (€/GJ)]]*3.6</f>
        <v>10.583132530120482</v>
      </c>
      <c r="H189">
        <v>22.3</v>
      </c>
      <c r="I189">
        <f>Tableau6[[#This Row],[GHG (kgCO2eq/GJ)]]*3.6</f>
        <v>80.28</v>
      </c>
      <c r="J189" t="s">
        <v>106</v>
      </c>
      <c r="K189" t="s">
        <v>109</v>
      </c>
    </row>
    <row r="190" spans="1:11" x14ac:dyDescent="0.3">
      <c r="A190" t="s">
        <v>15</v>
      </c>
      <c r="B190" t="s">
        <v>47</v>
      </c>
      <c r="C190" t="s">
        <v>68</v>
      </c>
      <c r="D190">
        <v>35.1</v>
      </c>
      <c r="E190">
        <f>Tableau6[[#This Row],[Potential (PJ)]]/3.6</f>
        <v>9.75</v>
      </c>
      <c r="F190">
        <v>6.3307264957264957</v>
      </c>
      <c r="G190">
        <f>Tableau6[[#This Row],[Cost (€/GJ)]]*3.6</f>
        <v>22.790615384615386</v>
      </c>
      <c r="H190">
        <v>25.4</v>
      </c>
      <c r="I190">
        <f>Tableau6[[#This Row],[GHG (kgCO2eq/GJ)]]*3.6</f>
        <v>91.44</v>
      </c>
      <c r="J190" t="s">
        <v>104</v>
      </c>
      <c r="K190" t="s">
        <v>109</v>
      </c>
    </row>
    <row r="191" spans="1:11" x14ac:dyDescent="0.3">
      <c r="A191" t="s">
        <v>15</v>
      </c>
      <c r="B191" t="s">
        <v>47</v>
      </c>
      <c r="C191" t="s">
        <v>69</v>
      </c>
      <c r="D191">
        <v>63.2</v>
      </c>
      <c r="E191">
        <f>Tableau6[[#This Row],[Potential (PJ)]]/3.6</f>
        <v>17.555555555555557</v>
      </c>
      <c r="F191">
        <v>5.5180585443037966</v>
      </c>
      <c r="G191">
        <f>Tableau6[[#This Row],[Cost (€/GJ)]]*3.6</f>
        <v>19.865010759493668</v>
      </c>
      <c r="H191">
        <v>25.4</v>
      </c>
      <c r="I191">
        <f>Tableau6[[#This Row],[GHG (kgCO2eq/GJ)]]*3.6</f>
        <v>91.44</v>
      </c>
      <c r="J191" t="s">
        <v>104</v>
      </c>
      <c r="K191" t="s">
        <v>109</v>
      </c>
    </row>
    <row r="192" spans="1:11" x14ac:dyDescent="0.3">
      <c r="A192" t="s">
        <v>15</v>
      </c>
      <c r="B192" t="s">
        <v>57</v>
      </c>
      <c r="C192" t="s">
        <v>94</v>
      </c>
      <c r="D192">
        <v>12.8</v>
      </c>
      <c r="E192">
        <f>Tableau6[[#This Row],[Potential (PJ)]]/3.6</f>
        <v>3.5555555555555558</v>
      </c>
      <c r="F192">
        <v>11.5404296875</v>
      </c>
      <c r="G192">
        <f>Tableau6[[#This Row],[Cost (€/GJ)]]*3.6</f>
        <v>41.545546874999999</v>
      </c>
      <c r="H192">
        <v>23.7</v>
      </c>
      <c r="I192">
        <f>Tableau6[[#This Row],[GHG (kgCO2eq/GJ)]]*3.6</f>
        <v>85.32</v>
      </c>
      <c r="J192" t="s">
        <v>104</v>
      </c>
      <c r="K192" t="s">
        <v>109</v>
      </c>
    </row>
    <row r="193" spans="1:11" x14ac:dyDescent="0.3">
      <c r="A193" t="s">
        <v>15</v>
      </c>
      <c r="B193" t="s">
        <v>49</v>
      </c>
      <c r="C193" t="s">
        <v>71</v>
      </c>
      <c r="D193">
        <v>851.33938999999998</v>
      </c>
      <c r="E193">
        <f>Tableau6[[#This Row],[Potential (PJ)]]/3.6</f>
        <v>236.48316388888887</v>
      </c>
      <c r="F193">
        <v>5.0213197141271717</v>
      </c>
      <c r="G193">
        <f>Tableau6[[#This Row],[Cost (€/GJ)]]*3.6</f>
        <v>18.07675097085782</v>
      </c>
      <c r="H193">
        <v>3.86607608129234</v>
      </c>
      <c r="I193">
        <f>Tableau6[[#This Row],[GHG (kgCO2eq/GJ)]]*3.6</f>
        <v>13.917873892652425</v>
      </c>
      <c r="J193" t="s">
        <v>104</v>
      </c>
      <c r="K193" t="s">
        <v>108</v>
      </c>
    </row>
    <row r="194" spans="1:11" x14ac:dyDescent="0.3">
      <c r="A194" t="s">
        <v>15</v>
      </c>
      <c r="B194" t="s">
        <v>49</v>
      </c>
      <c r="C194" t="s">
        <v>72</v>
      </c>
      <c r="D194">
        <v>53.8</v>
      </c>
      <c r="E194">
        <f>Tableau6[[#This Row],[Potential (PJ)]]/3.6</f>
        <v>14.944444444444443</v>
      </c>
      <c r="F194">
        <v>4.025297397769517</v>
      </c>
      <c r="G194">
        <f>Tableau6[[#This Row],[Cost (€/GJ)]]*3.6</f>
        <v>14.491070631970262</v>
      </c>
      <c r="H194">
        <v>3.86607608129234</v>
      </c>
      <c r="I194">
        <f>Tableau6[[#This Row],[GHG (kgCO2eq/GJ)]]*3.6</f>
        <v>13.917873892652425</v>
      </c>
      <c r="J194" t="s">
        <v>104</v>
      </c>
      <c r="K194" t="s">
        <v>108</v>
      </c>
    </row>
    <row r="195" spans="1:11" x14ac:dyDescent="0.3">
      <c r="A195" t="s">
        <v>15</v>
      </c>
      <c r="B195" t="s">
        <v>58</v>
      </c>
      <c r="C195" t="s">
        <v>95</v>
      </c>
      <c r="D195">
        <v>37.579839999999997</v>
      </c>
      <c r="E195">
        <f>Tableau6[[#This Row],[Potential (PJ)]]/3.6</f>
        <v>10.438844444444443</v>
      </c>
      <c r="F195">
        <v>2.8002797912391322</v>
      </c>
      <c r="G195">
        <f>Tableau6[[#This Row],[Cost (€/GJ)]]*3.6</f>
        <v>10.081007248460876</v>
      </c>
      <c r="H195">
        <v>2.9521711768407801</v>
      </c>
      <c r="I195">
        <f>Tableau6[[#This Row],[GHG (kgCO2eq/GJ)]]*3.6</f>
        <v>10.627816236626808</v>
      </c>
      <c r="J195" t="s">
        <v>104</v>
      </c>
      <c r="K195" t="s">
        <v>108</v>
      </c>
    </row>
    <row r="196" spans="1:11" x14ac:dyDescent="0.3">
      <c r="A196" t="s">
        <v>15</v>
      </c>
      <c r="B196" t="s">
        <v>50</v>
      </c>
      <c r="C196" t="s">
        <v>73</v>
      </c>
      <c r="D196">
        <v>84.2</v>
      </c>
      <c r="E196">
        <f>Tableau6[[#This Row],[Potential (PJ)]]/3.6</f>
        <v>23.388888888888889</v>
      </c>
      <c r="F196">
        <v>5.6666270783847983</v>
      </c>
      <c r="G196">
        <f>Tableau6[[#This Row],[Cost (€/GJ)]]*3.6</f>
        <v>20.399857482185276</v>
      </c>
      <c r="H196">
        <v>20.723404255319149</v>
      </c>
      <c r="I196">
        <f>Tableau6[[#This Row],[GHG (kgCO2eq/GJ)]]*3.6</f>
        <v>74.604255319148933</v>
      </c>
      <c r="J196" t="s">
        <v>105</v>
      </c>
      <c r="K196" t="s">
        <v>108</v>
      </c>
    </row>
    <row r="197" spans="1:11" x14ac:dyDescent="0.3">
      <c r="A197" t="s">
        <v>15</v>
      </c>
      <c r="B197" t="s">
        <v>50</v>
      </c>
      <c r="C197" t="s">
        <v>74</v>
      </c>
      <c r="D197">
        <v>77.7</v>
      </c>
      <c r="E197">
        <f>Tableau6[[#This Row],[Potential (PJ)]]/3.6</f>
        <v>21.583333333333332</v>
      </c>
      <c r="F197">
        <v>6.1176023166023166</v>
      </c>
      <c r="G197">
        <f>Tableau6[[#This Row],[Cost (€/GJ)]]*3.6</f>
        <v>22.023368339768339</v>
      </c>
      <c r="H197">
        <v>2.0635593220338988</v>
      </c>
      <c r="I197">
        <f>Tableau6[[#This Row],[GHG (kgCO2eq/GJ)]]*3.6</f>
        <v>7.4288135593220357</v>
      </c>
      <c r="J197" t="s">
        <v>105</v>
      </c>
      <c r="K197" t="s">
        <v>108</v>
      </c>
    </row>
    <row r="198" spans="1:11" x14ac:dyDescent="0.3">
      <c r="A198" t="s">
        <v>15</v>
      </c>
      <c r="B198" t="s">
        <v>51</v>
      </c>
      <c r="C198" t="s">
        <v>75</v>
      </c>
      <c r="D198">
        <v>125.1407</v>
      </c>
      <c r="E198">
        <f>Tableau6[[#This Row],[Potential (PJ)]]/3.6</f>
        <v>34.761305555555552</v>
      </c>
      <c r="F198">
        <v>6.5866974649275101E-2</v>
      </c>
      <c r="G198">
        <f>Tableau6[[#This Row],[Cost (€/GJ)]]*3.6</f>
        <v>0.23712110873739037</v>
      </c>
      <c r="H198">
        <v>11.74</v>
      </c>
      <c r="I198">
        <f>Tableau6[[#This Row],[GHG (kgCO2eq/GJ)]]*3.6</f>
        <v>42.264000000000003</v>
      </c>
      <c r="J198" t="s">
        <v>104</v>
      </c>
      <c r="K198" t="s">
        <v>108</v>
      </c>
    </row>
    <row r="199" spans="1:11" x14ac:dyDescent="0.3">
      <c r="A199" t="s">
        <v>15</v>
      </c>
      <c r="B199" t="s">
        <v>60</v>
      </c>
      <c r="C199" t="s">
        <v>98</v>
      </c>
      <c r="D199">
        <v>80.972309999999993</v>
      </c>
      <c r="E199">
        <f>Tableau6[[#This Row],[Potential (PJ)]]/3.6</f>
        <v>22.49230833333333</v>
      </c>
      <c r="F199">
        <v>18.259935553168631</v>
      </c>
      <c r="G199">
        <f>Tableau6[[#This Row],[Cost (€/GJ)]]*3.6</f>
        <v>65.735767991407073</v>
      </c>
      <c r="H199">
        <v>19.399999999999999</v>
      </c>
      <c r="I199">
        <f>Tableau6[[#This Row],[GHG (kgCO2eq/GJ)]]*3.6</f>
        <v>69.84</v>
      </c>
      <c r="J199" t="s">
        <v>107</v>
      </c>
      <c r="K199" t="s">
        <v>109</v>
      </c>
    </row>
    <row r="200" spans="1:11" x14ac:dyDescent="0.3">
      <c r="A200" t="s">
        <v>15</v>
      </c>
      <c r="B200" t="s">
        <v>52</v>
      </c>
      <c r="C200" t="s">
        <v>76</v>
      </c>
      <c r="D200">
        <v>8.4819999999999993</v>
      </c>
      <c r="E200">
        <f>Tableau6[[#This Row],[Potential (PJ)]]/3.6</f>
        <v>2.3561111111111108</v>
      </c>
      <c r="F200">
        <v>6.5250000000000004</v>
      </c>
      <c r="G200">
        <f>Tableau6[[#This Row],[Cost (€/GJ)]]*3.6</f>
        <v>23.490000000000002</v>
      </c>
      <c r="H200">
        <v>12.68872359754714</v>
      </c>
      <c r="I200">
        <f>Tableau6[[#This Row],[GHG (kgCO2eq/GJ)]]*3.6</f>
        <v>45.679404951169708</v>
      </c>
      <c r="J200" t="s">
        <v>105</v>
      </c>
      <c r="K200" t="s">
        <v>108</v>
      </c>
    </row>
    <row r="201" spans="1:11" x14ac:dyDescent="0.3">
      <c r="A201" t="s">
        <v>15</v>
      </c>
      <c r="B201" t="s">
        <v>53</v>
      </c>
      <c r="C201" t="s">
        <v>77</v>
      </c>
      <c r="D201">
        <v>19.2</v>
      </c>
      <c r="E201">
        <f>Tableau6[[#This Row],[Potential (PJ)]]/3.6</f>
        <v>5.333333333333333</v>
      </c>
      <c r="F201">
        <v>4.0253385416666667</v>
      </c>
      <c r="G201">
        <f>Tableau6[[#This Row],[Cost (€/GJ)]]*3.6</f>
        <v>14.49121875</v>
      </c>
      <c r="H201">
        <v>3.86607608129234</v>
      </c>
      <c r="I201">
        <f>Tableau6[[#This Row],[GHG (kgCO2eq/GJ)]]*3.6</f>
        <v>13.917873892652425</v>
      </c>
      <c r="J201" t="s">
        <v>104</v>
      </c>
      <c r="K201" t="s">
        <v>108</v>
      </c>
    </row>
    <row r="202" spans="1:11" x14ac:dyDescent="0.3">
      <c r="A202" t="s">
        <v>15</v>
      </c>
      <c r="B202" t="s">
        <v>61</v>
      </c>
      <c r="C202" t="s">
        <v>99</v>
      </c>
      <c r="D202">
        <v>117</v>
      </c>
      <c r="E202">
        <f>Tableau6[[#This Row],[Potential (PJ)]]/3.6</f>
        <v>32.5</v>
      </c>
      <c r="F202">
        <v>2.0684170940170938</v>
      </c>
      <c r="G202">
        <f>Tableau6[[#This Row],[Cost (€/GJ)]]*3.6</f>
        <v>7.4463015384615376</v>
      </c>
      <c r="H202">
        <v>2.9245635910224439</v>
      </c>
      <c r="I202">
        <f>Tableau6[[#This Row],[GHG (kgCO2eq/GJ)]]*3.6</f>
        <v>10.528428927680798</v>
      </c>
      <c r="J202" t="s">
        <v>104</v>
      </c>
      <c r="K202" t="s">
        <v>108</v>
      </c>
    </row>
    <row r="203" spans="1:11" x14ac:dyDescent="0.3">
      <c r="A203" t="s">
        <v>15</v>
      </c>
      <c r="B203" t="s">
        <v>62</v>
      </c>
      <c r="C203" t="s">
        <v>100</v>
      </c>
      <c r="D203">
        <v>32.200000000000003</v>
      </c>
      <c r="E203">
        <f>Tableau6[[#This Row],[Potential (PJ)]]/3.6</f>
        <v>8.9444444444444446</v>
      </c>
      <c r="F203">
        <v>8.8819875776397522E-2</v>
      </c>
      <c r="G203">
        <f>Tableau6[[#This Row],[Cost (€/GJ)]]*3.6</f>
        <v>0.31975155279503109</v>
      </c>
      <c r="H203">
        <v>2.6764106050305911</v>
      </c>
      <c r="I203">
        <f>Tableau6[[#This Row],[GHG (kgCO2eq/GJ)]]*3.6</f>
        <v>9.6350781781101276</v>
      </c>
      <c r="J203" t="s">
        <v>104</v>
      </c>
      <c r="K203" t="s">
        <v>108</v>
      </c>
    </row>
    <row r="204" spans="1:11" x14ac:dyDescent="0.3">
      <c r="A204" t="s">
        <v>15</v>
      </c>
      <c r="B204" t="s">
        <v>54</v>
      </c>
      <c r="C204" t="s">
        <v>78</v>
      </c>
      <c r="D204">
        <v>308.8</v>
      </c>
      <c r="E204">
        <f>Tableau6[[#This Row],[Potential (PJ)]]/3.6</f>
        <v>85.777777777777786</v>
      </c>
      <c r="F204">
        <v>7.887008095854922</v>
      </c>
      <c r="G204">
        <f>Tableau6[[#This Row],[Cost (€/GJ)]]*3.6</f>
        <v>28.393229145077719</v>
      </c>
      <c r="H204">
        <v>3.86607608129234</v>
      </c>
      <c r="I204">
        <f>Tableau6[[#This Row],[GHG (kgCO2eq/GJ)]]*3.6</f>
        <v>13.917873892652425</v>
      </c>
      <c r="J204" t="s">
        <v>104</v>
      </c>
      <c r="K204" t="s">
        <v>108</v>
      </c>
    </row>
    <row r="205" spans="1:11" x14ac:dyDescent="0.3">
      <c r="A205" t="s">
        <v>16</v>
      </c>
      <c r="B205" t="s">
        <v>46</v>
      </c>
      <c r="C205" t="s">
        <v>64</v>
      </c>
      <c r="D205">
        <v>1.7829999999999999E-2</v>
      </c>
      <c r="E205">
        <f>Tableau6[[#This Row],[Potential (PJ)]]/3.6</f>
        <v>4.9527777777777773E-3</v>
      </c>
      <c r="F205">
        <v>6.9752422882781833</v>
      </c>
      <c r="G205">
        <f>Tableau6[[#This Row],[Cost (€/GJ)]]*3.6</f>
        <v>25.110872237801459</v>
      </c>
      <c r="H205">
        <v>2.9521711768407801</v>
      </c>
      <c r="I205">
        <f>Tableau6[[#This Row],[GHG (kgCO2eq/GJ)]]*3.6</f>
        <v>10.627816236626808</v>
      </c>
      <c r="J205" t="s">
        <v>104</v>
      </c>
      <c r="K205" t="s">
        <v>108</v>
      </c>
    </row>
    <row r="206" spans="1:11" x14ac:dyDescent="0.3">
      <c r="A206" t="s">
        <v>16</v>
      </c>
      <c r="B206" t="s">
        <v>46</v>
      </c>
      <c r="C206" t="s">
        <v>79</v>
      </c>
      <c r="D206">
        <v>35.1</v>
      </c>
      <c r="E206">
        <f>Tableau6[[#This Row],[Potential (PJ)]]/3.6</f>
        <v>9.75</v>
      </c>
      <c r="F206">
        <v>4.5332849002849001</v>
      </c>
      <c r="G206">
        <f>Tableau6[[#This Row],[Cost (€/GJ)]]*3.6</f>
        <v>16.319825641025641</v>
      </c>
      <c r="H206">
        <v>6.8428961748633883</v>
      </c>
      <c r="I206">
        <f>Tableau6[[#This Row],[GHG (kgCO2eq/GJ)]]*3.6</f>
        <v>24.634426229508197</v>
      </c>
      <c r="J206" t="s">
        <v>104</v>
      </c>
      <c r="K206" t="s">
        <v>108</v>
      </c>
    </row>
    <row r="207" spans="1:11" x14ac:dyDescent="0.3">
      <c r="A207" t="s">
        <v>16</v>
      </c>
      <c r="B207" t="s">
        <v>46</v>
      </c>
      <c r="C207" t="s">
        <v>80</v>
      </c>
      <c r="D207">
        <v>0.1968</v>
      </c>
      <c r="E207">
        <f>Tableau6[[#This Row],[Potential (PJ)]]/3.6</f>
        <v>5.4666666666666669E-2</v>
      </c>
      <c r="F207">
        <v>0.58125421443020897</v>
      </c>
      <c r="G207">
        <f>Tableau6[[#This Row],[Cost (€/GJ)]]*3.6</f>
        <v>2.0925151719487523</v>
      </c>
      <c r="H207">
        <v>28.139870918023309</v>
      </c>
      <c r="I207">
        <f>Tableau6[[#This Row],[GHG (kgCO2eq/GJ)]]*3.6</f>
        <v>101.30353530488391</v>
      </c>
      <c r="J207" t="s">
        <v>105</v>
      </c>
      <c r="K207" t="s">
        <v>108</v>
      </c>
    </row>
    <row r="208" spans="1:11" x14ac:dyDescent="0.3">
      <c r="A208" t="s">
        <v>16</v>
      </c>
      <c r="B208" t="s">
        <v>46</v>
      </c>
      <c r="C208" t="s">
        <v>81</v>
      </c>
      <c r="D208">
        <v>1.2447999999999999</v>
      </c>
      <c r="E208">
        <f>Tableau6[[#This Row],[Potential (PJ)]]/3.6</f>
        <v>0.34577777777777774</v>
      </c>
      <c r="F208">
        <v>1.7121034077555819</v>
      </c>
      <c r="G208">
        <f>Tableau6[[#This Row],[Cost (€/GJ)]]*3.6</f>
        <v>6.1635722679200953</v>
      </c>
      <c r="H208">
        <v>8.9647473560517046</v>
      </c>
      <c r="I208">
        <f>Tableau6[[#This Row],[GHG (kgCO2eq/GJ)]]*3.6</f>
        <v>32.273090481786134</v>
      </c>
      <c r="J208" t="s">
        <v>105</v>
      </c>
      <c r="K208" t="s">
        <v>108</v>
      </c>
    </row>
    <row r="209" spans="1:11" x14ac:dyDescent="0.3">
      <c r="A209" t="s">
        <v>16</v>
      </c>
      <c r="B209" t="s">
        <v>46</v>
      </c>
      <c r="C209" t="s">
        <v>82</v>
      </c>
      <c r="D209">
        <v>1.7</v>
      </c>
      <c r="E209">
        <f>Tableau6[[#This Row],[Potential (PJ)]]/3.6</f>
        <v>0.47222222222222221</v>
      </c>
      <c r="F209">
        <v>2.923647058823529</v>
      </c>
      <c r="G209">
        <f>Tableau6[[#This Row],[Cost (€/GJ)]]*3.6</f>
        <v>10.525129411764706</v>
      </c>
      <c r="H209">
        <v>6.8428961748633883</v>
      </c>
      <c r="I209">
        <f>Tableau6[[#This Row],[GHG (kgCO2eq/GJ)]]*3.6</f>
        <v>24.634426229508197</v>
      </c>
      <c r="J209" t="s">
        <v>104</v>
      </c>
      <c r="K209" t="s">
        <v>108</v>
      </c>
    </row>
    <row r="210" spans="1:11" x14ac:dyDescent="0.3">
      <c r="A210" t="s">
        <v>16</v>
      </c>
      <c r="B210" t="s">
        <v>46</v>
      </c>
      <c r="C210" t="s">
        <v>84</v>
      </c>
      <c r="D210">
        <v>0.4</v>
      </c>
      <c r="E210">
        <f>Tableau6[[#This Row],[Potential (PJ)]]/3.6</f>
        <v>0.11111111111111112</v>
      </c>
      <c r="F210">
        <v>3.081</v>
      </c>
      <c r="G210">
        <f>Tableau6[[#This Row],[Cost (€/GJ)]]*3.6</f>
        <v>11.0916</v>
      </c>
      <c r="H210">
        <v>28.139870918023309</v>
      </c>
      <c r="I210">
        <f>Tableau6[[#This Row],[GHG (kgCO2eq/GJ)]]*3.6</f>
        <v>101.30353530488391</v>
      </c>
      <c r="J210" t="s">
        <v>105</v>
      </c>
      <c r="K210" t="s">
        <v>108</v>
      </c>
    </row>
    <row r="211" spans="1:11" x14ac:dyDescent="0.3">
      <c r="A211" t="s">
        <v>16</v>
      </c>
      <c r="B211" t="s">
        <v>55</v>
      </c>
      <c r="C211" t="s">
        <v>86</v>
      </c>
      <c r="D211">
        <v>0.55779999999999996</v>
      </c>
      <c r="E211">
        <f>Tableau6[[#This Row],[Potential (PJ)]]/3.6</f>
        <v>0.15494444444444444</v>
      </c>
      <c r="F211">
        <v>12.321999999999999</v>
      </c>
      <c r="G211">
        <f>Tableau6[[#This Row],[Cost (€/GJ)]]*3.6</f>
        <v>44.359200000000001</v>
      </c>
      <c r="H211">
        <v>20.7</v>
      </c>
      <c r="I211">
        <f>Tableau6[[#This Row],[GHG (kgCO2eq/GJ)]]*3.6</f>
        <v>74.52</v>
      </c>
      <c r="J211" t="s">
        <v>106</v>
      </c>
      <c r="K211" t="s">
        <v>109</v>
      </c>
    </row>
    <row r="212" spans="1:11" x14ac:dyDescent="0.3">
      <c r="A212" t="s">
        <v>16</v>
      </c>
      <c r="B212" t="s">
        <v>55</v>
      </c>
      <c r="C212" t="s">
        <v>91</v>
      </c>
      <c r="D212">
        <v>0.47920000000000001</v>
      </c>
      <c r="E212">
        <f>Tableau6[[#This Row],[Potential (PJ)]]/3.6</f>
        <v>0.13311111111111112</v>
      </c>
      <c r="F212">
        <v>11.154999999999999</v>
      </c>
      <c r="G212">
        <f>Tableau6[[#This Row],[Cost (€/GJ)]]*3.6</f>
        <v>40.158000000000001</v>
      </c>
      <c r="H212">
        <v>20.7</v>
      </c>
      <c r="I212">
        <f>Tableau6[[#This Row],[GHG (kgCO2eq/GJ)]]*3.6</f>
        <v>74.52</v>
      </c>
      <c r="J212" t="s">
        <v>106</v>
      </c>
      <c r="K212" t="s">
        <v>109</v>
      </c>
    </row>
    <row r="213" spans="1:11" x14ac:dyDescent="0.3">
      <c r="A213" t="s">
        <v>16</v>
      </c>
      <c r="B213" t="s">
        <v>55</v>
      </c>
      <c r="C213" t="s">
        <v>92</v>
      </c>
      <c r="D213">
        <v>0.73206000000000004</v>
      </c>
      <c r="E213">
        <f>Tableau6[[#This Row],[Potential (PJ)]]/3.6</f>
        <v>0.20335</v>
      </c>
      <c r="F213">
        <v>12.113</v>
      </c>
      <c r="G213">
        <f>Tableau6[[#This Row],[Cost (€/GJ)]]*3.6</f>
        <v>43.6068</v>
      </c>
      <c r="H213">
        <v>20.7</v>
      </c>
      <c r="I213">
        <f>Tableau6[[#This Row],[GHG (kgCO2eq/GJ)]]*3.6</f>
        <v>74.52</v>
      </c>
      <c r="J213" t="s">
        <v>106</v>
      </c>
      <c r="K213" t="s">
        <v>109</v>
      </c>
    </row>
    <row r="214" spans="1:11" x14ac:dyDescent="0.3">
      <c r="A214" t="s">
        <v>16</v>
      </c>
      <c r="B214" t="s">
        <v>56</v>
      </c>
      <c r="C214" t="s">
        <v>93</v>
      </c>
      <c r="D214">
        <v>0.73859999999999992</v>
      </c>
      <c r="E214">
        <f>Tableau6[[#This Row],[Potential (PJ)]]/3.6</f>
        <v>0.20516666666666664</v>
      </c>
      <c r="F214">
        <v>4.3084337349397588</v>
      </c>
      <c r="G214">
        <f>Tableau6[[#This Row],[Cost (€/GJ)]]*3.6</f>
        <v>15.510361445783133</v>
      </c>
      <c r="H214">
        <v>29.8</v>
      </c>
      <c r="I214">
        <f>Tableau6[[#This Row],[GHG (kgCO2eq/GJ)]]*3.6</f>
        <v>107.28</v>
      </c>
      <c r="J214" t="s">
        <v>106</v>
      </c>
      <c r="K214" t="s">
        <v>109</v>
      </c>
    </row>
    <row r="215" spans="1:11" x14ac:dyDescent="0.3">
      <c r="A215" t="s">
        <v>16</v>
      </c>
      <c r="B215" t="s">
        <v>47</v>
      </c>
      <c r="C215" t="s">
        <v>101</v>
      </c>
      <c r="D215">
        <v>9</v>
      </c>
      <c r="E215">
        <f>Tableau6[[#This Row],[Potential (PJ)]]/3.6</f>
        <v>2.5</v>
      </c>
      <c r="F215">
        <v>7.8687666666666667</v>
      </c>
      <c r="G215">
        <f>Tableau6[[#This Row],[Cost (€/GJ)]]*3.6</f>
        <v>28.327560000000002</v>
      </c>
      <c r="H215">
        <v>37.5</v>
      </c>
      <c r="I215">
        <f>Tableau6[[#This Row],[GHG (kgCO2eq/GJ)]]*3.6</f>
        <v>135</v>
      </c>
      <c r="J215" t="s">
        <v>104</v>
      </c>
      <c r="K215" t="s">
        <v>109</v>
      </c>
    </row>
    <row r="216" spans="1:11" x14ac:dyDescent="0.3">
      <c r="A216" t="s">
        <v>16</v>
      </c>
      <c r="B216" t="s">
        <v>57</v>
      </c>
      <c r="C216" t="s">
        <v>94</v>
      </c>
      <c r="D216">
        <v>3.7</v>
      </c>
      <c r="E216">
        <f>Tableau6[[#This Row],[Potential (PJ)]]/3.6</f>
        <v>1.0277777777777779</v>
      </c>
      <c r="F216">
        <v>14.99427027027027</v>
      </c>
      <c r="G216">
        <f>Tableau6[[#This Row],[Cost (€/GJ)]]*3.6</f>
        <v>53.979372972972975</v>
      </c>
      <c r="H216">
        <v>15.5</v>
      </c>
      <c r="I216">
        <f>Tableau6[[#This Row],[GHG (kgCO2eq/GJ)]]*3.6</f>
        <v>55.800000000000004</v>
      </c>
      <c r="J216" t="s">
        <v>104</v>
      </c>
      <c r="K216" t="s">
        <v>109</v>
      </c>
    </row>
    <row r="217" spans="1:11" x14ac:dyDescent="0.3">
      <c r="A217" t="s">
        <v>16</v>
      </c>
      <c r="B217" t="s">
        <v>49</v>
      </c>
      <c r="C217" t="s">
        <v>71</v>
      </c>
      <c r="D217">
        <v>33.248779999999996</v>
      </c>
      <c r="E217">
        <f>Tableau6[[#This Row],[Potential (PJ)]]/3.6</f>
        <v>9.2357722222222218</v>
      </c>
      <c r="F217">
        <v>4.3283409523597562</v>
      </c>
      <c r="G217">
        <f>Tableau6[[#This Row],[Cost (€/GJ)]]*3.6</f>
        <v>15.582027428495122</v>
      </c>
      <c r="H217">
        <v>3.86607608129234</v>
      </c>
      <c r="I217">
        <f>Tableau6[[#This Row],[GHG (kgCO2eq/GJ)]]*3.6</f>
        <v>13.917873892652425</v>
      </c>
      <c r="J217" t="s">
        <v>104</v>
      </c>
      <c r="K217" t="s">
        <v>108</v>
      </c>
    </row>
    <row r="218" spans="1:11" x14ac:dyDescent="0.3">
      <c r="A218" t="s">
        <v>16</v>
      </c>
      <c r="B218" t="s">
        <v>49</v>
      </c>
      <c r="C218" t="s">
        <v>72</v>
      </c>
      <c r="D218">
        <v>8.6</v>
      </c>
      <c r="E218">
        <f>Tableau6[[#This Row],[Potential (PJ)]]/3.6</f>
        <v>2.3888888888888888</v>
      </c>
      <c r="F218">
        <v>3.4818139534883721</v>
      </c>
      <c r="G218">
        <f>Tableau6[[#This Row],[Cost (€/GJ)]]*3.6</f>
        <v>12.53453023255814</v>
      </c>
      <c r="H218">
        <v>3.86607608129234</v>
      </c>
      <c r="I218">
        <f>Tableau6[[#This Row],[GHG (kgCO2eq/GJ)]]*3.6</f>
        <v>13.917873892652425</v>
      </c>
      <c r="J218" t="s">
        <v>104</v>
      </c>
      <c r="K218" t="s">
        <v>108</v>
      </c>
    </row>
    <row r="219" spans="1:11" x14ac:dyDescent="0.3">
      <c r="A219" t="s">
        <v>16</v>
      </c>
      <c r="B219" t="s">
        <v>58</v>
      </c>
      <c r="C219" t="s">
        <v>95</v>
      </c>
      <c r="D219">
        <v>5.46617</v>
      </c>
      <c r="E219">
        <f>Tableau6[[#This Row],[Potential (PJ)]]/3.6</f>
        <v>1.5183805555555554</v>
      </c>
      <c r="F219">
        <v>3.036999999999999</v>
      </c>
      <c r="G219">
        <f>Tableau6[[#This Row],[Cost (€/GJ)]]*3.6</f>
        <v>10.933199999999998</v>
      </c>
      <c r="H219">
        <v>2.9521711768407801</v>
      </c>
      <c r="I219">
        <f>Tableau6[[#This Row],[GHG (kgCO2eq/GJ)]]*3.6</f>
        <v>10.627816236626808</v>
      </c>
      <c r="J219" t="s">
        <v>104</v>
      </c>
      <c r="K219" t="s">
        <v>108</v>
      </c>
    </row>
    <row r="220" spans="1:11" x14ac:dyDescent="0.3">
      <c r="A220" t="s">
        <v>16</v>
      </c>
      <c r="B220" t="s">
        <v>50</v>
      </c>
      <c r="C220" t="s">
        <v>73</v>
      </c>
      <c r="D220">
        <v>22.4</v>
      </c>
      <c r="E220">
        <f>Tableau6[[#This Row],[Potential (PJ)]]/3.6</f>
        <v>6.2222222222222214</v>
      </c>
      <c r="F220">
        <v>6.6314419642857141</v>
      </c>
      <c r="G220">
        <f>Tableau6[[#This Row],[Cost (€/GJ)]]*3.6</f>
        <v>23.873191071428572</v>
      </c>
      <c r="H220">
        <v>20.723404255319149</v>
      </c>
      <c r="I220">
        <f>Tableau6[[#This Row],[GHG (kgCO2eq/GJ)]]*3.6</f>
        <v>74.604255319148933</v>
      </c>
      <c r="J220" t="s">
        <v>105</v>
      </c>
      <c r="K220" t="s">
        <v>108</v>
      </c>
    </row>
    <row r="221" spans="1:11" x14ac:dyDescent="0.3">
      <c r="A221" t="s">
        <v>16</v>
      </c>
      <c r="B221" t="s">
        <v>50</v>
      </c>
      <c r="C221" t="s">
        <v>74</v>
      </c>
      <c r="D221">
        <v>32.799999999999997</v>
      </c>
      <c r="E221">
        <f>Tableau6[[#This Row],[Potential (PJ)]]/3.6</f>
        <v>9.1111111111111107</v>
      </c>
      <c r="F221">
        <v>7.2490518292682919</v>
      </c>
      <c r="G221">
        <f>Tableau6[[#This Row],[Cost (€/GJ)]]*3.6</f>
        <v>26.096586585365852</v>
      </c>
      <c r="H221">
        <v>2.0635593220338988</v>
      </c>
      <c r="I221">
        <f>Tableau6[[#This Row],[GHG (kgCO2eq/GJ)]]*3.6</f>
        <v>7.4288135593220357</v>
      </c>
      <c r="J221" t="s">
        <v>105</v>
      </c>
      <c r="K221" t="s">
        <v>108</v>
      </c>
    </row>
    <row r="222" spans="1:11" x14ac:dyDescent="0.3">
      <c r="A222" t="s">
        <v>16</v>
      </c>
      <c r="B222" t="s">
        <v>51</v>
      </c>
      <c r="C222" t="s">
        <v>75</v>
      </c>
      <c r="D222">
        <v>22.747730000000001</v>
      </c>
      <c r="E222">
        <f>Tableau6[[#This Row],[Potential (PJ)]]/3.6</f>
        <v>6.3188138888888892</v>
      </c>
      <c r="F222">
        <v>3.6269685664201902E-3</v>
      </c>
      <c r="G222">
        <f>Tableau6[[#This Row],[Cost (€/GJ)]]*3.6</f>
        <v>1.3057086839112685E-2</v>
      </c>
      <c r="H222">
        <v>11.74</v>
      </c>
      <c r="I222">
        <f>Tableau6[[#This Row],[GHG (kgCO2eq/GJ)]]*3.6</f>
        <v>42.264000000000003</v>
      </c>
      <c r="J222" t="s">
        <v>104</v>
      </c>
      <c r="K222" t="s">
        <v>108</v>
      </c>
    </row>
    <row r="223" spans="1:11" x14ac:dyDescent="0.3">
      <c r="A223" t="s">
        <v>16</v>
      </c>
      <c r="B223" t="s">
        <v>60</v>
      </c>
      <c r="C223" t="s">
        <v>98</v>
      </c>
      <c r="D223">
        <v>3.19591</v>
      </c>
      <c r="E223">
        <f>Tableau6[[#This Row],[Potential (PJ)]]/3.6</f>
        <v>0.88775277777777772</v>
      </c>
      <c r="F223">
        <v>18.421052631578949</v>
      </c>
      <c r="G223">
        <f>Tableau6[[#This Row],[Cost (€/GJ)]]*3.6</f>
        <v>66.31578947368422</v>
      </c>
      <c r="H223">
        <v>32.6</v>
      </c>
      <c r="I223">
        <f>Tableau6[[#This Row],[GHG (kgCO2eq/GJ)]]*3.6</f>
        <v>117.36000000000001</v>
      </c>
      <c r="J223" t="s">
        <v>107</v>
      </c>
      <c r="K223" t="s">
        <v>109</v>
      </c>
    </row>
    <row r="224" spans="1:11" x14ac:dyDescent="0.3">
      <c r="A224" t="s">
        <v>16</v>
      </c>
      <c r="B224" t="s">
        <v>52</v>
      </c>
      <c r="C224" t="s">
        <v>76</v>
      </c>
      <c r="D224">
        <v>0.217</v>
      </c>
      <c r="E224">
        <f>Tableau6[[#This Row],[Potential (PJ)]]/3.6</f>
        <v>6.0277777777777777E-2</v>
      </c>
      <c r="F224">
        <v>6.5250000000000004</v>
      </c>
      <c r="G224">
        <f>Tableau6[[#This Row],[Cost (€/GJ)]]*3.6</f>
        <v>23.490000000000002</v>
      </c>
      <c r="H224">
        <v>12.68872359754714</v>
      </c>
      <c r="I224">
        <f>Tableau6[[#This Row],[GHG (kgCO2eq/GJ)]]*3.6</f>
        <v>45.679404951169708</v>
      </c>
      <c r="J224" t="s">
        <v>105</v>
      </c>
      <c r="K224" t="s">
        <v>108</v>
      </c>
    </row>
    <row r="225" spans="1:11" x14ac:dyDescent="0.3">
      <c r="A225" t="s">
        <v>16</v>
      </c>
      <c r="B225" t="s">
        <v>53</v>
      </c>
      <c r="C225" t="s">
        <v>77</v>
      </c>
      <c r="D225">
        <v>2.2999999999999998</v>
      </c>
      <c r="E225">
        <f>Tableau6[[#This Row],[Potential (PJ)]]/3.6</f>
        <v>0.63888888888888884</v>
      </c>
      <c r="F225">
        <v>3.481478260869566</v>
      </c>
      <c r="G225">
        <f>Tableau6[[#This Row],[Cost (€/GJ)]]*3.6</f>
        <v>12.533321739130438</v>
      </c>
      <c r="H225">
        <v>3.86607608129234</v>
      </c>
      <c r="I225">
        <f>Tableau6[[#This Row],[GHG (kgCO2eq/GJ)]]*3.6</f>
        <v>13.917873892652425</v>
      </c>
      <c r="J225" t="s">
        <v>104</v>
      </c>
      <c r="K225" t="s">
        <v>108</v>
      </c>
    </row>
    <row r="226" spans="1:11" x14ac:dyDescent="0.3">
      <c r="A226" t="s">
        <v>16</v>
      </c>
      <c r="B226" t="s">
        <v>61</v>
      </c>
      <c r="C226" t="s">
        <v>99</v>
      </c>
      <c r="D226">
        <v>1.4</v>
      </c>
      <c r="E226">
        <f>Tableau6[[#This Row],[Potential (PJ)]]/3.6</f>
        <v>0.38888888888888884</v>
      </c>
      <c r="F226">
        <v>2.0878571428571431</v>
      </c>
      <c r="G226">
        <f>Tableau6[[#This Row],[Cost (€/GJ)]]*3.6</f>
        <v>7.5162857142857149</v>
      </c>
      <c r="H226">
        <v>2.9245635910224439</v>
      </c>
      <c r="I226">
        <f>Tableau6[[#This Row],[GHG (kgCO2eq/GJ)]]*3.6</f>
        <v>10.528428927680798</v>
      </c>
      <c r="J226" t="s">
        <v>104</v>
      </c>
      <c r="K226" t="s">
        <v>108</v>
      </c>
    </row>
    <row r="227" spans="1:11" x14ac:dyDescent="0.3">
      <c r="A227" t="s">
        <v>16</v>
      </c>
      <c r="B227" t="s">
        <v>62</v>
      </c>
      <c r="C227" t="s">
        <v>100</v>
      </c>
      <c r="D227">
        <v>0.5</v>
      </c>
      <c r="E227">
        <f>Tableau6[[#This Row],[Potential (PJ)]]/3.6</f>
        <v>0.1388888888888889</v>
      </c>
      <c r="F227">
        <v>0.52</v>
      </c>
      <c r="G227">
        <f>Tableau6[[#This Row],[Cost (€/GJ)]]*3.6</f>
        <v>1.8720000000000001</v>
      </c>
      <c r="H227">
        <v>2.6764106050305911</v>
      </c>
      <c r="I227">
        <f>Tableau6[[#This Row],[GHG (kgCO2eq/GJ)]]*3.6</f>
        <v>9.6350781781101276</v>
      </c>
      <c r="J227" t="s">
        <v>104</v>
      </c>
      <c r="K227" t="s">
        <v>108</v>
      </c>
    </row>
    <row r="228" spans="1:11" x14ac:dyDescent="0.3">
      <c r="A228" t="s">
        <v>16</v>
      </c>
      <c r="B228" t="s">
        <v>54</v>
      </c>
      <c r="C228" t="s">
        <v>78</v>
      </c>
      <c r="D228">
        <v>8.6</v>
      </c>
      <c r="E228">
        <f>Tableau6[[#This Row],[Potential (PJ)]]/3.6</f>
        <v>2.3888888888888888</v>
      </c>
      <c r="F228">
        <v>6.6484302325581393</v>
      </c>
      <c r="G228">
        <f>Tableau6[[#This Row],[Cost (€/GJ)]]*3.6</f>
        <v>23.934348837209303</v>
      </c>
      <c r="H228">
        <v>3.86607608129234</v>
      </c>
      <c r="I228">
        <f>Tableau6[[#This Row],[GHG (kgCO2eq/GJ)]]*3.6</f>
        <v>13.917873892652425</v>
      </c>
      <c r="J228" t="s">
        <v>104</v>
      </c>
      <c r="K228" t="s">
        <v>108</v>
      </c>
    </row>
    <row r="229" spans="1:11" x14ac:dyDescent="0.3">
      <c r="A229" t="s">
        <v>17</v>
      </c>
      <c r="B229" t="s">
        <v>46</v>
      </c>
      <c r="C229" t="s">
        <v>64</v>
      </c>
      <c r="D229">
        <v>1.7409999999999998E-2</v>
      </c>
      <c r="E229">
        <f>Tableau6[[#This Row],[Potential (PJ)]]/3.6</f>
        <v>4.8361111111111105E-3</v>
      </c>
      <c r="F229">
        <v>6.33</v>
      </c>
      <c r="G229">
        <f>Tableau6[[#This Row],[Cost (€/GJ)]]*3.6</f>
        <v>22.788</v>
      </c>
      <c r="H229">
        <v>2.9521711768407801</v>
      </c>
      <c r="I229">
        <f>Tableau6[[#This Row],[GHG (kgCO2eq/GJ)]]*3.6</f>
        <v>10.627816236626808</v>
      </c>
      <c r="J229" t="s">
        <v>104</v>
      </c>
      <c r="K229" t="s">
        <v>108</v>
      </c>
    </row>
    <row r="230" spans="1:11" x14ac:dyDescent="0.3">
      <c r="A230" t="s">
        <v>17</v>
      </c>
      <c r="B230" t="s">
        <v>46</v>
      </c>
      <c r="C230" t="s">
        <v>79</v>
      </c>
      <c r="D230">
        <v>3.8</v>
      </c>
      <c r="E230">
        <f>Tableau6[[#This Row],[Potential (PJ)]]/3.6</f>
        <v>1.0555555555555556</v>
      </c>
      <c r="F230">
        <v>2.669</v>
      </c>
      <c r="G230">
        <f>Tableau6[[#This Row],[Cost (€/GJ)]]*3.6</f>
        <v>9.6083999999999996</v>
      </c>
      <c r="H230">
        <v>6.8428961748633883</v>
      </c>
      <c r="I230">
        <f>Tableau6[[#This Row],[GHG (kgCO2eq/GJ)]]*3.6</f>
        <v>24.634426229508197</v>
      </c>
      <c r="J230" t="s">
        <v>104</v>
      </c>
      <c r="K230" t="s">
        <v>108</v>
      </c>
    </row>
    <row r="231" spans="1:11" x14ac:dyDescent="0.3">
      <c r="A231" t="s">
        <v>17</v>
      </c>
      <c r="B231" t="s">
        <v>46</v>
      </c>
      <c r="C231" t="s">
        <v>80</v>
      </c>
      <c r="D231">
        <v>3.3599999999999998E-2</v>
      </c>
      <c r="E231">
        <f>Tableau6[[#This Row],[Potential (PJ)]]/3.6</f>
        <v>9.3333333333333324E-3</v>
      </c>
      <c r="F231">
        <v>0.28186109238031021</v>
      </c>
      <c r="G231">
        <f>Tableau6[[#This Row],[Cost (€/GJ)]]*3.6</f>
        <v>1.0146999325691168</v>
      </c>
      <c r="H231">
        <v>28.139870918023309</v>
      </c>
      <c r="I231">
        <f>Tableau6[[#This Row],[GHG (kgCO2eq/GJ)]]*3.6</f>
        <v>101.30353530488391</v>
      </c>
      <c r="J231" t="s">
        <v>105</v>
      </c>
      <c r="K231" t="s">
        <v>108</v>
      </c>
    </row>
    <row r="232" spans="1:11" x14ac:dyDescent="0.3">
      <c r="A232" t="s">
        <v>17</v>
      </c>
      <c r="B232" t="s">
        <v>46</v>
      </c>
      <c r="C232" t="s">
        <v>81</v>
      </c>
      <c r="D232">
        <v>0.27560000000000001</v>
      </c>
      <c r="E232">
        <f>Tableau6[[#This Row],[Potential (PJ)]]/3.6</f>
        <v>7.6555555555555557E-2</v>
      </c>
      <c r="F232">
        <v>2.0681551116333732</v>
      </c>
      <c r="G232">
        <f>Tableau6[[#This Row],[Cost (€/GJ)]]*3.6</f>
        <v>7.445358401880144</v>
      </c>
      <c r="H232">
        <v>8.9647473560517046</v>
      </c>
      <c r="I232">
        <f>Tableau6[[#This Row],[GHG (kgCO2eq/GJ)]]*3.6</f>
        <v>32.273090481786134</v>
      </c>
      <c r="J232" t="s">
        <v>105</v>
      </c>
      <c r="K232" t="s">
        <v>108</v>
      </c>
    </row>
    <row r="233" spans="1:11" x14ac:dyDescent="0.3">
      <c r="A233" t="s">
        <v>17</v>
      </c>
      <c r="B233" t="s">
        <v>46</v>
      </c>
      <c r="C233" t="s">
        <v>82</v>
      </c>
      <c r="D233">
        <v>0.7</v>
      </c>
      <c r="E233">
        <f>Tableau6[[#This Row],[Potential (PJ)]]/3.6</f>
        <v>0.19444444444444442</v>
      </c>
      <c r="F233">
        <v>1.718</v>
      </c>
      <c r="G233">
        <f>Tableau6[[#This Row],[Cost (€/GJ)]]*3.6</f>
        <v>6.1848000000000001</v>
      </c>
      <c r="H233">
        <v>6.8428961748633883</v>
      </c>
      <c r="I233">
        <f>Tableau6[[#This Row],[GHG (kgCO2eq/GJ)]]*3.6</f>
        <v>24.634426229508197</v>
      </c>
      <c r="J233" t="s">
        <v>104</v>
      </c>
      <c r="K233" t="s">
        <v>108</v>
      </c>
    </row>
    <row r="234" spans="1:11" x14ac:dyDescent="0.3">
      <c r="A234" t="s">
        <v>17</v>
      </c>
      <c r="B234" t="s">
        <v>55</v>
      </c>
      <c r="C234" t="s">
        <v>86</v>
      </c>
      <c r="D234">
        <v>0.14530000000000001</v>
      </c>
      <c r="E234">
        <f>Tableau6[[#This Row],[Potential (PJ)]]/3.6</f>
        <v>4.0361111111111111E-2</v>
      </c>
      <c r="F234">
        <v>8.9179999999999993</v>
      </c>
      <c r="G234">
        <f>Tableau6[[#This Row],[Cost (€/GJ)]]*3.6</f>
        <v>32.104799999999997</v>
      </c>
      <c r="H234">
        <v>27.4</v>
      </c>
      <c r="I234">
        <f>Tableau6[[#This Row],[GHG (kgCO2eq/GJ)]]*3.6</f>
        <v>98.64</v>
      </c>
      <c r="J234" t="s">
        <v>106</v>
      </c>
      <c r="K234" t="s">
        <v>109</v>
      </c>
    </row>
    <row r="235" spans="1:11" x14ac:dyDescent="0.3">
      <c r="A235" t="s">
        <v>17</v>
      </c>
      <c r="B235" t="s">
        <v>55</v>
      </c>
      <c r="C235" t="s">
        <v>89</v>
      </c>
      <c r="D235">
        <v>4.3E-3</v>
      </c>
      <c r="E235">
        <f>Tableau6[[#This Row],[Potential (PJ)]]/3.6</f>
        <v>1.1944444444444444E-3</v>
      </c>
      <c r="F235">
        <v>0</v>
      </c>
      <c r="G235">
        <f>Tableau6[[#This Row],[Cost (€/GJ)]]*3.6</f>
        <v>0</v>
      </c>
      <c r="H235">
        <v>27.4</v>
      </c>
      <c r="I235">
        <f>Tableau6[[#This Row],[GHG (kgCO2eq/GJ)]]*3.6</f>
        <v>98.64</v>
      </c>
      <c r="J235" t="s">
        <v>106</v>
      </c>
      <c r="K235" t="s">
        <v>109</v>
      </c>
    </row>
    <row r="236" spans="1:11" x14ac:dyDescent="0.3">
      <c r="A236" t="s">
        <v>17</v>
      </c>
      <c r="B236" t="s">
        <v>55</v>
      </c>
      <c r="C236" t="s">
        <v>91</v>
      </c>
      <c r="D236">
        <v>0.10150000000000001</v>
      </c>
      <c r="E236">
        <f>Tableau6[[#This Row],[Potential (PJ)]]/3.6</f>
        <v>2.8194444444444446E-2</v>
      </c>
      <c r="F236">
        <v>10.147</v>
      </c>
      <c r="G236">
        <f>Tableau6[[#This Row],[Cost (€/GJ)]]*3.6</f>
        <v>36.529200000000003</v>
      </c>
      <c r="H236">
        <v>27.4</v>
      </c>
      <c r="I236">
        <f>Tableau6[[#This Row],[GHG (kgCO2eq/GJ)]]*3.6</f>
        <v>98.64</v>
      </c>
      <c r="J236" t="s">
        <v>106</v>
      </c>
      <c r="K236" t="s">
        <v>109</v>
      </c>
    </row>
    <row r="237" spans="1:11" x14ac:dyDescent="0.3">
      <c r="A237" t="s">
        <v>17</v>
      </c>
      <c r="B237" t="s">
        <v>55</v>
      </c>
      <c r="C237" t="s">
        <v>92</v>
      </c>
      <c r="D237">
        <v>0.14369999999999999</v>
      </c>
      <c r="E237">
        <f>Tableau6[[#This Row],[Potential (PJ)]]/3.6</f>
        <v>3.9916666666666663E-2</v>
      </c>
      <c r="F237">
        <v>10.837999999999999</v>
      </c>
      <c r="G237">
        <f>Tableau6[[#This Row],[Cost (€/GJ)]]*3.6</f>
        <v>39.016799999999996</v>
      </c>
      <c r="H237">
        <v>27.4</v>
      </c>
      <c r="I237">
        <f>Tableau6[[#This Row],[GHG (kgCO2eq/GJ)]]*3.6</f>
        <v>98.64</v>
      </c>
      <c r="J237" t="s">
        <v>106</v>
      </c>
      <c r="K237" t="s">
        <v>109</v>
      </c>
    </row>
    <row r="238" spans="1:11" x14ac:dyDescent="0.3">
      <c r="A238" t="s">
        <v>17</v>
      </c>
      <c r="B238" t="s">
        <v>47</v>
      </c>
      <c r="C238" t="s">
        <v>101</v>
      </c>
      <c r="D238">
        <v>7.5</v>
      </c>
      <c r="E238">
        <f>Tableau6[[#This Row],[Potential (PJ)]]/3.6</f>
        <v>2.0833333333333335</v>
      </c>
      <c r="F238">
        <v>2.9319999999999999</v>
      </c>
      <c r="G238">
        <f>Tableau6[[#This Row],[Cost (€/GJ)]]*3.6</f>
        <v>10.555199999999999</v>
      </c>
      <c r="H238">
        <v>43.8</v>
      </c>
      <c r="I238">
        <f>Tableau6[[#This Row],[GHG (kgCO2eq/GJ)]]*3.6</f>
        <v>157.68</v>
      </c>
      <c r="J238" t="s">
        <v>104</v>
      </c>
      <c r="K238" t="s">
        <v>109</v>
      </c>
    </row>
    <row r="239" spans="1:11" x14ac:dyDescent="0.3">
      <c r="A239" t="s">
        <v>17</v>
      </c>
      <c r="B239" t="s">
        <v>57</v>
      </c>
      <c r="C239" t="s">
        <v>94</v>
      </c>
      <c r="D239">
        <v>3.9</v>
      </c>
      <c r="E239">
        <f>Tableau6[[#This Row],[Potential (PJ)]]/3.6</f>
        <v>1.0833333333333333</v>
      </c>
      <c r="F239">
        <v>7.8129999999999997</v>
      </c>
      <c r="G239">
        <f>Tableau6[[#This Row],[Cost (€/GJ)]]*3.6</f>
        <v>28.126799999999999</v>
      </c>
      <c r="H239">
        <v>19.8</v>
      </c>
      <c r="I239">
        <f>Tableau6[[#This Row],[GHG (kgCO2eq/GJ)]]*3.6</f>
        <v>71.28</v>
      </c>
      <c r="J239" t="s">
        <v>104</v>
      </c>
      <c r="K239" t="s">
        <v>109</v>
      </c>
    </row>
    <row r="240" spans="1:11" x14ac:dyDescent="0.3">
      <c r="A240" t="s">
        <v>17</v>
      </c>
      <c r="B240" t="s">
        <v>49</v>
      </c>
      <c r="C240" t="s">
        <v>71</v>
      </c>
      <c r="D240">
        <v>92.166960000000003</v>
      </c>
      <c r="E240">
        <f>Tableau6[[#This Row],[Potential (PJ)]]/3.6</f>
        <v>25.601933333333335</v>
      </c>
      <c r="F240">
        <v>2.5640000000000001</v>
      </c>
      <c r="G240">
        <f>Tableau6[[#This Row],[Cost (€/GJ)]]*3.6</f>
        <v>9.2304000000000013</v>
      </c>
      <c r="H240">
        <v>3.86607608129234</v>
      </c>
      <c r="I240">
        <f>Tableau6[[#This Row],[GHG (kgCO2eq/GJ)]]*3.6</f>
        <v>13.917873892652425</v>
      </c>
      <c r="J240" t="s">
        <v>104</v>
      </c>
      <c r="K240" t="s">
        <v>108</v>
      </c>
    </row>
    <row r="241" spans="1:11" x14ac:dyDescent="0.3">
      <c r="A241" t="s">
        <v>17</v>
      </c>
      <c r="B241" t="s">
        <v>49</v>
      </c>
      <c r="C241" t="s">
        <v>72</v>
      </c>
      <c r="D241">
        <v>11</v>
      </c>
      <c r="E241">
        <f>Tableau6[[#This Row],[Potential (PJ)]]/3.6</f>
        <v>3.0555555555555554</v>
      </c>
      <c r="F241">
        <v>3.4470000000000001</v>
      </c>
      <c r="G241">
        <f>Tableau6[[#This Row],[Cost (€/GJ)]]*3.6</f>
        <v>12.4092</v>
      </c>
      <c r="H241">
        <v>3.86607608129234</v>
      </c>
      <c r="I241">
        <f>Tableau6[[#This Row],[GHG (kgCO2eq/GJ)]]*3.6</f>
        <v>13.917873892652425</v>
      </c>
      <c r="J241" t="s">
        <v>104</v>
      </c>
      <c r="K241" t="s">
        <v>108</v>
      </c>
    </row>
    <row r="242" spans="1:11" x14ac:dyDescent="0.3">
      <c r="A242" t="s">
        <v>17</v>
      </c>
      <c r="B242" t="s">
        <v>58</v>
      </c>
      <c r="C242" t="s">
        <v>95</v>
      </c>
      <c r="D242">
        <v>9.7398799999999994</v>
      </c>
      <c r="E242">
        <f>Tableau6[[#This Row],[Potential (PJ)]]/3.6</f>
        <v>2.7055222222222222</v>
      </c>
      <c r="F242">
        <v>3.274</v>
      </c>
      <c r="G242">
        <f>Tableau6[[#This Row],[Cost (€/GJ)]]*3.6</f>
        <v>11.7864</v>
      </c>
      <c r="H242">
        <v>2.9521711768407801</v>
      </c>
      <c r="I242">
        <f>Tableau6[[#This Row],[GHG (kgCO2eq/GJ)]]*3.6</f>
        <v>10.627816236626808</v>
      </c>
      <c r="J242" t="s">
        <v>104</v>
      </c>
      <c r="K242" t="s">
        <v>108</v>
      </c>
    </row>
    <row r="243" spans="1:11" x14ac:dyDescent="0.3">
      <c r="A243" t="s">
        <v>17</v>
      </c>
      <c r="B243" t="s">
        <v>50</v>
      </c>
      <c r="C243" t="s">
        <v>73</v>
      </c>
      <c r="D243">
        <v>1</v>
      </c>
      <c r="E243">
        <f>Tableau6[[#This Row],[Potential (PJ)]]/3.6</f>
        <v>0.27777777777777779</v>
      </c>
      <c r="F243">
        <v>5.0869999999999997</v>
      </c>
      <c r="G243">
        <f>Tableau6[[#This Row],[Cost (€/GJ)]]*3.6</f>
        <v>18.313199999999998</v>
      </c>
      <c r="H243">
        <v>20.723404255319149</v>
      </c>
      <c r="I243">
        <f>Tableau6[[#This Row],[GHG (kgCO2eq/GJ)]]*3.6</f>
        <v>74.604255319148933</v>
      </c>
      <c r="J243" t="s">
        <v>105</v>
      </c>
      <c r="K243" t="s">
        <v>108</v>
      </c>
    </row>
    <row r="244" spans="1:11" x14ac:dyDescent="0.3">
      <c r="A244" t="s">
        <v>17</v>
      </c>
      <c r="B244" t="s">
        <v>50</v>
      </c>
      <c r="C244" t="s">
        <v>74</v>
      </c>
      <c r="D244">
        <v>8.9</v>
      </c>
      <c r="E244">
        <f>Tableau6[[#This Row],[Potential (PJ)]]/3.6</f>
        <v>2.4722222222222223</v>
      </c>
      <c r="F244">
        <v>3.625</v>
      </c>
      <c r="G244">
        <f>Tableau6[[#This Row],[Cost (€/GJ)]]*3.6</f>
        <v>13.05</v>
      </c>
      <c r="H244">
        <v>2.0635593220338988</v>
      </c>
      <c r="I244">
        <f>Tableau6[[#This Row],[GHG (kgCO2eq/GJ)]]*3.6</f>
        <v>7.4288135593220357</v>
      </c>
      <c r="J244" t="s">
        <v>105</v>
      </c>
      <c r="K244" t="s">
        <v>108</v>
      </c>
    </row>
    <row r="245" spans="1:11" x14ac:dyDescent="0.3">
      <c r="A245" t="s">
        <v>17</v>
      </c>
      <c r="B245" t="s">
        <v>51</v>
      </c>
      <c r="C245" t="s">
        <v>75</v>
      </c>
      <c r="D245">
        <v>2.5745309999999999</v>
      </c>
      <c r="E245">
        <f>Tableau6[[#This Row],[Potential (PJ)]]/3.6</f>
        <v>0.71514749999999994</v>
      </c>
      <c r="F245">
        <v>4.9431280597714098E-3</v>
      </c>
      <c r="G245">
        <f>Tableau6[[#This Row],[Cost (€/GJ)]]*3.6</f>
        <v>1.7795261015177075E-2</v>
      </c>
      <c r="H245">
        <v>11.74</v>
      </c>
      <c r="I245">
        <f>Tableau6[[#This Row],[GHG (kgCO2eq/GJ)]]*3.6</f>
        <v>42.264000000000003</v>
      </c>
      <c r="J245" t="s">
        <v>104</v>
      </c>
      <c r="K245" t="s">
        <v>108</v>
      </c>
    </row>
    <row r="246" spans="1:11" x14ac:dyDescent="0.3">
      <c r="A246" t="s">
        <v>17</v>
      </c>
      <c r="B246" t="s">
        <v>60</v>
      </c>
      <c r="C246" t="s">
        <v>98</v>
      </c>
      <c r="D246">
        <v>1.69373</v>
      </c>
      <c r="E246">
        <f>Tableau6[[#This Row],[Potential (PJ)]]/3.6</f>
        <v>0.47048055555555551</v>
      </c>
      <c r="F246">
        <v>18.045112781954892</v>
      </c>
      <c r="G246">
        <f>Tableau6[[#This Row],[Cost (€/GJ)]]*3.6</f>
        <v>64.962406015037615</v>
      </c>
      <c r="H246">
        <v>41.8</v>
      </c>
      <c r="I246">
        <f>Tableau6[[#This Row],[GHG (kgCO2eq/GJ)]]*3.6</f>
        <v>150.47999999999999</v>
      </c>
      <c r="J246" t="s">
        <v>107</v>
      </c>
      <c r="K246" t="s">
        <v>109</v>
      </c>
    </row>
    <row r="247" spans="1:11" x14ac:dyDescent="0.3">
      <c r="A247" t="s">
        <v>17</v>
      </c>
      <c r="B247" t="s">
        <v>53</v>
      </c>
      <c r="C247" t="s">
        <v>77</v>
      </c>
      <c r="D247">
        <v>4.5999999999999996</v>
      </c>
      <c r="E247">
        <f>Tableau6[[#This Row],[Potential (PJ)]]/3.6</f>
        <v>1.2777777777777777</v>
      </c>
      <c r="F247">
        <v>3.4470000000000001</v>
      </c>
      <c r="G247">
        <f>Tableau6[[#This Row],[Cost (€/GJ)]]*3.6</f>
        <v>12.4092</v>
      </c>
      <c r="H247">
        <v>3.86607608129234</v>
      </c>
      <c r="I247">
        <f>Tableau6[[#This Row],[GHG (kgCO2eq/GJ)]]*3.6</f>
        <v>13.917873892652425</v>
      </c>
      <c r="J247" t="s">
        <v>104</v>
      </c>
      <c r="K247" t="s">
        <v>108</v>
      </c>
    </row>
    <row r="248" spans="1:11" x14ac:dyDescent="0.3">
      <c r="A248" t="s">
        <v>17</v>
      </c>
      <c r="B248" t="s">
        <v>61</v>
      </c>
      <c r="C248" t="s">
        <v>99</v>
      </c>
      <c r="D248">
        <v>6</v>
      </c>
      <c r="E248">
        <f>Tableau6[[#This Row],[Potential (PJ)]]/3.6</f>
        <v>1.6666666666666665</v>
      </c>
      <c r="F248">
        <v>1.5920000000000001</v>
      </c>
      <c r="G248">
        <f>Tableau6[[#This Row],[Cost (€/GJ)]]*3.6</f>
        <v>5.7312000000000003</v>
      </c>
      <c r="H248">
        <v>2.9245635910224439</v>
      </c>
      <c r="I248">
        <f>Tableau6[[#This Row],[GHG (kgCO2eq/GJ)]]*3.6</f>
        <v>10.528428927680798</v>
      </c>
      <c r="J248" t="s">
        <v>104</v>
      </c>
      <c r="K248" t="s">
        <v>108</v>
      </c>
    </row>
    <row r="249" spans="1:11" x14ac:dyDescent="0.3">
      <c r="A249" t="s">
        <v>17</v>
      </c>
      <c r="B249" t="s">
        <v>62</v>
      </c>
      <c r="C249" t="s">
        <v>100</v>
      </c>
      <c r="D249">
        <v>2.5</v>
      </c>
      <c r="E249">
        <f>Tableau6[[#This Row],[Potential (PJ)]]/3.6</f>
        <v>0.69444444444444442</v>
      </c>
      <c r="F249">
        <v>1.6</v>
      </c>
      <c r="G249">
        <f>Tableau6[[#This Row],[Cost (€/GJ)]]*3.6</f>
        <v>5.7600000000000007</v>
      </c>
      <c r="H249">
        <v>2.6764106050305911</v>
      </c>
      <c r="I249">
        <f>Tableau6[[#This Row],[GHG (kgCO2eq/GJ)]]*3.6</f>
        <v>9.6350781781101276</v>
      </c>
      <c r="J249" t="s">
        <v>104</v>
      </c>
      <c r="K249" t="s">
        <v>108</v>
      </c>
    </row>
    <row r="250" spans="1:11" x14ac:dyDescent="0.3">
      <c r="A250" t="s">
        <v>17</v>
      </c>
      <c r="B250" t="s">
        <v>54</v>
      </c>
      <c r="C250" t="s">
        <v>78</v>
      </c>
      <c r="D250">
        <v>38.700000000000003</v>
      </c>
      <c r="E250">
        <f>Tableau6[[#This Row],[Potential (PJ)]]/3.6</f>
        <v>10.75</v>
      </c>
      <c r="F250">
        <v>3.4159999999999999</v>
      </c>
      <c r="G250">
        <f>Tableau6[[#This Row],[Cost (€/GJ)]]*3.6</f>
        <v>12.297599999999999</v>
      </c>
      <c r="H250">
        <v>3.86607608129234</v>
      </c>
      <c r="I250">
        <f>Tableau6[[#This Row],[GHG (kgCO2eq/GJ)]]*3.6</f>
        <v>13.917873892652425</v>
      </c>
      <c r="J250" t="s">
        <v>104</v>
      </c>
      <c r="K250" t="s">
        <v>108</v>
      </c>
    </row>
    <row r="251" spans="1:11" x14ac:dyDescent="0.3">
      <c r="A251" t="s">
        <v>18</v>
      </c>
      <c r="B251" t="s">
        <v>46</v>
      </c>
      <c r="C251" t="s">
        <v>63</v>
      </c>
      <c r="D251">
        <v>2.7122999999999999</v>
      </c>
      <c r="E251">
        <f>Tableau6[[#This Row],[Potential (PJ)]]/3.6</f>
        <v>0.75341666666666662</v>
      </c>
      <c r="F251">
        <v>2.9286474973375931</v>
      </c>
      <c r="G251">
        <f>Tableau6[[#This Row],[Cost (€/GJ)]]*3.6</f>
        <v>10.543130990415335</v>
      </c>
      <c r="H251">
        <v>3.950479233226837</v>
      </c>
      <c r="I251">
        <f>Tableau6[[#This Row],[GHG (kgCO2eq/GJ)]]*3.6</f>
        <v>14.221725239616614</v>
      </c>
      <c r="J251" t="s">
        <v>104</v>
      </c>
      <c r="K251" t="s">
        <v>108</v>
      </c>
    </row>
    <row r="252" spans="1:11" x14ac:dyDescent="0.3">
      <c r="A252" t="s">
        <v>18</v>
      </c>
      <c r="B252" t="s">
        <v>46</v>
      </c>
      <c r="C252" t="s">
        <v>64</v>
      </c>
      <c r="D252">
        <v>0.69493000000000005</v>
      </c>
      <c r="E252">
        <f>Tableau6[[#This Row],[Potential (PJ)]]/3.6</f>
        <v>0.19303611111111113</v>
      </c>
      <c r="F252">
        <v>6.3619044076381792</v>
      </c>
      <c r="G252">
        <f>Tableau6[[#This Row],[Cost (€/GJ)]]*3.6</f>
        <v>22.902855867497447</v>
      </c>
      <c r="H252">
        <v>2.9521711768407801</v>
      </c>
      <c r="I252">
        <f>Tableau6[[#This Row],[GHG (kgCO2eq/GJ)]]*3.6</f>
        <v>10.627816236626808</v>
      </c>
      <c r="J252" t="s">
        <v>104</v>
      </c>
      <c r="K252" t="s">
        <v>108</v>
      </c>
    </row>
    <row r="253" spans="1:11" x14ac:dyDescent="0.3">
      <c r="A253" t="s">
        <v>18</v>
      </c>
      <c r="B253" t="s">
        <v>46</v>
      </c>
      <c r="C253" t="s">
        <v>79</v>
      </c>
      <c r="D253">
        <v>6.8</v>
      </c>
      <c r="E253">
        <f>Tableau6[[#This Row],[Potential (PJ)]]/3.6</f>
        <v>1.8888888888888888</v>
      </c>
      <c r="F253">
        <v>3.5762794117647059</v>
      </c>
      <c r="G253">
        <f>Tableau6[[#This Row],[Cost (€/GJ)]]*3.6</f>
        <v>12.874605882352942</v>
      </c>
      <c r="H253">
        <v>6.8428961748633883</v>
      </c>
      <c r="I253">
        <f>Tableau6[[#This Row],[GHG (kgCO2eq/GJ)]]*3.6</f>
        <v>24.634426229508197</v>
      </c>
      <c r="J253" t="s">
        <v>104</v>
      </c>
      <c r="K253" t="s">
        <v>108</v>
      </c>
    </row>
    <row r="254" spans="1:11" x14ac:dyDescent="0.3">
      <c r="A254" t="s">
        <v>18</v>
      </c>
      <c r="B254" t="s">
        <v>46</v>
      </c>
      <c r="C254" t="s">
        <v>65</v>
      </c>
      <c r="D254">
        <v>0.60000000000000009</v>
      </c>
      <c r="E254">
        <f>Tableau6[[#This Row],[Potential (PJ)]]/3.6</f>
        <v>0.16666666666666669</v>
      </c>
      <c r="F254">
        <v>5.5214999999999987</v>
      </c>
      <c r="G254">
        <f>Tableau6[[#This Row],[Cost (€/GJ)]]*3.6</f>
        <v>19.877399999999994</v>
      </c>
      <c r="H254">
        <v>2.9521711768407801</v>
      </c>
      <c r="I254">
        <f>Tableau6[[#This Row],[GHG (kgCO2eq/GJ)]]*3.6</f>
        <v>10.627816236626808</v>
      </c>
      <c r="J254" t="s">
        <v>104</v>
      </c>
      <c r="K254" t="s">
        <v>108</v>
      </c>
    </row>
    <row r="255" spans="1:11" x14ac:dyDescent="0.3">
      <c r="A255" t="s">
        <v>18</v>
      </c>
      <c r="B255" t="s">
        <v>46</v>
      </c>
      <c r="C255" t="s">
        <v>102</v>
      </c>
      <c r="D255">
        <v>0.5</v>
      </c>
      <c r="E255">
        <f>Tableau6[[#This Row],[Potential (PJ)]]/3.6</f>
        <v>0.1388888888888889</v>
      </c>
      <c r="F255">
        <v>4.8883999999999999</v>
      </c>
      <c r="G255">
        <f>Tableau6[[#This Row],[Cost (€/GJ)]]*3.6</f>
        <v>17.598240000000001</v>
      </c>
      <c r="H255">
        <v>2.9521711768407801</v>
      </c>
      <c r="I255">
        <f>Tableau6[[#This Row],[GHG (kgCO2eq/GJ)]]*3.6</f>
        <v>10.627816236626808</v>
      </c>
      <c r="J255" t="s">
        <v>104</v>
      </c>
      <c r="K255" t="s">
        <v>108</v>
      </c>
    </row>
    <row r="256" spans="1:11" x14ac:dyDescent="0.3">
      <c r="A256" t="s">
        <v>18</v>
      </c>
      <c r="B256" t="s">
        <v>46</v>
      </c>
      <c r="C256" t="s">
        <v>80</v>
      </c>
      <c r="D256">
        <v>0.35349999999999998</v>
      </c>
      <c r="E256">
        <f>Tableau6[[#This Row],[Potential (PJ)]]/3.6</f>
        <v>9.8194444444444431E-2</v>
      </c>
      <c r="F256">
        <v>1.2016183412002699</v>
      </c>
      <c r="G256">
        <f>Tableau6[[#This Row],[Cost (€/GJ)]]*3.6</f>
        <v>4.3258260283209715</v>
      </c>
      <c r="H256">
        <v>28.139870918023309</v>
      </c>
      <c r="I256">
        <f>Tableau6[[#This Row],[GHG (kgCO2eq/GJ)]]*3.6</f>
        <v>101.30353530488391</v>
      </c>
      <c r="J256" t="s">
        <v>105</v>
      </c>
      <c r="K256" t="s">
        <v>108</v>
      </c>
    </row>
    <row r="257" spans="1:11" x14ac:dyDescent="0.3">
      <c r="A257" t="s">
        <v>18</v>
      </c>
      <c r="B257" t="s">
        <v>46</v>
      </c>
      <c r="C257" t="s">
        <v>81</v>
      </c>
      <c r="D257">
        <v>0.1118</v>
      </c>
      <c r="E257">
        <f>Tableau6[[#This Row],[Potential (PJ)]]/3.6</f>
        <v>3.1055555555555555E-2</v>
      </c>
      <c r="F257">
        <v>2.6686251468860172</v>
      </c>
      <c r="G257">
        <f>Tableau6[[#This Row],[Cost (€/GJ)]]*3.6</f>
        <v>9.6070505287896619</v>
      </c>
      <c r="H257">
        <v>8.9647473560517046</v>
      </c>
      <c r="I257">
        <f>Tableau6[[#This Row],[GHG (kgCO2eq/GJ)]]*3.6</f>
        <v>32.273090481786134</v>
      </c>
      <c r="J257" t="s">
        <v>105</v>
      </c>
      <c r="K257" t="s">
        <v>108</v>
      </c>
    </row>
    <row r="258" spans="1:11" x14ac:dyDescent="0.3">
      <c r="A258" t="s">
        <v>18</v>
      </c>
      <c r="B258" t="s">
        <v>46</v>
      </c>
      <c r="C258" t="s">
        <v>66</v>
      </c>
      <c r="D258">
        <v>5.3</v>
      </c>
      <c r="E258">
        <f>Tableau6[[#This Row],[Potential (PJ)]]/3.6</f>
        <v>1.4722222222222221</v>
      </c>
      <c r="F258">
        <v>3.6909622641509441</v>
      </c>
      <c r="G258">
        <f>Tableau6[[#This Row],[Cost (€/GJ)]]*3.6</f>
        <v>13.287464150943398</v>
      </c>
      <c r="H258">
        <v>6.8428961748633883</v>
      </c>
      <c r="I258">
        <f>Tableau6[[#This Row],[GHG (kgCO2eq/GJ)]]*3.6</f>
        <v>24.634426229508197</v>
      </c>
      <c r="J258" t="s">
        <v>104</v>
      </c>
      <c r="K258" t="s">
        <v>108</v>
      </c>
    </row>
    <row r="259" spans="1:11" x14ac:dyDescent="0.3">
      <c r="A259" t="s">
        <v>18</v>
      </c>
      <c r="B259" t="s">
        <v>46</v>
      </c>
      <c r="C259" t="s">
        <v>67</v>
      </c>
      <c r="D259">
        <v>7.7</v>
      </c>
      <c r="E259">
        <f>Tableau6[[#This Row],[Potential (PJ)]]/3.6</f>
        <v>2.1388888888888888</v>
      </c>
      <c r="F259">
        <v>7.5189870129870142</v>
      </c>
      <c r="G259">
        <f>Tableau6[[#This Row],[Cost (€/GJ)]]*3.6</f>
        <v>27.068353246753251</v>
      </c>
      <c r="H259">
        <v>2.9521711768407801</v>
      </c>
      <c r="I259">
        <f>Tableau6[[#This Row],[GHG (kgCO2eq/GJ)]]*3.6</f>
        <v>10.627816236626808</v>
      </c>
      <c r="J259" t="s">
        <v>104</v>
      </c>
      <c r="K259" t="s">
        <v>108</v>
      </c>
    </row>
    <row r="260" spans="1:11" x14ac:dyDescent="0.3">
      <c r="A260" t="s">
        <v>18</v>
      </c>
      <c r="B260" t="s">
        <v>46</v>
      </c>
      <c r="C260" t="s">
        <v>82</v>
      </c>
      <c r="D260">
        <v>0.7</v>
      </c>
      <c r="E260">
        <f>Tableau6[[#This Row],[Potential (PJ)]]/3.6</f>
        <v>0.19444444444444442</v>
      </c>
      <c r="F260">
        <v>2.2794285714285709</v>
      </c>
      <c r="G260">
        <f>Tableau6[[#This Row],[Cost (€/GJ)]]*3.6</f>
        <v>8.2059428571428548</v>
      </c>
      <c r="H260">
        <v>6.8428961748633883</v>
      </c>
      <c r="I260">
        <f>Tableau6[[#This Row],[GHG (kgCO2eq/GJ)]]*3.6</f>
        <v>24.634426229508197</v>
      </c>
      <c r="J260" t="s">
        <v>104</v>
      </c>
      <c r="K260" t="s">
        <v>108</v>
      </c>
    </row>
    <row r="261" spans="1:11" x14ac:dyDescent="0.3">
      <c r="A261" t="s">
        <v>18</v>
      </c>
      <c r="B261" t="s">
        <v>46</v>
      </c>
      <c r="C261" t="s">
        <v>83</v>
      </c>
      <c r="D261">
        <v>1.1395599999999999</v>
      </c>
      <c r="E261">
        <f>Tableau6[[#This Row],[Potential (PJ)]]/3.6</f>
        <v>0.31654444444444441</v>
      </c>
      <c r="F261">
        <v>3.4250257731054088</v>
      </c>
      <c r="G261">
        <f>Tableau6[[#This Row],[Cost (€/GJ)]]*3.6</f>
        <v>12.330092783179472</v>
      </c>
      <c r="H261">
        <v>6.8428961748633883</v>
      </c>
      <c r="I261">
        <f>Tableau6[[#This Row],[GHG (kgCO2eq/GJ)]]*3.6</f>
        <v>24.634426229508197</v>
      </c>
      <c r="J261" t="s">
        <v>104</v>
      </c>
      <c r="K261" t="s">
        <v>108</v>
      </c>
    </row>
    <row r="262" spans="1:11" x14ac:dyDescent="0.3">
      <c r="A262" t="s">
        <v>18</v>
      </c>
      <c r="B262" t="s">
        <v>46</v>
      </c>
      <c r="C262" t="s">
        <v>84</v>
      </c>
      <c r="D262">
        <v>0.3</v>
      </c>
      <c r="E262">
        <f>Tableau6[[#This Row],[Potential (PJ)]]/3.6</f>
        <v>8.3333333333333329E-2</v>
      </c>
      <c r="F262">
        <v>2.253333333333333</v>
      </c>
      <c r="G262">
        <f>Tableau6[[#This Row],[Cost (€/GJ)]]*3.6</f>
        <v>8.1119999999999983</v>
      </c>
      <c r="H262">
        <v>28.139870918023309</v>
      </c>
      <c r="I262">
        <f>Tableau6[[#This Row],[GHG (kgCO2eq/GJ)]]*3.6</f>
        <v>101.30353530488391</v>
      </c>
      <c r="J262" t="s">
        <v>105</v>
      </c>
      <c r="K262" t="s">
        <v>108</v>
      </c>
    </row>
    <row r="263" spans="1:11" x14ac:dyDescent="0.3">
      <c r="A263" t="s">
        <v>18</v>
      </c>
      <c r="B263" t="s">
        <v>46</v>
      </c>
      <c r="C263" t="s">
        <v>85</v>
      </c>
      <c r="D263">
        <v>1</v>
      </c>
      <c r="E263">
        <f>Tableau6[[#This Row],[Potential (PJ)]]/3.6</f>
        <v>0.27777777777777779</v>
      </c>
      <c r="F263">
        <v>3.8794</v>
      </c>
      <c r="G263">
        <f>Tableau6[[#This Row],[Cost (€/GJ)]]*3.6</f>
        <v>13.96584</v>
      </c>
      <c r="H263">
        <v>2.9521711768407801</v>
      </c>
      <c r="I263">
        <f>Tableau6[[#This Row],[GHG (kgCO2eq/GJ)]]*3.6</f>
        <v>10.627816236626808</v>
      </c>
      <c r="J263" t="s">
        <v>104</v>
      </c>
      <c r="K263" t="s">
        <v>108</v>
      </c>
    </row>
    <row r="264" spans="1:11" x14ac:dyDescent="0.3">
      <c r="A264" t="s">
        <v>18</v>
      </c>
      <c r="B264" t="s">
        <v>55</v>
      </c>
      <c r="C264" t="s">
        <v>86</v>
      </c>
      <c r="D264">
        <v>1.0128999999999999</v>
      </c>
      <c r="E264">
        <f>Tableau6[[#This Row],[Potential (PJ)]]/3.6</f>
        <v>0.28136111111111106</v>
      </c>
      <c r="F264">
        <v>14.109</v>
      </c>
      <c r="G264">
        <f>Tableau6[[#This Row],[Cost (€/GJ)]]*3.6</f>
        <v>50.792400000000001</v>
      </c>
      <c r="I264">
        <f>Tableau6[[#This Row],[GHG (kgCO2eq/GJ)]]*3.6</f>
        <v>0</v>
      </c>
      <c r="J264" t="s">
        <v>106</v>
      </c>
      <c r="K264" t="s">
        <v>109</v>
      </c>
    </row>
    <row r="265" spans="1:11" x14ac:dyDescent="0.3">
      <c r="A265" t="s">
        <v>18</v>
      </c>
      <c r="B265" t="s">
        <v>55</v>
      </c>
      <c r="C265" t="s">
        <v>87</v>
      </c>
      <c r="D265">
        <v>3.7757000000000001</v>
      </c>
      <c r="E265">
        <f>Tableau6[[#This Row],[Potential (PJ)]]/3.6</f>
        <v>1.0488055555555555</v>
      </c>
      <c r="F265">
        <v>19.335000000000001</v>
      </c>
      <c r="G265">
        <f>Tableau6[[#This Row],[Cost (€/GJ)]]*3.6</f>
        <v>69.606000000000009</v>
      </c>
      <c r="I265">
        <f>Tableau6[[#This Row],[GHG (kgCO2eq/GJ)]]*3.6</f>
        <v>0</v>
      </c>
      <c r="J265" t="s">
        <v>106</v>
      </c>
      <c r="K265" t="s">
        <v>109</v>
      </c>
    </row>
    <row r="266" spans="1:11" x14ac:dyDescent="0.3">
      <c r="A266" t="s">
        <v>18</v>
      </c>
      <c r="B266" t="s">
        <v>55</v>
      </c>
      <c r="C266" t="s">
        <v>88</v>
      </c>
      <c r="D266">
        <v>1.5251999999999999</v>
      </c>
      <c r="E266">
        <f>Tableau6[[#This Row],[Potential (PJ)]]/3.6</f>
        <v>0.42366666666666664</v>
      </c>
      <c r="F266">
        <v>16.361999999999998</v>
      </c>
      <c r="G266">
        <f>Tableau6[[#This Row],[Cost (€/GJ)]]*3.6</f>
        <v>58.903199999999998</v>
      </c>
      <c r="I266">
        <f>Tableau6[[#This Row],[GHG (kgCO2eq/GJ)]]*3.6</f>
        <v>0</v>
      </c>
      <c r="J266" t="s">
        <v>106</v>
      </c>
      <c r="K266" t="s">
        <v>109</v>
      </c>
    </row>
    <row r="267" spans="1:11" x14ac:dyDescent="0.3">
      <c r="A267" t="s">
        <v>18</v>
      </c>
      <c r="B267" t="s">
        <v>55</v>
      </c>
      <c r="C267" t="s">
        <v>91</v>
      </c>
      <c r="D267">
        <v>2E-3</v>
      </c>
      <c r="E267">
        <f>Tableau6[[#This Row],[Potential (PJ)]]/3.6</f>
        <v>5.5555555555555556E-4</v>
      </c>
      <c r="F267">
        <v>13.2</v>
      </c>
      <c r="G267">
        <f>Tableau6[[#This Row],[Cost (€/GJ)]]*3.6</f>
        <v>47.519999999999996</v>
      </c>
      <c r="I267">
        <f>Tableau6[[#This Row],[GHG (kgCO2eq/GJ)]]*3.6</f>
        <v>0</v>
      </c>
      <c r="J267" t="s">
        <v>106</v>
      </c>
      <c r="K267" t="s">
        <v>109</v>
      </c>
    </row>
    <row r="268" spans="1:11" x14ac:dyDescent="0.3">
      <c r="A268" t="s">
        <v>18</v>
      </c>
      <c r="B268" t="s">
        <v>56</v>
      </c>
      <c r="C268" t="s">
        <v>93</v>
      </c>
      <c r="D268">
        <v>16.1951</v>
      </c>
      <c r="E268">
        <f>Tableau6[[#This Row],[Potential (PJ)]]/3.6</f>
        <v>4.4986388888888884</v>
      </c>
      <c r="F268">
        <v>2.939759036144578</v>
      </c>
      <c r="G268">
        <f>Tableau6[[#This Row],[Cost (€/GJ)]]*3.6</f>
        <v>10.583132530120482</v>
      </c>
      <c r="I268">
        <f>Tableau6[[#This Row],[GHG (kgCO2eq/GJ)]]*3.6</f>
        <v>0</v>
      </c>
      <c r="J268" t="s">
        <v>106</v>
      </c>
      <c r="K268" t="s">
        <v>109</v>
      </c>
    </row>
    <row r="269" spans="1:11" x14ac:dyDescent="0.3">
      <c r="A269" t="s">
        <v>18</v>
      </c>
      <c r="B269" t="s">
        <v>47</v>
      </c>
      <c r="C269" t="s">
        <v>68</v>
      </c>
      <c r="D269">
        <v>27.5</v>
      </c>
      <c r="E269">
        <f>Tableau6[[#This Row],[Potential (PJ)]]/3.6</f>
        <v>7.6388888888888884</v>
      </c>
      <c r="F269">
        <v>5.9113745454545459</v>
      </c>
      <c r="G269">
        <f>Tableau6[[#This Row],[Cost (€/GJ)]]*3.6</f>
        <v>21.280948363636366</v>
      </c>
      <c r="I269">
        <f>Tableau6[[#This Row],[GHG (kgCO2eq/GJ)]]*3.6</f>
        <v>0</v>
      </c>
      <c r="J269" t="s">
        <v>104</v>
      </c>
      <c r="K269" t="s">
        <v>109</v>
      </c>
    </row>
    <row r="270" spans="1:11" x14ac:dyDescent="0.3">
      <c r="A270" t="s">
        <v>18</v>
      </c>
      <c r="B270" t="s">
        <v>47</v>
      </c>
      <c r="C270" t="s">
        <v>69</v>
      </c>
      <c r="D270">
        <v>11.2</v>
      </c>
      <c r="E270">
        <f>Tableau6[[#This Row],[Potential (PJ)]]/3.6</f>
        <v>3.1111111111111107</v>
      </c>
      <c r="F270">
        <v>9.0520624999999999</v>
      </c>
      <c r="G270">
        <f>Tableau6[[#This Row],[Cost (€/GJ)]]*3.6</f>
        <v>32.587425000000003</v>
      </c>
      <c r="I270">
        <f>Tableau6[[#This Row],[GHG (kgCO2eq/GJ)]]*3.6</f>
        <v>0</v>
      </c>
      <c r="J270" t="s">
        <v>104</v>
      </c>
      <c r="K270" t="s">
        <v>109</v>
      </c>
    </row>
    <row r="271" spans="1:11" x14ac:dyDescent="0.3">
      <c r="A271" t="s">
        <v>18</v>
      </c>
      <c r="B271" t="s">
        <v>48</v>
      </c>
      <c r="C271" t="s">
        <v>70</v>
      </c>
      <c r="D271">
        <v>7.1999999999999993</v>
      </c>
      <c r="E271">
        <f>Tableau6[[#This Row],[Potential (PJ)]]/3.6</f>
        <v>1.9999999999999998</v>
      </c>
      <c r="F271">
        <v>15.876694444444439</v>
      </c>
      <c r="G271">
        <f>Tableau6[[#This Row],[Cost (€/GJ)]]*3.6</f>
        <v>57.156099999999981</v>
      </c>
      <c r="I271">
        <f>Tableau6[[#This Row],[GHG (kgCO2eq/GJ)]]*3.6</f>
        <v>0</v>
      </c>
      <c r="J271" t="s">
        <v>104</v>
      </c>
      <c r="K271" t="s">
        <v>109</v>
      </c>
    </row>
    <row r="272" spans="1:11" x14ac:dyDescent="0.3">
      <c r="A272" t="s">
        <v>18</v>
      </c>
      <c r="B272" t="s">
        <v>49</v>
      </c>
      <c r="C272" t="s">
        <v>71</v>
      </c>
      <c r="D272">
        <v>30.184280000000001</v>
      </c>
      <c r="E272">
        <f>Tableau6[[#This Row],[Potential (PJ)]]/3.6</f>
        <v>8.3845222222222215</v>
      </c>
      <c r="F272">
        <v>4.5903582483994976</v>
      </c>
      <c r="G272">
        <f>Tableau6[[#This Row],[Cost (€/GJ)]]*3.6</f>
        <v>16.525289694238193</v>
      </c>
      <c r="H272">
        <v>3.86607608129234</v>
      </c>
      <c r="I272">
        <f>Tableau6[[#This Row],[GHG (kgCO2eq/GJ)]]*3.6</f>
        <v>13.917873892652425</v>
      </c>
      <c r="J272" t="s">
        <v>104</v>
      </c>
      <c r="K272" t="s">
        <v>108</v>
      </c>
    </row>
    <row r="273" spans="1:11" x14ac:dyDescent="0.3">
      <c r="A273" t="s">
        <v>18</v>
      </c>
      <c r="B273" t="s">
        <v>49</v>
      </c>
      <c r="C273" t="s">
        <v>72</v>
      </c>
      <c r="D273">
        <v>7</v>
      </c>
      <c r="E273">
        <f>Tableau6[[#This Row],[Potential (PJ)]]/3.6</f>
        <v>1.9444444444444444</v>
      </c>
      <c r="F273">
        <v>3.6801857142857139</v>
      </c>
      <c r="G273">
        <f>Tableau6[[#This Row],[Cost (€/GJ)]]*3.6</f>
        <v>13.248668571428571</v>
      </c>
      <c r="H273">
        <v>3.86607608129234</v>
      </c>
      <c r="I273">
        <f>Tableau6[[#This Row],[GHG (kgCO2eq/GJ)]]*3.6</f>
        <v>13.917873892652425</v>
      </c>
      <c r="J273" t="s">
        <v>104</v>
      </c>
      <c r="K273" t="s">
        <v>108</v>
      </c>
    </row>
    <row r="274" spans="1:11" x14ac:dyDescent="0.3">
      <c r="A274" t="s">
        <v>18</v>
      </c>
      <c r="B274" t="s">
        <v>58</v>
      </c>
      <c r="C274" t="s">
        <v>95</v>
      </c>
      <c r="D274">
        <v>11.615589999999999</v>
      </c>
      <c r="E274">
        <f>Tableau6[[#This Row],[Potential (PJ)]]/3.6</f>
        <v>3.2265527777777776</v>
      </c>
      <c r="F274">
        <v>3.01160676125793</v>
      </c>
      <c r="G274">
        <f>Tableau6[[#This Row],[Cost (€/GJ)]]*3.6</f>
        <v>10.841784340528548</v>
      </c>
      <c r="H274">
        <v>2.9521711768407801</v>
      </c>
      <c r="I274">
        <f>Tableau6[[#This Row],[GHG (kgCO2eq/GJ)]]*3.6</f>
        <v>10.627816236626808</v>
      </c>
      <c r="J274" t="s">
        <v>104</v>
      </c>
      <c r="K274" t="s">
        <v>108</v>
      </c>
    </row>
    <row r="275" spans="1:11" x14ac:dyDescent="0.3">
      <c r="A275" t="s">
        <v>18</v>
      </c>
      <c r="B275" t="s">
        <v>50</v>
      </c>
      <c r="C275" t="s">
        <v>73</v>
      </c>
      <c r="D275">
        <v>1.1000000000000001</v>
      </c>
      <c r="E275">
        <f>Tableau6[[#This Row],[Potential (PJ)]]/3.6</f>
        <v>0.30555555555555558</v>
      </c>
      <c r="F275">
        <v>5.3453636363636363</v>
      </c>
      <c r="G275">
        <f>Tableau6[[#This Row],[Cost (€/GJ)]]*3.6</f>
        <v>19.24330909090909</v>
      </c>
      <c r="H275">
        <v>20.723404255319149</v>
      </c>
      <c r="I275">
        <f>Tableau6[[#This Row],[GHG (kgCO2eq/GJ)]]*3.6</f>
        <v>74.604255319148933</v>
      </c>
      <c r="J275" t="s">
        <v>105</v>
      </c>
      <c r="K275" t="s">
        <v>108</v>
      </c>
    </row>
    <row r="276" spans="1:11" x14ac:dyDescent="0.3">
      <c r="A276" t="s">
        <v>18</v>
      </c>
      <c r="B276" t="s">
        <v>50</v>
      </c>
      <c r="C276" t="s">
        <v>74</v>
      </c>
      <c r="D276">
        <v>10.3</v>
      </c>
      <c r="E276">
        <f>Tableau6[[#This Row],[Potential (PJ)]]/3.6</f>
        <v>2.8611111111111112</v>
      </c>
      <c r="F276">
        <v>4.1200873786407763</v>
      </c>
      <c r="G276">
        <f>Tableau6[[#This Row],[Cost (€/GJ)]]*3.6</f>
        <v>14.832314563106795</v>
      </c>
      <c r="H276">
        <v>2.0635593220338988</v>
      </c>
      <c r="I276">
        <f>Tableau6[[#This Row],[GHG (kgCO2eq/GJ)]]*3.6</f>
        <v>7.4288135593220357</v>
      </c>
      <c r="J276" t="s">
        <v>105</v>
      </c>
      <c r="K276" t="s">
        <v>108</v>
      </c>
    </row>
    <row r="277" spans="1:11" x14ac:dyDescent="0.3">
      <c r="A277" t="s">
        <v>18</v>
      </c>
      <c r="B277" t="s">
        <v>59</v>
      </c>
      <c r="C277" t="s">
        <v>96</v>
      </c>
      <c r="D277">
        <v>0.25950000000000001</v>
      </c>
      <c r="E277">
        <f>Tableau6[[#This Row],[Potential (PJ)]]/3.6</f>
        <v>7.2083333333333333E-2</v>
      </c>
      <c r="F277">
        <v>17.279</v>
      </c>
      <c r="G277">
        <f>Tableau6[[#This Row],[Cost (€/GJ)]]*3.6</f>
        <v>62.2044</v>
      </c>
      <c r="I277">
        <f>Tableau6[[#This Row],[GHG (kgCO2eq/GJ)]]*3.6</f>
        <v>0</v>
      </c>
      <c r="J277" t="s">
        <v>107</v>
      </c>
      <c r="K277" t="s">
        <v>109</v>
      </c>
    </row>
    <row r="278" spans="1:11" x14ac:dyDescent="0.3">
      <c r="A278" t="s">
        <v>18</v>
      </c>
      <c r="B278" t="s">
        <v>59</v>
      </c>
      <c r="C278" t="s">
        <v>97</v>
      </c>
      <c r="D278">
        <v>0.34429999999999999</v>
      </c>
      <c r="E278">
        <f>Tableau6[[#This Row],[Potential (PJ)]]/3.6</f>
        <v>9.5638888888888884E-2</v>
      </c>
      <c r="F278">
        <v>19.96744438415627</v>
      </c>
      <c r="G278">
        <f>Tableau6[[#This Row],[Cost (€/GJ)]]*3.6</f>
        <v>71.882799782962579</v>
      </c>
      <c r="I278">
        <f>Tableau6[[#This Row],[GHG (kgCO2eq/GJ)]]*3.6</f>
        <v>0</v>
      </c>
      <c r="J278" t="s">
        <v>107</v>
      </c>
      <c r="K278" t="s">
        <v>109</v>
      </c>
    </row>
    <row r="279" spans="1:11" x14ac:dyDescent="0.3">
      <c r="A279" t="s">
        <v>18</v>
      </c>
      <c r="B279" t="s">
        <v>51</v>
      </c>
      <c r="C279" t="s">
        <v>75</v>
      </c>
      <c r="D279">
        <v>2.5814300000000001</v>
      </c>
      <c r="E279">
        <f>Tableau6[[#This Row],[Potential (PJ)]]/3.6</f>
        <v>0.71706388888888895</v>
      </c>
      <c r="F279">
        <v>8.5002049740402305E-2</v>
      </c>
      <c r="G279">
        <f>Tableau6[[#This Row],[Cost (€/GJ)]]*3.6</f>
        <v>0.30600737906544828</v>
      </c>
      <c r="H279">
        <v>11.74</v>
      </c>
      <c r="I279">
        <f>Tableau6[[#This Row],[GHG (kgCO2eq/GJ)]]*3.6</f>
        <v>42.264000000000003</v>
      </c>
      <c r="J279" t="s">
        <v>104</v>
      </c>
      <c r="K279" t="s">
        <v>108</v>
      </c>
    </row>
    <row r="280" spans="1:11" x14ac:dyDescent="0.3">
      <c r="A280" t="s">
        <v>18</v>
      </c>
      <c r="B280" t="s">
        <v>52</v>
      </c>
      <c r="C280" t="s">
        <v>76</v>
      </c>
      <c r="D280">
        <v>0.47599999999999998</v>
      </c>
      <c r="E280">
        <f>Tableau6[[#This Row],[Potential (PJ)]]/3.6</f>
        <v>0.13222222222222221</v>
      </c>
      <c r="F280">
        <v>0</v>
      </c>
      <c r="G280">
        <f>Tableau6[[#This Row],[Cost (€/GJ)]]*3.6</f>
        <v>0</v>
      </c>
      <c r="H280">
        <v>12.68872359754714</v>
      </c>
      <c r="I280">
        <f>Tableau6[[#This Row],[GHG (kgCO2eq/GJ)]]*3.6</f>
        <v>45.679404951169708</v>
      </c>
      <c r="J280" t="s">
        <v>105</v>
      </c>
      <c r="K280" t="s">
        <v>108</v>
      </c>
    </row>
    <row r="281" spans="1:11" x14ac:dyDescent="0.3">
      <c r="A281" t="s">
        <v>18</v>
      </c>
      <c r="B281" t="s">
        <v>53</v>
      </c>
      <c r="C281" t="s">
        <v>77</v>
      </c>
      <c r="D281">
        <v>2.8</v>
      </c>
      <c r="E281">
        <f>Tableau6[[#This Row],[Potential (PJ)]]/3.6</f>
        <v>0.77777777777777768</v>
      </c>
      <c r="F281">
        <v>3.6806785714285719</v>
      </c>
      <c r="G281">
        <f>Tableau6[[#This Row],[Cost (€/GJ)]]*3.6</f>
        <v>13.250442857142859</v>
      </c>
      <c r="H281">
        <v>3.86607608129234</v>
      </c>
      <c r="I281">
        <f>Tableau6[[#This Row],[GHG (kgCO2eq/GJ)]]*3.6</f>
        <v>13.917873892652425</v>
      </c>
      <c r="J281" t="s">
        <v>104</v>
      </c>
      <c r="K281" t="s">
        <v>108</v>
      </c>
    </row>
    <row r="282" spans="1:11" x14ac:dyDescent="0.3">
      <c r="A282" t="s">
        <v>18</v>
      </c>
      <c r="B282" t="s">
        <v>61</v>
      </c>
      <c r="C282" t="s">
        <v>99</v>
      </c>
      <c r="D282">
        <v>2.9</v>
      </c>
      <c r="E282">
        <f>Tableau6[[#This Row],[Potential (PJ)]]/3.6</f>
        <v>0.80555555555555547</v>
      </c>
      <c r="F282">
        <v>1.7817931034482759</v>
      </c>
      <c r="G282">
        <f>Tableau6[[#This Row],[Cost (€/GJ)]]*3.6</f>
        <v>6.4144551724137937</v>
      </c>
      <c r="H282">
        <v>2.9245635910224439</v>
      </c>
      <c r="I282">
        <f>Tableau6[[#This Row],[GHG (kgCO2eq/GJ)]]*3.6</f>
        <v>10.528428927680798</v>
      </c>
      <c r="J282" t="s">
        <v>104</v>
      </c>
      <c r="K282" t="s">
        <v>108</v>
      </c>
    </row>
    <row r="283" spans="1:11" x14ac:dyDescent="0.3">
      <c r="A283" t="s">
        <v>18</v>
      </c>
      <c r="B283" t="s">
        <v>62</v>
      </c>
      <c r="C283" t="s">
        <v>100</v>
      </c>
      <c r="D283">
        <v>0.4</v>
      </c>
      <c r="E283">
        <f>Tableau6[[#This Row],[Potential (PJ)]]/3.6</f>
        <v>0.11111111111111112</v>
      </c>
      <c r="F283">
        <v>0.22500000000000001</v>
      </c>
      <c r="G283">
        <f>Tableau6[[#This Row],[Cost (€/GJ)]]*3.6</f>
        <v>0.81</v>
      </c>
      <c r="H283">
        <v>2.6764106050305911</v>
      </c>
      <c r="I283">
        <f>Tableau6[[#This Row],[GHG (kgCO2eq/GJ)]]*3.6</f>
        <v>9.6350781781101276</v>
      </c>
      <c r="J283" t="s">
        <v>104</v>
      </c>
      <c r="K283" t="s">
        <v>108</v>
      </c>
    </row>
    <row r="284" spans="1:11" x14ac:dyDescent="0.3">
      <c r="A284" t="s">
        <v>18</v>
      </c>
      <c r="B284" t="s">
        <v>54</v>
      </c>
      <c r="C284" t="s">
        <v>78</v>
      </c>
      <c r="D284">
        <v>11.5</v>
      </c>
      <c r="E284">
        <f>Tableau6[[#This Row],[Potential (PJ)]]/3.6</f>
        <v>3.1944444444444442</v>
      </c>
      <c r="F284">
        <v>7.6559913043478272</v>
      </c>
      <c r="G284">
        <f>Tableau6[[#This Row],[Cost (€/GJ)]]*3.6</f>
        <v>27.561568695652177</v>
      </c>
      <c r="H284">
        <v>3.86607608129234</v>
      </c>
      <c r="I284">
        <f>Tableau6[[#This Row],[GHG (kgCO2eq/GJ)]]*3.6</f>
        <v>13.917873892652425</v>
      </c>
      <c r="J284" t="s">
        <v>104</v>
      </c>
      <c r="K284" t="s">
        <v>108</v>
      </c>
    </row>
    <row r="285" spans="1:11" x14ac:dyDescent="0.3">
      <c r="A285" t="s">
        <v>19</v>
      </c>
      <c r="B285" t="s">
        <v>46</v>
      </c>
      <c r="C285" t="s">
        <v>63</v>
      </c>
      <c r="D285">
        <v>7.2561999999999998</v>
      </c>
      <c r="E285">
        <f>Tableau6[[#This Row],[Potential (PJ)]]/3.6</f>
        <v>2.0156111111111108</v>
      </c>
      <c r="F285">
        <v>2.9286474973375931</v>
      </c>
      <c r="G285">
        <f>Tableau6[[#This Row],[Cost (€/GJ)]]*3.6</f>
        <v>10.543130990415335</v>
      </c>
      <c r="H285">
        <v>3.950479233226837</v>
      </c>
      <c r="I285">
        <f>Tableau6[[#This Row],[GHG (kgCO2eq/GJ)]]*3.6</f>
        <v>14.221725239616614</v>
      </c>
      <c r="J285" t="s">
        <v>104</v>
      </c>
      <c r="K285" t="s">
        <v>108</v>
      </c>
    </row>
    <row r="286" spans="1:11" x14ac:dyDescent="0.3">
      <c r="A286" t="s">
        <v>19</v>
      </c>
      <c r="B286" t="s">
        <v>46</v>
      </c>
      <c r="C286" t="s">
        <v>64</v>
      </c>
      <c r="D286">
        <v>1.1722399999999999</v>
      </c>
      <c r="E286">
        <f>Tableau6[[#This Row],[Potential (PJ)]]/3.6</f>
        <v>0.3256222222222222</v>
      </c>
      <c r="F286">
        <v>7.0138424554698702</v>
      </c>
      <c r="G286">
        <f>Tableau6[[#This Row],[Cost (€/GJ)]]*3.6</f>
        <v>25.249832839691532</v>
      </c>
      <c r="H286">
        <v>2.9521711768407801</v>
      </c>
      <c r="I286">
        <f>Tableau6[[#This Row],[GHG (kgCO2eq/GJ)]]*3.6</f>
        <v>10.627816236626808</v>
      </c>
      <c r="J286" t="s">
        <v>104</v>
      </c>
      <c r="K286" t="s">
        <v>108</v>
      </c>
    </row>
    <row r="287" spans="1:11" x14ac:dyDescent="0.3">
      <c r="A287" t="s">
        <v>19</v>
      </c>
      <c r="B287" t="s">
        <v>46</v>
      </c>
      <c r="C287" t="s">
        <v>79</v>
      </c>
      <c r="D287">
        <v>58.8</v>
      </c>
      <c r="E287">
        <f>Tableau6[[#This Row],[Potential (PJ)]]/3.6</f>
        <v>16.333333333333332</v>
      </c>
      <c r="F287">
        <v>2.421738095238096</v>
      </c>
      <c r="G287">
        <f>Tableau6[[#This Row],[Cost (€/GJ)]]*3.6</f>
        <v>8.718257142857146</v>
      </c>
      <c r="H287">
        <v>6.8428961748633883</v>
      </c>
      <c r="I287">
        <f>Tableau6[[#This Row],[GHG (kgCO2eq/GJ)]]*3.6</f>
        <v>24.634426229508197</v>
      </c>
      <c r="J287" t="s">
        <v>104</v>
      </c>
      <c r="K287" t="s">
        <v>108</v>
      </c>
    </row>
    <row r="288" spans="1:11" x14ac:dyDescent="0.3">
      <c r="A288" t="s">
        <v>19</v>
      </c>
      <c r="B288" t="s">
        <v>46</v>
      </c>
      <c r="C288" t="s">
        <v>65</v>
      </c>
      <c r="D288">
        <v>8.9</v>
      </c>
      <c r="E288">
        <f>Tableau6[[#This Row],[Potential (PJ)]]/3.6</f>
        <v>2.4722222222222223</v>
      </c>
      <c r="F288">
        <v>6.0556516853932578</v>
      </c>
      <c r="G288">
        <f>Tableau6[[#This Row],[Cost (€/GJ)]]*3.6</f>
        <v>21.800346067415727</v>
      </c>
      <c r="H288">
        <v>2.9521711768407801</v>
      </c>
      <c r="I288">
        <f>Tableau6[[#This Row],[GHG (kgCO2eq/GJ)]]*3.6</f>
        <v>10.627816236626808</v>
      </c>
      <c r="J288" t="s">
        <v>104</v>
      </c>
      <c r="K288" t="s">
        <v>108</v>
      </c>
    </row>
    <row r="289" spans="1:11" x14ac:dyDescent="0.3">
      <c r="A289" t="s">
        <v>19</v>
      </c>
      <c r="B289" t="s">
        <v>46</v>
      </c>
      <c r="C289" t="s">
        <v>102</v>
      </c>
      <c r="D289">
        <v>4.2</v>
      </c>
      <c r="E289">
        <f>Tableau6[[#This Row],[Potential (PJ)]]/3.6</f>
        <v>1.1666666666666667</v>
      </c>
      <c r="F289">
        <v>5.2477619047619051</v>
      </c>
      <c r="G289">
        <f>Tableau6[[#This Row],[Cost (€/GJ)]]*3.6</f>
        <v>18.891942857142858</v>
      </c>
      <c r="H289">
        <v>2.9521711768407801</v>
      </c>
      <c r="I289">
        <f>Tableau6[[#This Row],[GHG (kgCO2eq/GJ)]]*3.6</f>
        <v>10.627816236626808</v>
      </c>
      <c r="J289" t="s">
        <v>104</v>
      </c>
      <c r="K289" t="s">
        <v>108</v>
      </c>
    </row>
    <row r="290" spans="1:11" x14ac:dyDescent="0.3">
      <c r="A290" t="s">
        <v>19</v>
      </c>
      <c r="B290" t="s">
        <v>46</v>
      </c>
      <c r="C290" t="s">
        <v>80</v>
      </c>
      <c r="D290">
        <v>2.7612999999999999</v>
      </c>
      <c r="E290">
        <f>Tableau6[[#This Row],[Potential (PJ)]]/3.6</f>
        <v>0.76702777777777775</v>
      </c>
      <c r="F290">
        <v>0.53674983142279165</v>
      </c>
      <c r="G290">
        <f>Tableau6[[#This Row],[Cost (€/GJ)]]*3.6</f>
        <v>1.93229939312205</v>
      </c>
      <c r="H290">
        <v>28.139870918023309</v>
      </c>
      <c r="I290">
        <f>Tableau6[[#This Row],[GHG (kgCO2eq/GJ)]]*3.6</f>
        <v>101.30353530488391</v>
      </c>
      <c r="J290" t="s">
        <v>105</v>
      </c>
      <c r="K290" t="s">
        <v>108</v>
      </c>
    </row>
    <row r="291" spans="1:11" x14ac:dyDescent="0.3">
      <c r="A291" t="s">
        <v>19</v>
      </c>
      <c r="B291" t="s">
        <v>46</v>
      </c>
      <c r="C291" t="s">
        <v>81</v>
      </c>
      <c r="D291">
        <v>0.63059999999999994</v>
      </c>
      <c r="E291">
        <f>Tableau6[[#This Row],[Potential (PJ)]]/3.6</f>
        <v>0.17516666666666664</v>
      </c>
      <c r="F291">
        <v>1.0987074030552291</v>
      </c>
      <c r="G291">
        <f>Tableau6[[#This Row],[Cost (€/GJ)]]*3.6</f>
        <v>3.9553466509988247</v>
      </c>
      <c r="H291">
        <v>8.9647473560517046</v>
      </c>
      <c r="I291">
        <f>Tableau6[[#This Row],[GHG (kgCO2eq/GJ)]]*3.6</f>
        <v>32.273090481786134</v>
      </c>
      <c r="J291" t="s">
        <v>105</v>
      </c>
      <c r="K291" t="s">
        <v>108</v>
      </c>
    </row>
    <row r="292" spans="1:11" x14ac:dyDescent="0.3">
      <c r="A292" t="s">
        <v>19</v>
      </c>
      <c r="B292" t="s">
        <v>46</v>
      </c>
      <c r="C292" t="s">
        <v>66</v>
      </c>
      <c r="D292">
        <v>7</v>
      </c>
      <c r="E292">
        <f>Tableau6[[#This Row],[Potential (PJ)]]/3.6</f>
        <v>1.9444444444444444</v>
      </c>
      <c r="F292">
        <v>2.4947428571428572</v>
      </c>
      <c r="G292">
        <f>Tableau6[[#This Row],[Cost (€/GJ)]]*3.6</f>
        <v>8.9810742857142856</v>
      </c>
      <c r="H292">
        <v>6.8428961748633883</v>
      </c>
      <c r="I292">
        <f>Tableau6[[#This Row],[GHG (kgCO2eq/GJ)]]*3.6</f>
        <v>24.634426229508197</v>
      </c>
      <c r="J292" t="s">
        <v>104</v>
      </c>
      <c r="K292" t="s">
        <v>108</v>
      </c>
    </row>
    <row r="293" spans="1:11" x14ac:dyDescent="0.3">
      <c r="A293" t="s">
        <v>19</v>
      </c>
      <c r="B293" t="s">
        <v>46</v>
      </c>
      <c r="C293" t="s">
        <v>67</v>
      </c>
      <c r="D293">
        <v>19.8</v>
      </c>
      <c r="E293">
        <f>Tableau6[[#This Row],[Potential (PJ)]]/3.6</f>
        <v>5.5</v>
      </c>
      <c r="F293">
        <v>8.7080555555555534</v>
      </c>
      <c r="G293">
        <f>Tableau6[[#This Row],[Cost (€/GJ)]]*3.6</f>
        <v>31.348999999999993</v>
      </c>
      <c r="H293">
        <v>2.9521711768407801</v>
      </c>
      <c r="I293">
        <f>Tableau6[[#This Row],[GHG (kgCO2eq/GJ)]]*3.6</f>
        <v>10.627816236626808</v>
      </c>
      <c r="J293" t="s">
        <v>104</v>
      </c>
      <c r="K293" t="s">
        <v>108</v>
      </c>
    </row>
    <row r="294" spans="1:11" x14ac:dyDescent="0.3">
      <c r="A294" t="s">
        <v>19</v>
      </c>
      <c r="B294" t="s">
        <v>46</v>
      </c>
      <c r="C294" t="s">
        <v>82</v>
      </c>
      <c r="D294">
        <v>7.6</v>
      </c>
      <c r="E294">
        <f>Tableau6[[#This Row],[Potential (PJ)]]/3.6</f>
        <v>2.1111111111111112</v>
      </c>
      <c r="F294">
        <v>1.600223684210526</v>
      </c>
      <c r="G294">
        <f>Tableau6[[#This Row],[Cost (€/GJ)]]*3.6</f>
        <v>5.7608052631578932</v>
      </c>
      <c r="H294">
        <v>6.8428961748633883</v>
      </c>
      <c r="I294">
        <f>Tableau6[[#This Row],[GHG (kgCO2eq/GJ)]]*3.6</f>
        <v>24.634426229508197</v>
      </c>
      <c r="J294" t="s">
        <v>104</v>
      </c>
      <c r="K294" t="s">
        <v>108</v>
      </c>
    </row>
    <row r="295" spans="1:11" x14ac:dyDescent="0.3">
      <c r="A295" t="s">
        <v>19</v>
      </c>
      <c r="B295" t="s">
        <v>46</v>
      </c>
      <c r="C295" t="s">
        <v>83</v>
      </c>
      <c r="D295">
        <v>3.8005399999999998</v>
      </c>
      <c r="E295">
        <f>Tableau6[[#This Row],[Potential (PJ)]]/3.6</f>
        <v>1.0557055555555555</v>
      </c>
      <c r="F295">
        <v>2.3284709778084172</v>
      </c>
      <c r="G295">
        <f>Tableau6[[#This Row],[Cost (€/GJ)]]*3.6</f>
        <v>8.382495520110302</v>
      </c>
      <c r="H295">
        <v>6.8428961748633883</v>
      </c>
      <c r="I295">
        <f>Tableau6[[#This Row],[GHG (kgCO2eq/GJ)]]*3.6</f>
        <v>24.634426229508197</v>
      </c>
      <c r="J295" t="s">
        <v>104</v>
      </c>
      <c r="K295" t="s">
        <v>108</v>
      </c>
    </row>
    <row r="296" spans="1:11" x14ac:dyDescent="0.3">
      <c r="A296" t="s">
        <v>19</v>
      </c>
      <c r="B296" t="s">
        <v>46</v>
      </c>
      <c r="C296" t="s">
        <v>84</v>
      </c>
      <c r="D296">
        <v>1.3</v>
      </c>
      <c r="E296">
        <f>Tableau6[[#This Row],[Potential (PJ)]]/3.6</f>
        <v>0.3611111111111111</v>
      </c>
      <c r="F296">
        <v>1.92</v>
      </c>
      <c r="G296">
        <f>Tableau6[[#This Row],[Cost (€/GJ)]]*3.6</f>
        <v>6.9119999999999999</v>
      </c>
      <c r="H296">
        <v>28.139870918023309</v>
      </c>
      <c r="I296">
        <f>Tableau6[[#This Row],[GHG (kgCO2eq/GJ)]]*3.6</f>
        <v>101.30353530488391</v>
      </c>
      <c r="J296" t="s">
        <v>105</v>
      </c>
      <c r="K296" t="s">
        <v>108</v>
      </c>
    </row>
    <row r="297" spans="1:11" x14ac:dyDescent="0.3">
      <c r="A297" t="s">
        <v>19</v>
      </c>
      <c r="B297" t="s">
        <v>46</v>
      </c>
      <c r="C297" t="s">
        <v>85</v>
      </c>
      <c r="D297">
        <v>10.9</v>
      </c>
      <c r="E297">
        <f>Tableau6[[#This Row],[Potential (PJ)]]/3.6</f>
        <v>3.0277777777777777</v>
      </c>
      <c r="F297">
        <v>4.3866422018348619</v>
      </c>
      <c r="G297">
        <f>Tableau6[[#This Row],[Cost (€/GJ)]]*3.6</f>
        <v>15.791911926605502</v>
      </c>
      <c r="H297">
        <v>2.9521711768407801</v>
      </c>
      <c r="I297">
        <f>Tableau6[[#This Row],[GHG (kgCO2eq/GJ)]]*3.6</f>
        <v>10.627816236626808</v>
      </c>
      <c r="J297" t="s">
        <v>104</v>
      </c>
      <c r="K297" t="s">
        <v>108</v>
      </c>
    </row>
    <row r="298" spans="1:11" x14ac:dyDescent="0.3">
      <c r="A298" t="s">
        <v>19</v>
      </c>
      <c r="B298" t="s">
        <v>55</v>
      </c>
      <c r="C298" t="s">
        <v>86</v>
      </c>
      <c r="D298">
        <v>14.815099999999999</v>
      </c>
      <c r="E298">
        <f>Tableau6[[#This Row],[Potential (PJ)]]/3.6</f>
        <v>4.1153055555555556</v>
      </c>
      <c r="F298">
        <v>12.451000000000001</v>
      </c>
      <c r="G298">
        <f>Tableau6[[#This Row],[Cost (€/GJ)]]*3.6</f>
        <v>44.823600000000006</v>
      </c>
      <c r="H298">
        <v>11.3</v>
      </c>
      <c r="I298">
        <f>Tableau6[[#This Row],[GHG (kgCO2eq/GJ)]]*3.6</f>
        <v>40.680000000000007</v>
      </c>
      <c r="J298" t="s">
        <v>106</v>
      </c>
      <c r="K298" t="s">
        <v>109</v>
      </c>
    </row>
    <row r="299" spans="1:11" x14ac:dyDescent="0.3">
      <c r="A299" t="s">
        <v>19</v>
      </c>
      <c r="B299" t="s">
        <v>55</v>
      </c>
      <c r="C299" t="s">
        <v>87</v>
      </c>
      <c r="D299">
        <v>1.6540999999999999</v>
      </c>
      <c r="E299">
        <f>Tableau6[[#This Row],[Potential (PJ)]]/3.6</f>
        <v>0.45947222222222217</v>
      </c>
      <c r="F299">
        <v>14.749000000000001</v>
      </c>
      <c r="G299">
        <f>Tableau6[[#This Row],[Cost (€/GJ)]]*3.6</f>
        <v>53.096400000000003</v>
      </c>
      <c r="H299">
        <v>11.3</v>
      </c>
      <c r="I299">
        <f>Tableau6[[#This Row],[GHG (kgCO2eq/GJ)]]*3.6</f>
        <v>40.680000000000007</v>
      </c>
      <c r="J299" t="s">
        <v>106</v>
      </c>
      <c r="K299" t="s">
        <v>109</v>
      </c>
    </row>
    <row r="300" spans="1:11" x14ac:dyDescent="0.3">
      <c r="A300" t="s">
        <v>19</v>
      </c>
      <c r="B300" t="s">
        <v>55</v>
      </c>
      <c r="C300" t="s">
        <v>88</v>
      </c>
      <c r="D300">
        <v>3.9102000000000001</v>
      </c>
      <c r="E300">
        <f>Tableau6[[#This Row],[Potential (PJ)]]/3.6</f>
        <v>1.0861666666666667</v>
      </c>
      <c r="F300">
        <v>14.413999999999991</v>
      </c>
      <c r="G300">
        <f>Tableau6[[#This Row],[Cost (€/GJ)]]*3.6</f>
        <v>51.890399999999971</v>
      </c>
      <c r="H300">
        <v>11.3</v>
      </c>
      <c r="I300">
        <f>Tableau6[[#This Row],[GHG (kgCO2eq/GJ)]]*3.6</f>
        <v>40.680000000000007</v>
      </c>
      <c r="J300" t="s">
        <v>106</v>
      </c>
      <c r="K300" t="s">
        <v>109</v>
      </c>
    </row>
    <row r="301" spans="1:11" x14ac:dyDescent="0.3">
      <c r="A301" t="s">
        <v>19</v>
      </c>
      <c r="B301" t="s">
        <v>55</v>
      </c>
      <c r="C301" t="s">
        <v>89</v>
      </c>
      <c r="D301">
        <v>3.4737</v>
      </c>
      <c r="E301">
        <f>Tableau6[[#This Row],[Potential (PJ)]]/3.6</f>
        <v>0.96491666666666664</v>
      </c>
      <c r="F301">
        <v>0</v>
      </c>
      <c r="G301">
        <f>Tableau6[[#This Row],[Cost (€/GJ)]]*3.6</f>
        <v>0</v>
      </c>
      <c r="H301">
        <v>11.3</v>
      </c>
      <c r="I301">
        <f>Tableau6[[#This Row],[GHG (kgCO2eq/GJ)]]*3.6</f>
        <v>40.680000000000007</v>
      </c>
      <c r="J301" t="s">
        <v>106</v>
      </c>
      <c r="K301" t="s">
        <v>109</v>
      </c>
    </row>
    <row r="302" spans="1:11" x14ac:dyDescent="0.3">
      <c r="A302" t="s">
        <v>19</v>
      </c>
      <c r="B302" t="s">
        <v>55</v>
      </c>
      <c r="C302" t="s">
        <v>90</v>
      </c>
      <c r="D302">
        <v>0.11550000000000001</v>
      </c>
      <c r="E302">
        <f>Tableau6[[#This Row],[Potential (PJ)]]/3.6</f>
        <v>3.2083333333333332E-2</v>
      </c>
      <c r="F302">
        <v>15.036</v>
      </c>
      <c r="G302">
        <f>Tableau6[[#This Row],[Cost (€/GJ)]]*3.6</f>
        <v>54.129599999999996</v>
      </c>
      <c r="H302">
        <v>11.3</v>
      </c>
      <c r="I302">
        <f>Tableau6[[#This Row],[GHG (kgCO2eq/GJ)]]*3.6</f>
        <v>40.680000000000007</v>
      </c>
      <c r="J302" t="s">
        <v>106</v>
      </c>
      <c r="K302" t="s">
        <v>109</v>
      </c>
    </row>
    <row r="303" spans="1:11" x14ac:dyDescent="0.3">
      <c r="A303" t="s">
        <v>19</v>
      </c>
      <c r="B303" t="s">
        <v>55</v>
      </c>
      <c r="C303" t="s">
        <v>91</v>
      </c>
      <c r="D303">
        <v>3.4594</v>
      </c>
      <c r="E303">
        <f>Tableau6[[#This Row],[Potential (PJ)]]/3.6</f>
        <v>0.96094444444444438</v>
      </c>
      <c r="F303">
        <v>13.113</v>
      </c>
      <c r="G303">
        <f>Tableau6[[#This Row],[Cost (€/GJ)]]*3.6</f>
        <v>47.206800000000001</v>
      </c>
      <c r="H303">
        <v>11.3</v>
      </c>
      <c r="I303">
        <f>Tableau6[[#This Row],[GHG (kgCO2eq/GJ)]]*3.6</f>
        <v>40.680000000000007</v>
      </c>
      <c r="J303" t="s">
        <v>106</v>
      </c>
      <c r="K303" t="s">
        <v>109</v>
      </c>
    </row>
    <row r="304" spans="1:11" x14ac:dyDescent="0.3">
      <c r="A304" t="s">
        <v>19</v>
      </c>
      <c r="B304" t="s">
        <v>55</v>
      </c>
      <c r="C304" t="s">
        <v>92</v>
      </c>
      <c r="D304">
        <v>1.0236799999999999</v>
      </c>
      <c r="E304">
        <f>Tableau6[[#This Row],[Potential (PJ)]]/3.6</f>
        <v>0.28435555555555553</v>
      </c>
      <c r="F304">
        <v>14.749000000000001</v>
      </c>
      <c r="G304">
        <f>Tableau6[[#This Row],[Cost (€/GJ)]]*3.6</f>
        <v>53.096400000000003</v>
      </c>
      <c r="H304">
        <v>11.3</v>
      </c>
      <c r="I304">
        <f>Tableau6[[#This Row],[GHG (kgCO2eq/GJ)]]*3.6</f>
        <v>40.680000000000007</v>
      </c>
      <c r="J304" t="s">
        <v>106</v>
      </c>
      <c r="K304" t="s">
        <v>109</v>
      </c>
    </row>
    <row r="305" spans="1:11" x14ac:dyDescent="0.3">
      <c r="A305" t="s">
        <v>19</v>
      </c>
      <c r="B305" t="s">
        <v>56</v>
      </c>
      <c r="C305" t="s">
        <v>93</v>
      </c>
      <c r="D305">
        <v>116.68729999999999</v>
      </c>
      <c r="E305">
        <f>Tableau6[[#This Row],[Potential (PJ)]]/3.6</f>
        <v>32.413138888888888</v>
      </c>
      <c r="F305">
        <v>2.939759036144578</v>
      </c>
      <c r="G305">
        <f>Tableau6[[#This Row],[Cost (€/GJ)]]*3.6</f>
        <v>10.583132530120482</v>
      </c>
      <c r="H305">
        <v>23.6</v>
      </c>
      <c r="I305">
        <f>Tableau6[[#This Row],[GHG (kgCO2eq/GJ)]]*3.6</f>
        <v>84.960000000000008</v>
      </c>
      <c r="J305" t="s">
        <v>106</v>
      </c>
      <c r="K305" t="s">
        <v>109</v>
      </c>
    </row>
    <row r="306" spans="1:11" x14ac:dyDescent="0.3">
      <c r="A306" t="s">
        <v>19</v>
      </c>
      <c r="B306" t="s">
        <v>47</v>
      </c>
      <c r="C306" t="s">
        <v>68</v>
      </c>
      <c r="D306">
        <v>299.8</v>
      </c>
      <c r="E306">
        <f>Tableau6[[#This Row],[Potential (PJ)]]/3.6</f>
        <v>83.277777777777786</v>
      </c>
      <c r="F306">
        <v>5.9857568378919277</v>
      </c>
      <c r="G306">
        <f>Tableau6[[#This Row],[Cost (€/GJ)]]*3.6</f>
        <v>21.54872461641094</v>
      </c>
      <c r="H306">
        <v>14.9</v>
      </c>
      <c r="I306">
        <f>Tableau6[[#This Row],[GHG (kgCO2eq/GJ)]]*3.6</f>
        <v>53.64</v>
      </c>
      <c r="J306" t="s">
        <v>104</v>
      </c>
      <c r="K306" t="s">
        <v>109</v>
      </c>
    </row>
    <row r="307" spans="1:11" x14ac:dyDescent="0.3">
      <c r="A307" t="s">
        <v>19</v>
      </c>
      <c r="B307" t="s">
        <v>47</v>
      </c>
      <c r="C307" t="s">
        <v>69</v>
      </c>
      <c r="D307">
        <v>100.7</v>
      </c>
      <c r="E307">
        <f>Tableau6[[#This Row],[Potential (PJ)]]/3.6</f>
        <v>27.972222222222221</v>
      </c>
      <c r="F307">
        <v>10.209638530287981</v>
      </c>
      <c r="G307">
        <f>Tableau6[[#This Row],[Cost (€/GJ)]]*3.6</f>
        <v>36.754698709036731</v>
      </c>
      <c r="H307">
        <v>14.9</v>
      </c>
      <c r="I307">
        <f>Tableau6[[#This Row],[GHG (kgCO2eq/GJ)]]*3.6</f>
        <v>53.64</v>
      </c>
      <c r="J307" t="s">
        <v>104</v>
      </c>
      <c r="K307" t="s">
        <v>109</v>
      </c>
    </row>
    <row r="308" spans="1:11" x14ac:dyDescent="0.3">
      <c r="A308" t="s">
        <v>19</v>
      </c>
      <c r="B308" t="s">
        <v>48</v>
      </c>
      <c r="C308" t="s">
        <v>70</v>
      </c>
      <c r="D308">
        <v>75.2</v>
      </c>
      <c r="E308">
        <f>Tableau6[[#This Row],[Potential (PJ)]]/3.6</f>
        <v>20.888888888888889</v>
      </c>
      <c r="F308">
        <v>16.215198138297868</v>
      </c>
      <c r="G308">
        <f>Tableau6[[#This Row],[Cost (€/GJ)]]*3.6</f>
        <v>58.374713297872326</v>
      </c>
      <c r="H308">
        <v>16.8</v>
      </c>
      <c r="I308">
        <f>Tableau6[[#This Row],[GHG (kgCO2eq/GJ)]]*3.6</f>
        <v>60.480000000000004</v>
      </c>
      <c r="J308" t="s">
        <v>104</v>
      </c>
      <c r="K308" t="s">
        <v>109</v>
      </c>
    </row>
    <row r="309" spans="1:11" x14ac:dyDescent="0.3">
      <c r="A309" t="s">
        <v>19</v>
      </c>
      <c r="B309" t="s">
        <v>49</v>
      </c>
      <c r="C309" t="s">
        <v>71</v>
      </c>
      <c r="D309">
        <v>307.76864</v>
      </c>
      <c r="E309">
        <f>Tableau6[[#This Row],[Potential (PJ)]]/3.6</f>
        <v>85.491288888888889</v>
      </c>
      <c r="F309">
        <v>5.255778792862067</v>
      </c>
      <c r="G309">
        <f>Tableau6[[#This Row],[Cost (€/GJ)]]*3.6</f>
        <v>18.920803654303441</v>
      </c>
      <c r="H309">
        <v>3.86607608129234</v>
      </c>
      <c r="I309">
        <f>Tableau6[[#This Row],[GHG (kgCO2eq/GJ)]]*3.6</f>
        <v>13.917873892652425</v>
      </c>
      <c r="J309" t="s">
        <v>104</v>
      </c>
      <c r="K309" t="s">
        <v>108</v>
      </c>
    </row>
    <row r="310" spans="1:11" x14ac:dyDescent="0.3">
      <c r="A310" t="s">
        <v>19</v>
      </c>
      <c r="B310" t="s">
        <v>49</v>
      </c>
      <c r="C310" t="s">
        <v>72</v>
      </c>
      <c r="D310">
        <v>37.1</v>
      </c>
      <c r="E310">
        <f>Tableau6[[#This Row],[Potential (PJ)]]/3.6</f>
        <v>10.305555555555555</v>
      </c>
      <c r="F310">
        <v>4.2176172506738547</v>
      </c>
      <c r="G310">
        <f>Tableau6[[#This Row],[Cost (€/GJ)]]*3.6</f>
        <v>15.183422102425878</v>
      </c>
      <c r="H310">
        <v>3.86607608129234</v>
      </c>
      <c r="I310">
        <f>Tableau6[[#This Row],[GHG (kgCO2eq/GJ)]]*3.6</f>
        <v>13.917873892652425</v>
      </c>
      <c r="J310" t="s">
        <v>104</v>
      </c>
      <c r="K310" t="s">
        <v>108</v>
      </c>
    </row>
    <row r="311" spans="1:11" x14ac:dyDescent="0.3">
      <c r="A311" t="s">
        <v>19</v>
      </c>
      <c r="B311" t="s">
        <v>58</v>
      </c>
      <c r="C311" t="s">
        <v>95</v>
      </c>
      <c r="D311">
        <v>48.512160000000002</v>
      </c>
      <c r="E311">
        <f>Tableau6[[#This Row],[Potential (PJ)]]/3.6</f>
        <v>13.4756</v>
      </c>
      <c r="F311">
        <v>2.688437115972572</v>
      </c>
      <c r="G311">
        <f>Tableau6[[#This Row],[Cost (€/GJ)]]*3.6</f>
        <v>9.6783736175012596</v>
      </c>
      <c r="H311">
        <v>2.9521711768407801</v>
      </c>
      <c r="I311">
        <f>Tableau6[[#This Row],[GHG (kgCO2eq/GJ)]]*3.6</f>
        <v>10.627816236626808</v>
      </c>
      <c r="J311" t="s">
        <v>104</v>
      </c>
      <c r="K311" t="s">
        <v>108</v>
      </c>
    </row>
    <row r="312" spans="1:11" x14ac:dyDescent="0.3">
      <c r="A312" t="s">
        <v>19</v>
      </c>
      <c r="B312" t="s">
        <v>50</v>
      </c>
      <c r="C312" t="s">
        <v>73</v>
      </c>
      <c r="D312">
        <v>32.299999999999997</v>
      </c>
      <c r="E312">
        <f>Tableau6[[#This Row],[Potential (PJ)]]/3.6</f>
        <v>8.9722222222222214</v>
      </c>
      <c r="F312">
        <v>5.4881207430340559</v>
      </c>
      <c r="G312">
        <f>Tableau6[[#This Row],[Cost (€/GJ)]]*3.6</f>
        <v>19.757234674922604</v>
      </c>
      <c r="H312">
        <v>20.723404255319149</v>
      </c>
      <c r="I312">
        <f>Tableau6[[#This Row],[GHG (kgCO2eq/GJ)]]*3.6</f>
        <v>74.604255319148933</v>
      </c>
      <c r="J312" t="s">
        <v>105</v>
      </c>
      <c r="K312" t="s">
        <v>108</v>
      </c>
    </row>
    <row r="313" spans="1:11" x14ac:dyDescent="0.3">
      <c r="A313" t="s">
        <v>19</v>
      </c>
      <c r="B313" t="s">
        <v>50</v>
      </c>
      <c r="C313" t="s">
        <v>74</v>
      </c>
      <c r="D313">
        <v>102.2</v>
      </c>
      <c r="E313">
        <f>Tableau6[[#This Row],[Potential (PJ)]]/3.6</f>
        <v>28.388888888888889</v>
      </c>
      <c r="F313">
        <v>4.2163101761252451</v>
      </c>
      <c r="G313">
        <f>Tableau6[[#This Row],[Cost (€/GJ)]]*3.6</f>
        <v>15.178716634050883</v>
      </c>
      <c r="H313">
        <v>2.0635593220338988</v>
      </c>
      <c r="I313">
        <f>Tableau6[[#This Row],[GHG (kgCO2eq/GJ)]]*3.6</f>
        <v>7.4288135593220357</v>
      </c>
      <c r="J313" t="s">
        <v>105</v>
      </c>
      <c r="K313" t="s">
        <v>108</v>
      </c>
    </row>
    <row r="314" spans="1:11" x14ac:dyDescent="0.3">
      <c r="A314" t="s">
        <v>19</v>
      </c>
      <c r="B314" t="s">
        <v>59</v>
      </c>
      <c r="C314" t="s">
        <v>96</v>
      </c>
      <c r="D314">
        <v>1.9171</v>
      </c>
      <c r="E314">
        <f>Tableau6[[#This Row],[Potential (PJ)]]/3.6</f>
        <v>0.53252777777777782</v>
      </c>
      <c r="F314">
        <v>17.309999999999999</v>
      </c>
      <c r="G314">
        <f>Tableau6[[#This Row],[Cost (€/GJ)]]*3.6</f>
        <v>62.315999999999995</v>
      </c>
      <c r="H314">
        <v>33.700000000000003</v>
      </c>
      <c r="I314">
        <f>Tableau6[[#This Row],[GHG (kgCO2eq/GJ)]]*3.6</f>
        <v>121.32000000000001</v>
      </c>
      <c r="J314" t="s">
        <v>107</v>
      </c>
      <c r="K314" t="s">
        <v>109</v>
      </c>
    </row>
    <row r="315" spans="1:11" x14ac:dyDescent="0.3">
      <c r="A315" t="s">
        <v>19</v>
      </c>
      <c r="B315" t="s">
        <v>59</v>
      </c>
      <c r="C315" t="s">
        <v>97</v>
      </c>
      <c r="D315">
        <v>7.5465</v>
      </c>
      <c r="E315">
        <f>Tableau6[[#This Row],[Potential (PJ)]]/3.6</f>
        <v>2.0962499999999999</v>
      </c>
      <c r="F315">
        <v>20.835594139989151</v>
      </c>
      <c r="G315">
        <f>Tableau6[[#This Row],[Cost (€/GJ)]]*3.6</f>
        <v>75.008138903960941</v>
      </c>
      <c r="H315">
        <v>33.700000000000003</v>
      </c>
      <c r="I315">
        <f>Tableau6[[#This Row],[GHG (kgCO2eq/GJ)]]*3.6</f>
        <v>121.32000000000001</v>
      </c>
      <c r="J315" t="s">
        <v>107</v>
      </c>
      <c r="K315" t="s">
        <v>109</v>
      </c>
    </row>
    <row r="316" spans="1:11" x14ac:dyDescent="0.3">
      <c r="A316" t="s">
        <v>19</v>
      </c>
      <c r="B316" t="s">
        <v>51</v>
      </c>
      <c r="C316" t="s">
        <v>75</v>
      </c>
      <c r="D316">
        <v>26.732939999999999</v>
      </c>
      <c r="E316">
        <f>Tableau6[[#This Row],[Potential (PJ)]]/3.6</f>
        <v>7.4258166666666661</v>
      </c>
      <c r="F316">
        <v>2.1034085826564E-4</v>
      </c>
      <c r="G316">
        <f>Tableau6[[#This Row],[Cost (€/GJ)]]*3.6</f>
        <v>7.5722708975630403E-4</v>
      </c>
      <c r="H316">
        <v>11.74</v>
      </c>
      <c r="I316">
        <f>Tableau6[[#This Row],[GHG (kgCO2eq/GJ)]]*3.6</f>
        <v>42.264000000000003</v>
      </c>
      <c r="J316" t="s">
        <v>104</v>
      </c>
      <c r="K316" t="s">
        <v>108</v>
      </c>
    </row>
    <row r="317" spans="1:11" x14ac:dyDescent="0.3">
      <c r="A317" t="s">
        <v>19</v>
      </c>
      <c r="B317" t="s">
        <v>60</v>
      </c>
      <c r="C317" t="s">
        <v>98</v>
      </c>
      <c r="D317">
        <v>1.6708499999999999</v>
      </c>
      <c r="E317">
        <f>Tableau6[[#This Row],[Potential (PJ)]]/3.6</f>
        <v>0.46412499999999995</v>
      </c>
      <c r="F317">
        <v>25.563909774436091</v>
      </c>
      <c r="G317">
        <f>Tableau6[[#This Row],[Cost (€/GJ)]]*3.6</f>
        <v>92.030075187969928</v>
      </c>
      <c r="H317">
        <v>19.899999999999999</v>
      </c>
      <c r="I317">
        <f>Tableau6[[#This Row],[GHG (kgCO2eq/GJ)]]*3.6</f>
        <v>71.64</v>
      </c>
      <c r="J317" t="s">
        <v>107</v>
      </c>
      <c r="K317" t="s">
        <v>109</v>
      </c>
    </row>
    <row r="318" spans="1:11" x14ac:dyDescent="0.3">
      <c r="A318" t="s">
        <v>19</v>
      </c>
      <c r="B318" t="s">
        <v>52</v>
      </c>
      <c r="C318" t="s">
        <v>76</v>
      </c>
      <c r="D318">
        <v>1.0649999999999999</v>
      </c>
      <c r="E318">
        <f>Tableau6[[#This Row],[Potential (PJ)]]/3.6</f>
        <v>0.29583333333333334</v>
      </c>
      <c r="F318">
        <v>6.5250000000000004</v>
      </c>
      <c r="G318">
        <f>Tableau6[[#This Row],[Cost (€/GJ)]]*3.6</f>
        <v>23.490000000000002</v>
      </c>
      <c r="H318">
        <v>12.68872359754714</v>
      </c>
      <c r="I318">
        <f>Tableau6[[#This Row],[GHG (kgCO2eq/GJ)]]*3.6</f>
        <v>45.679404951169708</v>
      </c>
      <c r="J318" t="s">
        <v>105</v>
      </c>
      <c r="K318" t="s">
        <v>108</v>
      </c>
    </row>
    <row r="319" spans="1:11" x14ac:dyDescent="0.3">
      <c r="A319" t="s">
        <v>19</v>
      </c>
      <c r="B319" t="s">
        <v>53</v>
      </c>
      <c r="C319" t="s">
        <v>77</v>
      </c>
      <c r="D319">
        <v>8.9</v>
      </c>
      <c r="E319">
        <f>Tableau6[[#This Row],[Potential (PJ)]]/3.6</f>
        <v>2.4722222222222223</v>
      </c>
      <c r="F319">
        <v>4.2176404494382016</v>
      </c>
      <c r="G319">
        <f>Tableau6[[#This Row],[Cost (€/GJ)]]*3.6</f>
        <v>15.183505617977525</v>
      </c>
      <c r="H319">
        <v>3.86607608129234</v>
      </c>
      <c r="I319">
        <f>Tableau6[[#This Row],[GHG (kgCO2eq/GJ)]]*3.6</f>
        <v>13.917873892652425</v>
      </c>
      <c r="J319" t="s">
        <v>104</v>
      </c>
      <c r="K319" t="s">
        <v>108</v>
      </c>
    </row>
    <row r="320" spans="1:11" x14ac:dyDescent="0.3">
      <c r="A320" t="s">
        <v>19</v>
      </c>
      <c r="B320" t="s">
        <v>61</v>
      </c>
      <c r="C320" t="s">
        <v>99</v>
      </c>
      <c r="D320">
        <v>27.5</v>
      </c>
      <c r="E320">
        <f>Tableau6[[#This Row],[Potential (PJ)]]/3.6</f>
        <v>7.6388888888888884</v>
      </c>
      <c r="F320">
        <v>2.1937018181818182</v>
      </c>
      <c r="G320">
        <f>Tableau6[[#This Row],[Cost (€/GJ)]]*3.6</f>
        <v>7.897326545454546</v>
      </c>
      <c r="H320">
        <v>2.9245635910224439</v>
      </c>
      <c r="I320">
        <f>Tableau6[[#This Row],[GHG (kgCO2eq/GJ)]]*3.6</f>
        <v>10.528428927680798</v>
      </c>
      <c r="J320" t="s">
        <v>104</v>
      </c>
      <c r="K320" t="s">
        <v>108</v>
      </c>
    </row>
    <row r="321" spans="1:11" x14ac:dyDescent="0.3">
      <c r="A321" t="s">
        <v>19</v>
      </c>
      <c r="B321" t="s">
        <v>62</v>
      </c>
      <c r="C321" t="s">
        <v>100</v>
      </c>
      <c r="D321">
        <v>5.9</v>
      </c>
      <c r="E321">
        <f>Tableau6[[#This Row],[Potential (PJ)]]/3.6</f>
        <v>1.6388888888888888</v>
      </c>
      <c r="F321">
        <v>0.24745762711864411</v>
      </c>
      <c r="G321">
        <f>Tableau6[[#This Row],[Cost (€/GJ)]]*3.6</f>
        <v>0.89084745762711881</v>
      </c>
      <c r="H321">
        <v>2.6764106050305911</v>
      </c>
      <c r="I321">
        <f>Tableau6[[#This Row],[GHG (kgCO2eq/GJ)]]*3.6</f>
        <v>9.6350781781101276</v>
      </c>
      <c r="J321" t="s">
        <v>104</v>
      </c>
      <c r="K321" t="s">
        <v>108</v>
      </c>
    </row>
    <row r="322" spans="1:11" x14ac:dyDescent="0.3">
      <c r="A322" t="s">
        <v>19</v>
      </c>
      <c r="B322" t="s">
        <v>54</v>
      </c>
      <c r="C322" t="s">
        <v>78</v>
      </c>
      <c r="D322">
        <v>73.399999999999991</v>
      </c>
      <c r="E322">
        <f>Tableau6[[#This Row],[Potential (PJ)]]/3.6</f>
        <v>20.388888888888886</v>
      </c>
      <c r="F322">
        <v>8.7986144414168947</v>
      </c>
      <c r="G322">
        <f>Tableau6[[#This Row],[Cost (€/GJ)]]*3.6</f>
        <v>31.67501198910082</v>
      </c>
      <c r="H322">
        <v>3.86607608129234</v>
      </c>
      <c r="I322">
        <f>Tableau6[[#This Row],[GHG (kgCO2eq/GJ)]]*3.6</f>
        <v>13.917873892652425</v>
      </c>
      <c r="J322" t="s">
        <v>104</v>
      </c>
      <c r="K322" t="s">
        <v>108</v>
      </c>
    </row>
    <row r="323" spans="1:11" x14ac:dyDescent="0.3">
      <c r="A323" t="s">
        <v>20</v>
      </c>
      <c r="B323" t="s">
        <v>46</v>
      </c>
      <c r="C323" t="s">
        <v>64</v>
      </c>
      <c r="D323">
        <v>1.3990000000000001E-2</v>
      </c>
      <c r="E323">
        <f>Tableau6[[#This Row],[Potential (PJ)]]/3.6</f>
        <v>3.886111111111111E-3</v>
      </c>
      <c r="F323">
        <v>6.178426733380987</v>
      </c>
      <c r="G323">
        <f>Tableau6[[#This Row],[Cost (€/GJ)]]*3.6</f>
        <v>22.242336240171554</v>
      </c>
      <c r="H323">
        <v>2.9521711768407801</v>
      </c>
      <c r="I323">
        <f>Tableau6[[#This Row],[GHG (kgCO2eq/GJ)]]*3.6</f>
        <v>10.627816236626808</v>
      </c>
      <c r="J323" t="s">
        <v>104</v>
      </c>
      <c r="K323" t="s">
        <v>108</v>
      </c>
    </row>
    <row r="324" spans="1:11" x14ac:dyDescent="0.3">
      <c r="A324" t="s">
        <v>20</v>
      </c>
      <c r="B324" t="s">
        <v>46</v>
      </c>
      <c r="C324" t="s">
        <v>79</v>
      </c>
      <c r="D324">
        <v>21.8</v>
      </c>
      <c r="E324">
        <f>Tableau6[[#This Row],[Potential (PJ)]]/3.6</f>
        <v>6.0555555555555554</v>
      </c>
      <c r="F324">
        <v>4.4193394495412841</v>
      </c>
      <c r="G324">
        <f>Tableau6[[#This Row],[Cost (€/GJ)]]*3.6</f>
        <v>15.909622018348623</v>
      </c>
      <c r="H324">
        <v>6.8428961748633883</v>
      </c>
      <c r="I324">
        <f>Tableau6[[#This Row],[GHG (kgCO2eq/GJ)]]*3.6</f>
        <v>24.634426229508197</v>
      </c>
      <c r="J324" t="s">
        <v>104</v>
      </c>
      <c r="K324" t="s">
        <v>108</v>
      </c>
    </row>
    <row r="325" spans="1:11" x14ac:dyDescent="0.3">
      <c r="A325" t="s">
        <v>20</v>
      </c>
      <c r="B325" t="s">
        <v>46</v>
      </c>
      <c r="C325" t="s">
        <v>82</v>
      </c>
      <c r="D325">
        <v>0.5</v>
      </c>
      <c r="E325">
        <f>Tableau6[[#This Row],[Potential (PJ)]]/3.6</f>
        <v>0.1388888888888889</v>
      </c>
      <c r="F325">
        <v>2.81</v>
      </c>
      <c r="G325">
        <f>Tableau6[[#This Row],[Cost (€/GJ)]]*3.6</f>
        <v>10.116</v>
      </c>
      <c r="H325">
        <v>6.8428961748633883</v>
      </c>
      <c r="I325">
        <f>Tableau6[[#This Row],[GHG (kgCO2eq/GJ)]]*3.6</f>
        <v>24.634426229508197</v>
      </c>
      <c r="J325" t="s">
        <v>104</v>
      </c>
      <c r="K325" t="s">
        <v>108</v>
      </c>
    </row>
    <row r="326" spans="1:11" x14ac:dyDescent="0.3">
      <c r="A326" t="s">
        <v>20</v>
      </c>
      <c r="B326" t="s">
        <v>46</v>
      </c>
      <c r="C326" t="s">
        <v>84</v>
      </c>
      <c r="D326">
        <v>0.2</v>
      </c>
      <c r="E326">
        <f>Tableau6[[#This Row],[Potential (PJ)]]/3.6</f>
        <v>5.5555555555555559E-2</v>
      </c>
      <c r="F326">
        <v>2.75</v>
      </c>
      <c r="G326">
        <f>Tableau6[[#This Row],[Cost (€/GJ)]]*3.6</f>
        <v>9.9</v>
      </c>
      <c r="H326">
        <v>28.139870918023309</v>
      </c>
      <c r="I326">
        <f>Tableau6[[#This Row],[GHG (kgCO2eq/GJ)]]*3.6</f>
        <v>101.30353530488391</v>
      </c>
      <c r="J326" t="s">
        <v>105</v>
      </c>
      <c r="K326" t="s">
        <v>108</v>
      </c>
    </row>
    <row r="327" spans="1:11" x14ac:dyDescent="0.3">
      <c r="A327" t="s">
        <v>20</v>
      </c>
      <c r="B327" t="s">
        <v>55</v>
      </c>
      <c r="C327" t="s">
        <v>86</v>
      </c>
      <c r="D327">
        <v>0.3054</v>
      </c>
      <c r="E327">
        <f>Tableau6[[#This Row],[Potential (PJ)]]/3.6</f>
        <v>8.483333333333333E-2</v>
      </c>
      <c r="F327">
        <v>11.166</v>
      </c>
      <c r="G327">
        <f>Tableau6[[#This Row],[Cost (€/GJ)]]*3.6</f>
        <v>40.197600000000001</v>
      </c>
      <c r="H327">
        <v>40.299999999999997</v>
      </c>
      <c r="I327">
        <f>Tableau6[[#This Row],[GHG (kgCO2eq/GJ)]]*3.6</f>
        <v>145.07999999999998</v>
      </c>
      <c r="J327" t="s">
        <v>106</v>
      </c>
      <c r="K327" t="s">
        <v>109</v>
      </c>
    </row>
    <row r="328" spans="1:11" x14ac:dyDescent="0.3">
      <c r="A328" t="s">
        <v>20</v>
      </c>
      <c r="B328" t="s">
        <v>55</v>
      </c>
      <c r="C328" t="s">
        <v>89</v>
      </c>
      <c r="D328">
        <v>0.14729999999999999</v>
      </c>
      <c r="E328">
        <f>Tableau6[[#This Row],[Potential (PJ)]]/3.6</f>
        <v>4.0916666666666664E-2</v>
      </c>
      <c r="F328">
        <v>0</v>
      </c>
      <c r="G328">
        <f>Tableau6[[#This Row],[Cost (€/GJ)]]*3.6</f>
        <v>0</v>
      </c>
      <c r="H328">
        <v>40.299999999999997</v>
      </c>
      <c r="I328">
        <f>Tableau6[[#This Row],[GHG (kgCO2eq/GJ)]]*3.6</f>
        <v>145.07999999999998</v>
      </c>
      <c r="J328" t="s">
        <v>106</v>
      </c>
      <c r="K328" t="s">
        <v>109</v>
      </c>
    </row>
    <row r="329" spans="1:11" x14ac:dyDescent="0.3">
      <c r="A329" t="s">
        <v>20</v>
      </c>
      <c r="B329" t="s">
        <v>55</v>
      </c>
      <c r="C329" t="s">
        <v>91</v>
      </c>
      <c r="D329">
        <v>4.6199999999999998E-2</v>
      </c>
      <c r="E329">
        <f>Tableau6[[#This Row],[Potential (PJ)]]/3.6</f>
        <v>1.2833333333333332E-2</v>
      </c>
      <c r="F329">
        <v>13.903</v>
      </c>
      <c r="G329">
        <f>Tableau6[[#This Row],[Cost (€/GJ)]]*3.6</f>
        <v>50.050800000000002</v>
      </c>
      <c r="H329">
        <v>40.299999999999997</v>
      </c>
      <c r="I329">
        <f>Tableau6[[#This Row],[GHG (kgCO2eq/GJ)]]*3.6</f>
        <v>145.07999999999998</v>
      </c>
      <c r="J329" t="s">
        <v>106</v>
      </c>
      <c r="K329" t="s">
        <v>109</v>
      </c>
    </row>
    <row r="330" spans="1:11" x14ac:dyDescent="0.3">
      <c r="A330" t="s">
        <v>20</v>
      </c>
      <c r="B330" t="s">
        <v>55</v>
      </c>
      <c r="C330" t="s">
        <v>92</v>
      </c>
      <c r="D330">
        <v>0.28275</v>
      </c>
      <c r="E330">
        <f>Tableau6[[#This Row],[Potential (PJ)]]/3.6</f>
        <v>7.8541666666666662E-2</v>
      </c>
      <c r="F330">
        <v>11.269</v>
      </c>
      <c r="G330">
        <f>Tableau6[[#This Row],[Cost (€/GJ)]]*3.6</f>
        <v>40.568400000000004</v>
      </c>
      <c r="H330">
        <v>40.299999999999997</v>
      </c>
      <c r="I330">
        <f>Tableau6[[#This Row],[GHG (kgCO2eq/GJ)]]*3.6</f>
        <v>145.07999999999998</v>
      </c>
      <c r="J330" t="s">
        <v>106</v>
      </c>
      <c r="K330" t="s">
        <v>109</v>
      </c>
    </row>
    <row r="331" spans="1:11" x14ac:dyDescent="0.3">
      <c r="A331" t="s">
        <v>20</v>
      </c>
      <c r="B331" t="s">
        <v>47</v>
      </c>
      <c r="C331" t="s">
        <v>101</v>
      </c>
      <c r="D331">
        <v>17.399999999999999</v>
      </c>
      <c r="E331">
        <f>Tableau6[[#This Row],[Potential (PJ)]]/3.6</f>
        <v>4.833333333333333</v>
      </c>
      <c r="F331">
        <v>5.2801954022988511</v>
      </c>
      <c r="G331">
        <f>Tableau6[[#This Row],[Cost (€/GJ)]]*3.6</f>
        <v>19.008703448275863</v>
      </c>
      <c r="H331">
        <v>42</v>
      </c>
      <c r="I331">
        <f>Tableau6[[#This Row],[GHG (kgCO2eq/GJ)]]*3.6</f>
        <v>151.20000000000002</v>
      </c>
      <c r="J331" t="s">
        <v>104</v>
      </c>
      <c r="K331" t="s">
        <v>109</v>
      </c>
    </row>
    <row r="332" spans="1:11" x14ac:dyDescent="0.3">
      <c r="A332" t="s">
        <v>20</v>
      </c>
      <c r="B332" t="s">
        <v>57</v>
      </c>
      <c r="C332" t="s">
        <v>94</v>
      </c>
      <c r="D332">
        <v>5.4</v>
      </c>
      <c r="E332">
        <f>Tableau6[[#This Row],[Potential (PJ)]]/3.6</f>
        <v>1.5</v>
      </c>
      <c r="F332">
        <v>13.17542592592592</v>
      </c>
      <c r="G332">
        <f>Tableau6[[#This Row],[Cost (€/GJ)]]*3.6</f>
        <v>47.431533333333313</v>
      </c>
      <c r="H332">
        <v>24.6</v>
      </c>
      <c r="I332">
        <f>Tableau6[[#This Row],[GHG (kgCO2eq/GJ)]]*3.6</f>
        <v>88.56</v>
      </c>
      <c r="J332" t="s">
        <v>104</v>
      </c>
      <c r="K332" t="s">
        <v>109</v>
      </c>
    </row>
    <row r="333" spans="1:11" x14ac:dyDescent="0.3">
      <c r="A333" t="s">
        <v>20</v>
      </c>
      <c r="B333" t="s">
        <v>49</v>
      </c>
      <c r="C333" t="s">
        <v>71</v>
      </c>
      <c r="D333">
        <v>434.67090000000002</v>
      </c>
      <c r="E333">
        <f>Tableau6[[#This Row],[Potential (PJ)]]/3.6</f>
        <v>120.74191666666667</v>
      </c>
      <c r="F333">
        <v>5.7399920088048226</v>
      </c>
      <c r="G333">
        <f>Tableau6[[#This Row],[Cost (€/GJ)]]*3.6</f>
        <v>20.663971231697364</v>
      </c>
      <c r="H333">
        <v>3.86607608129234</v>
      </c>
      <c r="I333">
        <f>Tableau6[[#This Row],[GHG (kgCO2eq/GJ)]]*3.6</f>
        <v>13.917873892652425</v>
      </c>
      <c r="J333" t="s">
        <v>104</v>
      </c>
      <c r="K333" t="s">
        <v>108</v>
      </c>
    </row>
    <row r="334" spans="1:11" x14ac:dyDescent="0.3">
      <c r="A334" t="s">
        <v>20</v>
      </c>
      <c r="B334" t="s">
        <v>49</v>
      </c>
      <c r="C334" t="s">
        <v>72</v>
      </c>
      <c r="D334">
        <v>28.9</v>
      </c>
      <c r="E334">
        <f>Tableau6[[#This Row],[Potential (PJ)]]/3.6</f>
        <v>8.0277777777777768</v>
      </c>
      <c r="F334">
        <v>4.581391003460209</v>
      </c>
      <c r="G334">
        <f>Tableau6[[#This Row],[Cost (€/GJ)]]*3.6</f>
        <v>16.493007612456754</v>
      </c>
      <c r="H334">
        <v>3.86607608129234</v>
      </c>
      <c r="I334">
        <f>Tableau6[[#This Row],[GHG (kgCO2eq/GJ)]]*3.6</f>
        <v>13.917873892652425</v>
      </c>
      <c r="J334" t="s">
        <v>104</v>
      </c>
      <c r="K334" t="s">
        <v>108</v>
      </c>
    </row>
    <row r="335" spans="1:11" x14ac:dyDescent="0.3">
      <c r="A335" t="s">
        <v>20</v>
      </c>
      <c r="B335" t="s">
        <v>58</v>
      </c>
      <c r="C335" t="s">
        <v>95</v>
      </c>
      <c r="D335">
        <v>16.398479999999999</v>
      </c>
      <c r="E335">
        <f>Tableau6[[#This Row],[Potential (PJ)]]/3.6</f>
        <v>4.555133333333333</v>
      </c>
      <c r="F335">
        <v>2.236460527439128</v>
      </c>
      <c r="G335">
        <f>Tableau6[[#This Row],[Cost (€/GJ)]]*3.6</f>
        <v>8.051257898780861</v>
      </c>
      <c r="H335">
        <v>2.9521711768407801</v>
      </c>
      <c r="I335">
        <f>Tableau6[[#This Row],[GHG (kgCO2eq/GJ)]]*3.6</f>
        <v>10.627816236626808</v>
      </c>
      <c r="J335" t="s">
        <v>104</v>
      </c>
      <c r="K335" t="s">
        <v>108</v>
      </c>
    </row>
    <row r="336" spans="1:11" x14ac:dyDescent="0.3">
      <c r="A336" t="s">
        <v>20</v>
      </c>
      <c r="B336" t="s">
        <v>50</v>
      </c>
      <c r="C336" t="s">
        <v>73</v>
      </c>
      <c r="D336">
        <v>2.2000000000000002</v>
      </c>
      <c r="E336">
        <f>Tableau6[[#This Row],[Potential (PJ)]]/3.6</f>
        <v>0.61111111111111116</v>
      </c>
      <c r="F336">
        <v>5.6763181818181812</v>
      </c>
      <c r="G336">
        <f>Tableau6[[#This Row],[Cost (€/GJ)]]*3.6</f>
        <v>20.434745454545453</v>
      </c>
      <c r="H336">
        <v>20.723404255319149</v>
      </c>
      <c r="I336">
        <f>Tableau6[[#This Row],[GHG (kgCO2eq/GJ)]]*3.6</f>
        <v>74.604255319148933</v>
      </c>
      <c r="J336" t="s">
        <v>105</v>
      </c>
      <c r="K336" t="s">
        <v>108</v>
      </c>
    </row>
    <row r="337" spans="1:11" x14ac:dyDescent="0.3">
      <c r="A337" t="s">
        <v>20</v>
      </c>
      <c r="B337" t="s">
        <v>50</v>
      </c>
      <c r="C337" t="s">
        <v>74</v>
      </c>
      <c r="D337">
        <v>4.3</v>
      </c>
      <c r="E337">
        <f>Tableau6[[#This Row],[Potential (PJ)]]/3.6</f>
        <v>1.1944444444444444</v>
      </c>
      <c r="F337">
        <v>6.429418604651163</v>
      </c>
      <c r="G337">
        <f>Tableau6[[#This Row],[Cost (€/GJ)]]*3.6</f>
        <v>23.145906976744186</v>
      </c>
      <c r="H337">
        <v>2.0635593220338988</v>
      </c>
      <c r="I337">
        <f>Tableau6[[#This Row],[GHG (kgCO2eq/GJ)]]*3.6</f>
        <v>7.4288135593220357</v>
      </c>
      <c r="J337" t="s">
        <v>105</v>
      </c>
      <c r="K337" t="s">
        <v>108</v>
      </c>
    </row>
    <row r="338" spans="1:11" x14ac:dyDescent="0.3">
      <c r="A338" t="s">
        <v>20</v>
      </c>
      <c r="B338" t="s">
        <v>51</v>
      </c>
      <c r="C338" t="s">
        <v>75</v>
      </c>
      <c r="D338">
        <v>11.230880000000001</v>
      </c>
      <c r="E338">
        <f>Tableau6[[#This Row],[Potential (PJ)]]/3.6</f>
        <v>3.1196888888888892</v>
      </c>
      <c r="F338">
        <v>5.0111724111234497E-2</v>
      </c>
      <c r="G338">
        <f>Tableau6[[#This Row],[Cost (€/GJ)]]*3.6</f>
        <v>0.18040220680044419</v>
      </c>
      <c r="H338">
        <v>11.74</v>
      </c>
      <c r="I338">
        <f>Tableau6[[#This Row],[GHG (kgCO2eq/GJ)]]*3.6</f>
        <v>42.264000000000003</v>
      </c>
      <c r="J338" t="s">
        <v>104</v>
      </c>
      <c r="K338" t="s">
        <v>108</v>
      </c>
    </row>
    <row r="339" spans="1:11" x14ac:dyDescent="0.3">
      <c r="A339" t="s">
        <v>20</v>
      </c>
      <c r="B339" t="s">
        <v>60</v>
      </c>
      <c r="C339" t="s">
        <v>98</v>
      </c>
      <c r="D339">
        <v>1.1846399999999999</v>
      </c>
      <c r="E339">
        <f>Tableau6[[#This Row],[Potential (PJ)]]/3.6</f>
        <v>0.32906666666666662</v>
      </c>
      <c r="F339">
        <v>19.01181525241676</v>
      </c>
      <c r="G339">
        <f>Tableau6[[#This Row],[Cost (€/GJ)]]*3.6</f>
        <v>68.442534908700338</v>
      </c>
      <c r="H339">
        <v>98.1</v>
      </c>
      <c r="I339">
        <f>Tableau6[[#This Row],[GHG (kgCO2eq/GJ)]]*3.6</f>
        <v>353.15999999999997</v>
      </c>
      <c r="J339" t="s">
        <v>107</v>
      </c>
      <c r="K339" t="s">
        <v>109</v>
      </c>
    </row>
    <row r="340" spans="1:11" x14ac:dyDescent="0.3">
      <c r="A340" t="s">
        <v>20</v>
      </c>
      <c r="B340" t="s">
        <v>52</v>
      </c>
      <c r="C340" t="s">
        <v>76</v>
      </c>
      <c r="D340">
        <v>2.992</v>
      </c>
      <c r="E340">
        <f>Tableau6[[#This Row],[Potential (PJ)]]/3.6</f>
        <v>0.83111111111111113</v>
      </c>
      <c r="F340">
        <v>6.5250000000000004</v>
      </c>
      <c r="G340">
        <f>Tableau6[[#This Row],[Cost (€/GJ)]]*3.6</f>
        <v>23.490000000000002</v>
      </c>
      <c r="H340">
        <v>12.68872359754714</v>
      </c>
      <c r="I340">
        <f>Tableau6[[#This Row],[GHG (kgCO2eq/GJ)]]*3.6</f>
        <v>45.679404951169708</v>
      </c>
      <c r="J340" t="s">
        <v>105</v>
      </c>
      <c r="K340" t="s">
        <v>108</v>
      </c>
    </row>
    <row r="341" spans="1:11" x14ac:dyDescent="0.3">
      <c r="A341" t="s">
        <v>20</v>
      </c>
      <c r="B341" t="s">
        <v>53</v>
      </c>
      <c r="C341" t="s">
        <v>77</v>
      </c>
      <c r="D341">
        <v>12</v>
      </c>
      <c r="E341">
        <f>Tableau6[[#This Row],[Potential (PJ)]]/3.6</f>
        <v>3.333333333333333</v>
      </c>
      <c r="F341">
        <v>4.5811833333333327</v>
      </c>
      <c r="G341">
        <f>Tableau6[[#This Row],[Cost (€/GJ)]]*3.6</f>
        <v>16.492259999999998</v>
      </c>
      <c r="H341">
        <v>3.86607608129234</v>
      </c>
      <c r="I341">
        <f>Tableau6[[#This Row],[GHG (kgCO2eq/GJ)]]*3.6</f>
        <v>13.917873892652425</v>
      </c>
      <c r="J341" t="s">
        <v>104</v>
      </c>
      <c r="K341" t="s">
        <v>108</v>
      </c>
    </row>
    <row r="342" spans="1:11" x14ac:dyDescent="0.3">
      <c r="A342" t="s">
        <v>20</v>
      </c>
      <c r="B342" t="s">
        <v>61</v>
      </c>
      <c r="C342" t="s">
        <v>99</v>
      </c>
      <c r="D342">
        <v>73.199999999999989</v>
      </c>
      <c r="E342">
        <f>Tableau6[[#This Row],[Potential (PJ)]]/3.6</f>
        <v>20.333333333333329</v>
      </c>
      <c r="F342">
        <v>1.6787773224043721</v>
      </c>
      <c r="G342">
        <f>Tableau6[[#This Row],[Cost (€/GJ)]]*3.6</f>
        <v>6.0435983606557393</v>
      </c>
      <c r="H342">
        <v>2.9245635910224439</v>
      </c>
      <c r="I342">
        <f>Tableau6[[#This Row],[GHG (kgCO2eq/GJ)]]*3.6</f>
        <v>10.528428927680798</v>
      </c>
      <c r="J342" t="s">
        <v>104</v>
      </c>
      <c r="K342" t="s">
        <v>108</v>
      </c>
    </row>
    <row r="343" spans="1:11" x14ac:dyDescent="0.3">
      <c r="A343" t="s">
        <v>20</v>
      </c>
      <c r="B343" t="s">
        <v>62</v>
      </c>
      <c r="C343" t="s">
        <v>100</v>
      </c>
      <c r="D343">
        <v>31.1</v>
      </c>
      <c r="E343">
        <f>Tableau6[[#This Row],[Potential (PJ)]]/3.6</f>
        <v>8.6388888888888893</v>
      </c>
      <c r="F343">
        <v>0.61704180064308667</v>
      </c>
      <c r="G343">
        <f>Tableau6[[#This Row],[Cost (€/GJ)]]*3.6</f>
        <v>2.221350482315112</v>
      </c>
      <c r="H343">
        <v>2.6764106050305911</v>
      </c>
      <c r="I343">
        <f>Tableau6[[#This Row],[GHG (kgCO2eq/GJ)]]*3.6</f>
        <v>9.6350781781101276</v>
      </c>
      <c r="J343" t="s">
        <v>104</v>
      </c>
      <c r="K343" t="s">
        <v>108</v>
      </c>
    </row>
    <row r="344" spans="1:11" x14ac:dyDescent="0.3">
      <c r="A344" t="s">
        <v>20</v>
      </c>
      <c r="B344" t="s">
        <v>54</v>
      </c>
      <c r="C344" t="s">
        <v>78</v>
      </c>
      <c r="D344">
        <v>179.7</v>
      </c>
      <c r="E344">
        <f>Tableau6[[#This Row],[Potential (PJ)]]/3.6</f>
        <v>49.916666666666664</v>
      </c>
      <c r="F344">
        <v>9.5693583750695606</v>
      </c>
      <c r="G344">
        <f>Tableau6[[#This Row],[Cost (€/GJ)]]*3.6</f>
        <v>34.449690150250419</v>
      </c>
      <c r="H344">
        <v>3.86607608129234</v>
      </c>
      <c r="I344">
        <f>Tableau6[[#This Row],[GHG (kgCO2eq/GJ)]]*3.6</f>
        <v>13.917873892652425</v>
      </c>
      <c r="J344" t="s">
        <v>104</v>
      </c>
      <c r="K344" t="s">
        <v>108</v>
      </c>
    </row>
    <row r="345" spans="1:11" x14ac:dyDescent="0.3">
      <c r="A345" t="s">
        <v>21</v>
      </c>
      <c r="B345" t="s">
        <v>46</v>
      </c>
      <c r="C345" t="s">
        <v>63</v>
      </c>
      <c r="D345">
        <v>0.11169999999999999</v>
      </c>
      <c r="E345">
        <f>Tableau6[[#This Row],[Potential (PJ)]]/3.6</f>
        <v>3.1027777777777776E-2</v>
      </c>
      <c r="F345">
        <v>2.9286474973375931</v>
      </c>
      <c r="G345">
        <f>Tableau6[[#This Row],[Cost (€/GJ)]]*3.6</f>
        <v>10.543130990415335</v>
      </c>
      <c r="H345">
        <v>3.950479233226837</v>
      </c>
      <c r="I345">
        <f>Tableau6[[#This Row],[GHG (kgCO2eq/GJ)]]*3.6</f>
        <v>14.221725239616614</v>
      </c>
      <c r="J345" t="s">
        <v>104</v>
      </c>
      <c r="K345" t="s">
        <v>108</v>
      </c>
    </row>
    <row r="346" spans="1:11" x14ac:dyDescent="0.3">
      <c r="A346" t="s">
        <v>21</v>
      </c>
      <c r="B346" t="s">
        <v>46</v>
      </c>
      <c r="C346" t="s">
        <v>64</v>
      </c>
      <c r="D346">
        <v>0.52290000000000003</v>
      </c>
      <c r="E346">
        <f>Tableau6[[#This Row],[Potential (PJ)]]/3.6</f>
        <v>0.14525000000000002</v>
      </c>
      <c r="F346">
        <v>6.1986718493019692</v>
      </c>
      <c r="G346">
        <f>Tableau6[[#This Row],[Cost (€/GJ)]]*3.6</f>
        <v>22.31521865748709</v>
      </c>
      <c r="H346">
        <v>2.9521711768407801</v>
      </c>
      <c r="I346">
        <f>Tableau6[[#This Row],[GHG (kgCO2eq/GJ)]]*3.6</f>
        <v>10.627816236626808</v>
      </c>
      <c r="J346" t="s">
        <v>104</v>
      </c>
      <c r="K346" t="s">
        <v>108</v>
      </c>
    </row>
    <row r="347" spans="1:11" x14ac:dyDescent="0.3">
      <c r="A347" t="s">
        <v>21</v>
      </c>
      <c r="B347" t="s">
        <v>46</v>
      </c>
      <c r="C347" t="s">
        <v>79</v>
      </c>
      <c r="D347">
        <v>213</v>
      </c>
      <c r="E347">
        <f>Tableau6[[#This Row],[Potential (PJ)]]/3.6</f>
        <v>59.166666666666664</v>
      </c>
      <c r="F347">
        <v>2.610728638497652</v>
      </c>
      <c r="G347">
        <f>Tableau6[[#This Row],[Cost (€/GJ)]]*3.6</f>
        <v>9.398623098591548</v>
      </c>
      <c r="H347">
        <v>6.8428961748633883</v>
      </c>
      <c r="I347">
        <f>Tableau6[[#This Row],[GHG (kgCO2eq/GJ)]]*3.6</f>
        <v>24.634426229508197</v>
      </c>
      <c r="J347" t="s">
        <v>104</v>
      </c>
      <c r="K347" t="s">
        <v>108</v>
      </c>
    </row>
    <row r="348" spans="1:11" x14ac:dyDescent="0.3">
      <c r="A348" t="s">
        <v>21</v>
      </c>
      <c r="B348" t="s">
        <v>46</v>
      </c>
      <c r="C348" t="s">
        <v>65</v>
      </c>
      <c r="D348">
        <v>1</v>
      </c>
      <c r="E348">
        <f>Tableau6[[#This Row],[Potential (PJ)]]/3.6</f>
        <v>0.27777777777777779</v>
      </c>
      <c r="F348">
        <v>6.6111000000000004</v>
      </c>
      <c r="G348">
        <f>Tableau6[[#This Row],[Cost (€/GJ)]]*3.6</f>
        <v>23.799960000000002</v>
      </c>
      <c r="H348">
        <v>2.9521711768407801</v>
      </c>
      <c r="I348">
        <f>Tableau6[[#This Row],[GHG (kgCO2eq/GJ)]]*3.6</f>
        <v>10.627816236626808</v>
      </c>
      <c r="J348" t="s">
        <v>104</v>
      </c>
      <c r="K348" t="s">
        <v>108</v>
      </c>
    </row>
    <row r="349" spans="1:11" x14ac:dyDescent="0.3">
      <c r="A349" t="s">
        <v>21</v>
      </c>
      <c r="B349" t="s">
        <v>46</v>
      </c>
      <c r="C349" t="s">
        <v>80</v>
      </c>
      <c r="D349">
        <v>3.0036</v>
      </c>
      <c r="E349">
        <f>Tableau6[[#This Row],[Potential (PJ)]]/3.6</f>
        <v>0.83433333333333337</v>
      </c>
      <c r="F349">
        <v>0.72016183412002699</v>
      </c>
      <c r="G349">
        <f>Tableau6[[#This Row],[Cost (€/GJ)]]*3.6</f>
        <v>2.5925826028320973</v>
      </c>
      <c r="H349">
        <v>28.139870918023309</v>
      </c>
      <c r="I349">
        <f>Tableau6[[#This Row],[GHG (kgCO2eq/GJ)]]*3.6</f>
        <v>101.30353530488391</v>
      </c>
      <c r="J349" t="s">
        <v>105</v>
      </c>
      <c r="K349" t="s">
        <v>108</v>
      </c>
    </row>
    <row r="350" spans="1:11" x14ac:dyDescent="0.3">
      <c r="A350" t="s">
        <v>21</v>
      </c>
      <c r="B350" t="s">
        <v>46</v>
      </c>
      <c r="C350" t="s">
        <v>81</v>
      </c>
      <c r="D350">
        <v>8.6365999999999996</v>
      </c>
      <c r="E350">
        <f>Tableau6[[#This Row],[Potential (PJ)]]/3.6</f>
        <v>2.3990555555555555</v>
      </c>
      <c r="F350">
        <v>0.98883666274970616</v>
      </c>
      <c r="G350">
        <f>Tableau6[[#This Row],[Cost (€/GJ)]]*3.6</f>
        <v>3.5598119858989423</v>
      </c>
      <c r="H350">
        <v>8.9647473560517046</v>
      </c>
      <c r="I350">
        <f>Tableau6[[#This Row],[GHG (kgCO2eq/GJ)]]*3.6</f>
        <v>32.273090481786134</v>
      </c>
      <c r="J350" t="s">
        <v>105</v>
      </c>
      <c r="K350" t="s">
        <v>108</v>
      </c>
    </row>
    <row r="351" spans="1:11" x14ac:dyDescent="0.3">
      <c r="A351" t="s">
        <v>21</v>
      </c>
      <c r="B351" t="s">
        <v>46</v>
      </c>
      <c r="C351" t="s">
        <v>66</v>
      </c>
      <c r="D351">
        <v>39.5</v>
      </c>
      <c r="E351">
        <f>Tableau6[[#This Row],[Potential (PJ)]]/3.6</f>
        <v>10.972222222222221</v>
      </c>
      <c r="F351">
        <v>2.6896556962025322</v>
      </c>
      <c r="G351">
        <f>Tableau6[[#This Row],[Cost (€/GJ)]]*3.6</f>
        <v>9.6827605063291156</v>
      </c>
      <c r="H351">
        <v>6.8428961748633883</v>
      </c>
      <c r="I351">
        <f>Tableau6[[#This Row],[GHG (kgCO2eq/GJ)]]*3.6</f>
        <v>24.634426229508197</v>
      </c>
      <c r="J351" t="s">
        <v>104</v>
      </c>
      <c r="K351" t="s">
        <v>108</v>
      </c>
    </row>
    <row r="352" spans="1:11" x14ac:dyDescent="0.3">
      <c r="A352" t="s">
        <v>21</v>
      </c>
      <c r="B352" t="s">
        <v>46</v>
      </c>
      <c r="C352" t="s">
        <v>67</v>
      </c>
      <c r="D352">
        <v>0.2</v>
      </c>
      <c r="E352">
        <f>Tableau6[[#This Row],[Potential (PJ)]]/3.6</f>
        <v>5.5555555555555559E-2</v>
      </c>
      <c r="F352">
        <v>9.6169999999999991</v>
      </c>
      <c r="G352">
        <f>Tableau6[[#This Row],[Cost (€/GJ)]]*3.6</f>
        <v>34.621199999999995</v>
      </c>
      <c r="H352">
        <v>2.9521711768407801</v>
      </c>
      <c r="I352">
        <f>Tableau6[[#This Row],[GHG (kgCO2eq/GJ)]]*3.6</f>
        <v>10.627816236626808</v>
      </c>
      <c r="J352" t="s">
        <v>104</v>
      </c>
      <c r="K352" t="s">
        <v>108</v>
      </c>
    </row>
    <row r="353" spans="1:11" x14ac:dyDescent="0.3">
      <c r="A353" t="s">
        <v>21</v>
      </c>
      <c r="B353" t="s">
        <v>46</v>
      </c>
      <c r="C353" t="s">
        <v>82</v>
      </c>
      <c r="D353">
        <v>34.299999999999997</v>
      </c>
      <c r="E353">
        <f>Tableau6[[#This Row],[Potential (PJ)]]/3.6</f>
        <v>9.5277777777777768</v>
      </c>
      <c r="F353">
        <v>1.724104956268222</v>
      </c>
      <c r="G353">
        <f>Tableau6[[#This Row],[Cost (€/GJ)]]*3.6</f>
        <v>6.2067778425655993</v>
      </c>
      <c r="H353">
        <v>6.8428961748633883</v>
      </c>
      <c r="I353">
        <f>Tableau6[[#This Row],[GHG (kgCO2eq/GJ)]]*3.6</f>
        <v>24.634426229508197</v>
      </c>
      <c r="J353" t="s">
        <v>104</v>
      </c>
      <c r="K353" t="s">
        <v>108</v>
      </c>
    </row>
    <row r="354" spans="1:11" x14ac:dyDescent="0.3">
      <c r="A354" t="s">
        <v>21</v>
      </c>
      <c r="B354" t="s">
        <v>46</v>
      </c>
      <c r="C354" t="s">
        <v>83</v>
      </c>
      <c r="D354">
        <v>0.67837999999999998</v>
      </c>
      <c r="E354">
        <f>Tableau6[[#This Row],[Potential (PJ)]]/3.6</f>
        <v>0.18843888888888888</v>
      </c>
      <c r="F354">
        <v>2.5200890209027391</v>
      </c>
      <c r="G354">
        <f>Tableau6[[#This Row],[Cost (€/GJ)]]*3.6</f>
        <v>9.0723204752498603</v>
      </c>
      <c r="H354">
        <v>6.8428961748633883</v>
      </c>
      <c r="I354">
        <f>Tableau6[[#This Row],[GHG (kgCO2eq/GJ)]]*3.6</f>
        <v>24.634426229508197</v>
      </c>
      <c r="J354" t="s">
        <v>104</v>
      </c>
      <c r="K354" t="s">
        <v>108</v>
      </c>
    </row>
    <row r="355" spans="1:11" x14ac:dyDescent="0.3">
      <c r="A355" t="s">
        <v>21</v>
      </c>
      <c r="B355" t="s">
        <v>46</v>
      </c>
      <c r="C355" t="s">
        <v>84</v>
      </c>
      <c r="D355">
        <v>3.4</v>
      </c>
      <c r="E355">
        <f>Tableau6[[#This Row],[Potential (PJ)]]/3.6</f>
        <v>0.94444444444444442</v>
      </c>
      <c r="F355">
        <v>2.0899705882352939</v>
      </c>
      <c r="G355">
        <f>Tableau6[[#This Row],[Cost (€/GJ)]]*3.6</f>
        <v>7.5238941176470586</v>
      </c>
      <c r="H355">
        <v>28.139870918023309</v>
      </c>
      <c r="I355">
        <f>Tableau6[[#This Row],[GHG (kgCO2eq/GJ)]]*3.6</f>
        <v>101.30353530488391</v>
      </c>
      <c r="J355" t="s">
        <v>105</v>
      </c>
      <c r="K355" t="s">
        <v>108</v>
      </c>
    </row>
    <row r="356" spans="1:11" x14ac:dyDescent="0.3">
      <c r="A356" t="s">
        <v>21</v>
      </c>
      <c r="B356" t="s">
        <v>46</v>
      </c>
      <c r="C356" t="s">
        <v>85</v>
      </c>
      <c r="D356">
        <v>9.5</v>
      </c>
      <c r="E356">
        <f>Tableau6[[#This Row],[Potential (PJ)]]/3.6</f>
        <v>2.6388888888888888</v>
      </c>
      <c r="F356">
        <v>4.7321052631578944</v>
      </c>
      <c r="G356">
        <f>Tableau6[[#This Row],[Cost (€/GJ)]]*3.6</f>
        <v>17.035578947368421</v>
      </c>
      <c r="H356">
        <v>2.9521711768407801</v>
      </c>
      <c r="I356">
        <f>Tableau6[[#This Row],[GHG (kgCO2eq/GJ)]]*3.6</f>
        <v>10.627816236626808</v>
      </c>
      <c r="J356" t="s">
        <v>104</v>
      </c>
      <c r="K356" t="s">
        <v>108</v>
      </c>
    </row>
    <row r="357" spans="1:11" x14ac:dyDescent="0.3">
      <c r="A357" t="s">
        <v>21</v>
      </c>
      <c r="B357" t="s">
        <v>55</v>
      </c>
      <c r="C357" t="s">
        <v>86</v>
      </c>
      <c r="D357">
        <v>3.5499000000000001</v>
      </c>
      <c r="E357">
        <f>Tableau6[[#This Row],[Potential (PJ)]]/3.6</f>
        <v>0.98608333333333331</v>
      </c>
      <c r="F357">
        <v>11.15</v>
      </c>
      <c r="G357">
        <f>Tableau6[[#This Row],[Cost (€/GJ)]]*3.6</f>
        <v>40.14</v>
      </c>
      <c r="H357">
        <v>19.100000000000001</v>
      </c>
      <c r="I357">
        <f>Tableau6[[#This Row],[GHG (kgCO2eq/GJ)]]*3.6</f>
        <v>68.760000000000005</v>
      </c>
      <c r="J357" t="s">
        <v>106</v>
      </c>
      <c r="K357" t="s">
        <v>109</v>
      </c>
    </row>
    <row r="358" spans="1:11" x14ac:dyDescent="0.3">
      <c r="A358" t="s">
        <v>21</v>
      </c>
      <c r="B358" t="s">
        <v>55</v>
      </c>
      <c r="C358" t="s">
        <v>87</v>
      </c>
      <c r="D358">
        <v>12.4208</v>
      </c>
      <c r="E358">
        <f>Tableau6[[#This Row],[Potential (PJ)]]/3.6</f>
        <v>3.4502222222222221</v>
      </c>
      <c r="F358">
        <v>12.73199999999999</v>
      </c>
      <c r="G358">
        <f>Tableau6[[#This Row],[Cost (€/GJ)]]*3.6</f>
        <v>45.835199999999965</v>
      </c>
      <c r="H358">
        <v>19.100000000000001</v>
      </c>
      <c r="I358">
        <f>Tableau6[[#This Row],[GHG (kgCO2eq/GJ)]]*3.6</f>
        <v>68.760000000000005</v>
      </c>
      <c r="J358" t="s">
        <v>106</v>
      </c>
      <c r="K358" t="s">
        <v>109</v>
      </c>
    </row>
    <row r="359" spans="1:11" x14ac:dyDescent="0.3">
      <c r="A359" t="s">
        <v>21</v>
      </c>
      <c r="B359" t="s">
        <v>55</v>
      </c>
      <c r="C359" t="s">
        <v>88</v>
      </c>
      <c r="D359">
        <v>9.3224999999999998</v>
      </c>
      <c r="E359">
        <f>Tableau6[[#This Row],[Potential (PJ)]]/3.6</f>
        <v>2.5895833333333331</v>
      </c>
      <c r="F359">
        <v>12.164999999999999</v>
      </c>
      <c r="G359">
        <f>Tableau6[[#This Row],[Cost (€/GJ)]]*3.6</f>
        <v>43.793999999999997</v>
      </c>
      <c r="H359">
        <v>19.100000000000001</v>
      </c>
      <c r="I359">
        <f>Tableau6[[#This Row],[GHG (kgCO2eq/GJ)]]*3.6</f>
        <v>68.760000000000005</v>
      </c>
      <c r="J359" t="s">
        <v>106</v>
      </c>
      <c r="K359" t="s">
        <v>109</v>
      </c>
    </row>
    <row r="360" spans="1:11" x14ac:dyDescent="0.3">
      <c r="A360" t="s">
        <v>21</v>
      </c>
      <c r="B360" t="s">
        <v>55</v>
      </c>
      <c r="C360" t="s">
        <v>90</v>
      </c>
      <c r="D360">
        <v>3.8300000000000001E-2</v>
      </c>
      <c r="E360">
        <f>Tableau6[[#This Row],[Potential (PJ)]]/3.6</f>
        <v>1.0638888888888889E-2</v>
      </c>
      <c r="F360">
        <v>10.86000000000001</v>
      </c>
      <c r="G360">
        <f>Tableau6[[#This Row],[Cost (€/GJ)]]*3.6</f>
        <v>39.096000000000039</v>
      </c>
      <c r="H360">
        <v>19.100000000000001</v>
      </c>
      <c r="I360">
        <f>Tableau6[[#This Row],[GHG (kgCO2eq/GJ)]]*3.6</f>
        <v>68.760000000000005</v>
      </c>
      <c r="J360" t="s">
        <v>106</v>
      </c>
      <c r="K360" t="s">
        <v>109</v>
      </c>
    </row>
    <row r="361" spans="1:11" x14ac:dyDescent="0.3">
      <c r="A361" t="s">
        <v>21</v>
      </c>
      <c r="B361" t="s">
        <v>55</v>
      </c>
      <c r="C361" t="s">
        <v>91</v>
      </c>
      <c r="D361">
        <v>9.8999999999999991E-3</v>
      </c>
      <c r="E361">
        <f>Tableau6[[#This Row],[Potential (PJ)]]/3.6</f>
        <v>2.7499999999999998E-3</v>
      </c>
      <c r="F361">
        <v>12.561999999999999</v>
      </c>
      <c r="G361">
        <f>Tableau6[[#This Row],[Cost (€/GJ)]]*3.6</f>
        <v>45.223199999999999</v>
      </c>
      <c r="H361">
        <v>19.100000000000001</v>
      </c>
      <c r="I361">
        <f>Tableau6[[#This Row],[GHG (kgCO2eq/GJ)]]*3.6</f>
        <v>68.760000000000005</v>
      </c>
      <c r="J361" t="s">
        <v>106</v>
      </c>
      <c r="K361" t="s">
        <v>109</v>
      </c>
    </row>
    <row r="362" spans="1:11" x14ac:dyDescent="0.3">
      <c r="A362" t="s">
        <v>21</v>
      </c>
      <c r="B362" t="s">
        <v>55</v>
      </c>
      <c r="C362" t="s">
        <v>92</v>
      </c>
      <c r="D362">
        <v>4.4267500000000002</v>
      </c>
      <c r="E362">
        <f>Tableau6[[#This Row],[Potential (PJ)]]/3.6</f>
        <v>1.2296527777777777</v>
      </c>
      <c r="F362">
        <v>12.73199999999999</v>
      </c>
      <c r="G362">
        <f>Tableau6[[#This Row],[Cost (€/GJ)]]*3.6</f>
        <v>45.835199999999965</v>
      </c>
      <c r="H362">
        <v>19.100000000000001</v>
      </c>
      <c r="I362">
        <f>Tableau6[[#This Row],[GHG (kgCO2eq/GJ)]]*3.6</f>
        <v>68.760000000000005</v>
      </c>
      <c r="J362" t="s">
        <v>106</v>
      </c>
      <c r="K362" t="s">
        <v>109</v>
      </c>
    </row>
    <row r="363" spans="1:11" x14ac:dyDescent="0.3">
      <c r="A363" t="s">
        <v>21</v>
      </c>
      <c r="B363" t="s">
        <v>56</v>
      </c>
      <c r="C363" t="s">
        <v>93</v>
      </c>
      <c r="D363">
        <v>251.0848</v>
      </c>
      <c r="E363">
        <f>Tableau6[[#This Row],[Potential (PJ)]]/3.6</f>
        <v>69.745777777777775</v>
      </c>
      <c r="F363">
        <v>2.939759036144578</v>
      </c>
      <c r="G363">
        <f>Tableau6[[#This Row],[Cost (€/GJ)]]*3.6</f>
        <v>10.583132530120482</v>
      </c>
      <c r="H363">
        <v>25.9</v>
      </c>
      <c r="I363">
        <f>Tableau6[[#This Row],[GHG (kgCO2eq/GJ)]]*3.6</f>
        <v>93.24</v>
      </c>
      <c r="J363" t="s">
        <v>106</v>
      </c>
      <c r="K363" t="s">
        <v>109</v>
      </c>
    </row>
    <row r="364" spans="1:11" x14ac:dyDescent="0.3">
      <c r="A364" t="s">
        <v>21</v>
      </c>
      <c r="B364" t="s">
        <v>47</v>
      </c>
      <c r="C364" t="s">
        <v>68</v>
      </c>
      <c r="D364">
        <v>103.9</v>
      </c>
      <c r="E364">
        <f>Tableau6[[#This Row],[Potential (PJ)]]/3.6</f>
        <v>28.861111111111111</v>
      </c>
      <c r="F364">
        <v>5.6474504331087578</v>
      </c>
      <c r="G364">
        <f>Tableau6[[#This Row],[Cost (€/GJ)]]*3.6</f>
        <v>20.330821559191527</v>
      </c>
      <c r="H364">
        <v>18.5</v>
      </c>
      <c r="I364">
        <f>Tableau6[[#This Row],[GHG (kgCO2eq/GJ)]]*3.6</f>
        <v>66.600000000000009</v>
      </c>
      <c r="J364" t="s">
        <v>104</v>
      </c>
      <c r="K364" t="s">
        <v>109</v>
      </c>
    </row>
    <row r="365" spans="1:11" x14ac:dyDescent="0.3">
      <c r="A365" t="s">
        <v>21</v>
      </c>
      <c r="B365" t="s">
        <v>47</v>
      </c>
      <c r="C365" t="s">
        <v>69</v>
      </c>
      <c r="D365">
        <v>104.6</v>
      </c>
      <c r="E365">
        <f>Tableau6[[#This Row],[Potential (PJ)]]/3.6</f>
        <v>29.055555555555554</v>
      </c>
      <c r="F365">
        <v>5.3942007648183568</v>
      </c>
      <c r="G365">
        <f>Tableau6[[#This Row],[Cost (€/GJ)]]*3.6</f>
        <v>19.419122753346084</v>
      </c>
      <c r="H365">
        <v>18.5</v>
      </c>
      <c r="I365">
        <f>Tableau6[[#This Row],[GHG (kgCO2eq/GJ)]]*3.6</f>
        <v>66.600000000000009</v>
      </c>
      <c r="J365" t="s">
        <v>104</v>
      </c>
      <c r="K365" t="s">
        <v>109</v>
      </c>
    </row>
    <row r="366" spans="1:11" x14ac:dyDescent="0.3">
      <c r="A366" t="s">
        <v>21</v>
      </c>
      <c r="B366" t="s">
        <v>57</v>
      </c>
      <c r="C366" t="s">
        <v>94</v>
      </c>
      <c r="D366">
        <v>28.9</v>
      </c>
      <c r="E366">
        <f>Tableau6[[#This Row],[Potential (PJ)]]/3.6</f>
        <v>8.0277777777777768</v>
      </c>
      <c r="F366">
        <v>10.411328719723191</v>
      </c>
      <c r="G366">
        <f>Tableau6[[#This Row],[Cost (€/GJ)]]*3.6</f>
        <v>37.480783391003484</v>
      </c>
      <c r="H366">
        <v>15</v>
      </c>
      <c r="I366">
        <f>Tableau6[[#This Row],[GHG (kgCO2eq/GJ)]]*3.6</f>
        <v>54</v>
      </c>
      <c r="J366" t="s">
        <v>104</v>
      </c>
      <c r="K366" t="s">
        <v>109</v>
      </c>
    </row>
    <row r="367" spans="1:11" x14ac:dyDescent="0.3">
      <c r="A367" t="s">
        <v>21</v>
      </c>
      <c r="B367" t="s">
        <v>48</v>
      </c>
      <c r="C367" t="s">
        <v>70</v>
      </c>
      <c r="D367">
        <v>4.6000000000000014</v>
      </c>
      <c r="E367">
        <f>Tableau6[[#This Row],[Potential (PJ)]]/3.6</f>
        <v>1.2777777777777781</v>
      </c>
      <c r="F367">
        <v>13.03465217391304</v>
      </c>
      <c r="G367">
        <f>Tableau6[[#This Row],[Cost (€/GJ)]]*3.6</f>
        <v>46.924747826086943</v>
      </c>
      <c r="H367">
        <v>15</v>
      </c>
      <c r="I367">
        <f>Tableau6[[#This Row],[GHG (kgCO2eq/GJ)]]*3.6</f>
        <v>54</v>
      </c>
      <c r="J367" t="s">
        <v>104</v>
      </c>
      <c r="K367" t="s">
        <v>109</v>
      </c>
    </row>
    <row r="368" spans="1:11" x14ac:dyDescent="0.3">
      <c r="A368" t="s">
        <v>21</v>
      </c>
      <c r="B368" t="s">
        <v>49</v>
      </c>
      <c r="C368" t="s">
        <v>71</v>
      </c>
      <c r="D368">
        <v>387.58497999999997</v>
      </c>
      <c r="E368">
        <f>Tableau6[[#This Row],[Potential (PJ)]]/3.6</f>
        <v>107.66249444444443</v>
      </c>
      <c r="F368">
        <v>4.7339991183610879</v>
      </c>
      <c r="G368">
        <f>Tableau6[[#This Row],[Cost (€/GJ)]]*3.6</f>
        <v>17.042396826099917</v>
      </c>
      <c r="H368">
        <v>3.86607608129234</v>
      </c>
      <c r="I368">
        <f>Tableau6[[#This Row],[GHG (kgCO2eq/GJ)]]*3.6</f>
        <v>13.917873892652425</v>
      </c>
      <c r="J368" t="s">
        <v>104</v>
      </c>
      <c r="K368" t="s">
        <v>108</v>
      </c>
    </row>
    <row r="369" spans="1:11" x14ac:dyDescent="0.3">
      <c r="A369" t="s">
        <v>21</v>
      </c>
      <c r="B369" t="s">
        <v>49</v>
      </c>
      <c r="C369" t="s">
        <v>72</v>
      </c>
      <c r="D369">
        <v>142.4</v>
      </c>
      <c r="E369">
        <f>Tableau6[[#This Row],[Potential (PJ)]]/3.6</f>
        <v>39.555555555555557</v>
      </c>
      <c r="F369">
        <v>3.7906271067415731</v>
      </c>
      <c r="G369">
        <f>Tableau6[[#This Row],[Cost (€/GJ)]]*3.6</f>
        <v>13.646257584269664</v>
      </c>
      <c r="H369">
        <v>3.86607608129234</v>
      </c>
      <c r="I369">
        <f>Tableau6[[#This Row],[GHG (kgCO2eq/GJ)]]*3.6</f>
        <v>13.917873892652425</v>
      </c>
      <c r="J369" t="s">
        <v>104</v>
      </c>
      <c r="K369" t="s">
        <v>108</v>
      </c>
    </row>
    <row r="370" spans="1:11" x14ac:dyDescent="0.3">
      <c r="A370" t="s">
        <v>21</v>
      </c>
      <c r="B370" t="s">
        <v>58</v>
      </c>
      <c r="C370" t="s">
        <v>95</v>
      </c>
      <c r="D370">
        <v>97.024339999999995</v>
      </c>
      <c r="E370">
        <f>Tableau6[[#This Row],[Potential (PJ)]]/3.6</f>
        <v>26.951205555555553</v>
      </c>
      <c r="F370">
        <v>2.7997902071789409</v>
      </c>
      <c r="G370">
        <f>Tableau6[[#This Row],[Cost (€/GJ)]]*3.6</f>
        <v>10.079244745844187</v>
      </c>
      <c r="H370">
        <v>2.9521711768407801</v>
      </c>
      <c r="I370">
        <f>Tableau6[[#This Row],[GHG (kgCO2eq/GJ)]]*3.6</f>
        <v>10.627816236626808</v>
      </c>
      <c r="J370" t="s">
        <v>104</v>
      </c>
      <c r="K370" t="s">
        <v>108</v>
      </c>
    </row>
    <row r="371" spans="1:11" x14ac:dyDescent="0.3">
      <c r="A371" t="s">
        <v>21</v>
      </c>
      <c r="B371" t="s">
        <v>50</v>
      </c>
      <c r="C371" t="s">
        <v>73</v>
      </c>
      <c r="D371">
        <v>37.5</v>
      </c>
      <c r="E371">
        <f>Tableau6[[#This Row],[Potential (PJ)]]/3.6</f>
        <v>10.416666666666666</v>
      </c>
      <c r="F371">
        <v>5.5669333333333331</v>
      </c>
      <c r="G371">
        <f>Tableau6[[#This Row],[Cost (€/GJ)]]*3.6</f>
        <v>20.040959999999998</v>
      </c>
      <c r="H371">
        <v>20.723404255319149</v>
      </c>
      <c r="I371">
        <f>Tableau6[[#This Row],[GHG (kgCO2eq/GJ)]]*3.6</f>
        <v>74.604255319148933</v>
      </c>
      <c r="J371" t="s">
        <v>105</v>
      </c>
      <c r="K371" t="s">
        <v>108</v>
      </c>
    </row>
    <row r="372" spans="1:11" x14ac:dyDescent="0.3">
      <c r="A372" t="s">
        <v>21</v>
      </c>
      <c r="B372" t="s">
        <v>50</v>
      </c>
      <c r="C372" t="s">
        <v>74</v>
      </c>
      <c r="D372">
        <v>423.8</v>
      </c>
      <c r="E372">
        <f>Tableau6[[#This Row],[Potential (PJ)]]/3.6</f>
        <v>117.72222222222223</v>
      </c>
      <c r="F372">
        <v>6.3721873525247759</v>
      </c>
      <c r="G372">
        <f>Tableau6[[#This Row],[Cost (€/GJ)]]*3.6</f>
        <v>22.939874469089194</v>
      </c>
      <c r="H372">
        <v>2.0635593220338988</v>
      </c>
      <c r="I372">
        <f>Tableau6[[#This Row],[GHG (kgCO2eq/GJ)]]*3.6</f>
        <v>7.4288135593220357</v>
      </c>
      <c r="J372" t="s">
        <v>105</v>
      </c>
      <c r="K372" t="s">
        <v>108</v>
      </c>
    </row>
    <row r="373" spans="1:11" x14ac:dyDescent="0.3">
      <c r="A373" t="s">
        <v>21</v>
      </c>
      <c r="B373" t="s">
        <v>59</v>
      </c>
      <c r="C373" t="s">
        <v>96</v>
      </c>
      <c r="D373">
        <v>13.6951</v>
      </c>
      <c r="E373">
        <f>Tableau6[[#This Row],[Potential (PJ)]]/3.6</f>
        <v>3.8041944444444442</v>
      </c>
      <c r="F373">
        <v>17.413</v>
      </c>
      <c r="G373">
        <f>Tableau6[[#This Row],[Cost (€/GJ)]]*3.6</f>
        <v>62.686800000000005</v>
      </c>
      <c r="H373">
        <v>20</v>
      </c>
      <c r="I373">
        <f>Tableau6[[#This Row],[GHG (kgCO2eq/GJ)]]*3.6</f>
        <v>72</v>
      </c>
      <c r="J373" t="s">
        <v>107</v>
      </c>
      <c r="K373" t="s">
        <v>109</v>
      </c>
    </row>
    <row r="374" spans="1:11" x14ac:dyDescent="0.3">
      <c r="A374" t="s">
        <v>21</v>
      </c>
      <c r="B374" t="s">
        <v>59</v>
      </c>
      <c r="C374" t="s">
        <v>97</v>
      </c>
      <c r="D374">
        <v>19.6188</v>
      </c>
      <c r="E374">
        <f>Tableau6[[#This Row],[Potential (PJ)]]/3.6</f>
        <v>5.4496666666666664</v>
      </c>
      <c r="F374">
        <v>18.393922951709168</v>
      </c>
      <c r="G374">
        <f>Tableau6[[#This Row],[Cost (€/GJ)]]*3.6</f>
        <v>66.218122626153004</v>
      </c>
      <c r="H374">
        <v>20</v>
      </c>
      <c r="I374">
        <f>Tableau6[[#This Row],[GHG (kgCO2eq/GJ)]]*3.6</f>
        <v>72</v>
      </c>
      <c r="J374" t="s">
        <v>107</v>
      </c>
      <c r="K374" t="s">
        <v>109</v>
      </c>
    </row>
    <row r="375" spans="1:11" x14ac:dyDescent="0.3">
      <c r="A375" t="s">
        <v>21</v>
      </c>
      <c r="B375" t="s">
        <v>51</v>
      </c>
      <c r="C375" t="s">
        <v>75</v>
      </c>
      <c r="D375">
        <v>81.209999999999994</v>
      </c>
      <c r="E375">
        <f>Tableau6[[#This Row],[Potential (PJ)]]/3.6</f>
        <v>22.55833333333333</v>
      </c>
      <c r="F375">
        <v>7.6273792175835603E-2</v>
      </c>
      <c r="G375">
        <f>Tableau6[[#This Row],[Cost (€/GJ)]]*3.6</f>
        <v>0.2745856518330082</v>
      </c>
      <c r="H375">
        <v>11.74</v>
      </c>
      <c r="I375">
        <f>Tableau6[[#This Row],[GHG (kgCO2eq/GJ)]]*3.6</f>
        <v>42.264000000000003</v>
      </c>
      <c r="J375" t="s">
        <v>104</v>
      </c>
      <c r="K375" t="s">
        <v>108</v>
      </c>
    </row>
    <row r="376" spans="1:11" x14ac:dyDescent="0.3">
      <c r="A376" t="s">
        <v>21</v>
      </c>
      <c r="B376" t="s">
        <v>60</v>
      </c>
      <c r="C376" t="s">
        <v>98</v>
      </c>
      <c r="D376">
        <v>87.548060000000007</v>
      </c>
      <c r="E376">
        <f>Tableau6[[#This Row],[Potential (PJ)]]/3.6</f>
        <v>24.318905555555556</v>
      </c>
      <c r="F376">
        <v>17.3469387755102</v>
      </c>
      <c r="G376">
        <f>Tableau6[[#This Row],[Cost (€/GJ)]]*3.6</f>
        <v>62.448979591836718</v>
      </c>
      <c r="H376">
        <v>26.3</v>
      </c>
      <c r="I376">
        <f>Tableau6[[#This Row],[GHG (kgCO2eq/GJ)]]*3.6</f>
        <v>94.68</v>
      </c>
      <c r="J376" t="s">
        <v>107</v>
      </c>
      <c r="K376" t="s">
        <v>109</v>
      </c>
    </row>
    <row r="377" spans="1:11" x14ac:dyDescent="0.3">
      <c r="A377" t="s">
        <v>21</v>
      </c>
      <c r="B377" t="s">
        <v>52</v>
      </c>
      <c r="C377" t="s">
        <v>76</v>
      </c>
      <c r="D377">
        <v>6.0000000000000001E-3</v>
      </c>
      <c r="E377">
        <f>Tableau6[[#This Row],[Potential (PJ)]]/3.6</f>
        <v>1.6666666666666666E-3</v>
      </c>
      <c r="F377">
        <v>6.5250000000000004</v>
      </c>
      <c r="G377">
        <f>Tableau6[[#This Row],[Cost (€/GJ)]]*3.6</f>
        <v>23.490000000000002</v>
      </c>
      <c r="H377">
        <v>12.68872359754714</v>
      </c>
      <c r="I377">
        <f>Tableau6[[#This Row],[GHG (kgCO2eq/GJ)]]*3.6</f>
        <v>45.679404951169708</v>
      </c>
      <c r="J377" t="s">
        <v>105</v>
      </c>
      <c r="K377" t="s">
        <v>108</v>
      </c>
    </row>
    <row r="378" spans="1:11" x14ac:dyDescent="0.3">
      <c r="A378" t="s">
        <v>21</v>
      </c>
      <c r="B378" t="s">
        <v>53</v>
      </c>
      <c r="C378" t="s">
        <v>77</v>
      </c>
      <c r="D378">
        <v>86</v>
      </c>
      <c r="E378">
        <f>Tableau6[[#This Row],[Potential (PJ)]]/3.6</f>
        <v>23.888888888888889</v>
      </c>
      <c r="F378">
        <v>3.7907267441860459</v>
      </c>
      <c r="G378">
        <f>Tableau6[[#This Row],[Cost (€/GJ)]]*3.6</f>
        <v>13.646616279069766</v>
      </c>
      <c r="H378">
        <v>3.86607608129234</v>
      </c>
      <c r="I378">
        <f>Tableau6[[#This Row],[GHG (kgCO2eq/GJ)]]*3.6</f>
        <v>13.917873892652425</v>
      </c>
      <c r="J378" t="s">
        <v>104</v>
      </c>
      <c r="K378" t="s">
        <v>108</v>
      </c>
    </row>
    <row r="379" spans="1:11" x14ac:dyDescent="0.3">
      <c r="A379" t="s">
        <v>21</v>
      </c>
      <c r="B379" t="s">
        <v>61</v>
      </c>
      <c r="C379" t="s">
        <v>99</v>
      </c>
      <c r="D379">
        <v>50.1</v>
      </c>
      <c r="E379">
        <f>Tableau6[[#This Row],[Potential (PJ)]]/3.6</f>
        <v>13.916666666666666</v>
      </c>
      <c r="F379">
        <v>1.9490000000000001</v>
      </c>
      <c r="G379">
        <f>Tableau6[[#This Row],[Cost (€/GJ)]]*3.6</f>
        <v>7.0164</v>
      </c>
      <c r="H379">
        <v>2.9245635910224439</v>
      </c>
      <c r="I379">
        <f>Tableau6[[#This Row],[GHG (kgCO2eq/GJ)]]*3.6</f>
        <v>10.528428927680798</v>
      </c>
      <c r="J379" t="s">
        <v>104</v>
      </c>
      <c r="K379" t="s">
        <v>108</v>
      </c>
    </row>
    <row r="380" spans="1:11" x14ac:dyDescent="0.3">
      <c r="A380" t="s">
        <v>21</v>
      </c>
      <c r="B380" t="s">
        <v>62</v>
      </c>
      <c r="C380" t="s">
        <v>100</v>
      </c>
      <c r="D380">
        <v>14.7</v>
      </c>
      <c r="E380">
        <f>Tableau6[[#This Row],[Potential (PJ)]]/3.6</f>
        <v>4.083333333333333</v>
      </c>
      <c r="F380">
        <v>0.13197278911564619</v>
      </c>
      <c r="G380">
        <f>Tableau6[[#This Row],[Cost (€/GJ)]]*3.6</f>
        <v>0.47510204081632629</v>
      </c>
      <c r="H380">
        <v>2.6764106050305911</v>
      </c>
      <c r="I380">
        <f>Tableau6[[#This Row],[GHG (kgCO2eq/GJ)]]*3.6</f>
        <v>9.6350781781101276</v>
      </c>
      <c r="J380" t="s">
        <v>104</v>
      </c>
      <c r="K380" t="s">
        <v>108</v>
      </c>
    </row>
    <row r="381" spans="1:11" x14ac:dyDescent="0.3">
      <c r="A381" t="s">
        <v>21</v>
      </c>
      <c r="B381" t="s">
        <v>54</v>
      </c>
      <c r="C381" t="s">
        <v>78</v>
      </c>
      <c r="D381">
        <v>234.3</v>
      </c>
      <c r="E381">
        <f>Tableau6[[#This Row],[Potential (PJ)]]/3.6</f>
        <v>65.083333333333329</v>
      </c>
      <c r="F381">
        <v>7.8556086214255227</v>
      </c>
      <c r="G381">
        <f>Tableau6[[#This Row],[Cost (€/GJ)]]*3.6</f>
        <v>28.280191037131882</v>
      </c>
      <c r="H381">
        <v>3.86607608129234</v>
      </c>
      <c r="I381">
        <f>Tableau6[[#This Row],[GHG (kgCO2eq/GJ)]]*3.6</f>
        <v>13.917873892652425</v>
      </c>
      <c r="J381" t="s">
        <v>104</v>
      </c>
      <c r="K381" t="s">
        <v>108</v>
      </c>
    </row>
    <row r="382" spans="1:11" x14ac:dyDescent="0.3">
      <c r="A382" t="s">
        <v>22</v>
      </c>
      <c r="B382" t="s">
        <v>46</v>
      </c>
      <c r="C382" t="s">
        <v>103</v>
      </c>
      <c r="D382">
        <v>14.286</v>
      </c>
      <c r="E382">
        <f>Tableau6[[#This Row],[Potential (PJ)]]/3.6</f>
        <v>3.9683333333333333</v>
      </c>
      <c r="F382">
        <v>0</v>
      </c>
      <c r="G382">
        <f>Tableau6[[#This Row],[Cost (€/GJ)]]*3.6</f>
        <v>0</v>
      </c>
      <c r="I382">
        <f>Tableau6[[#This Row],[GHG (kgCO2eq/GJ)]]*3.6</f>
        <v>0</v>
      </c>
    </row>
    <row r="383" spans="1:11" x14ac:dyDescent="0.3">
      <c r="A383" t="s">
        <v>22</v>
      </c>
      <c r="B383" t="s">
        <v>46</v>
      </c>
      <c r="C383" t="s">
        <v>63</v>
      </c>
      <c r="D383">
        <v>5.7099999999999998E-2</v>
      </c>
      <c r="E383">
        <f>Tableau6[[#This Row],[Potential (PJ)]]/3.6</f>
        <v>1.5861111111111111E-2</v>
      </c>
      <c r="F383">
        <v>2.9286474973375931</v>
      </c>
      <c r="G383">
        <f>Tableau6[[#This Row],[Cost (€/GJ)]]*3.6</f>
        <v>10.543130990415335</v>
      </c>
      <c r="H383">
        <v>3.950479233226837</v>
      </c>
      <c r="I383">
        <f>Tableau6[[#This Row],[GHG (kgCO2eq/GJ)]]*3.6</f>
        <v>14.221725239616614</v>
      </c>
      <c r="J383" t="s">
        <v>104</v>
      </c>
      <c r="K383" t="s">
        <v>108</v>
      </c>
    </row>
    <row r="384" spans="1:11" x14ac:dyDescent="0.3">
      <c r="A384" t="s">
        <v>22</v>
      </c>
      <c r="B384" t="s">
        <v>46</v>
      </c>
      <c r="C384" t="s">
        <v>80</v>
      </c>
      <c r="D384">
        <v>0.59109999999999996</v>
      </c>
      <c r="E384">
        <f>Tableau6[[#This Row],[Potential (PJ)]]/3.6</f>
        <v>0.16419444444444442</v>
      </c>
      <c r="F384">
        <v>0.91773432231962238</v>
      </c>
      <c r="G384">
        <f>Tableau6[[#This Row],[Cost (€/GJ)]]*3.6</f>
        <v>3.3038435603506406</v>
      </c>
      <c r="H384">
        <v>28.139870918023309</v>
      </c>
      <c r="I384">
        <f>Tableau6[[#This Row],[GHG (kgCO2eq/GJ)]]*3.6</f>
        <v>101.30353530488391</v>
      </c>
      <c r="J384" t="s">
        <v>105</v>
      </c>
      <c r="K384" t="s">
        <v>108</v>
      </c>
    </row>
    <row r="385" spans="1:11" x14ac:dyDescent="0.3">
      <c r="A385" t="s">
        <v>22</v>
      </c>
      <c r="B385" t="s">
        <v>46</v>
      </c>
      <c r="C385" t="s">
        <v>81</v>
      </c>
      <c r="D385">
        <v>0.4819</v>
      </c>
      <c r="E385">
        <f>Tableau6[[#This Row],[Potential (PJ)]]/3.6</f>
        <v>0.1338611111111111</v>
      </c>
      <c r="F385">
        <v>3.6856639247943601</v>
      </c>
      <c r="G385">
        <f>Tableau6[[#This Row],[Cost (€/GJ)]]*3.6</f>
        <v>13.268390129259696</v>
      </c>
      <c r="H385">
        <v>8.9647473560517046</v>
      </c>
      <c r="I385">
        <f>Tableau6[[#This Row],[GHG (kgCO2eq/GJ)]]*3.6</f>
        <v>32.273090481786134</v>
      </c>
      <c r="J385" t="s">
        <v>105</v>
      </c>
      <c r="K385" t="s">
        <v>108</v>
      </c>
    </row>
    <row r="386" spans="1:11" x14ac:dyDescent="0.3">
      <c r="A386" t="s">
        <v>22</v>
      </c>
      <c r="B386" t="s">
        <v>55</v>
      </c>
      <c r="C386" t="s">
        <v>87</v>
      </c>
      <c r="D386">
        <v>28.591699999999999</v>
      </c>
      <c r="E386">
        <f>Tableau6[[#This Row],[Potential (PJ)]]/3.6</f>
        <v>7.9421388888888886</v>
      </c>
      <c r="F386">
        <v>12.648999999999999</v>
      </c>
      <c r="G386">
        <f>Tableau6[[#This Row],[Cost (€/GJ)]]*3.6</f>
        <v>45.5364</v>
      </c>
      <c r="H386">
        <v>11.5</v>
      </c>
      <c r="I386">
        <f>Tableau6[[#This Row],[GHG (kgCO2eq/GJ)]]*3.6</f>
        <v>41.4</v>
      </c>
      <c r="J386" t="s">
        <v>106</v>
      </c>
      <c r="K386" t="s">
        <v>109</v>
      </c>
    </row>
    <row r="387" spans="1:11" x14ac:dyDescent="0.3">
      <c r="A387" t="s">
        <v>22</v>
      </c>
      <c r="B387" t="s">
        <v>55</v>
      </c>
      <c r="C387" t="s">
        <v>88</v>
      </c>
      <c r="D387">
        <v>0.52049999999999996</v>
      </c>
      <c r="E387">
        <f>Tableau6[[#This Row],[Potential (PJ)]]/3.6</f>
        <v>0.14458333333333331</v>
      </c>
      <c r="F387">
        <v>8.6709999999999994</v>
      </c>
      <c r="G387">
        <f>Tableau6[[#This Row],[Cost (€/GJ)]]*3.6</f>
        <v>31.215599999999998</v>
      </c>
      <c r="H387">
        <v>11.5</v>
      </c>
      <c r="I387">
        <f>Tableau6[[#This Row],[GHG (kgCO2eq/GJ)]]*3.6</f>
        <v>41.4</v>
      </c>
      <c r="J387" t="s">
        <v>106</v>
      </c>
      <c r="K387" t="s">
        <v>109</v>
      </c>
    </row>
    <row r="388" spans="1:11" x14ac:dyDescent="0.3">
      <c r="A388" t="s">
        <v>22</v>
      </c>
      <c r="B388" t="s">
        <v>55</v>
      </c>
      <c r="C388" t="s">
        <v>89</v>
      </c>
      <c r="D388">
        <v>8.0000000000000004E-4</v>
      </c>
      <c r="E388">
        <f>Tableau6[[#This Row],[Potential (PJ)]]/3.6</f>
        <v>2.2222222222222223E-4</v>
      </c>
      <c r="F388">
        <v>0</v>
      </c>
      <c r="G388">
        <f>Tableau6[[#This Row],[Cost (€/GJ)]]*3.6</f>
        <v>0</v>
      </c>
      <c r="H388">
        <v>11.5</v>
      </c>
      <c r="I388">
        <f>Tableau6[[#This Row],[GHG (kgCO2eq/GJ)]]*3.6</f>
        <v>41.4</v>
      </c>
      <c r="J388" t="s">
        <v>106</v>
      </c>
      <c r="K388" t="s">
        <v>109</v>
      </c>
    </row>
    <row r="389" spans="1:11" x14ac:dyDescent="0.3">
      <c r="A389" t="s">
        <v>22</v>
      </c>
      <c r="B389" t="s">
        <v>55</v>
      </c>
      <c r="C389" t="s">
        <v>92</v>
      </c>
      <c r="D389">
        <v>5.4449999999999998E-2</v>
      </c>
      <c r="E389">
        <f>Tableau6[[#This Row],[Potential (PJ)]]/3.6</f>
        <v>1.5125E-2</v>
      </c>
      <c r="F389">
        <v>12.648999999999999</v>
      </c>
      <c r="G389">
        <f>Tableau6[[#This Row],[Cost (€/GJ)]]*3.6</f>
        <v>45.5364</v>
      </c>
      <c r="H389">
        <v>11.5</v>
      </c>
      <c r="I389">
        <f>Tableau6[[#This Row],[GHG (kgCO2eq/GJ)]]*3.6</f>
        <v>41.4</v>
      </c>
      <c r="J389" t="s">
        <v>106</v>
      </c>
      <c r="K389" t="s">
        <v>109</v>
      </c>
    </row>
    <row r="390" spans="1:11" x14ac:dyDescent="0.3">
      <c r="A390" t="s">
        <v>22</v>
      </c>
      <c r="B390" t="s">
        <v>49</v>
      </c>
      <c r="C390" t="s">
        <v>71</v>
      </c>
      <c r="D390">
        <v>47.172330000000002</v>
      </c>
      <c r="E390">
        <f>Tableau6[[#This Row],[Potential (PJ)]]/3.6</f>
        <v>13.103425</v>
      </c>
      <c r="F390">
        <v>2.556</v>
      </c>
      <c r="G390">
        <f>Tableau6[[#This Row],[Cost (€/GJ)]]*3.6</f>
        <v>9.2016000000000009</v>
      </c>
      <c r="H390">
        <v>3.86607608129234</v>
      </c>
      <c r="I390">
        <f>Tableau6[[#This Row],[GHG (kgCO2eq/GJ)]]*3.6</f>
        <v>13.917873892652425</v>
      </c>
      <c r="J390" t="s">
        <v>104</v>
      </c>
      <c r="K390" t="s">
        <v>108</v>
      </c>
    </row>
    <row r="391" spans="1:11" x14ac:dyDescent="0.3">
      <c r="A391" t="s">
        <v>22</v>
      </c>
      <c r="B391" t="s">
        <v>49</v>
      </c>
      <c r="C391" t="s">
        <v>72</v>
      </c>
      <c r="D391">
        <v>8.5</v>
      </c>
      <c r="E391">
        <f>Tableau6[[#This Row],[Potential (PJ)]]/3.6</f>
        <v>2.3611111111111112</v>
      </c>
      <c r="F391">
        <v>1.752</v>
      </c>
      <c r="G391">
        <f>Tableau6[[#This Row],[Cost (€/GJ)]]*3.6</f>
        <v>6.3071999999999999</v>
      </c>
      <c r="H391">
        <v>3.86607608129234</v>
      </c>
      <c r="I391">
        <f>Tableau6[[#This Row],[GHG (kgCO2eq/GJ)]]*3.6</f>
        <v>13.917873892652425</v>
      </c>
      <c r="J391" t="s">
        <v>104</v>
      </c>
      <c r="K391" t="s">
        <v>108</v>
      </c>
    </row>
    <row r="392" spans="1:11" x14ac:dyDescent="0.3">
      <c r="A392" t="s">
        <v>22</v>
      </c>
      <c r="B392" t="s">
        <v>58</v>
      </c>
      <c r="C392" t="s">
        <v>103</v>
      </c>
      <c r="D392">
        <v>3.6126049999999998</v>
      </c>
      <c r="E392">
        <f>Tableau6[[#This Row],[Potential (PJ)]]/3.6</f>
        <v>1.0035013888888888</v>
      </c>
      <c r="F392">
        <v>0</v>
      </c>
      <c r="G392">
        <f>Tableau6[[#This Row],[Cost (€/GJ)]]*3.6</f>
        <v>0</v>
      </c>
      <c r="I392">
        <f>Tableau6[[#This Row],[GHG (kgCO2eq/GJ)]]*3.6</f>
        <v>0</v>
      </c>
    </row>
    <row r="393" spans="1:11" x14ac:dyDescent="0.3">
      <c r="A393" t="s">
        <v>22</v>
      </c>
      <c r="B393" t="s">
        <v>50</v>
      </c>
      <c r="C393" t="s">
        <v>103</v>
      </c>
      <c r="D393">
        <v>4.3921679999999999</v>
      </c>
      <c r="E393">
        <f>Tableau6[[#This Row],[Potential (PJ)]]/3.6</f>
        <v>1.2200466666666665</v>
      </c>
      <c r="F393">
        <v>0</v>
      </c>
      <c r="G393">
        <f>Tableau6[[#This Row],[Cost (€/GJ)]]*3.6</f>
        <v>0</v>
      </c>
      <c r="I393">
        <f>Tableau6[[#This Row],[GHG (kgCO2eq/GJ)]]*3.6</f>
        <v>0</v>
      </c>
    </row>
    <row r="394" spans="1:11" x14ac:dyDescent="0.3">
      <c r="A394" t="s">
        <v>22</v>
      </c>
      <c r="B394" t="s">
        <v>51</v>
      </c>
      <c r="C394" t="s">
        <v>75</v>
      </c>
      <c r="D394">
        <v>7.3228000000000001E-2</v>
      </c>
      <c r="E394">
        <f>Tableau6[[#This Row],[Potential (PJ)]]/3.6</f>
        <v>2.0341111111111112E-2</v>
      </c>
      <c r="F394">
        <v>3.1123108533680999E-2</v>
      </c>
      <c r="G394">
        <f>Tableau6[[#This Row],[Cost (€/GJ)]]*3.6</f>
        <v>0.1120431907212516</v>
      </c>
      <c r="H394">
        <v>11.74</v>
      </c>
      <c r="I394">
        <f>Tableau6[[#This Row],[GHG (kgCO2eq/GJ)]]*3.6</f>
        <v>42.264000000000003</v>
      </c>
      <c r="J394" t="s">
        <v>104</v>
      </c>
      <c r="K394" t="s">
        <v>108</v>
      </c>
    </row>
    <row r="395" spans="1:11" x14ac:dyDescent="0.3">
      <c r="A395" t="s">
        <v>22</v>
      </c>
      <c r="B395" t="s">
        <v>52</v>
      </c>
      <c r="C395" t="s">
        <v>76</v>
      </c>
      <c r="D395">
        <v>0.03</v>
      </c>
      <c r="E395">
        <f>Tableau6[[#This Row],[Potential (PJ)]]/3.6</f>
        <v>8.3333333333333332E-3</v>
      </c>
      <c r="F395">
        <v>6.5250000000000004</v>
      </c>
      <c r="G395">
        <f>Tableau6[[#This Row],[Cost (€/GJ)]]*3.6</f>
        <v>23.490000000000002</v>
      </c>
      <c r="H395">
        <v>12.68872359754714</v>
      </c>
      <c r="I395">
        <f>Tableau6[[#This Row],[GHG (kgCO2eq/GJ)]]*3.6</f>
        <v>45.679404951169708</v>
      </c>
      <c r="J395" t="s">
        <v>105</v>
      </c>
      <c r="K395" t="s">
        <v>108</v>
      </c>
    </row>
    <row r="396" spans="1:11" x14ac:dyDescent="0.3">
      <c r="A396" t="s">
        <v>22</v>
      </c>
      <c r="B396" t="s">
        <v>53</v>
      </c>
      <c r="C396" t="s">
        <v>77</v>
      </c>
      <c r="D396">
        <v>4</v>
      </c>
      <c r="E396">
        <f>Tableau6[[#This Row],[Potential (PJ)]]/3.6</f>
        <v>1.1111111111111112</v>
      </c>
      <c r="F396">
        <v>1.752</v>
      </c>
      <c r="G396">
        <f>Tableau6[[#This Row],[Cost (€/GJ)]]*3.6</f>
        <v>6.3071999999999999</v>
      </c>
      <c r="H396">
        <v>3.86607608129234</v>
      </c>
      <c r="I396">
        <f>Tableau6[[#This Row],[GHG (kgCO2eq/GJ)]]*3.6</f>
        <v>13.917873892652425</v>
      </c>
      <c r="J396" t="s">
        <v>104</v>
      </c>
      <c r="K396" t="s">
        <v>108</v>
      </c>
    </row>
    <row r="397" spans="1:11" x14ac:dyDescent="0.3">
      <c r="A397" t="s">
        <v>22</v>
      </c>
      <c r="B397" t="s">
        <v>61</v>
      </c>
      <c r="C397" t="s">
        <v>103</v>
      </c>
      <c r="D397">
        <v>0.97607299999999986</v>
      </c>
      <c r="E397">
        <f>Tableau6[[#This Row],[Potential (PJ)]]/3.6</f>
        <v>0.27113138888888882</v>
      </c>
      <c r="F397">
        <v>0</v>
      </c>
      <c r="G397">
        <f>Tableau6[[#This Row],[Cost (€/GJ)]]*3.6</f>
        <v>0</v>
      </c>
      <c r="I397">
        <f>Tableau6[[#This Row],[GHG (kgCO2eq/GJ)]]*3.6</f>
        <v>0</v>
      </c>
    </row>
    <row r="398" spans="1:11" x14ac:dyDescent="0.3">
      <c r="A398" t="s">
        <v>22</v>
      </c>
      <c r="B398" t="s">
        <v>62</v>
      </c>
      <c r="C398" t="s">
        <v>103</v>
      </c>
      <c r="D398">
        <v>0.304506</v>
      </c>
      <c r="E398">
        <f>Tableau6[[#This Row],[Potential (PJ)]]/3.6</f>
        <v>8.4584999999999994E-2</v>
      </c>
      <c r="F398">
        <v>0</v>
      </c>
      <c r="G398">
        <f>Tableau6[[#This Row],[Cost (€/GJ)]]*3.6</f>
        <v>0</v>
      </c>
      <c r="I398">
        <f>Tableau6[[#This Row],[GHG (kgCO2eq/GJ)]]*3.6</f>
        <v>0</v>
      </c>
    </row>
    <row r="399" spans="1:11" x14ac:dyDescent="0.3">
      <c r="A399" t="s">
        <v>22</v>
      </c>
      <c r="B399" t="s">
        <v>54</v>
      </c>
      <c r="C399" t="s">
        <v>78</v>
      </c>
      <c r="D399">
        <v>22.2</v>
      </c>
      <c r="E399">
        <f>Tableau6[[#This Row],[Potential (PJ)]]/3.6</f>
        <v>6.1666666666666661</v>
      </c>
      <c r="F399">
        <v>3.1779999999999999</v>
      </c>
      <c r="G399">
        <f>Tableau6[[#This Row],[Cost (€/GJ)]]*3.6</f>
        <v>11.440799999999999</v>
      </c>
      <c r="H399">
        <v>3.86607608129234</v>
      </c>
      <c r="I399">
        <f>Tableau6[[#This Row],[GHG (kgCO2eq/GJ)]]*3.6</f>
        <v>13.917873892652425</v>
      </c>
      <c r="J399" t="s">
        <v>104</v>
      </c>
      <c r="K399" t="s">
        <v>108</v>
      </c>
    </row>
    <row r="400" spans="1:11" x14ac:dyDescent="0.3">
      <c r="A400" t="s">
        <v>23</v>
      </c>
      <c r="B400" t="s">
        <v>46</v>
      </c>
      <c r="C400" t="s">
        <v>64</v>
      </c>
      <c r="D400">
        <v>0.64752999999999994</v>
      </c>
      <c r="E400">
        <f>Tableau6[[#This Row],[Potential (PJ)]]/3.6</f>
        <v>0.17986944444444442</v>
      </c>
      <c r="F400">
        <v>6.1135125476811876</v>
      </c>
      <c r="G400">
        <f>Tableau6[[#This Row],[Cost (€/GJ)]]*3.6</f>
        <v>22.008645171652276</v>
      </c>
      <c r="H400">
        <v>2.9521711768407801</v>
      </c>
      <c r="I400">
        <f>Tableau6[[#This Row],[GHG (kgCO2eq/GJ)]]*3.6</f>
        <v>10.627816236626808</v>
      </c>
      <c r="J400" t="s">
        <v>104</v>
      </c>
      <c r="K400" t="s">
        <v>108</v>
      </c>
    </row>
    <row r="401" spans="1:11" x14ac:dyDescent="0.3">
      <c r="A401" t="s">
        <v>23</v>
      </c>
      <c r="B401" t="s">
        <v>46</v>
      </c>
      <c r="C401" t="s">
        <v>79</v>
      </c>
      <c r="D401">
        <v>31.1</v>
      </c>
      <c r="E401">
        <f>Tableau6[[#This Row],[Potential (PJ)]]/3.6</f>
        <v>8.6388888888888893</v>
      </c>
      <c r="F401">
        <v>3.4159356913183281</v>
      </c>
      <c r="G401">
        <f>Tableau6[[#This Row],[Cost (€/GJ)]]*3.6</f>
        <v>12.297368488745981</v>
      </c>
      <c r="H401">
        <v>6.8428961748633883</v>
      </c>
      <c r="I401">
        <f>Tableau6[[#This Row],[GHG (kgCO2eq/GJ)]]*3.6</f>
        <v>24.634426229508197</v>
      </c>
      <c r="J401" t="s">
        <v>104</v>
      </c>
      <c r="K401" t="s">
        <v>108</v>
      </c>
    </row>
    <row r="402" spans="1:11" x14ac:dyDescent="0.3">
      <c r="A402" t="s">
        <v>23</v>
      </c>
      <c r="B402" t="s">
        <v>46</v>
      </c>
      <c r="C402" t="s">
        <v>65</v>
      </c>
      <c r="D402">
        <v>0.3</v>
      </c>
      <c r="E402">
        <f>Tableau6[[#This Row],[Potential (PJ)]]/3.6</f>
        <v>8.3333333333333329E-2</v>
      </c>
      <c r="F402">
        <v>4.3183333333333316</v>
      </c>
      <c r="G402">
        <f>Tableau6[[#This Row],[Cost (€/GJ)]]*3.6</f>
        <v>15.545999999999994</v>
      </c>
      <c r="H402">
        <v>2.9521711768407801</v>
      </c>
      <c r="I402">
        <f>Tableau6[[#This Row],[GHG (kgCO2eq/GJ)]]*3.6</f>
        <v>10.627816236626808</v>
      </c>
      <c r="J402" t="s">
        <v>104</v>
      </c>
      <c r="K402" t="s">
        <v>108</v>
      </c>
    </row>
    <row r="403" spans="1:11" x14ac:dyDescent="0.3">
      <c r="A403" t="s">
        <v>23</v>
      </c>
      <c r="B403" t="s">
        <v>46</v>
      </c>
      <c r="C403" t="s">
        <v>80</v>
      </c>
      <c r="D403">
        <v>0.76859999999999995</v>
      </c>
      <c r="E403">
        <f>Tableau6[[#This Row],[Potential (PJ)]]/3.6</f>
        <v>0.21349999999999997</v>
      </c>
      <c r="F403">
        <v>0.26432906271072149</v>
      </c>
      <c r="G403">
        <f>Tableau6[[#This Row],[Cost (€/GJ)]]*3.6</f>
        <v>0.95158462575859737</v>
      </c>
      <c r="H403">
        <v>28.139870918023309</v>
      </c>
      <c r="I403">
        <f>Tableau6[[#This Row],[GHG (kgCO2eq/GJ)]]*3.6</f>
        <v>101.30353530488391</v>
      </c>
      <c r="J403" t="s">
        <v>105</v>
      </c>
      <c r="K403" t="s">
        <v>108</v>
      </c>
    </row>
    <row r="404" spans="1:11" x14ac:dyDescent="0.3">
      <c r="A404" t="s">
        <v>23</v>
      </c>
      <c r="B404" t="s">
        <v>46</v>
      </c>
      <c r="C404" t="s">
        <v>81</v>
      </c>
      <c r="D404">
        <v>0.41110000000000002</v>
      </c>
      <c r="E404">
        <f>Tableau6[[#This Row],[Potential (PJ)]]/3.6</f>
        <v>0.11419444444444445</v>
      </c>
      <c r="F404">
        <v>1.533490011750881</v>
      </c>
      <c r="G404">
        <f>Tableau6[[#This Row],[Cost (€/GJ)]]*3.6</f>
        <v>5.5205640423031719</v>
      </c>
      <c r="H404">
        <v>8.9647473560517046</v>
      </c>
      <c r="I404">
        <f>Tableau6[[#This Row],[GHG (kgCO2eq/GJ)]]*3.6</f>
        <v>32.273090481786134</v>
      </c>
      <c r="J404" t="s">
        <v>105</v>
      </c>
      <c r="K404" t="s">
        <v>108</v>
      </c>
    </row>
    <row r="405" spans="1:11" x14ac:dyDescent="0.3">
      <c r="A405" t="s">
        <v>23</v>
      </c>
      <c r="B405" t="s">
        <v>46</v>
      </c>
      <c r="C405" t="s">
        <v>66</v>
      </c>
      <c r="D405">
        <v>24.3</v>
      </c>
      <c r="E405">
        <f>Tableau6[[#This Row],[Potential (PJ)]]/3.6</f>
        <v>6.75</v>
      </c>
      <c r="F405">
        <v>3.525374485596708</v>
      </c>
      <c r="G405">
        <f>Tableau6[[#This Row],[Cost (€/GJ)]]*3.6</f>
        <v>12.691348148148149</v>
      </c>
      <c r="H405">
        <v>6.8428961748633883</v>
      </c>
      <c r="I405">
        <f>Tableau6[[#This Row],[GHG (kgCO2eq/GJ)]]*3.6</f>
        <v>24.634426229508197</v>
      </c>
      <c r="J405" t="s">
        <v>104</v>
      </c>
      <c r="K405" t="s">
        <v>108</v>
      </c>
    </row>
    <row r="406" spans="1:11" x14ac:dyDescent="0.3">
      <c r="A406" t="s">
        <v>23</v>
      </c>
      <c r="B406" t="s">
        <v>46</v>
      </c>
      <c r="C406" t="s">
        <v>82</v>
      </c>
      <c r="D406">
        <v>11.1</v>
      </c>
      <c r="E406">
        <f>Tableau6[[#This Row],[Potential (PJ)]]/3.6</f>
        <v>3.083333333333333</v>
      </c>
      <c r="F406">
        <v>2.1610900900900898</v>
      </c>
      <c r="G406">
        <f>Tableau6[[#This Row],[Cost (€/GJ)]]*3.6</f>
        <v>7.7799243243243232</v>
      </c>
      <c r="H406">
        <v>6.8428961748633883</v>
      </c>
      <c r="I406">
        <f>Tableau6[[#This Row],[GHG (kgCO2eq/GJ)]]*3.6</f>
        <v>24.634426229508197</v>
      </c>
      <c r="J406" t="s">
        <v>104</v>
      </c>
      <c r="K406" t="s">
        <v>108</v>
      </c>
    </row>
    <row r="407" spans="1:11" x14ac:dyDescent="0.3">
      <c r="A407" t="s">
        <v>23</v>
      </c>
      <c r="B407" t="s">
        <v>46</v>
      </c>
      <c r="C407" t="s">
        <v>83</v>
      </c>
      <c r="D407">
        <v>5.2029999999999993E-2</v>
      </c>
      <c r="E407">
        <f>Tableau6[[#This Row],[Potential (PJ)]]/3.6</f>
        <v>1.4452777777777776E-2</v>
      </c>
      <c r="F407">
        <v>0</v>
      </c>
      <c r="G407">
        <f>Tableau6[[#This Row],[Cost (€/GJ)]]*3.6</f>
        <v>0</v>
      </c>
      <c r="H407">
        <v>6.8428961748633883</v>
      </c>
      <c r="I407">
        <f>Tableau6[[#This Row],[GHG (kgCO2eq/GJ)]]*3.6</f>
        <v>24.634426229508197</v>
      </c>
      <c r="J407" t="s">
        <v>104</v>
      </c>
      <c r="K407" t="s">
        <v>108</v>
      </c>
    </row>
    <row r="408" spans="1:11" x14ac:dyDescent="0.3">
      <c r="A408" t="s">
        <v>23</v>
      </c>
      <c r="B408" t="s">
        <v>46</v>
      </c>
      <c r="C408" t="s">
        <v>84</v>
      </c>
      <c r="D408">
        <v>0.2</v>
      </c>
      <c r="E408">
        <f>Tableau6[[#This Row],[Potential (PJ)]]/3.6</f>
        <v>5.5555555555555559E-2</v>
      </c>
      <c r="F408">
        <v>1.9784999999999999</v>
      </c>
      <c r="G408">
        <f>Tableau6[[#This Row],[Cost (€/GJ)]]*3.6</f>
        <v>7.1226000000000003</v>
      </c>
      <c r="H408">
        <v>28.139870918023309</v>
      </c>
      <c r="I408">
        <f>Tableau6[[#This Row],[GHG (kgCO2eq/GJ)]]*3.6</f>
        <v>101.30353530488391</v>
      </c>
      <c r="J408" t="s">
        <v>105</v>
      </c>
      <c r="K408" t="s">
        <v>108</v>
      </c>
    </row>
    <row r="409" spans="1:11" x14ac:dyDescent="0.3">
      <c r="A409" t="s">
        <v>23</v>
      </c>
      <c r="B409" t="s">
        <v>46</v>
      </c>
      <c r="C409" t="s">
        <v>85</v>
      </c>
      <c r="D409">
        <v>0.70000000000000007</v>
      </c>
      <c r="E409">
        <f>Tableau6[[#This Row],[Potential (PJ)]]/3.6</f>
        <v>0.19444444444444445</v>
      </c>
      <c r="F409">
        <v>3.7891428571428571</v>
      </c>
      <c r="G409">
        <f>Tableau6[[#This Row],[Cost (€/GJ)]]*3.6</f>
        <v>13.640914285714286</v>
      </c>
      <c r="H409">
        <v>2.9521711768407801</v>
      </c>
      <c r="I409">
        <f>Tableau6[[#This Row],[GHG (kgCO2eq/GJ)]]*3.6</f>
        <v>10.627816236626808</v>
      </c>
      <c r="J409" t="s">
        <v>104</v>
      </c>
      <c r="K409" t="s">
        <v>108</v>
      </c>
    </row>
    <row r="410" spans="1:11" x14ac:dyDescent="0.3">
      <c r="A410" t="s">
        <v>23</v>
      </c>
      <c r="B410" t="s">
        <v>55</v>
      </c>
      <c r="C410" t="s">
        <v>86</v>
      </c>
      <c r="D410">
        <v>0.91569999999999996</v>
      </c>
      <c r="E410">
        <f>Tableau6[[#This Row],[Potential (PJ)]]/3.6</f>
        <v>0.25436111111111109</v>
      </c>
      <c r="F410">
        <v>10.669</v>
      </c>
      <c r="G410">
        <f>Tableau6[[#This Row],[Cost (€/GJ)]]*3.6</f>
        <v>38.4084</v>
      </c>
      <c r="H410">
        <v>22.1</v>
      </c>
      <c r="I410">
        <f>Tableau6[[#This Row],[GHG (kgCO2eq/GJ)]]*3.6</f>
        <v>79.56</v>
      </c>
      <c r="J410" t="s">
        <v>106</v>
      </c>
      <c r="K410" t="s">
        <v>109</v>
      </c>
    </row>
    <row r="411" spans="1:11" x14ac:dyDescent="0.3">
      <c r="A411" t="s">
        <v>23</v>
      </c>
      <c r="B411" t="s">
        <v>55</v>
      </c>
      <c r="C411" t="s">
        <v>87</v>
      </c>
      <c r="D411">
        <v>0.4874</v>
      </c>
      <c r="E411">
        <f>Tableau6[[#This Row],[Potential (PJ)]]/3.6</f>
        <v>0.13538888888888889</v>
      </c>
      <c r="F411">
        <v>11.878</v>
      </c>
      <c r="G411">
        <f>Tableau6[[#This Row],[Cost (€/GJ)]]*3.6</f>
        <v>42.760800000000003</v>
      </c>
      <c r="H411">
        <v>22.1</v>
      </c>
      <c r="I411">
        <f>Tableau6[[#This Row],[GHG (kgCO2eq/GJ)]]*3.6</f>
        <v>79.56</v>
      </c>
      <c r="J411" t="s">
        <v>106</v>
      </c>
      <c r="K411" t="s">
        <v>109</v>
      </c>
    </row>
    <row r="412" spans="1:11" x14ac:dyDescent="0.3">
      <c r="A412" t="s">
        <v>23</v>
      </c>
      <c r="B412" t="s">
        <v>55</v>
      </c>
      <c r="C412" t="s">
        <v>88</v>
      </c>
      <c r="D412">
        <v>13.8179</v>
      </c>
      <c r="E412">
        <f>Tableau6[[#This Row],[Potential (PJ)]]/3.6</f>
        <v>3.8383055555555554</v>
      </c>
      <c r="F412">
        <v>10.557</v>
      </c>
      <c r="G412">
        <f>Tableau6[[#This Row],[Cost (€/GJ)]]*3.6</f>
        <v>38.005200000000002</v>
      </c>
      <c r="H412">
        <v>22.1</v>
      </c>
      <c r="I412">
        <f>Tableau6[[#This Row],[GHG (kgCO2eq/GJ)]]*3.6</f>
        <v>79.56</v>
      </c>
      <c r="J412" t="s">
        <v>106</v>
      </c>
      <c r="K412" t="s">
        <v>109</v>
      </c>
    </row>
    <row r="413" spans="1:11" x14ac:dyDescent="0.3">
      <c r="A413" t="s">
        <v>23</v>
      </c>
      <c r="B413" t="s">
        <v>55</v>
      </c>
      <c r="C413" t="s">
        <v>90</v>
      </c>
      <c r="D413">
        <v>0.2999</v>
      </c>
      <c r="E413">
        <f>Tableau6[[#This Row],[Potential (PJ)]]/3.6</f>
        <v>8.3305555555555549E-2</v>
      </c>
      <c r="F413">
        <v>11.625999999999999</v>
      </c>
      <c r="G413">
        <f>Tableau6[[#This Row],[Cost (€/GJ)]]*3.6</f>
        <v>41.8536</v>
      </c>
      <c r="H413">
        <v>22.1</v>
      </c>
      <c r="I413">
        <f>Tableau6[[#This Row],[GHG (kgCO2eq/GJ)]]*3.6</f>
        <v>79.56</v>
      </c>
      <c r="J413" t="s">
        <v>106</v>
      </c>
      <c r="K413" t="s">
        <v>109</v>
      </c>
    </row>
    <row r="414" spans="1:11" x14ac:dyDescent="0.3">
      <c r="A414" t="s">
        <v>23</v>
      </c>
      <c r="B414" t="s">
        <v>55</v>
      </c>
      <c r="C414" t="s">
        <v>92</v>
      </c>
      <c r="D414">
        <v>1.08952</v>
      </c>
      <c r="E414">
        <f>Tableau6[[#This Row],[Potential (PJ)]]/3.6</f>
        <v>0.30264444444444444</v>
      </c>
      <c r="F414">
        <v>11.878</v>
      </c>
      <c r="G414">
        <f>Tableau6[[#This Row],[Cost (€/GJ)]]*3.6</f>
        <v>42.760800000000003</v>
      </c>
      <c r="H414">
        <v>22.1</v>
      </c>
      <c r="I414">
        <f>Tableau6[[#This Row],[GHG (kgCO2eq/GJ)]]*3.6</f>
        <v>79.56</v>
      </c>
      <c r="J414" t="s">
        <v>106</v>
      </c>
      <c r="K414" t="s">
        <v>109</v>
      </c>
    </row>
    <row r="415" spans="1:11" x14ac:dyDescent="0.3">
      <c r="A415" t="s">
        <v>23</v>
      </c>
      <c r="B415" t="s">
        <v>56</v>
      </c>
      <c r="C415" t="s">
        <v>93</v>
      </c>
      <c r="D415">
        <v>4.6843000000000004</v>
      </c>
      <c r="E415">
        <f>Tableau6[[#This Row],[Potential (PJ)]]/3.6</f>
        <v>1.3011944444444445</v>
      </c>
      <c r="F415">
        <v>2.9493975903614462</v>
      </c>
      <c r="G415">
        <f>Tableau6[[#This Row],[Cost (€/GJ)]]*3.6</f>
        <v>10.617831325301207</v>
      </c>
      <c r="H415">
        <v>26.1</v>
      </c>
      <c r="I415">
        <f>Tableau6[[#This Row],[GHG (kgCO2eq/GJ)]]*3.6</f>
        <v>93.960000000000008</v>
      </c>
      <c r="J415" t="s">
        <v>106</v>
      </c>
      <c r="K415" t="s">
        <v>109</v>
      </c>
    </row>
    <row r="416" spans="1:11" x14ac:dyDescent="0.3">
      <c r="A416" t="s">
        <v>23</v>
      </c>
      <c r="B416" t="s">
        <v>47</v>
      </c>
      <c r="C416" t="s">
        <v>68</v>
      </c>
      <c r="D416">
        <v>62.5</v>
      </c>
      <c r="E416">
        <f>Tableau6[[#This Row],[Potential (PJ)]]/3.6</f>
        <v>17.361111111111111</v>
      </c>
      <c r="F416">
        <v>2.9938704</v>
      </c>
      <c r="G416">
        <f>Tableau6[[#This Row],[Cost (€/GJ)]]*3.6</f>
        <v>10.77793344</v>
      </c>
      <c r="H416">
        <v>41.3</v>
      </c>
      <c r="I416">
        <f>Tableau6[[#This Row],[GHG (kgCO2eq/GJ)]]*3.6</f>
        <v>148.68</v>
      </c>
      <c r="J416" t="s">
        <v>104</v>
      </c>
      <c r="K416" t="s">
        <v>109</v>
      </c>
    </row>
    <row r="417" spans="1:11" x14ac:dyDescent="0.3">
      <c r="A417" t="s">
        <v>23</v>
      </c>
      <c r="B417" t="s">
        <v>47</v>
      </c>
      <c r="C417" t="s">
        <v>69</v>
      </c>
      <c r="D417">
        <v>57.400000000000013</v>
      </c>
      <c r="E417">
        <f>Tableau6[[#This Row],[Potential (PJ)]]/3.6</f>
        <v>15.944444444444448</v>
      </c>
      <c r="F417">
        <v>2.7800818815331012</v>
      </c>
      <c r="G417">
        <f>Tableau6[[#This Row],[Cost (€/GJ)]]*3.6</f>
        <v>10.008294773519165</v>
      </c>
      <c r="H417">
        <v>41.3</v>
      </c>
      <c r="I417">
        <f>Tableau6[[#This Row],[GHG (kgCO2eq/GJ)]]*3.6</f>
        <v>148.68</v>
      </c>
      <c r="J417" t="s">
        <v>104</v>
      </c>
      <c r="K417" t="s">
        <v>109</v>
      </c>
    </row>
    <row r="418" spans="1:11" x14ac:dyDescent="0.3">
      <c r="A418" t="s">
        <v>23</v>
      </c>
      <c r="B418" t="s">
        <v>57</v>
      </c>
      <c r="C418" t="s">
        <v>94</v>
      </c>
      <c r="D418">
        <v>20.8</v>
      </c>
      <c r="E418">
        <f>Tableau6[[#This Row],[Potential (PJ)]]/3.6</f>
        <v>5.7777777777777777</v>
      </c>
      <c r="F418">
        <v>7.4502403846153848</v>
      </c>
      <c r="G418">
        <f>Tableau6[[#This Row],[Cost (€/GJ)]]*3.6</f>
        <v>26.820865384615384</v>
      </c>
      <c r="H418">
        <v>46.8</v>
      </c>
      <c r="I418">
        <f>Tableau6[[#This Row],[GHG (kgCO2eq/GJ)]]*3.6</f>
        <v>168.48</v>
      </c>
      <c r="J418" t="s">
        <v>104</v>
      </c>
      <c r="K418" t="s">
        <v>109</v>
      </c>
    </row>
    <row r="419" spans="1:11" x14ac:dyDescent="0.3">
      <c r="A419" t="s">
        <v>23</v>
      </c>
      <c r="B419" t="s">
        <v>49</v>
      </c>
      <c r="C419" t="s">
        <v>71</v>
      </c>
      <c r="D419">
        <v>112.05750999999999</v>
      </c>
      <c r="E419">
        <f>Tableau6[[#This Row],[Potential (PJ)]]/3.6</f>
        <v>31.127086111111108</v>
      </c>
      <c r="F419">
        <v>2.1542928085765962</v>
      </c>
      <c r="G419">
        <f>Tableau6[[#This Row],[Cost (€/GJ)]]*3.6</f>
        <v>7.7554541108757462</v>
      </c>
      <c r="H419">
        <v>3.86607608129234</v>
      </c>
      <c r="I419">
        <f>Tableau6[[#This Row],[GHG (kgCO2eq/GJ)]]*3.6</f>
        <v>13.917873892652425</v>
      </c>
      <c r="J419" t="s">
        <v>104</v>
      </c>
      <c r="K419" t="s">
        <v>108</v>
      </c>
    </row>
    <row r="420" spans="1:11" x14ac:dyDescent="0.3">
      <c r="A420" t="s">
        <v>23</v>
      </c>
      <c r="B420" t="s">
        <v>49</v>
      </c>
      <c r="C420" t="s">
        <v>72</v>
      </c>
      <c r="D420">
        <v>26.6</v>
      </c>
      <c r="E420">
        <f>Tableau6[[#This Row],[Potential (PJ)]]/3.6</f>
        <v>7.3888888888888893</v>
      </c>
      <c r="F420">
        <v>2.8815789473684208</v>
      </c>
      <c r="G420">
        <f>Tableau6[[#This Row],[Cost (€/GJ)]]*3.6</f>
        <v>10.373684210526315</v>
      </c>
      <c r="H420">
        <v>3.86607608129234</v>
      </c>
      <c r="I420">
        <f>Tableau6[[#This Row],[GHG (kgCO2eq/GJ)]]*3.6</f>
        <v>13.917873892652425</v>
      </c>
      <c r="J420" t="s">
        <v>104</v>
      </c>
      <c r="K420" t="s">
        <v>108</v>
      </c>
    </row>
    <row r="421" spans="1:11" x14ac:dyDescent="0.3">
      <c r="A421" t="s">
        <v>23</v>
      </c>
      <c r="B421" t="s">
        <v>58</v>
      </c>
      <c r="C421" t="s">
        <v>95</v>
      </c>
      <c r="D421">
        <v>10.93233</v>
      </c>
      <c r="E421">
        <f>Tableau6[[#This Row],[Potential (PJ)]]/3.6</f>
        <v>3.0367583333333332</v>
      </c>
      <c r="F421">
        <v>3.1415300169314322</v>
      </c>
      <c r="G421">
        <f>Tableau6[[#This Row],[Cost (€/GJ)]]*3.6</f>
        <v>11.309508060953156</v>
      </c>
      <c r="H421">
        <v>2.9521711768407801</v>
      </c>
      <c r="I421">
        <f>Tableau6[[#This Row],[GHG (kgCO2eq/GJ)]]*3.6</f>
        <v>10.627816236626808</v>
      </c>
      <c r="J421" t="s">
        <v>104</v>
      </c>
      <c r="K421" t="s">
        <v>108</v>
      </c>
    </row>
    <row r="422" spans="1:11" x14ac:dyDescent="0.3">
      <c r="A422" t="s">
        <v>23</v>
      </c>
      <c r="B422" t="s">
        <v>50</v>
      </c>
      <c r="C422" t="s">
        <v>73</v>
      </c>
      <c r="D422">
        <v>1.7</v>
      </c>
      <c r="E422">
        <f>Tableau6[[#This Row],[Potential (PJ)]]/3.6</f>
        <v>0.47222222222222221</v>
      </c>
      <c r="F422">
        <v>5.1371176470588233</v>
      </c>
      <c r="G422">
        <f>Tableau6[[#This Row],[Cost (€/GJ)]]*3.6</f>
        <v>18.493623529411764</v>
      </c>
      <c r="H422">
        <v>20.723404255319149</v>
      </c>
      <c r="I422">
        <f>Tableau6[[#This Row],[GHG (kgCO2eq/GJ)]]*3.6</f>
        <v>74.604255319148933</v>
      </c>
      <c r="J422" t="s">
        <v>105</v>
      </c>
      <c r="K422" t="s">
        <v>108</v>
      </c>
    </row>
    <row r="423" spans="1:11" x14ac:dyDescent="0.3">
      <c r="A423" t="s">
        <v>23</v>
      </c>
      <c r="B423" t="s">
        <v>50</v>
      </c>
      <c r="C423" t="s">
        <v>74</v>
      </c>
      <c r="D423">
        <v>69.5</v>
      </c>
      <c r="E423">
        <f>Tableau6[[#This Row],[Potential (PJ)]]/3.6</f>
        <v>19.305555555555554</v>
      </c>
      <c r="F423">
        <v>3.5091179856115109</v>
      </c>
      <c r="G423">
        <f>Tableau6[[#This Row],[Cost (€/GJ)]]*3.6</f>
        <v>12.63282474820144</v>
      </c>
      <c r="H423">
        <v>2.0635593220338988</v>
      </c>
      <c r="I423">
        <f>Tableau6[[#This Row],[GHG (kgCO2eq/GJ)]]*3.6</f>
        <v>7.4288135593220357</v>
      </c>
      <c r="J423" t="s">
        <v>105</v>
      </c>
      <c r="K423" t="s">
        <v>108</v>
      </c>
    </row>
    <row r="424" spans="1:11" x14ac:dyDescent="0.3">
      <c r="A424" t="s">
        <v>23</v>
      </c>
      <c r="B424" t="s">
        <v>59</v>
      </c>
      <c r="C424" t="s">
        <v>96</v>
      </c>
      <c r="D424">
        <v>1.3835999999999999</v>
      </c>
      <c r="E424">
        <f>Tableau6[[#This Row],[Potential (PJ)]]/3.6</f>
        <v>0.3843333333333333</v>
      </c>
      <c r="F424">
        <v>18.27</v>
      </c>
      <c r="G424">
        <f>Tableau6[[#This Row],[Cost (€/GJ)]]*3.6</f>
        <v>65.772000000000006</v>
      </c>
      <c r="H424">
        <v>28.2</v>
      </c>
      <c r="I424">
        <f>Tableau6[[#This Row],[GHG (kgCO2eq/GJ)]]*3.6</f>
        <v>101.52</v>
      </c>
      <c r="J424" t="s">
        <v>107</v>
      </c>
      <c r="K424" t="s">
        <v>109</v>
      </c>
    </row>
    <row r="425" spans="1:11" x14ac:dyDescent="0.3">
      <c r="A425" t="s">
        <v>23</v>
      </c>
      <c r="B425" t="s">
        <v>59</v>
      </c>
      <c r="C425" t="s">
        <v>97</v>
      </c>
      <c r="D425">
        <v>6.2286999999999999</v>
      </c>
      <c r="E425">
        <f>Tableau6[[#This Row],[Potential (PJ)]]/3.6</f>
        <v>1.7301944444444444</v>
      </c>
      <c r="F425">
        <v>18.55670103092784</v>
      </c>
      <c r="G425">
        <f>Tableau6[[#This Row],[Cost (€/GJ)]]*3.6</f>
        <v>66.804123711340225</v>
      </c>
      <c r="H425">
        <v>28.2</v>
      </c>
      <c r="I425">
        <f>Tableau6[[#This Row],[GHG (kgCO2eq/GJ)]]*3.6</f>
        <v>101.52</v>
      </c>
      <c r="J425" t="s">
        <v>107</v>
      </c>
      <c r="K425" t="s">
        <v>109</v>
      </c>
    </row>
    <row r="426" spans="1:11" x14ac:dyDescent="0.3">
      <c r="A426" t="s">
        <v>23</v>
      </c>
      <c r="B426" t="s">
        <v>51</v>
      </c>
      <c r="C426" t="s">
        <v>75</v>
      </c>
      <c r="D426">
        <v>8.443683</v>
      </c>
      <c r="E426">
        <f>Tableau6[[#This Row],[Potential (PJ)]]/3.6</f>
        <v>2.3454674999999998</v>
      </c>
      <c r="F426">
        <v>3.7391877773988E-3</v>
      </c>
      <c r="G426">
        <f>Tableau6[[#This Row],[Cost (€/GJ)]]*3.6</f>
        <v>1.3461075998635681E-2</v>
      </c>
      <c r="H426">
        <v>11.74</v>
      </c>
      <c r="I426">
        <f>Tableau6[[#This Row],[GHG (kgCO2eq/GJ)]]*3.6</f>
        <v>42.264000000000003</v>
      </c>
      <c r="J426" t="s">
        <v>104</v>
      </c>
      <c r="K426" t="s">
        <v>108</v>
      </c>
    </row>
    <row r="427" spans="1:11" x14ac:dyDescent="0.3">
      <c r="A427" t="s">
        <v>23</v>
      </c>
      <c r="B427" t="s">
        <v>60</v>
      </c>
      <c r="C427" t="s">
        <v>98</v>
      </c>
      <c r="D427">
        <v>2.7507799999999998</v>
      </c>
      <c r="E427">
        <f>Tableau6[[#This Row],[Potential (PJ)]]/3.6</f>
        <v>0.76410555555555548</v>
      </c>
      <c r="F427">
        <v>18.582169709989259</v>
      </c>
      <c r="G427">
        <f>Tableau6[[#This Row],[Cost (€/GJ)]]*3.6</f>
        <v>66.895810955961338</v>
      </c>
      <c r="H427">
        <v>47.4</v>
      </c>
      <c r="I427">
        <f>Tableau6[[#This Row],[GHG (kgCO2eq/GJ)]]*3.6</f>
        <v>170.64</v>
      </c>
      <c r="J427" t="s">
        <v>107</v>
      </c>
      <c r="K427" t="s">
        <v>109</v>
      </c>
    </row>
    <row r="428" spans="1:11" x14ac:dyDescent="0.3">
      <c r="A428" t="s">
        <v>23</v>
      </c>
      <c r="B428" t="s">
        <v>52</v>
      </c>
      <c r="C428" t="s">
        <v>76</v>
      </c>
      <c r="D428">
        <v>0.23300000000000001</v>
      </c>
      <c r="E428">
        <f>Tableau6[[#This Row],[Potential (PJ)]]/3.6</f>
        <v>6.4722222222222223E-2</v>
      </c>
      <c r="F428">
        <v>6.5250000000000004</v>
      </c>
      <c r="G428">
        <f>Tableau6[[#This Row],[Cost (€/GJ)]]*3.6</f>
        <v>23.490000000000002</v>
      </c>
      <c r="H428">
        <v>12.68872359754714</v>
      </c>
      <c r="I428">
        <f>Tableau6[[#This Row],[GHG (kgCO2eq/GJ)]]*3.6</f>
        <v>45.679404951169708</v>
      </c>
      <c r="J428" t="s">
        <v>105</v>
      </c>
      <c r="K428" t="s">
        <v>108</v>
      </c>
    </row>
    <row r="429" spans="1:11" x14ac:dyDescent="0.3">
      <c r="A429" t="s">
        <v>23</v>
      </c>
      <c r="B429" t="s">
        <v>53</v>
      </c>
      <c r="C429" t="s">
        <v>77</v>
      </c>
      <c r="D429">
        <v>8.1999999999999993</v>
      </c>
      <c r="E429">
        <f>Tableau6[[#This Row],[Potential (PJ)]]/3.6</f>
        <v>2.2777777777777777</v>
      </c>
      <c r="F429">
        <v>2.8815853658536592</v>
      </c>
      <c r="G429">
        <f>Tableau6[[#This Row],[Cost (€/GJ)]]*3.6</f>
        <v>10.373707317073173</v>
      </c>
      <c r="H429">
        <v>3.86607608129234</v>
      </c>
      <c r="I429">
        <f>Tableau6[[#This Row],[GHG (kgCO2eq/GJ)]]*3.6</f>
        <v>13.917873892652425</v>
      </c>
      <c r="J429" t="s">
        <v>104</v>
      </c>
      <c r="K429" t="s">
        <v>108</v>
      </c>
    </row>
    <row r="430" spans="1:11" x14ac:dyDescent="0.3">
      <c r="A430" t="s">
        <v>23</v>
      </c>
      <c r="B430" t="s">
        <v>61</v>
      </c>
      <c r="C430" t="s">
        <v>99</v>
      </c>
      <c r="D430">
        <v>3.3</v>
      </c>
      <c r="E430">
        <f>Tableau6[[#This Row],[Potential (PJ)]]/3.6</f>
        <v>0.91666666666666663</v>
      </c>
      <c r="F430">
        <v>1.990363636363637</v>
      </c>
      <c r="G430">
        <f>Tableau6[[#This Row],[Cost (€/GJ)]]*3.6</f>
        <v>7.1653090909090933</v>
      </c>
      <c r="H430">
        <v>2.9245635910224439</v>
      </c>
      <c r="I430">
        <f>Tableau6[[#This Row],[GHG (kgCO2eq/GJ)]]*3.6</f>
        <v>10.528428927680798</v>
      </c>
      <c r="J430" t="s">
        <v>104</v>
      </c>
      <c r="K430" t="s">
        <v>108</v>
      </c>
    </row>
    <row r="431" spans="1:11" x14ac:dyDescent="0.3">
      <c r="A431" t="s">
        <v>23</v>
      </c>
      <c r="B431" t="s">
        <v>62</v>
      </c>
      <c r="C431" t="s">
        <v>100</v>
      </c>
      <c r="D431">
        <v>0.60000000000000009</v>
      </c>
      <c r="E431">
        <f>Tableau6[[#This Row],[Potential (PJ)]]/3.6</f>
        <v>0.16666666666666669</v>
      </c>
      <c r="F431">
        <v>0.3</v>
      </c>
      <c r="G431">
        <f>Tableau6[[#This Row],[Cost (€/GJ)]]*3.6</f>
        <v>1.08</v>
      </c>
      <c r="H431">
        <v>2.6764106050305911</v>
      </c>
      <c r="I431">
        <f>Tableau6[[#This Row],[GHG (kgCO2eq/GJ)]]*3.6</f>
        <v>9.6350781781101276</v>
      </c>
      <c r="J431" t="s">
        <v>104</v>
      </c>
      <c r="K431" t="s">
        <v>108</v>
      </c>
    </row>
    <row r="432" spans="1:11" x14ac:dyDescent="0.3">
      <c r="A432" t="s">
        <v>23</v>
      </c>
      <c r="B432" t="s">
        <v>54</v>
      </c>
      <c r="C432" t="s">
        <v>78</v>
      </c>
      <c r="D432">
        <v>34.4</v>
      </c>
      <c r="E432">
        <f>Tableau6[[#This Row],[Potential (PJ)]]/3.6</f>
        <v>9.5555555555555554</v>
      </c>
      <c r="F432">
        <v>2.8543139534883721</v>
      </c>
      <c r="G432">
        <f>Tableau6[[#This Row],[Cost (€/GJ)]]*3.6</f>
        <v>10.27553023255814</v>
      </c>
      <c r="H432">
        <v>3.86607608129234</v>
      </c>
      <c r="I432">
        <f>Tableau6[[#This Row],[GHG (kgCO2eq/GJ)]]*3.6</f>
        <v>13.917873892652425</v>
      </c>
      <c r="J432" t="s">
        <v>104</v>
      </c>
      <c r="K432" t="s">
        <v>108</v>
      </c>
    </row>
    <row r="433" spans="1:11" x14ac:dyDescent="0.3">
      <c r="A433" t="s">
        <v>24</v>
      </c>
      <c r="B433" t="s">
        <v>46</v>
      </c>
      <c r="C433" t="s">
        <v>64</v>
      </c>
      <c r="D433">
        <v>3.6600000000000001E-3</v>
      </c>
      <c r="E433">
        <f>Tableau6[[#This Row],[Potential (PJ)]]/3.6</f>
        <v>1.0166666666666666E-3</v>
      </c>
      <c r="F433">
        <v>5.6687213114754096</v>
      </c>
      <c r="G433">
        <f>Tableau6[[#This Row],[Cost (€/GJ)]]*3.6</f>
        <v>20.407396721311475</v>
      </c>
      <c r="H433">
        <v>2.9521711768407801</v>
      </c>
      <c r="I433">
        <f>Tableau6[[#This Row],[GHG (kgCO2eq/GJ)]]*3.6</f>
        <v>10.627816236626808</v>
      </c>
      <c r="J433" t="s">
        <v>104</v>
      </c>
      <c r="K433" t="s">
        <v>108</v>
      </c>
    </row>
    <row r="434" spans="1:11" x14ac:dyDescent="0.3">
      <c r="A434" t="s">
        <v>24</v>
      </c>
      <c r="B434" t="s">
        <v>46</v>
      </c>
      <c r="C434" t="s">
        <v>80</v>
      </c>
      <c r="D434">
        <v>7.4500000000000011E-2</v>
      </c>
      <c r="E434">
        <f>Tableau6[[#This Row],[Potential (PJ)]]/3.6</f>
        <v>2.0694444444444446E-2</v>
      </c>
      <c r="F434">
        <v>0.33378287255563049</v>
      </c>
      <c r="G434">
        <f>Tableau6[[#This Row],[Cost (€/GJ)]]*3.6</f>
        <v>1.2016183412002699</v>
      </c>
      <c r="H434">
        <v>28.139870918023309</v>
      </c>
      <c r="I434">
        <f>Tableau6[[#This Row],[GHG (kgCO2eq/GJ)]]*3.6</f>
        <v>101.30353530488391</v>
      </c>
      <c r="J434" t="s">
        <v>105</v>
      </c>
      <c r="K434" t="s">
        <v>108</v>
      </c>
    </row>
    <row r="435" spans="1:11" x14ac:dyDescent="0.3">
      <c r="A435" t="s">
        <v>24</v>
      </c>
      <c r="B435" t="s">
        <v>46</v>
      </c>
      <c r="C435" t="s">
        <v>81</v>
      </c>
      <c r="D435">
        <v>0.1096</v>
      </c>
      <c r="E435">
        <f>Tableau6[[#This Row],[Potential (PJ)]]/3.6</f>
        <v>3.0444444444444444E-2</v>
      </c>
      <c r="F435">
        <v>2.6022326674500591</v>
      </c>
      <c r="G435">
        <f>Tableau6[[#This Row],[Cost (€/GJ)]]*3.6</f>
        <v>9.3680376028202126</v>
      </c>
      <c r="H435">
        <v>8.9647473560517046</v>
      </c>
      <c r="I435">
        <f>Tableau6[[#This Row],[GHG (kgCO2eq/GJ)]]*3.6</f>
        <v>32.273090481786134</v>
      </c>
      <c r="J435" t="s">
        <v>105</v>
      </c>
      <c r="K435" t="s">
        <v>108</v>
      </c>
    </row>
    <row r="436" spans="1:11" x14ac:dyDescent="0.3">
      <c r="A436" t="s">
        <v>24</v>
      </c>
      <c r="B436" t="s">
        <v>46</v>
      </c>
      <c r="C436" t="s">
        <v>82</v>
      </c>
      <c r="D436">
        <v>0.2</v>
      </c>
      <c r="E436">
        <f>Tableau6[[#This Row],[Potential (PJ)]]/3.6</f>
        <v>5.5555555555555559E-2</v>
      </c>
      <c r="F436">
        <v>1.252</v>
      </c>
      <c r="G436">
        <f>Tableau6[[#This Row],[Cost (€/GJ)]]*3.6</f>
        <v>4.5072000000000001</v>
      </c>
      <c r="H436">
        <v>6.8428961748633883</v>
      </c>
      <c r="I436">
        <f>Tableau6[[#This Row],[GHG (kgCO2eq/GJ)]]*3.6</f>
        <v>24.634426229508197</v>
      </c>
      <c r="J436" t="s">
        <v>104</v>
      </c>
      <c r="K436" t="s">
        <v>108</v>
      </c>
    </row>
    <row r="437" spans="1:11" x14ac:dyDescent="0.3">
      <c r="A437" t="s">
        <v>24</v>
      </c>
      <c r="B437" t="s">
        <v>55</v>
      </c>
      <c r="C437" t="s">
        <v>86</v>
      </c>
      <c r="D437">
        <v>7.1599999999999997E-2</v>
      </c>
      <c r="E437">
        <f>Tableau6[[#This Row],[Potential (PJ)]]/3.6</f>
        <v>1.9888888888888887E-2</v>
      </c>
      <c r="F437">
        <v>10.17</v>
      </c>
      <c r="G437">
        <f>Tableau6[[#This Row],[Cost (€/GJ)]]*3.6</f>
        <v>36.612000000000002</v>
      </c>
      <c r="H437">
        <v>10.199999999999999</v>
      </c>
      <c r="I437">
        <f>Tableau6[[#This Row],[GHG (kgCO2eq/GJ)]]*3.6</f>
        <v>36.72</v>
      </c>
      <c r="J437" t="s">
        <v>106</v>
      </c>
      <c r="K437" t="s">
        <v>109</v>
      </c>
    </row>
    <row r="438" spans="1:11" x14ac:dyDescent="0.3">
      <c r="A438" t="s">
        <v>24</v>
      </c>
      <c r="B438" t="s">
        <v>55</v>
      </c>
      <c r="C438" t="s">
        <v>89</v>
      </c>
      <c r="D438">
        <v>8.4600000000000009E-2</v>
      </c>
      <c r="E438">
        <f>Tableau6[[#This Row],[Potential (PJ)]]/3.6</f>
        <v>2.35E-2</v>
      </c>
      <c r="F438">
        <v>0</v>
      </c>
      <c r="G438">
        <f>Tableau6[[#This Row],[Cost (€/GJ)]]*3.6</f>
        <v>0</v>
      </c>
      <c r="H438">
        <v>10.199999999999999</v>
      </c>
      <c r="I438">
        <f>Tableau6[[#This Row],[GHG (kgCO2eq/GJ)]]*3.6</f>
        <v>36.72</v>
      </c>
      <c r="J438" t="s">
        <v>106</v>
      </c>
      <c r="K438" t="s">
        <v>109</v>
      </c>
    </row>
    <row r="439" spans="1:11" x14ac:dyDescent="0.3">
      <c r="A439" t="s">
        <v>24</v>
      </c>
      <c r="B439" t="s">
        <v>55</v>
      </c>
      <c r="C439" t="s">
        <v>92</v>
      </c>
      <c r="D439">
        <v>9.919E-2</v>
      </c>
      <c r="E439">
        <f>Tableau6[[#This Row],[Potential (PJ)]]/3.6</f>
        <v>2.7552777777777777E-2</v>
      </c>
      <c r="F439">
        <v>9.58</v>
      </c>
      <c r="G439">
        <f>Tableau6[[#This Row],[Cost (€/GJ)]]*3.6</f>
        <v>34.488</v>
      </c>
      <c r="H439">
        <v>10.199999999999999</v>
      </c>
      <c r="I439">
        <f>Tableau6[[#This Row],[GHG (kgCO2eq/GJ)]]*3.6</f>
        <v>36.72</v>
      </c>
      <c r="J439" t="s">
        <v>106</v>
      </c>
      <c r="K439" t="s">
        <v>109</v>
      </c>
    </row>
    <row r="440" spans="1:11" x14ac:dyDescent="0.3">
      <c r="A440" t="s">
        <v>24</v>
      </c>
      <c r="B440" t="s">
        <v>47</v>
      </c>
      <c r="C440" t="s">
        <v>101</v>
      </c>
      <c r="D440">
        <v>16</v>
      </c>
      <c r="E440">
        <f>Tableau6[[#This Row],[Potential (PJ)]]/3.6</f>
        <v>4.4444444444444446</v>
      </c>
      <c r="F440">
        <v>4.8244875</v>
      </c>
      <c r="G440">
        <f>Tableau6[[#This Row],[Cost (€/GJ)]]*3.6</f>
        <v>17.368155000000002</v>
      </c>
      <c r="H440">
        <v>61.2</v>
      </c>
      <c r="I440">
        <f>Tableau6[[#This Row],[GHG (kgCO2eq/GJ)]]*3.6</f>
        <v>220.32000000000002</v>
      </c>
      <c r="J440" t="s">
        <v>104</v>
      </c>
      <c r="K440" t="s">
        <v>109</v>
      </c>
    </row>
    <row r="441" spans="1:11" x14ac:dyDescent="0.3">
      <c r="A441" t="s">
        <v>24</v>
      </c>
      <c r="B441" t="s">
        <v>57</v>
      </c>
      <c r="C441" t="s">
        <v>94</v>
      </c>
      <c r="D441">
        <v>8.6000000000000014</v>
      </c>
      <c r="E441">
        <f>Tableau6[[#This Row],[Potential (PJ)]]/3.6</f>
        <v>2.3888888888888893</v>
      </c>
      <c r="F441">
        <v>9.788581395348837</v>
      </c>
      <c r="G441">
        <f>Tableau6[[#This Row],[Cost (€/GJ)]]*3.6</f>
        <v>35.238893023255812</v>
      </c>
      <c r="H441">
        <v>24.6</v>
      </c>
      <c r="I441">
        <f>Tableau6[[#This Row],[GHG (kgCO2eq/GJ)]]*3.6</f>
        <v>88.56</v>
      </c>
      <c r="J441" t="s">
        <v>104</v>
      </c>
      <c r="K441" t="s">
        <v>109</v>
      </c>
    </row>
    <row r="442" spans="1:11" x14ac:dyDescent="0.3">
      <c r="A442" t="s">
        <v>24</v>
      </c>
      <c r="B442" t="s">
        <v>49</v>
      </c>
      <c r="C442" t="s">
        <v>71</v>
      </c>
      <c r="D442">
        <v>25.468129999999999</v>
      </c>
      <c r="E442">
        <f>Tableau6[[#This Row],[Potential (PJ)]]/3.6</f>
        <v>7.0744805555555548</v>
      </c>
      <c r="F442">
        <v>4.593</v>
      </c>
      <c r="G442">
        <f>Tableau6[[#This Row],[Cost (€/GJ)]]*3.6</f>
        <v>16.534800000000001</v>
      </c>
      <c r="H442">
        <v>3.86607608129234</v>
      </c>
      <c r="I442">
        <f>Tableau6[[#This Row],[GHG (kgCO2eq/GJ)]]*3.6</f>
        <v>13.917873892652425</v>
      </c>
      <c r="J442" t="s">
        <v>104</v>
      </c>
      <c r="K442" t="s">
        <v>108</v>
      </c>
    </row>
    <row r="443" spans="1:11" x14ac:dyDescent="0.3">
      <c r="A443" t="s">
        <v>24</v>
      </c>
      <c r="B443" t="s">
        <v>49</v>
      </c>
      <c r="C443" t="s">
        <v>72</v>
      </c>
      <c r="D443">
        <v>1</v>
      </c>
      <c r="E443">
        <f>Tableau6[[#This Row],[Potential (PJ)]]/3.6</f>
        <v>0.27777777777777779</v>
      </c>
      <c r="F443">
        <v>3.6779999999999999</v>
      </c>
      <c r="G443">
        <f>Tableau6[[#This Row],[Cost (€/GJ)]]*3.6</f>
        <v>13.2408</v>
      </c>
      <c r="H443">
        <v>3.86607608129234</v>
      </c>
      <c r="I443">
        <f>Tableau6[[#This Row],[GHG (kgCO2eq/GJ)]]*3.6</f>
        <v>13.917873892652425</v>
      </c>
      <c r="J443" t="s">
        <v>104</v>
      </c>
      <c r="K443" t="s">
        <v>108</v>
      </c>
    </row>
    <row r="444" spans="1:11" x14ac:dyDescent="0.3">
      <c r="A444" t="s">
        <v>24</v>
      </c>
      <c r="B444" t="s">
        <v>58</v>
      </c>
      <c r="C444" t="s">
        <v>95</v>
      </c>
      <c r="D444">
        <v>8.1992399999999996</v>
      </c>
      <c r="E444">
        <f>Tableau6[[#This Row],[Potential (PJ)]]/3.6</f>
        <v>2.2775666666666665</v>
      </c>
      <c r="F444">
        <v>3.2730000000000001</v>
      </c>
      <c r="G444">
        <f>Tableau6[[#This Row],[Cost (€/GJ)]]*3.6</f>
        <v>11.7828</v>
      </c>
      <c r="H444">
        <v>2.9521711768407801</v>
      </c>
      <c r="I444">
        <f>Tableau6[[#This Row],[GHG (kgCO2eq/GJ)]]*3.6</f>
        <v>10.627816236626808</v>
      </c>
      <c r="J444" t="s">
        <v>104</v>
      </c>
      <c r="K444" t="s">
        <v>108</v>
      </c>
    </row>
    <row r="445" spans="1:11" x14ac:dyDescent="0.3">
      <c r="A445" t="s">
        <v>24</v>
      </c>
      <c r="B445" t="s">
        <v>50</v>
      </c>
      <c r="C445" t="s">
        <v>73</v>
      </c>
      <c r="D445">
        <v>11.5</v>
      </c>
      <c r="E445">
        <f>Tableau6[[#This Row],[Potential (PJ)]]/3.6</f>
        <v>3.1944444444444442</v>
      </c>
      <c r="F445">
        <v>5.6319999999999997</v>
      </c>
      <c r="G445">
        <f>Tableau6[[#This Row],[Cost (€/GJ)]]*3.6</f>
        <v>20.275199999999998</v>
      </c>
      <c r="H445">
        <v>20.723404255319149</v>
      </c>
      <c r="I445">
        <f>Tableau6[[#This Row],[GHG (kgCO2eq/GJ)]]*3.6</f>
        <v>74.604255319148933</v>
      </c>
      <c r="J445" t="s">
        <v>105</v>
      </c>
      <c r="K445" t="s">
        <v>108</v>
      </c>
    </row>
    <row r="446" spans="1:11" x14ac:dyDescent="0.3">
      <c r="A446" t="s">
        <v>24</v>
      </c>
      <c r="B446" t="s">
        <v>50</v>
      </c>
      <c r="C446" t="s">
        <v>74</v>
      </c>
      <c r="D446">
        <v>21.1</v>
      </c>
      <c r="E446">
        <f>Tableau6[[#This Row],[Potential (PJ)]]/3.6</f>
        <v>5.8611111111111116</v>
      </c>
      <c r="F446">
        <v>6.1883175355450231</v>
      </c>
      <c r="G446">
        <f>Tableau6[[#This Row],[Cost (€/GJ)]]*3.6</f>
        <v>22.277943127962082</v>
      </c>
      <c r="H446">
        <v>2.0635593220338988</v>
      </c>
      <c r="I446">
        <f>Tableau6[[#This Row],[GHG (kgCO2eq/GJ)]]*3.6</f>
        <v>7.4288135593220357</v>
      </c>
      <c r="J446" t="s">
        <v>105</v>
      </c>
      <c r="K446" t="s">
        <v>108</v>
      </c>
    </row>
    <row r="447" spans="1:11" x14ac:dyDescent="0.3">
      <c r="A447" t="s">
        <v>24</v>
      </c>
      <c r="B447" t="s">
        <v>51</v>
      </c>
      <c r="C447" t="s">
        <v>75</v>
      </c>
      <c r="D447">
        <v>1.3517790000000001</v>
      </c>
      <c r="E447">
        <f>Tableau6[[#This Row],[Potential (PJ)]]/3.6</f>
        <v>0.37549416666666668</v>
      </c>
      <c r="F447">
        <v>4.0908601592947097E-2</v>
      </c>
      <c r="G447">
        <f>Tableau6[[#This Row],[Cost (€/GJ)]]*3.6</f>
        <v>0.14727096573460954</v>
      </c>
      <c r="H447">
        <v>11.74</v>
      </c>
      <c r="I447">
        <f>Tableau6[[#This Row],[GHG (kgCO2eq/GJ)]]*3.6</f>
        <v>42.264000000000003</v>
      </c>
      <c r="J447" t="s">
        <v>104</v>
      </c>
      <c r="K447" t="s">
        <v>108</v>
      </c>
    </row>
    <row r="448" spans="1:11" x14ac:dyDescent="0.3">
      <c r="A448" t="s">
        <v>24</v>
      </c>
      <c r="B448" t="s">
        <v>60</v>
      </c>
      <c r="C448" t="s">
        <v>98</v>
      </c>
      <c r="D448">
        <v>1.01502</v>
      </c>
      <c r="E448">
        <f>Tableau6[[#This Row],[Potential (PJ)]]/3.6</f>
        <v>0.28194999999999998</v>
      </c>
      <c r="F448">
        <v>26.262083780880769</v>
      </c>
      <c r="G448">
        <f>Tableau6[[#This Row],[Cost (€/GJ)]]*3.6</f>
        <v>94.543501611170768</v>
      </c>
      <c r="H448">
        <v>33.200000000000003</v>
      </c>
      <c r="I448">
        <f>Tableau6[[#This Row],[GHG (kgCO2eq/GJ)]]*3.6</f>
        <v>119.52000000000001</v>
      </c>
      <c r="J448" t="s">
        <v>107</v>
      </c>
      <c r="K448" t="s">
        <v>109</v>
      </c>
    </row>
    <row r="449" spans="1:11" x14ac:dyDescent="0.3">
      <c r="A449" t="s">
        <v>24</v>
      </c>
      <c r="B449" t="s">
        <v>52</v>
      </c>
      <c r="C449" t="s">
        <v>76</v>
      </c>
      <c r="D449">
        <v>1E-3</v>
      </c>
      <c r="E449">
        <f>Tableau6[[#This Row],[Potential (PJ)]]/3.6</f>
        <v>2.7777777777777778E-4</v>
      </c>
      <c r="F449">
        <v>6.5250000000000004</v>
      </c>
      <c r="G449">
        <f>Tableau6[[#This Row],[Cost (€/GJ)]]*3.6</f>
        <v>23.490000000000002</v>
      </c>
      <c r="H449">
        <v>12.68872359754714</v>
      </c>
      <c r="I449">
        <f>Tableau6[[#This Row],[GHG (kgCO2eq/GJ)]]*3.6</f>
        <v>45.679404951169708</v>
      </c>
      <c r="J449" t="s">
        <v>105</v>
      </c>
      <c r="K449" t="s">
        <v>108</v>
      </c>
    </row>
    <row r="450" spans="1:11" x14ac:dyDescent="0.3">
      <c r="A450" t="s">
        <v>24</v>
      </c>
      <c r="B450" t="s">
        <v>53</v>
      </c>
      <c r="C450" t="s">
        <v>77</v>
      </c>
      <c r="D450">
        <v>0.5</v>
      </c>
      <c r="E450">
        <f>Tableau6[[#This Row],[Potential (PJ)]]/3.6</f>
        <v>0.1388888888888889</v>
      </c>
      <c r="F450">
        <v>3.6779999999999999</v>
      </c>
      <c r="G450">
        <f>Tableau6[[#This Row],[Cost (€/GJ)]]*3.6</f>
        <v>13.2408</v>
      </c>
      <c r="H450">
        <v>3.86607608129234</v>
      </c>
      <c r="I450">
        <f>Tableau6[[#This Row],[GHG (kgCO2eq/GJ)]]*3.6</f>
        <v>13.917873892652425</v>
      </c>
      <c r="J450" t="s">
        <v>104</v>
      </c>
      <c r="K450" t="s">
        <v>108</v>
      </c>
    </row>
    <row r="451" spans="1:11" x14ac:dyDescent="0.3">
      <c r="A451" t="s">
        <v>24</v>
      </c>
      <c r="B451" t="s">
        <v>61</v>
      </c>
      <c r="C451" t="s">
        <v>99</v>
      </c>
      <c r="D451">
        <v>6.9</v>
      </c>
      <c r="E451">
        <f>Tableau6[[#This Row],[Potential (PJ)]]/3.6</f>
        <v>1.9166666666666667</v>
      </c>
      <c r="F451">
        <v>2.1819999999999999</v>
      </c>
      <c r="G451">
        <f>Tableau6[[#This Row],[Cost (€/GJ)]]*3.6</f>
        <v>7.8552</v>
      </c>
      <c r="H451">
        <v>2.9245635910224439</v>
      </c>
      <c r="I451">
        <f>Tableau6[[#This Row],[GHG (kgCO2eq/GJ)]]*3.6</f>
        <v>10.528428927680798</v>
      </c>
      <c r="J451" t="s">
        <v>104</v>
      </c>
      <c r="K451" t="s">
        <v>108</v>
      </c>
    </row>
    <row r="452" spans="1:11" x14ac:dyDescent="0.3">
      <c r="A452" t="s">
        <v>24</v>
      </c>
      <c r="B452" t="s">
        <v>62</v>
      </c>
      <c r="C452" t="s">
        <v>100</v>
      </c>
      <c r="D452">
        <v>2.4</v>
      </c>
      <c r="E452">
        <f>Tableau6[[#This Row],[Potential (PJ)]]/3.6</f>
        <v>0.66666666666666663</v>
      </c>
      <c r="F452">
        <v>1.1125</v>
      </c>
      <c r="G452">
        <f>Tableau6[[#This Row],[Cost (€/GJ)]]*3.6</f>
        <v>4.0049999999999999</v>
      </c>
      <c r="H452">
        <v>2.6764106050305911</v>
      </c>
      <c r="I452">
        <f>Tableau6[[#This Row],[GHG (kgCO2eq/GJ)]]*3.6</f>
        <v>9.6350781781101276</v>
      </c>
      <c r="J452" t="s">
        <v>104</v>
      </c>
      <c r="K452" t="s">
        <v>108</v>
      </c>
    </row>
    <row r="453" spans="1:11" x14ac:dyDescent="0.3">
      <c r="A453" t="s">
        <v>24</v>
      </c>
      <c r="B453" t="s">
        <v>54</v>
      </c>
      <c r="C453" t="s">
        <v>78</v>
      </c>
      <c r="D453">
        <v>13</v>
      </c>
      <c r="E453">
        <f>Tableau6[[#This Row],[Potential (PJ)]]/3.6</f>
        <v>3.6111111111111112</v>
      </c>
      <c r="F453">
        <v>7.843</v>
      </c>
      <c r="G453">
        <f>Tableau6[[#This Row],[Cost (€/GJ)]]*3.6</f>
        <v>28.2348</v>
      </c>
      <c r="H453">
        <v>3.86607608129234</v>
      </c>
      <c r="I453">
        <f>Tableau6[[#This Row],[GHG (kgCO2eq/GJ)]]*3.6</f>
        <v>13.917873892652425</v>
      </c>
      <c r="J453" t="s">
        <v>104</v>
      </c>
      <c r="K453" t="s">
        <v>108</v>
      </c>
    </row>
    <row r="454" spans="1:11" x14ac:dyDescent="0.3">
      <c r="A454" t="s">
        <v>25</v>
      </c>
      <c r="B454" t="s">
        <v>51</v>
      </c>
      <c r="C454" t="s">
        <v>75</v>
      </c>
      <c r="D454">
        <v>0.96244099999999999</v>
      </c>
      <c r="E454">
        <f>Tableau6[[#This Row],[Potential (PJ)]]/3.6</f>
        <v>0.26734472222222222</v>
      </c>
      <c r="F454">
        <v>2.9470675665319401E-3</v>
      </c>
      <c r="G454">
        <f>Tableau6[[#This Row],[Cost (€/GJ)]]*3.6</f>
        <v>1.0609443239514984E-2</v>
      </c>
      <c r="H454">
        <v>11.74</v>
      </c>
      <c r="I454">
        <f>Tableau6[[#This Row],[GHG (kgCO2eq/GJ)]]*3.6</f>
        <v>42.264000000000003</v>
      </c>
      <c r="J454" t="s">
        <v>104</v>
      </c>
      <c r="K454" t="s">
        <v>108</v>
      </c>
    </row>
    <row r="455" spans="1:11" x14ac:dyDescent="0.3">
      <c r="A455" t="s">
        <v>26</v>
      </c>
      <c r="B455" t="s">
        <v>46</v>
      </c>
      <c r="C455" t="s">
        <v>63</v>
      </c>
      <c r="D455">
        <v>3.4676999999999998</v>
      </c>
      <c r="E455">
        <f>Tableau6[[#This Row],[Potential (PJ)]]/3.6</f>
        <v>0.96324999999999994</v>
      </c>
      <c r="F455">
        <v>2.9286474973375931</v>
      </c>
      <c r="G455">
        <f>Tableau6[[#This Row],[Cost (€/GJ)]]*3.6</f>
        <v>10.543130990415335</v>
      </c>
      <c r="H455">
        <v>3.950479233226837</v>
      </c>
      <c r="I455">
        <f>Tableau6[[#This Row],[GHG (kgCO2eq/GJ)]]*3.6</f>
        <v>14.221725239616614</v>
      </c>
      <c r="J455" t="s">
        <v>104</v>
      </c>
      <c r="K455" t="s">
        <v>108</v>
      </c>
    </row>
    <row r="456" spans="1:11" x14ac:dyDescent="0.3">
      <c r="A456" t="s">
        <v>26</v>
      </c>
      <c r="B456" t="s">
        <v>46</v>
      </c>
      <c r="C456" t="s">
        <v>64</v>
      </c>
      <c r="D456">
        <v>1.4221699999999999</v>
      </c>
      <c r="E456">
        <f>Tableau6[[#This Row],[Potential (PJ)]]/3.6</f>
        <v>0.39504722222222222</v>
      </c>
      <c r="F456">
        <v>6.2320019617907843</v>
      </c>
      <c r="G456">
        <f>Tableau6[[#This Row],[Cost (€/GJ)]]*3.6</f>
        <v>22.435207062446825</v>
      </c>
      <c r="H456">
        <v>2.9521711768407801</v>
      </c>
      <c r="I456">
        <f>Tableau6[[#This Row],[GHG (kgCO2eq/GJ)]]*3.6</f>
        <v>10.627816236626808</v>
      </c>
      <c r="J456" t="s">
        <v>104</v>
      </c>
      <c r="K456" t="s">
        <v>108</v>
      </c>
    </row>
    <row r="457" spans="1:11" x14ac:dyDescent="0.3">
      <c r="A457" t="s">
        <v>26</v>
      </c>
      <c r="B457" t="s">
        <v>46</v>
      </c>
      <c r="C457" t="s">
        <v>79</v>
      </c>
      <c r="D457">
        <v>25.9</v>
      </c>
      <c r="E457">
        <f>Tableau6[[#This Row],[Potential (PJ)]]/3.6</f>
        <v>7.1944444444444438</v>
      </c>
      <c r="F457">
        <v>2.8854440154440151</v>
      </c>
      <c r="G457">
        <f>Tableau6[[#This Row],[Cost (€/GJ)]]*3.6</f>
        <v>10.387598455598454</v>
      </c>
      <c r="H457">
        <v>6.8428961748633883</v>
      </c>
      <c r="I457">
        <f>Tableau6[[#This Row],[GHG (kgCO2eq/GJ)]]*3.6</f>
        <v>24.634426229508197</v>
      </c>
      <c r="J457" t="s">
        <v>104</v>
      </c>
      <c r="K457" t="s">
        <v>108</v>
      </c>
    </row>
    <row r="458" spans="1:11" x14ac:dyDescent="0.3">
      <c r="A458" t="s">
        <v>26</v>
      </c>
      <c r="B458" t="s">
        <v>46</v>
      </c>
      <c r="C458" t="s">
        <v>65</v>
      </c>
      <c r="D458">
        <v>2.5</v>
      </c>
      <c r="E458">
        <f>Tableau6[[#This Row],[Potential (PJ)]]/3.6</f>
        <v>0.69444444444444442</v>
      </c>
      <c r="F458">
        <v>6.7403199999999996</v>
      </c>
      <c r="G458">
        <f>Tableau6[[#This Row],[Cost (€/GJ)]]*3.6</f>
        <v>24.265152</v>
      </c>
      <c r="H458">
        <v>2.9521711768407801</v>
      </c>
      <c r="I458">
        <f>Tableau6[[#This Row],[GHG (kgCO2eq/GJ)]]*3.6</f>
        <v>10.627816236626808</v>
      </c>
      <c r="J458" t="s">
        <v>104</v>
      </c>
      <c r="K458" t="s">
        <v>108</v>
      </c>
    </row>
    <row r="459" spans="1:11" x14ac:dyDescent="0.3">
      <c r="A459" t="s">
        <v>26</v>
      </c>
      <c r="B459" t="s">
        <v>46</v>
      </c>
      <c r="C459" t="s">
        <v>102</v>
      </c>
      <c r="D459">
        <v>2</v>
      </c>
      <c r="E459">
        <f>Tableau6[[#This Row],[Potential (PJ)]]/3.6</f>
        <v>0.55555555555555558</v>
      </c>
      <c r="F459">
        <v>5.7937000000000003</v>
      </c>
      <c r="G459">
        <f>Tableau6[[#This Row],[Cost (€/GJ)]]*3.6</f>
        <v>20.857320000000001</v>
      </c>
      <c r="H459">
        <v>2.9521711768407801</v>
      </c>
      <c r="I459">
        <f>Tableau6[[#This Row],[GHG (kgCO2eq/GJ)]]*3.6</f>
        <v>10.627816236626808</v>
      </c>
      <c r="J459" t="s">
        <v>104</v>
      </c>
      <c r="K459" t="s">
        <v>108</v>
      </c>
    </row>
    <row r="460" spans="1:11" x14ac:dyDescent="0.3">
      <c r="A460" t="s">
        <v>26</v>
      </c>
      <c r="B460" t="s">
        <v>46</v>
      </c>
      <c r="C460" t="s">
        <v>80</v>
      </c>
      <c r="D460">
        <v>4.3003999999999998</v>
      </c>
      <c r="E460">
        <f>Tableau6[[#This Row],[Potential (PJ)]]/3.6</f>
        <v>1.1945555555555554</v>
      </c>
      <c r="F460">
        <v>0.7329737019554956</v>
      </c>
      <c r="G460">
        <f>Tableau6[[#This Row],[Cost (€/GJ)]]*3.6</f>
        <v>2.6387053270397844</v>
      </c>
      <c r="H460">
        <v>28.139870918023309</v>
      </c>
      <c r="I460">
        <f>Tableau6[[#This Row],[GHG (kgCO2eq/GJ)]]*3.6</f>
        <v>101.30353530488391</v>
      </c>
      <c r="J460" t="s">
        <v>105</v>
      </c>
      <c r="K460" t="s">
        <v>108</v>
      </c>
    </row>
    <row r="461" spans="1:11" x14ac:dyDescent="0.3">
      <c r="A461" t="s">
        <v>26</v>
      </c>
      <c r="B461" t="s">
        <v>46</v>
      </c>
      <c r="C461" t="s">
        <v>81</v>
      </c>
      <c r="D461">
        <v>2.0699999999999998</v>
      </c>
      <c r="E461">
        <f>Tableau6[[#This Row],[Potential (PJ)]]/3.6</f>
        <v>0.57499999999999996</v>
      </c>
      <c r="F461">
        <v>1.2708578143360749</v>
      </c>
      <c r="G461">
        <f>Tableau6[[#This Row],[Cost (€/GJ)]]*3.6</f>
        <v>4.5750881316098697</v>
      </c>
      <c r="H461">
        <v>8.9647473560517046</v>
      </c>
      <c r="I461">
        <f>Tableau6[[#This Row],[GHG (kgCO2eq/GJ)]]*3.6</f>
        <v>32.273090481786134</v>
      </c>
      <c r="J461" t="s">
        <v>105</v>
      </c>
      <c r="K461" t="s">
        <v>108</v>
      </c>
    </row>
    <row r="462" spans="1:11" x14ac:dyDescent="0.3">
      <c r="A462" t="s">
        <v>26</v>
      </c>
      <c r="B462" t="s">
        <v>46</v>
      </c>
      <c r="C462" t="s">
        <v>66</v>
      </c>
      <c r="D462">
        <v>24</v>
      </c>
      <c r="E462">
        <f>Tableau6[[#This Row],[Potential (PJ)]]/3.6</f>
        <v>6.6666666666666661</v>
      </c>
      <c r="F462">
        <v>2.988395833333334</v>
      </c>
      <c r="G462">
        <f>Tableau6[[#This Row],[Cost (€/GJ)]]*3.6</f>
        <v>10.758225000000003</v>
      </c>
      <c r="H462">
        <v>6.8428961748633883</v>
      </c>
      <c r="I462">
        <f>Tableau6[[#This Row],[GHG (kgCO2eq/GJ)]]*3.6</f>
        <v>24.634426229508197</v>
      </c>
      <c r="J462" t="s">
        <v>104</v>
      </c>
      <c r="K462" t="s">
        <v>108</v>
      </c>
    </row>
    <row r="463" spans="1:11" x14ac:dyDescent="0.3">
      <c r="A463" t="s">
        <v>26</v>
      </c>
      <c r="B463" t="s">
        <v>46</v>
      </c>
      <c r="C463" t="s">
        <v>67</v>
      </c>
      <c r="D463">
        <v>9</v>
      </c>
      <c r="E463">
        <f>Tableau6[[#This Row],[Potential (PJ)]]/3.6</f>
        <v>2.5</v>
      </c>
      <c r="F463">
        <v>9.7905333333333342</v>
      </c>
      <c r="G463">
        <f>Tableau6[[#This Row],[Cost (€/GJ)]]*3.6</f>
        <v>35.245920000000005</v>
      </c>
      <c r="H463">
        <v>2.9521711768407801</v>
      </c>
      <c r="I463">
        <f>Tableau6[[#This Row],[GHG (kgCO2eq/GJ)]]*3.6</f>
        <v>10.627816236626808</v>
      </c>
      <c r="J463" t="s">
        <v>104</v>
      </c>
      <c r="K463" t="s">
        <v>108</v>
      </c>
    </row>
    <row r="464" spans="1:11" x14ac:dyDescent="0.3">
      <c r="A464" t="s">
        <v>26</v>
      </c>
      <c r="B464" t="s">
        <v>46</v>
      </c>
      <c r="C464" t="s">
        <v>82</v>
      </c>
      <c r="D464">
        <v>1.8</v>
      </c>
      <c r="E464">
        <f>Tableau6[[#This Row],[Potential (PJ)]]/3.6</f>
        <v>0.5</v>
      </c>
      <c r="F464">
        <v>1.9056111111111109</v>
      </c>
      <c r="G464">
        <f>Tableau6[[#This Row],[Cost (€/GJ)]]*3.6</f>
        <v>6.8601999999999999</v>
      </c>
      <c r="H464">
        <v>6.8428961748633883</v>
      </c>
      <c r="I464">
        <f>Tableau6[[#This Row],[GHG (kgCO2eq/GJ)]]*3.6</f>
        <v>24.634426229508197</v>
      </c>
      <c r="J464" t="s">
        <v>104</v>
      </c>
      <c r="K464" t="s">
        <v>108</v>
      </c>
    </row>
    <row r="465" spans="1:11" x14ac:dyDescent="0.3">
      <c r="A465" t="s">
        <v>26</v>
      </c>
      <c r="B465" t="s">
        <v>46</v>
      </c>
      <c r="C465" t="s">
        <v>83</v>
      </c>
      <c r="D465">
        <v>6.8832800000000001</v>
      </c>
      <c r="E465">
        <f>Tableau6[[#This Row],[Potential (PJ)]]/3.6</f>
        <v>1.9120222222222223</v>
      </c>
      <c r="F465">
        <v>2.794761927453191</v>
      </c>
      <c r="G465">
        <f>Tableau6[[#This Row],[Cost (€/GJ)]]*3.6</f>
        <v>10.061142938831487</v>
      </c>
      <c r="H465">
        <v>6.8428961748633883</v>
      </c>
      <c r="I465">
        <f>Tableau6[[#This Row],[GHG (kgCO2eq/GJ)]]*3.6</f>
        <v>24.634426229508197</v>
      </c>
      <c r="J465" t="s">
        <v>104</v>
      </c>
      <c r="K465" t="s">
        <v>108</v>
      </c>
    </row>
    <row r="466" spans="1:11" x14ac:dyDescent="0.3">
      <c r="A466" t="s">
        <v>26</v>
      </c>
      <c r="B466" t="s">
        <v>46</v>
      </c>
      <c r="C466" t="s">
        <v>84</v>
      </c>
      <c r="D466">
        <v>1</v>
      </c>
      <c r="E466">
        <f>Tableau6[[#This Row],[Potential (PJ)]]/3.6</f>
        <v>0.27777777777777779</v>
      </c>
      <c r="F466">
        <v>2.2795000000000001</v>
      </c>
      <c r="G466">
        <f>Tableau6[[#This Row],[Cost (€/GJ)]]*3.6</f>
        <v>8.2062000000000008</v>
      </c>
      <c r="H466">
        <v>28.139870918023309</v>
      </c>
      <c r="I466">
        <f>Tableau6[[#This Row],[GHG (kgCO2eq/GJ)]]*3.6</f>
        <v>101.30353530488391</v>
      </c>
      <c r="J466" t="s">
        <v>105</v>
      </c>
      <c r="K466" t="s">
        <v>108</v>
      </c>
    </row>
    <row r="467" spans="1:11" x14ac:dyDescent="0.3">
      <c r="A467" t="s">
        <v>26</v>
      </c>
      <c r="B467" t="s">
        <v>46</v>
      </c>
      <c r="C467" t="s">
        <v>85</v>
      </c>
      <c r="D467">
        <v>7.8</v>
      </c>
      <c r="E467">
        <f>Tableau6[[#This Row],[Potential (PJ)]]/3.6</f>
        <v>2.1666666666666665</v>
      </c>
      <c r="F467">
        <v>4.9244871794871798</v>
      </c>
      <c r="G467">
        <f>Tableau6[[#This Row],[Cost (€/GJ)]]*3.6</f>
        <v>17.728153846153848</v>
      </c>
      <c r="H467">
        <v>2.9521711768407801</v>
      </c>
      <c r="I467">
        <f>Tableau6[[#This Row],[GHG (kgCO2eq/GJ)]]*3.6</f>
        <v>10.627816236626808</v>
      </c>
      <c r="J467" t="s">
        <v>104</v>
      </c>
      <c r="K467" t="s">
        <v>108</v>
      </c>
    </row>
    <row r="468" spans="1:11" x14ac:dyDescent="0.3">
      <c r="A468" t="s">
        <v>26</v>
      </c>
      <c r="B468" t="s">
        <v>55</v>
      </c>
      <c r="C468" t="s">
        <v>86</v>
      </c>
      <c r="D468">
        <v>1.0834999999999999</v>
      </c>
      <c r="E468">
        <f>Tableau6[[#This Row],[Potential (PJ)]]/3.6</f>
        <v>0.3009722222222222</v>
      </c>
      <c r="F468">
        <v>13.37</v>
      </c>
      <c r="G468">
        <f>Tableau6[[#This Row],[Cost (€/GJ)]]*3.6</f>
        <v>48.131999999999998</v>
      </c>
      <c r="H468">
        <v>15.2</v>
      </c>
      <c r="I468">
        <f>Tableau6[[#This Row],[GHG (kgCO2eq/GJ)]]*3.6</f>
        <v>54.72</v>
      </c>
      <c r="J468" t="s">
        <v>106</v>
      </c>
      <c r="K468" t="s">
        <v>109</v>
      </c>
    </row>
    <row r="469" spans="1:11" x14ac:dyDescent="0.3">
      <c r="A469" t="s">
        <v>26</v>
      </c>
      <c r="B469" t="s">
        <v>55</v>
      </c>
      <c r="C469" t="s">
        <v>87</v>
      </c>
      <c r="D469">
        <v>6.6112000000000002</v>
      </c>
      <c r="E469">
        <f>Tableau6[[#This Row],[Potential (PJ)]]/3.6</f>
        <v>1.8364444444444445</v>
      </c>
      <c r="F469">
        <v>18.117000000000001</v>
      </c>
      <c r="G469">
        <f>Tableau6[[#This Row],[Cost (€/GJ)]]*3.6</f>
        <v>65.22120000000001</v>
      </c>
      <c r="H469">
        <v>15.2</v>
      </c>
      <c r="I469">
        <f>Tableau6[[#This Row],[GHG (kgCO2eq/GJ)]]*3.6</f>
        <v>54.72</v>
      </c>
      <c r="J469" t="s">
        <v>106</v>
      </c>
      <c r="K469" t="s">
        <v>109</v>
      </c>
    </row>
    <row r="470" spans="1:11" x14ac:dyDescent="0.3">
      <c r="A470" t="s">
        <v>26</v>
      </c>
      <c r="B470" t="s">
        <v>55</v>
      </c>
      <c r="C470" t="s">
        <v>88</v>
      </c>
      <c r="D470">
        <v>11.4838</v>
      </c>
      <c r="E470">
        <f>Tableau6[[#This Row],[Potential (PJ)]]/3.6</f>
        <v>3.1899444444444445</v>
      </c>
      <c r="F470">
        <v>14.14</v>
      </c>
      <c r="G470">
        <f>Tableau6[[#This Row],[Cost (€/GJ)]]*3.6</f>
        <v>50.904000000000003</v>
      </c>
      <c r="H470">
        <v>15.2</v>
      </c>
      <c r="I470">
        <f>Tableau6[[#This Row],[GHG (kgCO2eq/GJ)]]*3.6</f>
        <v>54.72</v>
      </c>
      <c r="J470" t="s">
        <v>106</v>
      </c>
      <c r="K470" t="s">
        <v>109</v>
      </c>
    </row>
    <row r="471" spans="1:11" x14ac:dyDescent="0.3">
      <c r="A471" t="s">
        <v>26</v>
      </c>
      <c r="B471" t="s">
        <v>55</v>
      </c>
      <c r="C471" t="s">
        <v>92</v>
      </c>
      <c r="D471">
        <v>2.2839999999999998</v>
      </c>
      <c r="E471">
        <f>Tableau6[[#This Row],[Potential (PJ)]]/3.6</f>
        <v>0.63444444444444437</v>
      </c>
      <c r="F471">
        <v>18.117000000000001</v>
      </c>
      <c r="G471">
        <f>Tableau6[[#This Row],[Cost (€/GJ)]]*3.6</f>
        <v>65.22120000000001</v>
      </c>
      <c r="H471">
        <v>15.2</v>
      </c>
      <c r="I471">
        <f>Tableau6[[#This Row],[GHG (kgCO2eq/GJ)]]*3.6</f>
        <v>54.72</v>
      </c>
      <c r="J471" t="s">
        <v>106</v>
      </c>
      <c r="K471" t="s">
        <v>109</v>
      </c>
    </row>
    <row r="472" spans="1:11" x14ac:dyDescent="0.3">
      <c r="A472" t="s">
        <v>26</v>
      </c>
      <c r="B472" t="s">
        <v>56</v>
      </c>
      <c r="C472" t="s">
        <v>93</v>
      </c>
      <c r="D472">
        <v>48.777700000000003</v>
      </c>
      <c r="E472">
        <f>Tableau6[[#This Row],[Potential (PJ)]]/3.6</f>
        <v>13.549361111111111</v>
      </c>
      <c r="F472">
        <v>2.939759036144578</v>
      </c>
      <c r="G472">
        <f>Tableau6[[#This Row],[Cost (€/GJ)]]*3.6</f>
        <v>10.583132530120482</v>
      </c>
      <c r="H472">
        <v>23.4</v>
      </c>
      <c r="I472">
        <f>Tableau6[[#This Row],[GHG (kgCO2eq/GJ)]]*3.6</f>
        <v>84.24</v>
      </c>
      <c r="J472" t="s">
        <v>106</v>
      </c>
      <c r="K472" t="s">
        <v>109</v>
      </c>
    </row>
    <row r="473" spans="1:11" x14ac:dyDescent="0.3">
      <c r="A473" t="s">
        <v>26</v>
      </c>
      <c r="B473" t="s">
        <v>47</v>
      </c>
      <c r="C473" t="s">
        <v>68</v>
      </c>
      <c r="D473">
        <v>163.30000000000001</v>
      </c>
      <c r="E473">
        <f>Tableau6[[#This Row],[Potential (PJ)]]/3.6</f>
        <v>45.361111111111114</v>
      </c>
      <c r="F473">
        <v>6.5795603184323328</v>
      </c>
      <c r="G473">
        <f>Tableau6[[#This Row],[Cost (€/GJ)]]*3.6</f>
        <v>23.686417146356398</v>
      </c>
      <c r="H473">
        <v>20.8</v>
      </c>
      <c r="I473">
        <f>Tableau6[[#This Row],[GHG (kgCO2eq/GJ)]]*3.6</f>
        <v>74.88000000000001</v>
      </c>
      <c r="J473" t="s">
        <v>104</v>
      </c>
      <c r="K473" t="s">
        <v>109</v>
      </c>
    </row>
    <row r="474" spans="1:11" x14ac:dyDescent="0.3">
      <c r="A474" t="s">
        <v>26</v>
      </c>
      <c r="B474" t="s">
        <v>47</v>
      </c>
      <c r="C474" t="s">
        <v>69</v>
      </c>
      <c r="D474">
        <v>89.5</v>
      </c>
      <c r="E474">
        <f>Tableau6[[#This Row],[Potential (PJ)]]/3.6</f>
        <v>24.861111111111111</v>
      </c>
      <c r="F474">
        <v>9.115435754189944</v>
      </c>
      <c r="G474">
        <f>Tableau6[[#This Row],[Cost (€/GJ)]]*3.6</f>
        <v>32.815568715083799</v>
      </c>
      <c r="H474">
        <v>20.8</v>
      </c>
      <c r="I474">
        <f>Tableau6[[#This Row],[GHG (kgCO2eq/GJ)]]*3.6</f>
        <v>74.88000000000001</v>
      </c>
      <c r="J474" t="s">
        <v>104</v>
      </c>
      <c r="K474" t="s">
        <v>109</v>
      </c>
    </row>
    <row r="475" spans="1:11" x14ac:dyDescent="0.3">
      <c r="A475" t="s">
        <v>26</v>
      </c>
      <c r="B475" t="s">
        <v>48</v>
      </c>
      <c r="C475" t="s">
        <v>70</v>
      </c>
      <c r="D475">
        <v>21.8</v>
      </c>
      <c r="E475">
        <f>Tableau6[[#This Row],[Potential (PJ)]]/3.6</f>
        <v>6.0555555555555554</v>
      </c>
      <c r="F475">
        <v>18.129880733944951</v>
      </c>
      <c r="G475">
        <f>Tableau6[[#This Row],[Cost (€/GJ)]]*3.6</f>
        <v>65.267570642201832</v>
      </c>
      <c r="H475">
        <v>0</v>
      </c>
      <c r="I475">
        <f>Tableau6[[#This Row],[GHG (kgCO2eq/GJ)]]*3.6</f>
        <v>0</v>
      </c>
      <c r="J475" t="s">
        <v>104</v>
      </c>
      <c r="K475" t="s">
        <v>109</v>
      </c>
    </row>
    <row r="476" spans="1:11" x14ac:dyDescent="0.3">
      <c r="A476" t="s">
        <v>26</v>
      </c>
      <c r="B476" t="s">
        <v>49</v>
      </c>
      <c r="C476" t="s">
        <v>71</v>
      </c>
      <c r="D476">
        <v>280.19941999999998</v>
      </c>
      <c r="E476">
        <f>Tableau6[[#This Row],[Potential (PJ)]]/3.6</f>
        <v>77.833172222222217</v>
      </c>
      <c r="F476">
        <v>4.7230748026530538</v>
      </c>
      <c r="G476">
        <f>Tableau6[[#This Row],[Cost (€/GJ)]]*3.6</f>
        <v>17.003069289550993</v>
      </c>
      <c r="H476">
        <v>3.86607608129234</v>
      </c>
      <c r="I476">
        <f>Tableau6[[#This Row],[GHG (kgCO2eq/GJ)]]*3.6</f>
        <v>13.917873892652425</v>
      </c>
      <c r="J476" t="s">
        <v>104</v>
      </c>
      <c r="K476" t="s">
        <v>108</v>
      </c>
    </row>
    <row r="477" spans="1:11" x14ac:dyDescent="0.3">
      <c r="A477" t="s">
        <v>26</v>
      </c>
      <c r="B477" t="s">
        <v>49</v>
      </c>
      <c r="C477" t="s">
        <v>72</v>
      </c>
      <c r="D477">
        <v>47.8</v>
      </c>
      <c r="E477">
        <f>Tableau6[[#This Row],[Potential (PJ)]]/3.6</f>
        <v>13.277777777777777</v>
      </c>
      <c r="F477">
        <v>3.7971673640167372</v>
      </c>
      <c r="G477">
        <f>Tableau6[[#This Row],[Cost (€/GJ)]]*3.6</f>
        <v>13.669802510460254</v>
      </c>
      <c r="H477">
        <v>3.86607608129234</v>
      </c>
      <c r="I477">
        <f>Tableau6[[#This Row],[GHG (kgCO2eq/GJ)]]*3.6</f>
        <v>13.917873892652425</v>
      </c>
      <c r="J477" t="s">
        <v>104</v>
      </c>
      <c r="K477" t="s">
        <v>108</v>
      </c>
    </row>
    <row r="478" spans="1:11" x14ac:dyDescent="0.3">
      <c r="A478" t="s">
        <v>26</v>
      </c>
      <c r="B478" t="s">
        <v>58</v>
      </c>
      <c r="C478" t="s">
        <v>95</v>
      </c>
      <c r="D478">
        <v>25.280989999999999</v>
      </c>
      <c r="E478">
        <f>Tableau6[[#This Row],[Potential (PJ)]]/3.6</f>
        <v>7.0224972222222215</v>
      </c>
      <c r="F478">
        <v>2.904432719209177</v>
      </c>
      <c r="G478">
        <f>Tableau6[[#This Row],[Cost (€/GJ)]]*3.6</f>
        <v>10.455957789153038</v>
      </c>
      <c r="H478">
        <v>2.9521711768407801</v>
      </c>
      <c r="I478">
        <f>Tableau6[[#This Row],[GHG (kgCO2eq/GJ)]]*3.6</f>
        <v>10.627816236626808</v>
      </c>
      <c r="J478" t="s">
        <v>104</v>
      </c>
      <c r="K478" t="s">
        <v>108</v>
      </c>
    </row>
    <row r="479" spans="1:11" x14ac:dyDescent="0.3">
      <c r="A479" t="s">
        <v>26</v>
      </c>
      <c r="B479" t="s">
        <v>50</v>
      </c>
      <c r="C479" t="s">
        <v>73</v>
      </c>
      <c r="D479">
        <v>29.4</v>
      </c>
      <c r="E479">
        <f>Tableau6[[#This Row],[Potential (PJ)]]/3.6</f>
        <v>8.1666666666666661</v>
      </c>
      <c r="F479">
        <v>5.8951122448979589</v>
      </c>
      <c r="G479">
        <f>Tableau6[[#This Row],[Cost (€/GJ)]]*3.6</f>
        <v>21.222404081632654</v>
      </c>
      <c r="H479">
        <v>20.723404255319149</v>
      </c>
      <c r="I479">
        <f>Tableau6[[#This Row],[GHG (kgCO2eq/GJ)]]*3.6</f>
        <v>74.604255319148933</v>
      </c>
      <c r="J479" t="s">
        <v>105</v>
      </c>
      <c r="K479" t="s">
        <v>108</v>
      </c>
    </row>
    <row r="480" spans="1:11" x14ac:dyDescent="0.3">
      <c r="A480" t="s">
        <v>26</v>
      </c>
      <c r="B480" t="s">
        <v>50</v>
      </c>
      <c r="C480" t="s">
        <v>74</v>
      </c>
      <c r="D480">
        <v>150.80000000000001</v>
      </c>
      <c r="E480">
        <f>Tableau6[[#This Row],[Potential (PJ)]]/3.6</f>
        <v>41.888888888888893</v>
      </c>
      <c r="F480">
        <v>4.7997287798408479</v>
      </c>
      <c r="G480">
        <f>Tableau6[[#This Row],[Cost (€/GJ)]]*3.6</f>
        <v>17.279023607427053</v>
      </c>
      <c r="H480">
        <v>2.0635593220338988</v>
      </c>
      <c r="I480">
        <f>Tableau6[[#This Row],[GHG (kgCO2eq/GJ)]]*3.6</f>
        <v>7.4288135593220357</v>
      </c>
      <c r="J480" t="s">
        <v>105</v>
      </c>
      <c r="K480" t="s">
        <v>108</v>
      </c>
    </row>
    <row r="481" spans="1:11" x14ac:dyDescent="0.3">
      <c r="A481" t="s">
        <v>26</v>
      </c>
      <c r="B481" t="s">
        <v>59</v>
      </c>
      <c r="C481" t="s">
        <v>96</v>
      </c>
      <c r="D481">
        <v>1.1869000000000001</v>
      </c>
      <c r="E481">
        <f>Tableau6[[#This Row],[Potential (PJ)]]/3.6</f>
        <v>0.32969444444444446</v>
      </c>
      <c r="F481">
        <v>17.364000000000001</v>
      </c>
      <c r="G481">
        <f>Tableau6[[#This Row],[Cost (€/GJ)]]*3.6</f>
        <v>62.510400000000004</v>
      </c>
      <c r="H481">
        <v>18.600000000000001</v>
      </c>
      <c r="I481">
        <f>Tableau6[[#This Row],[GHG (kgCO2eq/GJ)]]*3.6</f>
        <v>66.960000000000008</v>
      </c>
      <c r="J481" t="s">
        <v>107</v>
      </c>
      <c r="K481" t="s">
        <v>109</v>
      </c>
    </row>
    <row r="482" spans="1:11" x14ac:dyDescent="0.3">
      <c r="A482" t="s">
        <v>26</v>
      </c>
      <c r="B482" t="s">
        <v>59</v>
      </c>
      <c r="C482" t="s">
        <v>97</v>
      </c>
      <c r="D482">
        <v>2.0878999999999999</v>
      </c>
      <c r="E482">
        <f>Tableau6[[#This Row],[Potential (PJ)]]/3.6</f>
        <v>0.57997222222222222</v>
      </c>
      <c r="F482">
        <v>13.94465545306565</v>
      </c>
      <c r="G482">
        <f>Tableau6[[#This Row],[Cost (€/GJ)]]*3.6</f>
        <v>50.200759631036341</v>
      </c>
      <c r="H482">
        <v>18.600000000000001</v>
      </c>
      <c r="I482">
        <f>Tableau6[[#This Row],[GHG (kgCO2eq/GJ)]]*3.6</f>
        <v>66.960000000000008</v>
      </c>
      <c r="J482" t="s">
        <v>107</v>
      </c>
      <c r="K482" t="s">
        <v>109</v>
      </c>
    </row>
    <row r="483" spans="1:11" x14ac:dyDescent="0.3">
      <c r="A483" t="s">
        <v>26</v>
      </c>
      <c r="B483" t="s">
        <v>51</v>
      </c>
      <c r="C483" t="s">
        <v>75</v>
      </c>
      <c r="D483">
        <v>30.1995</v>
      </c>
      <c r="E483">
        <f>Tableau6[[#This Row],[Potential (PJ)]]/3.6</f>
        <v>8.3887499999999999</v>
      </c>
      <c r="F483">
        <v>8.5002049740402305E-2</v>
      </c>
      <c r="G483">
        <f>Tableau6[[#This Row],[Cost (€/GJ)]]*3.6</f>
        <v>0.30600737906544828</v>
      </c>
      <c r="H483">
        <v>11.74</v>
      </c>
      <c r="I483">
        <f>Tableau6[[#This Row],[GHG (kgCO2eq/GJ)]]*3.6</f>
        <v>42.264000000000003</v>
      </c>
      <c r="J483" t="s">
        <v>104</v>
      </c>
      <c r="K483" t="s">
        <v>108</v>
      </c>
    </row>
    <row r="484" spans="1:11" x14ac:dyDescent="0.3">
      <c r="A484" t="s">
        <v>26</v>
      </c>
      <c r="B484" t="s">
        <v>60</v>
      </c>
      <c r="C484" t="s">
        <v>98</v>
      </c>
      <c r="D484">
        <v>0.16858000000000001</v>
      </c>
      <c r="E484">
        <f>Tableau6[[#This Row],[Potential (PJ)]]/3.6</f>
        <v>4.6827777777777781E-2</v>
      </c>
      <c r="F484">
        <v>10.79484425349087</v>
      </c>
      <c r="G484">
        <f>Tableau6[[#This Row],[Cost (€/GJ)]]*3.6</f>
        <v>38.861439312567136</v>
      </c>
      <c r="H484">
        <v>39</v>
      </c>
      <c r="I484">
        <f>Tableau6[[#This Row],[GHG (kgCO2eq/GJ)]]*3.6</f>
        <v>140.4</v>
      </c>
      <c r="J484" t="s">
        <v>107</v>
      </c>
      <c r="K484" t="s">
        <v>109</v>
      </c>
    </row>
    <row r="485" spans="1:11" x14ac:dyDescent="0.3">
      <c r="A485" t="s">
        <v>26</v>
      </c>
      <c r="B485" t="s">
        <v>52</v>
      </c>
      <c r="C485" t="s">
        <v>76</v>
      </c>
      <c r="D485">
        <v>0.214</v>
      </c>
      <c r="E485">
        <f>Tableau6[[#This Row],[Potential (PJ)]]/3.6</f>
        <v>5.9444444444444439E-2</v>
      </c>
      <c r="F485">
        <v>6.5250000000000004</v>
      </c>
      <c r="G485">
        <f>Tableau6[[#This Row],[Cost (€/GJ)]]*3.6</f>
        <v>23.490000000000002</v>
      </c>
      <c r="H485">
        <v>12.68872359754714</v>
      </c>
      <c r="I485">
        <f>Tableau6[[#This Row],[GHG (kgCO2eq/GJ)]]*3.6</f>
        <v>45.679404951169708</v>
      </c>
      <c r="J485" t="s">
        <v>105</v>
      </c>
      <c r="K485" t="s">
        <v>108</v>
      </c>
    </row>
    <row r="486" spans="1:11" x14ac:dyDescent="0.3">
      <c r="A486" t="s">
        <v>26</v>
      </c>
      <c r="B486" t="s">
        <v>53</v>
      </c>
      <c r="C486" t="s">
        <v>77</v>
      </c>
      <c r="D486">
        <v>16</v>
      </c>
      <c r="E486">
        <f>Tableau6[[#This Row],[Potential (PJ)]]/3.6</f>
        <v>4.4444444444444446</v>
      </c>
      <c r="F486">
        <v>3.7984125</v>
      </c>
      <c r="G486">
        <f>Tableau6[[#This Row],[Cost (€/GJ)]]*3.6</f>
        <v>13.674284999999999</v>
      </c>
      <c r="H486">
        <v>3.86607608129234</v>
      </c>
      <c r="I486">
        <f>Tableau6[[#This Row],[GHG (kgCO2eq/GJ)]]*3.6</f>
        <v>13.917873892652425</v>
      </c>
      <c r="J486" t="s">
        <v>104</v>
      </c>
      <c r="K486" t="s">
        <v>108</v>
      </c>
    </row>
    <row r="487" spans="1:11" x14ac:dyDescent="0.3">
      <c r="A487" t="s">
        <v>26</v>
      </c>
      <c r="B487" t="s">
        <v>61</v>
      </c>
      <c r="C487" t="s">
        <v>99</v>
      </c>
      <c r="D487">
        <v>21.2</v>
      </c>
      <c r="E487">
        <f>Tableau6[[#This Row],[Potential (PJ)]]/3.6</f>
        <v>5.8888888888888884</v>
      </c>
      <c r="F487">
        <v>2.3328207547169808</v>
      </c>
      <c r="G487">
        <f>Tableau6[[#This Row],[Cost (€/GJ)]]*3.6</f>
        <v>8.3981547169811304</v>
      </c>
      <c r="H487">
        <v>2.9245635910224439</v>
      </c>
      <c r="I487">
        <f>Tableau6[[#This Row],[GHG (kgCO2eq/GJ)]]*3.6</f>
        <v>10.528428927680798</v>
      </c>
      <c r="J487" t="s">
        <v>104</v>
      </c>
      <c r="K487" t="s">
        <v>108</v>
      </c>
    </row>
    <row r="488" spans="1:11" x14ac:dyDescent="0.3">
      <c r="A488" t="s">
        <v>26</v>
      </c>
      <c r="B488" t="s">
        <v>62</v>
      </c>
      <c r="C488" t="s">
        <v>100</v>
      </c>
      <c r="D488">
        <v>2.6</v>
      </c>
      <c r="E488">
        <f>Tableau6[[#This Row],[Potential (PJ)]]/3.6</f>
        <v>0.72222222222222221</v>
      </c>
      <c r="F488">
        <v>0.1730769230769231</v>
      </c>
      <c r="G488">
        <f>Tableau6[[#This Row],[Cost (€/GJ)]]*3.6</f>
        <v>0.62307692307692319</v>
      </c>
      <c r="H488">
        <v>2.6764106050305911</v>
      </c>
      <c r="I488">
        <f>Tableau6[[#This Row],[GHG (kgCO2eq/GJ)]]*3.6</f>
        <v>9.6350781781101276</v>
      </c>
      <c r="J488" t="s">
        <v>104</v>
      </c>
      <c r="K488" t="s">
        <v>108</v>
      </c>
    </row>
    <row r="489" spans="1:11" x14ac:dyDescent="0.3">
      <c r="A489" t="s">
        <v>26</v>
      </c>
      <c r="B489" t="s">
        <v>54</v>
      </c>
      <c r="C489" t="s">
        <v>78</v>
      </c>
      <c r="D489">
        <v>94.3</v>
      </c>
      <c r="E489">
        <f>Tableau6[[#This Row],[Potential (PJ)]]/3.6</f>
        <v>26.194444444444443</v>
      </c>
      <c r="F489">
        <v>7.8101081654294804</v>
      </c>
      <c r="G489">
        <f>Tableau6[[#This Row],[Cost (€/GJ)]]*3.6</f>
        <v>28.116389395546129</v>
      </c>
      <c r="H489">
        <v>3.86607608129234</v>
      </c>
      <c r="I489">
        <f>Tableau6[[#This Row],[GHG (kgCO2eq/GJ)]]*3.6</f>
        <v>13.917873892652425</v>
      </c>
      <c r="J489" t="s">
        <v>104</v>
      </c>
      <c r="K489" t="s">
        <v>108</v>
      </c>
    </row>
    <row r="490" spans="1:11" x14ac:dyDescent="0.3">
      <c r="A490" t="s">
        <v>27</v>
      </c>
      <c r="B490" t="s">
        <v>46</v>
      </c>
      <c r="C490" t="s">
        <v>64</v>
      </c>
      <c r="D490">
        <v>4.292E-2</v>
      </c>
      <c r="E490">
        <f>Tableau6[[#This Row],[Potential (PJ)]]/3.6</f>
        <v>1.1922222222222221E-2</v>
      </c>
      <c r="F490">
        <v>0</v>
      </c>
      <c r="G490">
        <f>Tableau6[[#This Row],[Cost (€/GJ)]]*3.6</f>
        <v>0</v>
      </c>
      <c r="H490">
        <v>2.9521711768407801</v>
      </c>
      <c r="I490">
        <f>Tableau6[[#This Row],[GHG (kgCO2eq/GJ)]]*3.6</f>
        <v>10.627816236626808</v>
      </c>
      <c r="J490" t="s">
        <v>104</v>
      </c>
      <c r="K490" t="s">
        <v>108</v>
      </c>
    </row>
    <row r="491" spans="1:11" x14ac:dyDescent="0.3">
      <c r="A491" t="s">
        <v>27</v>
      </c>
      <c r="B491" t="s">
        <v>46</v>
      </c>
      <c r="C491" t="s">
        <v>79</v>
      </c>
      <c r="D491">
        <v>16.2</v>
      </c>
      <c r="E491">
        <f>Tableau6[[#This Row],[Potential (PJ)]]/3.6</f>
        <v>4.5</v>
      </c>
      <c r="F491">
        <v>0</v>
      </c>
      <c r="G491">
        <f>Tableau6[[#This Row],[Cost (€/GJ)]]*3.6</f>
        <v>0</v>
      </c>
      <c r="H491">
        <v>6.8428961748633883</v>
      </c>
      <c r="I491">
        <f>Tableau6[[#This Row],[GHG (kgCO2eq/GJ)]]*3.6</f>
        <v>24.634426229508197</v>
      </c>
      <c r="J491" t="s">
        <v>104</v>
      </c>
      <c r="K491" t="s">
        <v>108</v>
      </c>
    </row>
    <row r="492" spans="1:11" x14ac:dyDescent="0.3">
      <c r="A492" t="s">
        <v>27</v>
      </c>
      <c r="B492" t="s">
        <v>46</v>
      </c>
      <c r="C492" t="s">
        <v>65</v>
      </c>
      <c r="D492">
        <v>0.1</v>
      </c>
      <c r="E492">
        <f>Tableau6[[#This Row],[Potential (PJ)]]/3.6</f>
        <v>2.777777777777778E-2</v>
      </c>
      <c r="F492">
        <v>0</v>
      </c>
      <c r="G492">
        <f>Tableau6[[#This Row],[Cost (€/GJ)]]*3.6</f>
        <v>0</v>
      </c>
      <c r="H492">
        <v>2.9521711768407801</v>
      </c>
      <c r="I492">
        <f>Tableau6[[#This Row],[GHG (kgCO2eq/GJ)]]*3.6</f>
        <v>10.627816236626808</v>
      </c>
      <c r="J492" t="s">
        <v>104</v>
      </c>
      <c r="K492" t="s">
        <v>108</v>
      </c>
    </row>
    <row r="493" spans="1:11" x14ac:dyDescent="0.3">
      <c r="A493" t="s">
        <v>27</v>
      </c>
      <c r="B493" t="s">
        <v>46</v>
      </c>
      <c r="C493" t="s">
        <v>80</v>
      </c>
      <c r="D493">
        <v>1.6299999999999999E-2</v>
      </c>
      <c r="E493">
        <f>Tableau6[[#This Row],[Potential (PJ)]]/3.6</f>
        <v>4.5277777777777773E-3</v>
      </c>
      <c r="F493">
        <v>0.25084288604180721</v>
      </c>
      <c r="G493">
        <f>Tableau6[[#This Row],[Cost (€/GJ)]]*3.6</f>
        <v>0.90303438975050598</v>
      </c>
      <c r="H493">
        <v>28.139870918023309</v>
      </c>
      <c r="I493">
        <f>Tableau6[[#This Row],[GHG (kgCO2eq/GJ)]]*3.6</f>
        <v>101.30353530488391</v>
      </c>
      <c r="J493" t="s">
        <v>105</v>
      </c>
      <c r="K493" t="s">
        <v>108</v>
      </c>
    </row>
    <row r="494" spans="1:11" x14ac:dyDescent="0.3">
      <c r="A494" t="s">
        <v>27</v>
      </c>
      <c r="B494" t="s">
        <v>46</v>
      </c>
      <c r="C494" t="s">
        <v>81</v>
      </c>
      <c r="D494">
        <v>4.7000000000000002E-3</v>
      </c>
      <c r="E494">
        <f>Tableau6[[#This Row],[Potential (PJ)]]/3.6</f>
        <v>1.3055555555555557E-3</v>
      </c>
      <c r="F494">
        <v>1.663924794359577</v>
      </c>
      <c r="G494">
        <f>Tableau6[[#This Row],[Cost (€/GJ)]]*3.6</f>
        <v>5.9901292596944771</v>
      </c>
      <c r="H494">
        <v>8.9647473560517046</v>
      </c>
      <c r="I494">
        <f>Tableau6[[#This Row],[GHG (kgCO2eq/GJ)]]*3.6</f>
        <v>32.273090481786134</v>
      </c>
      <c r="J494" t="s">
        <v>105</v>
      </c>
      <c r="K494" t="s">
        <v>108</v>
      </c>
    </row>
    <row r="495" spans="1:11" x14ac:dyDescent="0.3">
      <c r="A495" t="s">
        <v>27</v>
      </c>
      <c r="B495" t="s">
        <v>46</v>
      </c>
      <c r="C495" t="s">
        <v>66</v>
      </c>
      <c r="D495">
        <v>0.3</v>
      </c>
      <c r="E495">
        <f>Tableau6[[#This Row],[Potential (PJ)]]/3.6</f>
        <v>8.3333333333333329E-2</v>
      </c>
      <c r="F495">
        <v>2.7250000000000001</v>
      </c>
      <c r="G495">
        <f>Tableau6[[#This Row],[Cost (€/GJ)]]*3.6</f>
        <v>9.81</v>
      </c>
      <c r="H495">
        <v>6.8428961748633883</v>
      </c>
      <c r="I495">
        <f>Tableau6[[#This Row],[GHG (kgCO2eq/GJ)]]*3.6</f>
        <v>24.634426229508197</v>
      </c>
      <c r="J495" t="s">
        <v>104</v>
      </c>
      <c r="K495" t="s">
        <v>108</v>
      </c>
    </row>
    <row r="496" spans="1:11" x14ac:dyDescent="0.3">
      <c r="A496" t="s">
        <v>27</v>
      </c>
      <c r="B496" t="s">
        <v>46</v>
      </c>
      <c r="C496" t="s">
        <v>82</v>
      </c>
      <c r="D496">
        <v>2.1</v>
      </c>
      <c r="E496">
        <f>Tableau6[[#This Row],[Potential (PJ)]]/3.6</f>
        <v>0.58333333333333337</v>
      </c>
      <c r="F496">
        <v>1.6919999999999999</v>
      </c>
      <c r="G496">
        <f>Tableau6[[#This Row],[Cost (€/GJ)]]*3.6</f>
        <v>6.0911999999999997</v>
      </c>
      <c r="H496">
        <v>6.8428961748633883</v>
      </c>
      <c r="I496">
        <f>Tableau6[[#This Row],[GHG (kgCO2eq/GJ)]]*3.6</f>
        <v>24.634426229508197</v>
      </c>
      <c r="J496" t="s">
        <v>104</v>
      </c>
      <c r="K496" t="s">
        <v>108</v>
      </c>
    </row>
    <row r="497" spans="1:11" x14ac:dyDescent="0.3">
      <c r="A497" t="s">
        <v>27</v>
      </c>
      <c r="B497" t="s">
        <v>46</v>
      </c>
      <c r="C497" t="s">
        <v>84</v>
      </c>
      <c r="D497">
        <v>0.4</v>
      </c>
      <c r="E497">
        <f>Tableau6[[#This Row],[Potential (PJ)]]/3.6</f>
        <v>0.11111111111111112</v>
      </c>
      <c r="F497">
        <v>1.6910000000000001</v>
      </c>
      <c r="G497">
        <f>Tableau6[[#This Row],[Cost (€/GJ)]]*3.6</f>
        <v>6.0876000000000001</v>
      </c>
      <c r="H497">
        <v>28.139870918023309</v>
      </c>
      <c r="I497">
        <f>Tableau6[[#This Row],[GHG (kgCO2eq/GJ)]]*3.6</f>
        <v>101.30353530488391</v>
      </c>
      <c r="J497" t="s">
        <v>105</v>
      </c>
      <c r="K497" t="s">
        <v>108</v>
      </c>
    </row>
    <row r="498" spans="1:11" x14ac:dyDescent="0.3">
      <c r="A498" t="s">
        <v>27</v>
      </c>
      <c r="B498" t="s">
        <v>55</v>
      </c>
      <c r="C498" t="s">
        <v>86</v>
      </c>
      <c r="D498">
        <v>0.72989999999999999</v>
      </c>
      <c r="E498">
        <f>Tableau6[[#This Row],[Potential (PJ)]]/3.6</f>
        <v>0.20274999999999999</v>
      </c>
      <c r="F498">
        <v>9.9629999999999992</v>
      </c>
      <c r="G498">
        <f>Tableau6[[#This Row],[Cost (€/GJ)]]*3.6</f>
        <v>35.866799999999998</v>
      </c>
      <c r="H498">
        <v>6.2</v>
      </c>
      <c r="I498">
        <f>Tableau6[[#This Row],[GHG (kgCO2eq/GJ)]]*3.6</f>
        <v>22.32</v>
      </c>
      <c r="J498" t="s">
        <v>106</v>
      </c>
      <c r="K498" t="s">
        <v>109</v>
      </c>
    </row>
    <row r="499" spans="1:11" x14ac:dyDescent="0.3">
      <c r="A499" t="s">
        <v>27</v>
      </c>
      <c r="B499" t="s">
        <v>55</v>
      </c>
      <c r="C499" t="s">
        <v>88</v>
      </c>
      <c r="D499">
        <v>0.13289999999999999</v>
      </c>
      <c r="E499">
        <f>Tableau6[[#This Row],[Potential (PJ)]]/3.6</f>
        <v>3.691666666666666E-2</v>
      </c>
      <c r="F499">
        <v>12.96</v>
      </c>
      <c r="G499">
        <f>Tableau6[[#This Row],[Cost (€/GJ)]]*3.6</f>
        <v>46.656000000000006</v>
      </c>
      <c r="H499">
        <v>6.2</v>
      </c>
      <c r="I499">
        <f>Tableau6[[#This Row],[GHG (kgCO2eq/GJ)]]*3.6</f>
        <v>22.32</v>
      </c>
      <c r="J499" t="s">
        <v>106</v>
      </c>
      <c r="K499" t="s">
        <v>109</v>
      </c>
    </row>
    <row r="500" spans="1:11" x14ac:dyDescent="0.3">
      <c r="A500" t="s">
        <v>27</v>
      </c>
      <c r="B500" t="s">
        <v>55</v>
      </c>
      <c r="C500" t="s">
        <v>89</v>
      </c>
      <c r="D500">
        <v>1.8E-3</v>
      </c>
      <c r="E500">
        <f>Tableau6[[#This Row],[Potential (PJ)]]/3.6</f>
        <v>5.0000000000000001E-4</v>
      </c>
      <c r="F500">
        <v>0</v>
      </c>
      <c r="G500">
        <f>Tableau6[[#This Row],[Cost (€/GJ)]]*3.6</f>
        <v>0</v>
      </c>
      <c r="H500">
        <v>6.2</v>
      </c>
      <c r="I500">
        <f>Tableau6[[#This Row],[GHG (kgCO2eq/GJ)]]*3.6</f>
        <v>22.32</v>
      </c>
      <c r="J500" t="s">
        <v>106</v>
      </c>
      <c r="K500" t="s">
        <v>109</v>
      </c>
    </row>
    <row r="501" spans="1:11" x14ac:dyDescent="0.3">
      <c r="A501" t="s">
        <v>27</v>
      </c>
      <c r="B501" t="s">
        <v>55</v>
      </c>
      <c r="C501" t="s">
        <v>90</v>
      </c>
      <c r="D501">
        <v>0.79330000000000001</v>
      </c>
      <c r="E501">
        <f>Tableau6[[#This Row],[Potential (PJ)]]/3.6</f>
        <v>0.22036111111111112</v>
      </c>
      <c r="F501">
        <v>8.8279999999999994</v>
      </c>
      <c r="G501">
        <f>Tableau6[[#This Row],[Cost (€/GJ)]]*3.6</f>
        <v>31.780799999999999</v>
      </c>
      <c r="H501">
        <v>6.2</v>
      </c>
      <c r="I501">
        <f>Tableau6[[#This Row],[GHG (kgCO2eq/GJ)]]*3.6</f>
        <v>22.32</v>
      </c>
      <c r="J501" t="s">
        <v>106</v>
      </c>
      <c r="K501" t="s">
        <v>109</v>
      </c>
    </row>
    <row r="502" spans="1:11" x14ac:dyDescent="0.3">
      <c r="A502" t="s">
        <v>27</v>
      </c>
      <c r="B502" t="s">
        <v>55</v>
      </c>
      <c r="C502" t="s">
        <v>91</v>
      </c>
      <c r="D502">
        <v>0.37359999999999999</v>
      </c>
      <c r="E502">
        <f>Tableau6[[#This Row],[Potential (PJ)]]/3.6</f>
        <v>0.10377777777777777</v>
      </c>
      <c r="F502">
        <v>8.484</v>
      </c>
      <c r="G502">
        <f>Tableau6[[#This Row],[Cost (€/GJ)]]*3.6</f>
        <v>30.542400000000001</v>
      </c>
      <c r="H502">
        <v>6.2</v>
      </c>
      <c r="I502">
        <f>Tableau6[[#This Row],[GHG (kgCO2eq/GJ)]]*3.6</f>
        <v>22.32</v>
      </c>
      <c r="J502" t="s">
        <v>106</v>
      </c>
      <c r="K502" t="s">
        <v>109</v>
      </c>
    </row>
    <row r="503" spans="1:11" x14ac:dyDescent="0.3">
      <c r="A503" t="s">
        <v>27</v>
      </c>
      <c r="B503" t="s">
        <v>55</v>
      </c>
      <c r="C503" t="s">
        <v>92</v>
      </c>
      <c r="D503">
        <v>0.56071000000000004</v>
      </c>
      <c r="E503">
        <f>Tableau6[[#This Row],[Potential (PJ)]]/3.6</f>
        <v>0.1557527777777778</v>
      </c>
      <c r="F503">
        <v>10.994</v>
      </c>
      <c r="G503">
        <f>Tableau6[[#This Row],[Cost (€/GJ)]]*3.6</f>
        <v>39.578400000000002</v>
      </c>
      <c r="H503">
        <v>6.2</v>
      </c>
      <c r="I503">
        <f>Tableau6[[#This Row],[GHG (kgCO2eq/GJ)]]*3.6</f>
        <v>22.32</v>
      </c>
      <c r="J503" t="s">
        <v>106</v>
      </c>
      <c r="K503" t="s">
        <v>109</v>
      </c>
    </row>
    <row r="504" spans="1:11" x14ac:dyDescent="0.3">
      <c r="A504" t="s">
        <v>27</v>
      </c>
      <c r="B504" t="s">
        <v>56</v>
      </c>
      <c r="C504" t="s">
        <v>93</v>
      </c>
      <c r="D504">
        <v>26.7255</v>
      </c>
      <c r="E504">
        <f>Tableau6[[#This Row],[Potential (PJ)]]/3.6</f>
        <v>7.4237500000000001</v>
      </c>
      <c r="F504">
        <v>2.9493975903614462</v>
      </c>
      <c r="G504">
        <f>Tableau6[[#This Row],[Cost (€/GJ)]]*3.6</f>
        <v>10.617831325301207</v>
      </c>
      <c r="H504">
        <v>18.3</v>
      </c>
      <c r="I504">
        <f>Tableau6[[#This Row],[GHG (kgCO2eq/GJ)]]*3.6</f>
        <v>65.88000000000001</v>
      </c>
      <c r="J504" t="s">
        <v>106</v>
      </c>
      <c r="K504" t="s">
        <v>109</v>
      </c>
    </row>
    <row r="505" spans="1:11" x14ac:dyDescent="0.3">
      <c r="A505" t="s">
        <v>27</v>
      </c>
      <c r="B505" t="s">
        <v>47</v>
      </c>
      <c r="C505" t="s">
        <v>101</v>
      </c>
      <c r="D505">
        <v>35.9</v>
      </c>
      <c r="E505">
        <f>Tableau6[[#This Row],[Potential (PJ)]]/3.6</f>
        <v>9.9722222222222214</v>
      </c>
      <c r="F505">
        <v>2.3519999999999999</v>
      </c>
      <c r="G505">
        <f>Tableau6[[#This Row],[Cost (€/GJ)]]*3.6</f>
        <v>8.4672000000000001</v>
      </c>
      <c r="H505">
        <v>43.8</v>
      </c>
      <c r="I505">
        <f>Tableau6[[#This Row],[GHG (kgCO2eq/GJ)]]*3.6</f>
        <v>157.68</v>
      </c>
      <c r="J505" t="s">
        <v>104</v>
      </c>
      <c r="K505" t="s">
        <v>109</v>
      </c>
    </row>
    <row r="506" spans="1:11" x14ac:dyDescent="0.3">
      <c r="A506" t="s">
        <v>27</v>
      </c>
      <c r="B506" t="s">
        <v>57</v>
      </c>
      <c r="C506" t="s">
        <v>94</v>
      </c>
      <c r="D506">
        <v>18.7</v>
      </c>
      <c r="E506">
        <f>Tableau6[[#This Row],[Potential (PJ)]]/3.6</f>
        <v>5.1944444444444438</v>
      </c>
      <c r="F506">
        <v>6.875</v>
      </c>
      <c r="G506">
        <f>Tableau6[[#This Row],[Cost (€/GJ)]]*3.6</f>
        <v>24.75</v>
      </c>
      <c r="H506">
        <v>19.8</v>
      </c>
      <c r="I506">
        <f>Tableau6[[#This Row],[GHG (kgCO2eq/GJ)]]*3.6</f>
        <v>71.28</v>
      </c>
      <c r="J506" t="s">
        <v>104</v>
      </c>
      <c r="K506" t="s">
        <v>109</v>
      </c>
    </row>
    <row r="507" spans="1:11" x14ac:dyDescent="0.3">
      <c r="A507" t="s">
        <v>27</v>
      </c>
      <c r="B507" t="s">
        <v>49</v>
      </c>
      <c r="C507" t="s">
        <v>71</v>
      </c>
      <c r="D507">
        <v>73.666089999999997</v>
      </c>
      <c r="E507">
        <f>Tableau6[[#This Row],[Potential (PJ)]]/3.6</f>
        <v>20.462802777777778</v>
      </c>
      <c r="F507">
        <v>0</v>
      </c>
      <c r="G507">
        <f>Tableau6[[#This Row],[Cost (€/GJ)]]*3.6</f>
        <v>0</v>
      </c>
      <c r="H507">
        <v>3.86607608129234</v>
      </c>
      <c r="I507">
        <f>Tableau6[[#This Row],[GHG (kgCO2eq/GJ)]]*3.6</f>
        <v>13.917873892652425</v>
      </c>
      <c r="J507" t="s">
        <v>104</v>
      </c>
      <c r="K507" t="s">
        <v>108</v>
      </c>
    </row>
    <row r="508" spans="1:11" x14ac:dyDescent="0.3">
      <c r="A508" t="s">
        <v>27</v>
      </c>
      <c r="B508" t="s">
        <v>49</v>
      </c>
      <c r="C508" t="s">
        <v>72</v>
      </c>
      <c r="D508">
        <v>11.3</v>
      </c>
      <c r="E508">
        <f>Tableau6[[#This Row],[Potential (PJ)]]/3.6</f>
        <v>3.1388888888888888</v>
      </c>
      <c r="F508">
        <v>0</v>
      </c>
      <c r="G508">
        <f>Tableau6[[#This Row],[Cost (€/GJ)]]*3.6</f>
        <v>0</v>
      </c>
      <c r="H508">
        <v>3.86607608129234</v>
      </c>
      <c r="I508">
        <f>Tableau6[[#This Row],[GHG (kgCO2eq/GJ)]]*3.6</f>
        <v>13.917873892652425</v>
      </c>
      <c r="J508" t="s">
        <v>104</v>
      </c>
      <c r="K508" t="s">
        <v>108</v>
      </c>
    </row>
    <row r="509" spans="1:11" x14ac:dyDescent="0.3">
      <c r="A509" t="s">
        <v>27</v>
      </c>
      <c r="B509" t="s">
        <v>58</v>
      </c>
      <c r="C509" t="s">
        <v>95</v>
      </c>
      <c r="D509">
        <v>6.8327</v>
      </c>
      <c r="E509">
        <f>Tableau6[[#This Row],[Potential (PJ)]]/3.6</f>
        <v>1.8979722222222222</v>
      </c>
      <c r="F509">
        <v>3.0070000000000001</v>
      </c>
      <c r="G509">
        <f>Tableau6[[#This Row],[Cost (€/GJ)]]*3.6</f>
        <v>10.825200000000001</v>
      </c>
      <c r="H509">
        <v>2.9521711768407801</v>
      </c>
      <c r="I509">
        <f>Tableau6[[#This Row],[GHG (kgCO2eq/GJ)]]*3.6</f>
        <v>10.627816236626808</v>
      </c>
      <c r="J509" t="s">
        <v>104</v>
      </c>
      <c r="K509" t="s">
        <v>108</v>
      </c>
    </row>
    <row r="510" spans="1:11" x14ac:dyDescent="0.3">
      <c r="A510" t="s">
        <v>27</v>
      </c>
      <c r="B510" t="s">
        <v>50</v>
      </c>
      <c r="C510" t="s">
        <v>73</v>
      </c>
      <c r="D510">
        <v>1.9</v>
      </c>
      <c r="E510">
        <f>Tableau6[[#This Row],[Potential (PJ)]]/3.6</f>
        <v>0.52777777777777779</v>
      </c>
      <c r="F510">
        <v>4.976</v>
      </c>
      <c r="G510">
        <f>Tableau6[[#This Row],[Cost (€/GJ)]]*3.6</f>
        <v>17.913599999999999</v>
      </c>
      <c r="H510">
        <v>20.723404255319149</v>
      </c>
      <c r="I510">
        <f>Tableau6[[#This Row],[GHG (kgCO2eq/GJ)]]*3.6</f>
        <v>74.604255319148933</v>
      </c>
      <c r="J510" t="s">
        <v>105</v>
      </c>
      <c r="K510" t="s">
        <v>108</v>
      </c>
    </row>
    <row r="511" spans="1:11" x14ac:dyDescent="0.3">
      <c r="A511" t="s">
        <v>27</v>
      </c>
      <c r="B511" t="s">
        <v>50</v>
      </c>
      <c r="C511" t="s">
        <v>74</v>
      </c>
      <c r="D511">
        <v>12.5</v>
      </c>
      <c r="E511">
        <f>Tableau6[[#This Row],[Potential (PJ)]]/3.6</f>
        <v>3.4722222222222223</v>
      </c>
      <c r="F511">
        <v>3.383</v>
      </c>
      <c r="G511">
        <f>Tableau6[[#This Row],[Cost (€/GJ)]]*3.6</f>
        <v>12.178800000000001</v>
      </c>
      <c r="H511">
        <v>2.0635593220338988</v>
      </c>
      <c r="I511">
        <f>Tableau6[[#This Row],[GHG (kgCO2eq/GJ)]]*3.6</f>
        <v>7.4288135593220357</v>
      </c>
      <c r="J511" t="s">
        <v>105</v>
      </c>
      <c r="K511" t="s">
        <v>108</v>
      </c>
    </row>
    <row r="512" spans="1:11" x14ac:dyDescent="0.3">
      <c r="A512" t="s">
        <v>27</v>
      </c>
      <c r="B512" t="s">
        <v>51</v>
      </c>
      <c r="C512" t="s">
        <v>75</v>
      </c>
      <c r="D512">
        <v>1.1284350000000001</v>
      </c>
      <c r="E512">
        <f>Tableau6[[#This Row],[Potential (PJ)]]/3.6</f>
        <v>0.3134541666666667</v>
      </c>
      <c r="F512">
        <v>4.94730994233765E-2</v>
      </c>
      <c r="G512">
        <f>Tableau6[[#This Row],[Cost (€/GJ)]]*3.6</f>
        <v>0.1781031579241554</v>
      </c>
      <c r="H512">
        <v>11.74</v>
      </c>
      <c r="I512">
        <f>Tableau6[[#This Row],[GHG (kgCO2eq/GJ)]]*3.6</f>
        <v>42.264000000000003</v>
      </c>
      <c r="J512" t="s">
        <v>104</v>
      </c>
      <c r="K512" t="s">
        <v>108</v>
      </c>
    </row>
    <row r="513" spans="1:11" x14ac:dyDescent="0.3">
      <c r="A513" t="s">
        <v>27</v>
      </c>
      <c r="B513" t="s">
        <v>60</v>
      </c>
      <c r="C513" t="s">
        <v>98</v>
      </c>
      <c r="D513">
        <v>5.8698499999999996</v>
      </c>
      <c r="E513">
        <f>Tableau6[[#This Row],[Potential (PJ)]]/3.6</f>
        <v>1.6305138888888888</v>
      </c>
      <c r="F513">
        <v>16.809881847475829</v>
      </c>
      <c r="G513">
        <f>Tableau6[[#This Row],[Cost (€/GJ)]]*3.6</f>
        <v>60.515574650912988</v>
      </c>
      <c r="H513">
        <v>26.9</v>
      </c>
      <c r="I513">
        <f>Tableau6[[#This Row],[GHG (kgCO2eq/GJ)]]*3.6</f>
        <v>96.84</v>
      </c>
      <c r="J513" t="s">
        <v>107</v>
      </c>
      <c r="K513" t="s">
        <v>109</v>
      </c>
    </row>
    <row r="514" spans="1:11" x14ac:dyDescent="0.3">
      <c r="A514" t="s">
        <v>27</v>
      </c>
      <c r="B514" t="s">
        <v>53</v>
      </c>
      <c r="C514" t="s">
        <v>77</v>
      </c>
      <c r="D514">
        <v>4</v>
      </c>
      <c r="E514">
        <f>Tableau6[[#This Row],[Potential (PJ)]]/3.6</f>
        <v>1.1111111111111112</v>
      </c>
      <c r="F514">
        <v>0</v>
      </c>
      <c r="G514">
        <f>Tableau6[[#This Row],[Cost (€/GJ)]]*3.6</f>
        <v>0</v>
      </c>
      <c r="H514">
        <v>3.86607608129234</v>
      </c>
      <c r="I514">
        <f>Tableau6[[#This Row],[GHG (kgCO2eq/GJ)]]*3.6</f>
        <v>13.917873892652425</v>
      </c>
      <c r="J514" t="s">
        <v>104</v>
      </c>
      <c r="K514" t="s">
        <v>108</v>
      </c>
    </row>
    <row r="515" spans="1:11" x14ac:dyDescent="0.3">
      <c r="A515" t="s">
        <v>27</v>
      </c>
      <c r="B515" t="s">
        <v>61</v>
      </c>
      <c r="C515" t="s">
        <v>99</v>
      </c>
      <c r="D515">
        <v>8.1</v>
      </c>
      <c r="E515">
        <f>Tableau6[[#This Row],[Potential (PJ)]]/3.6</f>
        <v>2.25</v>
      </c>
      <c r="F515">
        <v>0</v>
      </c>
      <c r="G515">
        <f>Tableau6[[#This Row],[Cost (€/GJ)]]*3.6</f>
        <v>0</v>
      </c>
      <c r="H515">
        <v>2.9245635910224439</v>
      </c>
      <c r="I515">
        <f>Tableau6[[#This Row],[GHG (kgCO2eq/GJ)]]*3.6</f>
        <v>10.528428927680798</v>
      </c>
      <c r="J515" t="s">
        <v>104</v>
      </c>
      <c r="K515" t="s">
        <v>108</v>
      </c>
    </row>
    <row r="516" spans="1:11" x14ac:dyDescent="0.3">
      <c r="A516" t="s">
        <v>27</v>
      </c>
      <c r="B516" t="s">
        <v>62</v>
      </c>
      <c r="C516" t="s">
        <v>100</v>
      </c>
      <c r="D516">
        <v>3.1</v>
      </c>
      <c r="E516">
        <f>Tableau6[[#This Row],[Potential (PJ)]]/3.6</f>
        <v>0.86111111111111116</v>
      </c>
      <c r="F516">
        <v>1.6</v>
      </c>
      <c r="G516">
        <f>Tableau6[[#This Row],[Cost (€/GJ)]]*3.6</f>
        <v>5.7600000000000007</v>
      </c>
      <c r="H516">
        <v>2.6764106050305911</v>
      </c>
      <c r="I516">
        <f>Tableau6[[#This Row],[GHG (kgCO2eq/GJ)]]*3.6</f>
        <v>9.6350781781101276</v>
      </c>
      <c r="J516" t="s">
        <v>104</v>
      </c>
      <c r="K516" t="s">
        <v>108</v>
      </c>
    </row>
    <row r="517" spans="1:11" x14ac:dyDescent="0.3">
      <c r="A517" t="s">
        <v>27</v>
      </c>
      <c r="B517" t="s">
        <v>54</v>
      </c>
      <c r="C517" t="s">
        <v>78</v>
      </c>
      <c r="D517">
        <v>26.3</v>
      </c>
      <c r="E517">
        <f>Tableau6[[#This Row],[Potential (PJ)]]/3.6</f>
        <v>7.3055555555555554</v>
      </c>
      <c r="F517">
        <v>0</v>
      </c>
      <c r="G517">
        <f>Tableau6[[#This Row],[Cost (€/GJ)]]*3.6</f>
        <v>0</v>
      </c>
      <c r="H517">
        <v>3.86607608129234</v>
      </c>
      <c r="I517">
        <f>Tableau6[[#This Row],[GHG (kgCO2eq/GJ)]]*3.6</f>
        <v>13.917873892652425</v>
      </c>
      <c r="J517" t="s">
        <v>104</v>
      </c>
      <c r="K517" t="s">
        <v>108</v>
      </c>
    </row>
    <row r="518" spans="1:11" x14ac:dyDescent="0.3">
      <c r="A518" t="s">
        <v>28</v>
      </c>
      <c r="B518" t="s">
        <v>46</v>
      </c>
      <c r="C518" t="s">
        <v>103</v>
      </c>
      <c r="D518">
        <v>0.60399999999999998</v>
      </c>
      <c r="E518">
        <f>Tableau6[[#This Row],[Potential (PJ)]]/3.6</f>
        <v>0.16777777777777778</v>
      </c>
      <c r="F518">
        <v>0</v>
      </c>
      <c r="G518">
        <f>Tableau6[[#This Row],[Cost (€/GJ)]]*3.6</f>
        <v>0</v>
      </c>
      <c r="I518">
        <f>Tableau6[[#This Row],[GHG (kgCO2eq/GJ)]]*3.6</f>
        <v>0</v>
      </c>
    </row>
    <row r="519" spans="1:11" x14ac:dyDescent="0.3">
      <c r="A519" t="s">
        <v>28</v>
      </c>
      <c r="B519" t="s">
        <v>46</v>
      </c>
      <c r="C519" t="s">
        <v>80</v>
      </c>
      <c r="D519">
        <v>1.44E-2</v>
      </c>
      <c r="E519">
        <f>Tableau6[[#This Row],[Potential (PJ)]]/3.6</f>
        <v>4.0000000000000001E-3</v>
      </c>
      <c r="F519">
        <v>0</v>
      </c>
      <c r="G519">
        <f>Tableau6[[#This Row],[Cost (€/GJ)]]*3.6</f>
        <v>0</v>
      </c>
      <c r="H519">
        <v>28.139870918023309</v>
      </c>
      <c r="I519">
        <f>Tableau6[[#This Row],[GHG (kgCO2eq/GJ)]]*3.6</f>
        <v>101.30353530488391</v>
      </c>
      <c r="J519" t="s">
        <v>105</v>
      </c>
      <c r="K519" t="s">
        <v>108</v>
      </c>
    </row>
    <row r="520" spans="1:11" x14ac:dyDescent="0.3">
      <c r="A520" t="s">
        <v>28</v>
      </c>
      <c r="B520" t="s">
        <v>46</v>
      </c>
      <c r="C520" t="s">
        <v>81</v>
      </c>
      <c r="D520">
        <v>0.1077</v>
      </c>
      <c r="E520">
        <f>Tableau6[[#This Row],[Potential (PJ)]]/3.6</f>
        <v>2.9916666666666668E-2</v>
      </c>
      <c r="F520">
        <v>0</v>
      </c>
      <c r="G520">
        <f>Tableau6[[#This Row],[Cost (€/GJ)]]*3.6</f>
        <v>0</v>
      </c>
      <c r="H520">
        <v>8.9647473560517046</v>
      </c>
      <c r="I520">
        <f>Tableau6[[#This Row],[GHG (kgCO2eq/GJ)]]*3.6</f>
        <v>32.273090481786134</v>
      </c>
      <c r="J520" t="s">
        <v>105</v>
      </c>
      <c r="K520" t="s">
        <v>108</v>
      </c>
    </row>
    <row r="521" spans="1:11" x14ac:dyDescent="0.3">
      <c r="A521" t="s">
        <v>28</v>
      </c>
      <c r="B521" t="s">
        <v>55</v>
      </c>
      <c r="C521" t="s">
        <v>86</v>
      </c>
      <c r="D521">
        <v>0.2135</v>
      </c>
      <c r="E521">
        <f>Tableau6[[#This Row],[Potential (PJ)]]/3.6</f>
        <v>5.9305555555555556E-2</v>
      </c>
      <c r="F521">
        <v>5.4980000000000002</v>
      </c>
      <c r="G521">
        <f>Tableau6[[#This Row],[Cost (€/GJ)]]*3.6</f>
        <v>19.7928</v>
      </c>
      <c r="H521">
        <v>26.8</v>
      </c>
      <c r="I521">
        <f>Tableau6[[#This Row],[GHG (kgCO2eq/GJ)]]*3.6</f>
        <v>96.48</v>
      </c>
      <c r="J521" t="s">
        <v>106</v>
      </c>
      <c r="K521" t="s">
        <v>109</v>
      </c>
    </row>
    <row r="522" spans="1:11" x14ac:dyDescent="0.3">
      <c r="A522" t="s">
        <v>28</v>
      </c>
      <c r="B522" t="s">
        <v>55</v>
      </c>
      <c r="C522" t="s">
        <v>88</v>
      </c>
      <c r="D522">
        <v>8.8000000000000005E-3</v>
      </c>
      <c r="E522">
        <f>Tableau6[[#This Row],[Potential (PJ)]]/3.6</f>
        <v>2.4444444444444444E-3</v>
      </c>
      <c r="F522">
        <v>3.4870000000000001</v>
      </c>
      <c r="G522">
        <f>Tableau6[[#This Row],[Cost (€/GJ)]]*3.6</f>
        <v>12.5532</v>
      </c>
      <c r="H522">
        <v>26.8</v>
      </c>
      <c r="I522">
        <f>Tableau6[[#This Row],[GHG (kgCO2eq/GJ)]]*3.6</f>
        <v>96.48</v>
      </c>
      <c r="J522" t="s">
        <v>106</v>
      </c>
      <c r="K522" t="s">
        <v>109</v>
      </c>
    </row>
    <row r="523" spans="1:11" x14ac:dyDescent="0.3">
      <c r="A523" t="s">
        <v>28</v>
      </c>
      <c r="B523" t="s">
        <v>55</v>
      </c>
      <c r="C523" t="s">
        <v>92</v>
      </c>
      <c r="D523">
        <v>0.16364999999999999</v>
      </c>
      <c r="E523">
        <f>Tableau6[[#This Row],[Potential (PJ)]]/3.6</f>
        <v>4.545833333333333E-2</v>
      </c>
      <c r="F523">
        <v>6.0330000000000004</v>
      </c>
      <c r="G523">
        <f>Tableau6[[#This Row],[Cost (€/GJ)]]*3.6</f>
        <v>21.718800000000002</v>
      </c>
      <c r="H523">
        <v>26.8</v>
      </c>
      <c r="I523">
        <f>Tableau6[[#This Row],[GHG (kgCO2eq/GJ)]]*3.6</f>
        <v>96.48</v>
      </c>
      <c r="J523" t="s">
        <v>106</v>
      </c>
      <c r="K523" t="s">
        <v>109</v>
      </c>
    </row>
    <row r="524" spans="1:11" x14ac:dyDescent="0.3">
      <c r="A524" t="s">
        <v>28</v>
      </c>
      <c r="B524" t="s">
        <v>49</v>
      </c>
      <c r="C524" t="s">
        <v>71</v>
      </c>
      <c r="D524">
        <v>6.86273</v>
      </c>
      <c r="E524">
        <f>Tableau6[[#This Row],[Potential (PJ)]]/3.6</f>
        <v>1.9063138888888889</v>
      </c>
      <c r="F524">
        <v>0</v>
      </c>
      <c r="G524">
        <f>Tableau6[[#This Row],[Cost (€/GJ)]]*3.6</f>
        <v>0</v>
      </c>
      <c r="H524">
        <v>3.86607608129234</v>
      </c>
      <c r="I524">
        <f>Tableau6[[#This Row],[GHG (kgCO2eq/GJ)]]*3.6</f>
        <v>13.917873892652425</v>
      </c>
      <c r="J524" t="s">
        <v>104</v>
      </c>
      <c r="K524" t="s">
        <v>108</v>
      </c>
    </row>
    <row r="525" spans="1:11" x14ac:dyDescent="0.3">
      <c r="A525" t="s">
        <v>28</v>
      </c>
      <c r="B525" t="s">
        <v>49</v>
      </c>
      <c r="C525" t="s">
        <v>72</v>
      </c>
      <c r="D525">
        <v>0.1</v>
      </c>
      <c r="E525">
        <f>Tableau6[[#This Row],[Potential (PJ)]]/3.6</f>
        <v>2.777777777777778E-2</v>
      </c>
      <c r="F525">
        <v>0</v>
      </c>
      <c r="G525">
        <f>Tableau6[[#This Row],[Cost (€/GJ)]]*3.6</f>
        <v>0</v>
      </c>
      <c r="H525">
        <v>3.86607608129234</v>
      </c>
      <c r="I525">
        <f>Tableau6[[#This Row],[GHG (kgCO2eq/GJ)]]*3.6</f>
        <v>13.917873892652425</v>
      </c>
      <c r="J525" t="s">
        <v>104</v>
      </c>
      <c r="K525" t="s">
        <v>108</v>
      </c>
    </row>
    <row r="526" spans="1:11" x14ac:dyDescent="0.3">
      <c r="A526" t="s">
        <v>28</v>
      </c>
      <c r="B526" t="s">
        <v>50</v>
      </c>
      <c r="C526" t="s">
        <v>103</v>
      </c>
      <c r="D526">
        <v>3.0438450000000001</v>
      </c>
      <c r="E526">
        <f>Tableau6[[#This Row],[Potential (PJ)]]/3.6</f>
        <v>0.8455125</v>
      </c>
      <c r="F526">
        <v>0</v>
      </c>
      <c r="G526">
        <f>Tableau6[[#This Row],[Cost (€/GJ)]]*3.6</f>
        <v>0</v>
      </c>
      <c r="I526">
        <f>Tableau6[[#This Row],[GHG (kgCO2eq/GJ)]]*3.6</f>
        <v>0</v>
      </c>
    </row>
    <row r="527" spans="1:11" x14ac:dyDescent="0.3">
      <c r="A527" t="s">
        <v>28</v>
      </c>
      <c r="B527" t="s">
        <v>51</v>
      </c>
      <c r="C527" t="s">
        <v>75</v>
      </c>
      <c r="D527">
        <v>0.109542</v>
      </c>
      <c r="E527">
        <f>Tableau6[[#This Row],[Potential (PJ)]]/3.6</f>
        <v>3.0428333333333332E-2</v>
      </c>
      <c r="F527">
        <v>6.8881694990146399E-4</v>
      </c>
      <c r="G527">
        <f>Tableau6[[#This Row],[Cost (€/GJ)]]*3.6</f>
        <v>2.4797410196452704E-3</v>
      </c>
      <c r="H527">
        <v>11.74</v>
      </c>
      <c r="I527">
        <f>Tableau6[[#This Row],[GHG (kgCO2eq/GJ)]]*3.6</f>
        <v>42.264000000000003</v>
      </c>
      <c r="J527" t="s">
        <v>104</v>
      </c>
      <c r="K527" t="s">
        <v>108</v>
      </c>
    </row>
    <row r="528" spans="1:11" x14ac:dyDescent="0.3">
      <c r="A528" t="s">
        <v>28</v>
      </c>
      <c r="B528" t="s">
        <v>60</v>
      </c>
      <c r="C528" t="s">
        <v>98</v>
      </c>
      <c r="D528">
        <v>1.0378000000000001</v>
      </c>
      <c r="E528">
        <f>Tableau6[[#This Row],[Potential (PJ)]]/3.6</f>
        <v>0.2882777777777778</v>
      </c>
      <c r="F528">
        <v>0</v>
      </c>
      <c r="G528">
        <f>Tableau6[[#This Row],[Cost (€/GJ)]]*3.6</f>
        <v>0</v>
      </c>
      <c r="H528">
        <v>37.799999999999997</v>
      </c>
      <c r="I528">
        <f>Tableau6[[#This Row],[GHG (kgCO2eq/GJ)]]*3.6</f>
        <v>136.07999999999998</v>
      </c>
      <c r="J528" t="s">
        <v>107</v>
      </c>
      <c r="K528" t="s">
        <v>109</v>
      </c>
    </row>
    <row r="529" spans="1:11" x14ac:dyDescent="0.3">
      <c r="A529" t="s">
        <v>28</v>
      </c>
      <c r="B529" t="s">
        <v>61</v>
      </c>
      <c r="C529" t="s">
        <v>103</v>
      </c>
      <c r="D529">
        <v>1.7567269999999999</v>
      </c>
      <c r="E529">
        <f>Tableau6[[#This Row],[Potential (PJ)]]/3.6</f>
        <v>0.48797972222222219</v>
      </c>
      <c r="F529">
        <v>0</v>
      </c>
      <c r="G529">
        <f>Tableau6[[#This Row],[Cost (€/GJ)]]*3.6</f>
        <v>0</v>
      </c>
      <c r="I529">
        <f>Tableau6[[#This Row],[GHG (kgCO2eq/GJ)]]*3.6</f>
        <v>0</v>
      </c>
    </row>
    <row r="530" spans="1:11" x14ac:dyDescent="0.3">
      <c r="A530" t="s">
        <v>28</v>
      </c>
      <c r="B530" t="s">
        <v>62</v>
      </c>
      <c r="C530" t="s">
        <v>103</v>
      </c>
      <c r="D530">
        <v>0.22295400000000001</v>
      </c>
      <c r="E530">
        <f>Tableau6[[#This Row],[Potential (PJ)]]/3.6</f>
        <v>6.193166666666667E-2</v>
      </c>
      <c r="F530">
        <v>0</v>
      </c>
      <c r="G530">
        <f>Tableau6[[#This Row],[Cost (€/GJ)]]*3.6</f>
        <v>0</v>
      </c>
      <c r="I530">
        <f>Tableau6[[#This Row],[GHG (kgCO2eq/GJ)]]*3.6</f>
        <v>0</v>
      </c>
    </row>
    <row r="531" spans="1:11" x14ac:dyDescent="0.3">
      <c r="A531" t="s">
        <v>28</v>
      </c>
      <c r="B531" t="s">
        <v>54</v>
      </c>
      <c r="C531" t="s">
        <v>78</v>
      </c>
      <c r="D531">
        <v>3.5</v>
      </c>
      <c r="E531">
        <f>Tableau6[[#This Row],[Potential (PJ)]]/3.6</f>
        <v>0.97222222222222221</v>
      </c>
      <c r="F531">
        <v>0</v>
      </c>
      <c r="G531">
        <f>Tableau6[[#This Row],[Cost (€/GJ)]]*3.6</f>
        <v>0</v>
      </c>
      <c r="H531">
        <v>3.86607608129234</v>
      </c>
      <c r="I531">
        <f>Tableau6[[#This Row],[GHG (kgCO2eq/GJ)]]*3.6</f>
        <v>13.917873892652425</v>
      </c>
      <c r="J531" t="s">
        <v>104</v>
      </c>
      <c r="K531" t="s">
        <v>108</v>
      </c>
    </row>
    <row r="532" spans="1:11" x14ac:dyDescent="0.3">
      <c r="A532" t="s">
        <v>29</v>
      </c>
      <c r="B532" t="s">
        <v>46</v>
      </c>
      <c r="C532" t="s">
        <v>64</v>
      </c>
      <c r="D532">
        <v>2.7910000000000001E-2</v>
      </c>
      <c r="E532">
        <f>Tableau6[[#This Row],[Potential (PJ)]]/3.6</f>
        <v>7.7527777777777777E-3</v>
      </c>
      <c r="F532">
        <v>0</v>
      </c>
      <c r="G532">
        <f>Tableau6[[#This Row],[Cost (€/GJ)]]*3.6</f>
        <v>0</v>
      </c>
      <c r="H532">
        <v>2.9521711768407801</v>
      </c>
      <c r="I532">
        <f>Tableau6[[#This Row],[GHG (kgCO2eq/GJ)]]*3.6</f>
        <v>10.627816236626808</v>
      </c>
      <c r="J532" t="s">
        <v>104</v>
      </c>
      <c r="K532" t="s">
        <v>108</v>
      </c>
    </row>
    <row r="533" spans="1:11" x14ac:dyDescent="0.3">
      <c r="A533" t="s">
        <v>29</v>
      </c>
      <c r="B533" t="s">
        <v>46</v>
      </c>
      <c r="C533" t="s">
        <v>79</v>
      </c>
      <c r="D533">
        <v>9.9</v>
      </c>
      <c r="E533">
        <f>Tableau6[[#This Row],[Potential (PJ)]]/3.6</f>
        <v>2.75</v>
      </c>
      <c r="F533">
        <v>0</v>
      </c>
      <c r="G533">
        <f>Tableau6[[#This Row],[Cost (€/GJ)]]*3.6</f>
        <v>0</v>
      </c>
      <c r="H533">
        <v>6.8428961748633883</v>
      </c>
      <c r="I533">
        <f>Tableau6[[#This Row],[GHG (kgCO2eq/GJ)]]*3.6</f>
        <v>24.634426229508197</v>
      </c>
      <c r="J533" t="s">
        <v>104</v>
      </c>
      <c r="K533" t="s">
        <v>108</v>
      </c>
    </row>
    <row r="534" spans="1:11" x14ac:dyDescent="0.3">
      <c r="A534" t="s">
        <v>29</v>
      </c>
      <c r="B534" t="s">
        <v>46</v>
      </c>
      <c r="C534" t="s">
        <v>80</v>
      </c>
      <c r="D534">
        <v>4.4299999999999999E-2</v>
      </c>
      <c r="E534">
        <f>Tableau6[[#This Row],[Potential (PJ)]]/3.6</f>
        <v>1.2305555555555556E-2</v>
      </c>
      <c r="F534">
        <v>0.18071476736345249</v>
      </c>
      <c r="G534">
        <f>Tableau6[[#This Row],[Cost (€/GJ)]]*3.6</f>
        <v>0.650573162508429</v>
      </c>
      <c r="H534">
        <v>28.139870918023309</v>
      </c>
      <c r="I534">
        <f>Tableau6[[#This Row],[GHG (kgCO2eq/GJ)]]*3.6</f>
        <v>101.30353530488391</v>
      </c>
      <c r="J534" t="s">
        <v>105</v>
      </c>
      <c r="K534" t="s">
        <v>108</v>
      </c>
    </row>
    <row r="535" spans="1:11" x14ac:dyDescent="0.3">
      <c r="A535" t="s">
        <v>29</v>
      </c>
      <c r="B535" t="s">
        <v>46</v>
      </c>
      <c r="C535" t="s">
        <v>81</v>
      </c>
      <c r="D535">
        <v>2.7E-2</v>
      </c>
      <c r="E535">
        <f>Tableau6[[#This Row],[Potential (PJ)]]/3.6</f>
        <v>7.4999999999999997E-3</v>
      </c>
      <c r="F535">
        <v>0.36545240893066983</v>
      </c>
      <c r="G535">
        <f>Tableau6[[#This Row],[Cost (€/GJ)]]*3.6</f>
        <v>1.3156286721504113</v>
      </c>
      <c r="H535">
        <v>8.9647473560517046</v>
      </c>
      <c r="I535">
        <f>Tableau6[[#This Row],[GHG (kgCO2eq/GJ)]]*3.6</f>
        <v>32.273090481786134</v>
      </c>
      <c r="J535" t="s">
        <v>105</v>
      </c>
      <c r="K535" t="s">
        <v>108</v>
      </c>
    </row>
    <row r="536" spans="1:11" x14ac:dyDescent="0.3">
      <c r="A536" t="s">
        <v>29</v>
      </c>
      <c r="B536" t="s">
        <v>46</v>
      </c>
      <c r="C536" t="s">
        <v>82</v>
      </c>
      <c r="D536">
        <v>1</v>
      </c>
      <c r="E536">
        <f>Tableau6[[#This Row],[Potential (PJ)]]/3.6</f>
        <v>0.27777777777777779</v>
      </c>
      <c r="F536">
        <v>1.704</v>
      </c>
      <c r="G536">
        <f>Tableau6[[#This Row],[Cost (€/GJ)]]*3.6</f>
        <v>6.1344000000000003</v>
      </c>
      <c r="H536">
        <v>6.8428961748633883</v>
      </c>
      <c r="I536">
        <f>Tableau6[[#This Row],[GHG (kgCO2eq/GJ)]]*3.6</f>
        <v>24.634426229508197</v>
      </c>
      <c r="J536" t="s">
        <v>104</v>
      </c>
      <c r="K536" t="s">
        <v>108</v>
      </c>
    </row>
    <row r="537" spans="1:11" x14ac:dyDescent="0.3">
      <c r="A537" t="s">
        <v>29</v>
      </c>
      <c r="B537" t="s">
        <v>55</v>
      </c>
      <c r="C537" t="s">
        <v>86</v>
      </c>
      <c r="D537">
        <v>0.1045</v>
      </c>
      <c r="E537">
        <f>Tableau6[[#This Row],[Potential (PJ)]]/3.6</f>
        <v>2.9027777777777777E-2</v>
      </c>
      <c r="F537">
        <v>8.6820000000000004</v>
      </c>
      <c r="G537">
        <f>Tableau6[[#This Row],[Cost (€/GJ)]]*3.6</f>
        <v>31.255200000000002</v>
      </c>
      <c r="H537">
        <v>12.7</v>
      </c>
      <c r="I537">
        <f>Tableau6[[#This Row],[GHG (kgCO2eq/GJ)]]*3.6</f>
        <v>45.72</v>
      </c>
      <c r="J537" t="s">
        <v>106</v>
      </c>
      <c r="K537" t="s">
        <v>109</v>
      </c>
    </row>
    <row r="538" spans="1:11" x14ac:dyDescent="0.3">
      <c r="A538" t="s">
        <v>29</v>
      </c>
      <c r="B538" t="s">
        <v>55</v>
      </c>
      <c r="C538" t="s">
        <v>89</v>
      </c>
      <c r="D538">
        <v>3.2000000000000002E-3</v>
      </c>
      <c r="E538">
        <f>Tableau6[[#This Row],[Potential (PJ)]]/3.6</f>
        <v>8.8888888888888893E-4</v>
      </c>
      <c r="F538">
        <v>0</v>
      </c>
      <c r="G538">
        <f>Tableau6[[#This Row],[Cost (€/GJ)]]*3.6</f>
        <v>0</v>
      </c>
      <c r="H538">
        <v>12.7</v>
      </c>
      <c r="I538">
        <f>Tableau6[[#This Row],[GHG (kgCO2eq/GJ)]]*3.6</f>
        <v>45.72</v>
      </c>
      <c r="J538" t="s">
        <v>106</v>
      </c>
      <c r="K538" t="s">
        <v>109</v>
      </c>
    </row>
    <row r="539" spans="1:11" x14ac:dyDescent="0.3">
      <c r="A539" t="s">
        <v>29</v>
      </c>
      <c r="B539" t="s">
        <v>55</v>
      </c>
      <c r="C539" t="s">
        <v>90</v>
      </c>
      <c r="D539">
        <v>5.6500000000000002E-2</v>
      </c>
      <c r="E539">
        <f>Tableau6[[#This Row],[Potential (PJ)]]/3.6</f>
        <v>1.5694444444444445E-2</v>
      </c>
      <c r="F539">
        <v>10.387</v>
      </c>
      <c r="G539">
        <f>Tableau6[[#This Row],[Cost (€/GJ)]]*3.6</f>
        <v>37.3932</v>
      </c>
      <c r="H539">
        <v>12.7</v>
      </c>
      <c r="I539">
        <f>Tableau6[[#This Row],[GHG (kgCO2eq/GJ)]]*3.6</f>
        <v>45.72</v>
      </c>
      <c r="J539" t="s">
        <v>106</v>
      </c>
      <c r="K539" t="s">
        <v>109</v>
      </c>
    </row>
    <row r="540" spans="1:11" x14ac:dyDescent="0.3">
      <c r="A540" t="s">
        <v>29</v>
      </c>
      <c r="B540" t="s">
        <v>55</v>
      </c>
      <c r="C540" t="s">
        <v>91</v>
      </c>
      <c r="D540">
        <v>6.6500000000000004E-2</v>
      </c>
      <c r="E540">
        <f>Tableau6[[#This Row],[Potential (PJ)]]/3.6</f>
        <v>1.8472222222222223E-2</v>
      </c>
      <c r="F540">
        <v>8.9979999999999993</v>
      </c>
      <c r="G540">
        <f>Tableau6[[#This Row],[Cost (€/GJ)]]*3.6</f>
        <v>32.392800000000001</v>
      </c>
      <c r="H540">
        <v>12.7</v>
      </c>
      <c r="I540">
        <f>Tableau6[[#This Row],[GHG (kgCO2eq/GJ)]]*3.6</f>
        <v>45.72</v>
      </c>
      <c r="J540" t="s">
        <v>106</v>
      </c>
      <c r="K540" t="s">
        <v>109</v>
      </c>
    </row>
    <row r="541" spans="1:11" x14ac:dyDescent="0.3">
      <c r="A541" t="s">
        <v>29</v>
      </c>
      <c r="B541" t="s">
        <v>55</v>
      </c>
      <c r="C541" t="s">
        <v>92</v>
      </c>
      <c r="D541">
        <v>0.58809</v>
      </c>
      <c r="E541">
        <f>Tableau6[[#This Row],[Potential (PJ)]]/3.6</f>
        <v>0.16335833333333333</v>
      </c>
      <c r="F541">
        <v>10.631</v>
      </c>
      <c r="G541">
        <f>Tableau6[[#This Row],[Cost (€/GJ)]]*3.6</f>
        <v>38.271599999999999</v>
      </c>
      <c r="H541">
        <v>12.7</v>
      </c>
      <c r="I541">
        <f>Tableau6[[#This Row],[GHG (kgCO2eq/GJ)]]*3.6</f>
        <v>45.72</v>
      </c>
      <c r="J541" t="s">
        <v>106</v>
      </c>
      <c r="K541" t="s">
        <v>109</v>
      </c>
    </row>
    <row r="542" spans="1:11" x14ac:dyDescent="0.3">
      <c r="A542" t="s">
        <v>29</v>
      </c>
      <c r="B542" t="s">
        <v>47</v>
      </c>
      <c r="C542" t="s">
        <v>101</v>
      </c>
      <c r="D542">
        <v>10.3</v>
      </c>
      <c r="E542">
        <f>Tableau6[[#This Row],[Potential (PJ)]]/3.6</f>
        <v>2.8611111111111112</v>
      </c>
      <c r="F542">
        <v>2.5249999999999999</v>
      </c>
      <c r="G542">
        <f>Tableau6[[#This Row],[Cost (€/GJ)]]*3.6</f>
        <v>9.09</v>
      </c>
      <c r="H542">
        <v>43.8</v>
      </c>
      <c r="I542">
        <f>Tableau6[[#This Row],[GHG (kgCO2eq/GJ)]]*3.6</f>
        <v>157.68</v>
      </c>
      <c r="J542" t="s">
        <v>104</v>
      </c>
      <c r="K542" t="s">
        <v>109</v>
      </c>
    </row>
    <row r="543" spans="1:11" x14ac:dyDescent="0.3">
      <c r="A543" t="s">
        <v>29</v>
      </c>
      <c r="B543" t="s">
        <v>57</v>
      </c>
      <c r="C543" t="s">
        <v>94</v>
      </c>
      <c r="D543">
        <v>6.1</v>
      </c>
      <c r="E543">
        <f>Tableau6[[#This Row],[Potential (PJ)]]/3.6</f>
        <v>1.6944444444444442</v>
      </c>
      <c r="F543">
        <v>7.1319999999999997</v>
      </c>
      <c r="G543">
        <f>Tableau6[[#This Row],[Cost (€/GJ)]]*3.6</f>
        <v>25.6752</v>
      </c>
      <c r="H543">
        <v>19.8</v>
      </c>
      <c r="I543">
        <f>Tableau6[[#This Row],[GHG (kgCO2eq/GJ)]]*3.6</f>
        <v>71.28</v>
      </c>
      <c r="J543" t="s">
        <v>104</v>
      </c>
      <c r="K543" t="s">
        <v>109</v>
      </c>
    </row>
    <row r="544" spans="1:11" x14ac:dyDescent="0.3">
      <c r="A544" t="s">
        <v>29</v>
      </c>
      <c r="B544" t="s">
        <v>49</v>
      </c>
      <c r="C544" t="s">
        <v>71</v>
      </c>
      <c r="D544">
        <v>126.53563</v>
      </c>
      <c r="E544">
        <f>Tableau6[[#This Row],[Potential (PJ)]]/3.6</f>
        <v>35.148786111111107</v>
      </c>
      <c r="F544">
        <v>0</v>
      </c>
      <c r="G544">
        <f>Tableau6[[#This Row],[Cost (€/GJ)]]*3.6</f>
        <v>0</v>
      </c>
      <c r="H544">
        <v>3.86607608129234</v>
      </c>
      <c r="I544">
        <f>Tableau6[[#This Row],[GHG (kgCO2eq/GJ)]]*3.6</f>
        <v>13.917873892652425</v>
      </c>
      <c r="J544" t="s">
        <v>104</v>
      </c>
      <c r="K544" t="s">
        <v>108</v>
      </c>
    </row>
    <row r="545" spans="1:11" x14ac:dyDescent="0.3">
      <c r="A545" t="s">
        <v>29</v>
      </c>
      <c r="B545" t="s">
        <v>49</v>
      </c>
      <c r="C545" t="s">
        <v>72</v>
      </c>
      <c r="D545">
        <v>13.9</v>
      </c>
      <c r="E545">
        <f>Tableau6[[#This Row],[Potential (PJ)]]/3.6</f>
        <v>3.8611111111111112</v>
      </c>
      <c r="F545">
        <v>0</v>
      </c>
      <c r="G545">
        <f>Tableau6[[#This Row],[Cost (€/GJ)]]*3.6</f>
        <v>0</v>
      </c>
      <c r="H545">
        <v>3.86607608129234</v>
      </c>
      <c r="I545">
        <f>Tableau6[[#This Row],[GHG (kgCO2eq/GJ)]]*3.6</f>
        <v>13.917873892652425</v>
      </c>
      <c r="J545" t="s">
        <v>104</v>
      </c>
      <c r="K545" t="s">
        <v>108</v>
      </c>
    </row>
    <row r="546" spans="1:11" x14ac:dyDescent="0.3">
      <c r="A546" t="s">
        <v>29</v>
      </c>
      <c r="B546" t="s">
        <v>58</v>
      </c>
      <c r="C546" t="s">
        <v>95</v>
      </c>
      <c r="D546">
        <v>6.1494299999999997</v>
      </c>
      <c r="E546">
        <f>Tableau6[[#This Row],[Potential (PJ)]]/3.6</f>
        <v>1.7081749999999998</v>
      </c>
      <c r="F546">
        <v>3.0070000000000001</v>
      </c>
      <c r="G546">
        <f>Tableau6[[#This Row],[Cost (€/GJ)]]*3.6</f>
        <v>10.825200000000001</v>
      </c>
      <c r="H546">
        <v>2.9521711768407801</v>
      </c>
      <c r="I546">
        <f>Tableau6[[#This Row],[GHG (kgCO2eq/GJ)]]*3.6</f>
        <v>10.627816236626808</v>
      </c>
      <c r="J546" t="s">
        <v>104</v>
      </c>
      <c r="K546" t="s">
        <v>108</v>
      </c>
    </row>
    <row r="547" spans="1:11" x14ac:dyDescent="0.3">
      <c r="A547" t="s">
        <v>29</v>
      </c>
      <c r="B547" t="s">
        <v>50</v>
      </c>
      <c r="C547" t="s">
        <v>73</v>
      </c>
      <c r="D547">
        <v>0.3</v>
      </c>
      <c r="E547">
        <f>Tableau6[[#This Row],[Potential (PJ)]]/3.6</f>
        <v>8.3333333333333329E-2</v>
      </c>
      <c r="F547">
        <v>5.0090000000000003</v>
      </c>
      <c r="G547">
        <f>Tableau6[[#This Row],[Cost (€/GJ)]]*3.6</f>
        <v>18.032400000000003</v>
      </c>
      <c r="H547">
        <v>20.723404255319149</v>
      </c>
      <c r="I547">
        <f>Tableau6[[#This Row],[GHG (kgCO2eq/GJ)]]*3.6</f>
        <v>74.604255319148933</v>
      </c>
      <c r="J547" t="s">
        <v>105</v>
      </c>
      <c r="K547" t="s">
        <v>108</v>
      </c>
    </row>
    <row r="548" spans="1:11" x14ac:dyDescent="0.3">
      <c r="A548" t="s">
        <v>29</v>
      </c>
      <c r="B548" t="s">
        <v>50</v>
      </c>
      <c r="C548" t="s">
        <v>74</v>
      </c>
      <c r="D548">
        <v>9.1</v>
      </c>
      <c r="E548">
        <f>Tableau6[[#This Row],[Potential (PJ)]]/3.6</f>
        <v>2.5277777777777777</v>
      </c>
      <c r="F548">
        <v>3.5</v>
      </c>
      <c r="G548">
        <f>Tableau6[[#This Row],[Cost (€/GJ)]]*3.6</f>
        <v>12.6</v>
      </c>
      <c r="H548">
        <v>2.0635593220338988</v>
      </c>
      <c r="I548">
        <f>Tableau6[[#This Row],[GHG (kgCO2eq/GJ)]]*3.6</f>
        <v>7.4288135593220357</v>
      </c>
      <c r="J548" t="s">
        <v>105</v>
      </c>
      <c r="K548" t="s">
        <v>108</v>
      </c>
    </row>
    <row r="549" spans="1:11" x14ac:dyDescent="0.3">
      <c r="A549" t="s">
        <v>29</v>
      </c>
      <c r="B549" t="s">
        <v>51</v>
      </c>
      <c r="C549" t="s">
        <v>75</v>
      </c>
      <c r="D549">
        <v>0.61040000000000005</v>
      </c>
      <c r="E549">
        <f>Tableau6[[#This Row],[Potential (PJ)]]/3.6</f>
        <v>0.16955555555555557</v>
      </c>
      <c r="F549">
        <v>2.03944230015608E-4</v>
      </c>
      <c r="G549">
        <f>Tableau6[[#This Row],[Cost (€/GJ)]]*3.6</f>
        <v>7.3419922805618878E-4</v>
      </c>
      <c r="H549">
        <v>11.74</v>
      </c>
      <c r="I549">
        <f>Tableau6[[#This Row],[GHG (kgCO2eq/GJ)]]*3.6</f>
        <v>42.264000000000003</v>
      </c>
      <c r="J549" t="s">
        <v>104</v>
      </c>
      <c r="K549" t="s">
        <v>108</v>
      </c>
    </row>
    <row r="550" spans="1:11" x14ac:dyDescent="0.3">
      <c r="A550" t="s">
        <v>29</v>
      </c>
      <c r="B550" t="s">
        <v>60</v>
      </c>
      <c r="C550" t="s">
        <v>98</v>
      </c>
      <c r="D550">
        <v>2.05518</v>
      </c>
      <c r="E550">
        <f>Tableau6[[#This Row],[Potential (PJ)]]/3.6</f>
        <v>0.5708833333333333</v>
      </c>
      <c r="F550">
        <v>16.058002148227711</v>
      </c>
      <c r="G550">
        <f>Tableau6[[#This Row],[Cost (€/GJ)]]*3.6</f>
        <v>57.808807733619759</v>
      </c>
      <c r="H550">
        <v>28.2</v>
      </c>
      <c r="I550">
        <f>Tableau6[[#This Row],[GHG (kgCO2eq/GJ)]]*3.6</f>
        <v>101.52</v>
      </c>
      <c r="J550" t="s">
        <v>107</v>
      </c>
      <c r="K550" t="s">
        <v>109</v>
      </c>
    </row>
    <row r="551" spans="1:11" x14ac:dyDescent="0.3">
      <c r="A551" t="s">
        <v>29</v>
      </c>
      <c r="B551" t="s">
        <v>52</v>
      </c>
      <c r="C551" t="s">
        <v>76</v>
      </c>
      <c r="D551">
        <v>1E-3</v>
      </c>
      <c r="E551">
        <f>Tableau6[[#This Row],[Potential (PJ)]]/3.6</f>
        <v>2.7777777777777778E-4</v>
      </c>
      <c r="F551">
        <v>6.5250000000000004</v>
      </c>
      <c r="G551">
        <f>Tableau6[[#This Row],[Cost (€/GJ)]]*3.6</f>
        <v>23.490000000000002</v>
      </c>
      <c r="H551">
        <v>12.68872359754714</v>
      </c>
      <c r="I551">
        <f>Tableau6[[#This Row],[GHG (kgCO2eq/GJ)]]*3.6</f>
        <v>45.679404951169708</v>
      </c>
      <c r="J551" t="s">
        <v>105</v>
      </c>
      <c r="K551" t="s">
        <v>108</v>
      </c>
    </row>
    <row r="552" spans="1:11" x14ac:dyDescent="0.3">
      <c r="A552" t="s">
        <v>29</v>
      </c>
      <c r="B552" t="s">
        <v>53</v>
      </c>
      <c r="C552" t="s">
        <v>77</v>
      </c>
      <c r="D552">
        <v>5.4</v>
      </c>
      <c r="E552">
        <f>Tableau6[[#This Row],[Potential (PJ)]]/3.6</f>
        <v>1.5</v>
      </c>
      <c r="F552">
        <v>0</v>
      </c>
      <c r="G552">
        <f>Tableau6[[#This Row],[Cost (€/GJ)]]*3.6</f>
        <v>0</v>
      </c>
      <c r="H552">
        <v>3.86607608129234</v>
      </c>
      <c r="I552">
        <f>Tableau6[[#This Row],[GHG (kgCO2eq/GJ)]]*3.6</f>
        <v>13.917873892652425</v>
      </c>
      <c r="J552" t="s">
        <v>104</v>
      </c>
      <c r="K552" t="s">
        <v>108</v>
      </c>
    </row>
    <row r="553" spans="1:11" x14ac:dyDescent="0.3">
      <c r="A553" t="s">
        <v>29</v>
      </c>
      <c r="B553" t="s">
        <v>61</v>
      </c>
      <c r="C553" t="s">
        <v>99</v>
      </c>
      <c r="D553">
        <v>21.4</v>
      </c>
      <c r="E553">
        <f>Tableau6[[#This Row],[Potential (PJ)]]/3.6</f>
        <v>5.9444444444444438</v>
      </c>
      <c r="F553">
        <v>0</v>
      </c>
      <c r="G553">
        <f>Tableau6[[#This Row],[Cost (€/GJ)]]*3.6</f>
        <v>0</v>
      </c>
      <c r="H553">
        <v>2.9245635910224439</v>
      </c>
      <c r="I553">
        <f>Tableau6[[#This Row],[GHG (kgCO2eq/GJ)]]*3.6</f>
        <v>10.528428927680798</v>
      </c>
      <c r="J553" t="s">
        <v>104</v>
      </c>
      <c r="K553" t="s">
        <v>108</v>
      </c>
    </row>
    <row r="554" spans="1:11" x14ac:dyDescent="0.3">
      <c r="A554" t="s">
        <v>29</v>
      </c>
      <c r="B554" t="s">
        <v>62</v>
      </c>
      <c r="C554" t="s">
        <v>100</v>
      </c>
      <c r="D554">
        <v>9.3000000000000007</v>
      </c>
      <c r="E554">
        <f>Tableau6[[#This Row],[Potential (PJ)]]/3.6</f>
        <v>2.5833333333333335</v>
      </c>
      <c r="F554">
        <v>1.5</v>
      </c>
      <c r="G554">
        <f>Tableau6[[#This Row],[Cost (€/GJ)]]*3.6</f>
        <v>5.4</v>
      </c>
      <c r="H554">
        <v>2.6764106050305911</v>
      </c>
      <c r="I554">
        <f>Tableau6[[#This Row],[GHG (kgCO2eq/GJ)]]*3.6</f>
        <v>9.6350781781101276</v>
      </c>
      <c r="J554" t="s">
        <v>104</v>
      </c>
      <c r="K554" t="s">
        <v>108</v>
      </c>
    </row>
    <row r="555" spans="1:11" x14ac:dyDescent="0.3">
      <c r="A555" t="s">
        <v>29</v>
      </c>
      <c r="B555" t="s">
        <v>54</v>
      </c>
      <c r="C555" t="s">
        <v>78</v>
      </c>
      <c r="D555">
        <v>48.8</v>
      </c>
      <c r="E555">
        <f>Tableau6[[#This Row],[Potential (PJ)]]/3.6</f>
        <v>13.555555555555554</v>
      </c>
      <c r="F555">
        <v>0</v>
      </c>
      <c r="G555">
        <f>Tableau6[[#This Row],[Cost (€/GJ)]]*3.6</f>
        <v>0</v>
      </c>
      <c r="H555">
        <v>3.86607608129234</v>
      </c>
      <c r="I555">
        <f>Tableau6[[#This Row],[GHG (kgCO2eq/GJ)]]*3.6</f>
        <v>13.917873892652425</v>
      </c>
      <c r="J555" t="s">
        <v>104</v>
      </c>
      <c r="K555" t="s">
        <v>108</v>
      </c>
    </row>
    <row r="556" spans="1:11" x14ac:dyDescent="0.3">
      <c r="A556" t="s">
        <v>30</v>
      </c>
      <c r="B556" t="s">
        <v>46</v>
      </c>
      <c r="C556" t="s">
        <v>63</v>
      </c>
      <c r="D556">
        <v>3.0999999999999999E-3</v>
      </c>
      <c r="E556">
        <f>Tableau6[[#This Row],[Potential (PJ)]]/3.6</f>
        <v>8.611111111111111E-4</v>
      </c>
      <c r="F556">
        <v>2.9286474973375931</v>
      </c>
      <c r="G556">
        <f>Tableau6[[#This Row],[Cost (€/GJ)]]*3.6</f>
        <v>10.543130990415335</v>
      </c>
      <c r="H556">
        <v>3.950479233226837</v>
      </c>
      <c r="I556">
        <f>Tableau6[[#This Row],[GHG (kgCO2eq/GJ)]]*3.6</f>
        <v>14.221725239616614</v>
      </c>
      <c r="J556" t="s">
        <v>104</v>
      </c>
      <c r="K556" t="s">
        <v>108</v>
      </c>
    </row>
    <row r="557" spans="1:11" x14ac:dyDescent="0.3">
      <c r="A557" t="s">
        <v>30</v>
      </c>
      <c r="B557" t="s">
        <v>46</v>
      </c>
      <c r="C557" t="s">
        <v>64</v>
      </c>
      <c r="D557">
        <v>3.5839999999999997E-2</v>
      </c>
      <c r="E557">
        <f>Tableau6[[#This Row],[Potential (PJ)]]/3.6</f>
        <v>9.9555555555555543E-3</v>
      </c>
      <c r="F557">
        <v>6.08</v>
      </c>
      <c r="G557">
        <f>Tableau6[[#This Row],[Cost (€/GJ)]]*3.6</f>
        <v>21.888000000000002</v>
      </c>
      <c r="H557">
        <v>2.9521711768407801</v>
      </c>
      <c r="I557">
        <f>Tableau6[[#This Row],[GHG (kgCO2eq/GJ)]]*3.6</f>
        <v>10.627816236626808</v>
      </c>
      <c r="J557" t="s">
        <v>104</v>
      </c>
      <c r="K557" t="s">
        <v>108</v>
      </c>
    </row>
    <row r="558" spans="1:11" x14ac:dyDescent="0.3">
      <c r="A558" t="s">
        <v>30</v>
      </c>
      <c r="B558" t="s">
        <v>46</v>
      </c>
      <c r="C558" t="s">
        <v>65</v>
      </c>
      <c r="D558">
        <v>0.1</v>
      </c>
      <c r="E558">
        <f>Tableau6[[#This Row],[Potential (PJ)]]/3.6</f>
        <v>2.777777777777778E-2</v>
      </c>
      <c r="F558">
        <v>4.4640000000000004</v>
      </c>
      <c r="G558">
        <f>Tableau6[[#This Row],[Cost (€/GJ)]]*3.6</f>
        <v>16.070400000000003</v>
      </c>
      <c r="H558">
        <v>2.9521711768407801</v>
      </c>
      <c r="I558">
        <f>Tableau6[[#This Row],[GHG (kgCO2eq/GJ)]]*3.6</f>
        <v>10.627816236626808</v>
      </c>
      <c r="J558" t="s">
        <v>104</v>
      </c>
      <c r="K558" t="s">
        <v>108</v>
      </c>
    </row>
    <row r="559" spans="1:11" x14ac:dyDescent="0.3">
      <c r="A559" t="s">
        <v>30</v>
      </c>
      <c r="B559" t="s">
        <v>47</v>
      </c>
      <c r="C559" t="s">
        <v>68</v>
      </c>
      <c r="D559">
        <v>1.7</v>
      </c>
      <c r="E559">
        <f>Tableau6[[#This Row],[Potential (PJ)]]/3.6</f>
        <v>0.47222222222222221</v>
      </c>
      <c r="F559">
        <v>3.609</v>
      </c>
      <c r="G559">
        <f>Tableau6[[#This Row],[Cost (€/GJ)]]*3.6</f>
        <v>12.9924</v>
      </c>
      <c r="H559">
        <v>14.5</v>
      </c>
      <c r="I559">
        <f>Tableau6[[#This Row],[GHG (kgCO2eq/GJ)]]*3.6</f>
        <v>52.2</v>
      </c>
      <c r="J559" t="s">
        <v>104</v>
      </c>
      <c r="K559" t="s">
        <v>109</v>
      </c>
    </row>
    <row r="560" spans="1:11" x14ac:dyDescent="0.3">
      <c r="A560" t="s">
        <v>30</v>
      </c>
      <c r="B560" t="s">
        <v>47</v>
      </c>
      <c r="C560" t="s">
        <v>69</v>
      </c>
      <c r="D560">
        <v>1.2</v>
      </c>
      <c r="E560">
        <f>Tableau6[[#This Row],[Potential (PJ)]]/3.6</f>
        <v>0.33333333333333331</v>
      </c>
      <c r="F560">
        <v>3.59</v>
      </c>
      <c r="G560">
        <f>Tableau6[[#This Row],[Cost (€/GJ)]]*3.6</f>
        <v>12.923999999999999</v>
      </c>
      <c r="H560">
        <v>14.5</v>
      </c>
      <c r="I560">
        <f>Tableau6[[#This Row],[GHG (kgCO2eq/GJ)]]*3.6</f>
        <v>52.2</v>
      </c>
      <c r="J560" t="s">
        <v>104</v>
      </c>
      <c r="K560" t="s">
        <v>109</v>
      </c>
    </row>
    <row r="561" spans="1:11" x14ac:dyDescent="0.3">
      <c r="A561" t="s">
        <v>30</v>
      </c>
      <c r="B561" t="s">
        <v>48</v>
      </c>
      <c r="C561" t="s">
        <v>70</v>
      </c>
      <c r="D561">
        <v>0.6</v>
      </c>
      <c r="E561">
        <f>Tableau6[[#This Row],[Potential (PJ)]]/3.6</f>
        <v>0.16666666666666666</v>
      </c>
      <c r="F561">
        <v>9.141</v>
      </c>
      <c r="G561">
        <f>Tableau6[[#This Row],[Cost (€/GJ)]]*3.6</f>
        <v>32.907600000000002</v>
      </c>
      <c r="H561">
        <v>0</v>
      </c>
      <c r="I561">
        <f>Tableau6[[#This Row],[GHG (kgCO2eq/GJ)]]*3.6</f>
        <v>0</v>
      </c>
      <c r="J561" t="s">
        <v>104</v>
      </c>
      <c r="K561" t="s">
        <v>109</v>
      </c>
    </row>
    <row r="562" spans="1:11" x14ac:dyDescent="0.3">
      <c r="A562" t="s">
        <v>30</v>
      </c>
      <c r="B562" t="s">
        <v>49</v>
      </c>
      <c r="C562" t="s">
        <v>72</v>
      </c>
      <c r="D562">
        <v>2.2000000000000002</v>
      </c>
      <c r="E562">
        <f>Tableau6[[#This Row],[Potential (PJ)]]/3.6</f>
        <v>0.61111111111111116</v>
      </c>
      <c r="F562">
        <v>1.4710000000000001</v>
      </c>
      <c r="G562">
        <f>Tableau6[[#This Row],[Cost (€/GJ)]]*3.6</f>
        <v>5.2956000000000003</v>
      </c>
      <c r="H562">
        <v>3.86607608129234</v>
      </c>
      <c r="I562">
        <f>Tableau6[[#This Row],[GHG (kgCO2eq/GJ)]]*3.6</f>
        <v>13.917873892652425</v>
      </c>
      <c r="J562" t="s">
        <v>104</v>
      </c>
      <c r="K562" t="s">
        <v>108</v>
      </c>
    </row>
    <row r="563" spans="1:11" x14ac:dyDescent="0.3">
      <c r="A563" t="s">
        <v>30</v>
      </c>
      <c r="B563" t="s">
        <v>50</v>
      </c>
      <c r="C563" t="s">
        <v>73</v>
      </c>
      <c r="D563">
        <v>0.1</v>
      </c>
      <c r="E563">
        <f>Tableau6[[#This Row],[Potential (PJ)]]/3.6</f>
        <v>2.777777777777778E-2</v>
      </c>
      <c r="F563">
        <v>4.8520000000000003</v>
      </c>
      <c r="G563">
        <f>Tableau6[[#This Row],[Cost (€/GJ)]]*3.6</f>
        <v>17.467200000000002</v>
      </c>
      <c r="H563">
        <v>20.723404255319149</v>
      </c>
      <c r="I563">
        <f>Tableau6[[#This Row],[GHG (kgCO2eq/GJ)]]*3.6</f>
        <v>74.604255319148933</v>
      </c>
      <c r="J563" t="s">
        <v>105</v>
      </c>
      <c r="K563" t="s">
        <v>108</v>
      </c>
    </row>
    <row r="564" spans="1:11" x14ac:dyDescent="0.3">
      <c r="A564" t="s">
        <v>30</v>
      </c>
      <c r="B564" t="s">
        <v>50</v>
      </c>
      <c r="C564" t="s">
        <v>74</v>
      </c>
      <c r="D564">
        <v>0.3</v>
      </c>
      <c r="E564">
        <f>Tableau6[[#This Row],[Potential (PJ)]]/3.6</f>
        <v>8.3333333333333329E-2</v>
      </c>
      <c r="F564">
        <v>3.391999999999999</v>
      </c>
      <c r="G564">
        <f>Tableau6[[#This Row],[Cost (€/GJ)]]*3.6</f>
        <v>12.211199999999996</v>
      </c>
      <c r="H564">
        <v>2.0635593220338988</v>
      </c>
      <c r="I564">
        <f>Tableau6[[#This Row],[GHG (kgCO2eq/GJ)]]*3.6</f>
        <v>7.4288135593220357</v>
      </c>
      <c r="J564" t="s">
        <v>105</v>
      </c>
      <c r="K564" t="s">
        <v>108</v>
      </c>
    </row>
    <row r="565" spans="1:11" x14ac:dyDescent="0.3">
      <c r="A565" t="s">
        <v>30</v>
      </c>
      <c r="B565" t="s">
        <v>51</v>
      </c>
      <c r="C565" t="s">
        <v>75</v>
      </c>
      <c r="D565">
        <v>0</v>
      </c>
      <c r="E565">
        <f>Tableau6[[#This Row],[Potential (PJ)]]/3.6</f>
        <v>0</v>
      </c>
      <c r="F565">
        <v>0.14069241575201899</v>
      </c>
      <c r="G565">
        <f>Tableau6[[#This Row],[Cost (€/GJ)]]*3.6</f>
        <v>0.50649269670726838</v>
      </c>
      <c r="H565">
        <v>11.74</v>
      </c>
      <c r="I565">
        <f>Tableau6[[#This Row],[GHG (kgCO2eq/GJ)]]*3.6</f>
        <v>42.264000000000003</v>
      </c>
      <c r="J565" t="s">
        <v>104</v>
      </c>
      <c r="K565" t="s">
        <v>108</v>
      </c>
    </row>
    <row r="566" spans="1:11" x14ac:dyDescent="0.3">
      <c r="A566" t="s">
        <v>30</v>
      </c>
      <c r="B566" t="s">
        <v>53</v>
      </c>
      <c r="C566" t="s">
        <v>77</v>
      </c>
      <c r="D566">
        <v>0.9</v>
      </c>
      <c r="E566">
        <f>Tableau6[[#This Row],[Potential (PJ)]]/3.6</f>
        <v>0.25</v>
      </c>
      <c r="F566">
        <v>1.4710000000000001</v>
      </c>
      <c r="G566">
        <f>Tableau6[[#This Row],[Cost (€/GJ)]]*3.6</f>
        <v>5.2956000000000003</v>
      </c>
      <c r="H566">
        <v>3.86607608129234</v>
      </c>
      <c r="I566">
        <f>Tableau6[[#This Row],[GHG (kgCO2eq/GJ)]]*3.6</f>
        <v>13.917873892652425</v>
      </c>
      <c r="J566" t="s">
        <v>104</v>
      </c>
      <c r="K566" t="s">
        <v>108</v>
      </c>
    </row>
    <row r="567" spans="1:11" x14ac:dyDescent="0.3">
      <c r="A567" t="s">
        <v>31</v>
      </c>
      <c r="B567" t="s">
        <v>46</v>
      </c>
      <c r="C567" t="s">
        <v>63</v>
      </c>
      <c r="D567">
        <v>1.2200000000000001E-2</v>
      </c>
      <c r="E567">
        <f>Tableau6[[#This Row],[Potential (PJ)]]/3.6</f>
        <v>3.3888888888888892E-3</v>
      </c>
      <c r="F567">
        <v>2.9286474973375931</v>
      </c>
      <c r="G567">
        <f>Tableau6[[#This Row],[Cost (€/GJ)]]*3.6</f>
        <v>10.543130990415335</v>
      </c>
      <c r="H567">
        <v>3.950479233226837</v>
      </c>
      <c r="I567">
        <f>Tableau6[[#This Row],[GHG (kgCO2eq/GJ)]]*3.6</f>
        <v>14.221725239616614</v>
      </c>
      <c r="J567" t="s">
        <v>104</v>
      </c>
      <c r="K567" t="s">
        <v>108</v>
      </c>
    </row>
    <row r="568" spans="1:11" x14ac:dyDescent="0.3">
      <c r="A568" t="s">
        <v>31</v>
      </c>
      <c r="B568" t="s">
        <v>46</v>
      </c>
      <c r="C568" t="s">
        <v>64</v>
      </c>
      <c r="D568">
        <v>0.23241999999999999</v>
      </c>
      <c r="E568">
        <f>Tableau6[[#This Row],[Potential (PJ)]]/3.6</f>
        <v>6.4561111111111111E-2</v>
      </c>
      <c r="F568">
        <v>6.3959999999999999</v>
      </c>
      <c r="G568">
        <f>Tableau6[[#This Row],[Cost (€/GJ)]]*3.6</f>
        <v>23.025600000000001</v>
      </c>
      <c r="H568">
        <v>2.9521711768407801</v>
      </c>
      <c r="I568">
        <f>Tableau6[[#This Row],[GHG (kgCO2eq/GJ)]]*3.6</f>
        <v>10.627816236626808</v>
      </c>
      <c r="J568" t="s">
        <v>104</v>
      </c>
      <c r="K568" t="s">
        <v>108</v>
      </c>
    </row>
    <row r="569" spans="1:11" x14ac:dyDescent="0.3">
      <c r="A569" t="s">
        <v>31</v>
      </c>
      <c r="B569" t="s">
        <v>46</v>
      </c>
      <c r="C569" t="s">
        <v>79</v>
      </c>
      <c r="D569">
        <v>1.3</v>
      </c>
      <c r="E569">
        <f>Tableau6[[#This Row],[Potential (PJ)]]/3.6</f>
        <v>0.3611111111111111</v>
      </c>
      <c r="F569">
        <v>0</v>
      </c>
      <c r="G569">
        <f>Tableau6[[#This Row],[Cost (€/GJ)]]*3.6</f>
        <v>0</v>
      </c>
      <c r="H569">
        <v>6.8428961748633883</v>
      </c>
      <c r="I569">
        <f>Tableau6[[#This Row],[GHG (kgCO2eq/GJ)]]*3.6</f>
        <v>24.634426229508197</v>
      </c>
      <c r="J569" t="s">
        <v>104</v>
      </c>
      <c r="K569" t="s">
        <v>108</v>
      </c>
    </row>
    <row r="570" spans="1:11" x14ac:dyDescent="0.3">
      <c r="A570" t="s">
        <v>31</v>
      </c>
      <c r="B570" t="s">
        <v>46</v>
      </c>
      <c r="C570" t="s">
        <v>65</v>
      </c>
      <c r="D570">
        <v>0.2</v>
      </c>
      <c r="E570">
        <f>Tableau6[[#This Row],[Potential (PJ)]]/3.6</f>
        <v>5.5555555555555559E-2</v>
      </c>
      <c r="F570">
        <v>4.431</v>
      </c>
      <c r="G570">
        <f>Tableau6[[#This Row],[Cost (€/GJ)]]*3.6</f>
        <v>15.951600000000001</v>
      </c>
      <c r="H570">
        <v>2.9521711768407801</v>
      </c>
      <c r="I570">
        <f>Tableau6[[#This Row],[GHG (kgCO2eq/GJ)]]*3.6</f>
        <v>10.627816236626808</v>
      </c>
      <c r="J570" t="s">
        <v>104</v>
      </c>
      <c r="K570" t="s">
        <v>108</v>
      </c>
    </row>
    <row r="571" spans="1:11" x14ac:dyDescent="0.3">
      <c r="A571" t="s">
        <v>31</v>
      </c>
      <c r="B571" t="s">
        <v>46</v>
      </c>
      <c r="C571" t="s">
        <v>66</v>
      </c>
      <c r="D571">
        <v>0.4</v>
      </c>
      <c r="E571">
        <f>Tableau6[[#This Row],[Potential (PJ)]]/3.6</f>
        <v>0.11111111111111112</v>
      </c>
      <c r="F571">
        <v>0</v>
      </c>
      <c r="G571">
        <f>Tableau6[[#This Row],[Cost (€/GJ)]]*3.6</f>
        <v>0</v>
      </c>
      <c r="H571">
        <v>6.8428961748633883</v>
      </c>
      <c r="I571">
        <f>Tableau6[[#This Row],[GHG (kgCO2eq/GJ)]]*3.6</f>
        <v>24.634426229508197</v>
      </c>
      <c r="J571" t="s">
        <v>104</v>
      </c>
      <c r="K571" t="s">
        <v>108</v>
      </c>
    </row>
    <row r="572" spans="1:11" x14ac:dyDescent="0.3">
      <c r="A572" t="s">
        <v>31</v>
      </c>
      <c r="B572" t="s">
        <v>46</v>
      </c>
      <c r="C572" t="s">
        <v>83</v>
      </c>
      <c r="D572">
        <v>9.2399999999999996E-2</v>
      </c>
      <c r="E572">
        <f>Tableau6[[#This Row],[Potential (PJ)]]/3.6</f>
        <v>2.5666666666666664E-2</v>
      </c>
      <c r="F572">
        <v>0</v>
      </c>
      <c r="G572">
        <f>Tableau6[[#This Row],[Cost (€/GJ)]]*3.6</f>
        <v>0</v>
      </c>
      <c r="H572">
        <v>6.8428961748633883</v>
      </c>
      <c r="I572">
        <f>Tableau6[[#This Row],[GHG (kgCO2eq/GJ)]]*3.6</f>
        <v>24.634426229508197</v>
      </c>
      <c r="J572" t="s">
        <v>104</v>
      </c>
      <c r="K572" t="s">
        <v>108</v>
      </c>
    </row>
    <row r="573" spans="1:11" x14ac:dyDescent="0.3">
      <c r="A573" t="s">
        <v>31</v>
      </c>
      <c r="B573" t="s">
        <v>46</v>
      </c>
      <c r="C573" t="s">
        <v>85</v>
      </c>
      <c r="D573">
        <v>0.2</v>
      </c>
      <c r="E573">
        <f>Tableau6[[#This Row],[Potential (PJ)]]/3.6</f>
        <v>5.5555555555555559E-2</v>
      </c>
      <c r="F573">
        <v>4.1399999999999997</v>
      </c>
      <c r="G573">
        <f>Tableau6[[#This Row],[Cost (€/GJ)]]*3.6</f>
        <v>14.904</v>
      </c>
      <c r="H573">
        <v>2.9521711768407801</v>
      </c>
      <c r="I573">
        <f>Tableau6[[#This Row],[GHG (kgCO2eq/GJ)]]*3.6</f>
        <v>10.627816236626808</v>
      </c>
      <c r="J573" t="s">
        <v>104</v>
      </c>
      <c r="K573" t="s">
        <v>108</v>
      </c>
    </row>
    <row r="574" spans="1:11" x14ac:dyDescent="0.3">
      <c r="A574" t="s">
        <v>31</v>
      </c>
      <c r="B574" t="s">
        <v>47</v>
      </c>
      <c r="C574" t="s">
        <v>68</v>
      </c>
      <c r="D574">
        <v>10.9</v>
      </c>
      <c r="E574">
        <f>Tableau6[[#This Row],[Potential (PJ)]]/3.6</f>
        <v>3.0277777777777777</v>
      </c>
      <c r="F574">
        <v>3.609</v>
      </c>
      <c r="G574">
        <f>Tableau6[[#This Row],[Cost (€/GJ)]]*3.6</f>
        <v>12.9924</v>
      </c>
      <c r="H574">
        <v>14.5</v>
      </c>
      <c r="I574">
        <f>Tableau6[[#This Row],[GHG (kgCO2eq/GJ)]]*3.6</f>
        <v>52.2</v>
      </c>
      <c r="J574" t="s">
        <v>104</v>
      </c>
      <c r="K574" t="s">
        <v>109</v>
      </c>
    </row>
    <row r="575" spans="1:11" x14ac:dyDescent="0.3">
      <c r="A575" t="s">
        <v>31</v>
      </c>
      <c r="B575" t="s">
        <v>47</v>
      </c>
      <c r="C575" t="s">
        <v>69</v>
      </c>
      <c r="D575">
        <v>7.6</v>
      </c>
      <c r="E575">
        <f>Tableau6[[#This Row],[Potential (PJ)]]/3.6</f>
        <v>2.1111111111111112</v>
      </c>
      <c r="F575">
        <v>3.59</v>
      </c>
      <c r="G575">
        <f>Tableau6[[#This Row],[Cost (€/GJ)]]*3.6</f>
        <v>12.923999999999999</v>
      </c>
      <c r="H575">
        <v>14.5</v>
      </c>
      <c r="I575">
        <f>Tableau6[[#This Row],[GHG (kgCO2eq/GJ)]]*3.6</f>
        <v>52.2</v>
      </c>
      <c r="J575" t="s">
        <v>104</v>
      </c>
      <c r="K575" t="s">
        <v>109</v>
      </c>
    </row>
    <row r="576" spans="1:11" x14ac:dyDescent="0.3">
      <c r="A576" t="s">
        <v>31</v>
      </c>
      <c r="B576" t="s">
        <v>48</v>
      </c>
      <c r="C576" t="s">
        <v>70</v>
      </c>
      <c r="D576">
        <v>4</v>
      </c>
      <c r="E576">
        <f>Tableau6[[#This Row],[Potential (PJ)]]/3.6</f>
        <v>1.1111111111111112</v>
      </c>
      <c r="F576">
        <v>9.141</v>
      </c>
      <c r="G576">
        <f>Tableau6[[#This Row],[Cost (€/GJ)]]*3.6</f>
        <v>32.907600000000002</v>
      </c>
      <c r="H576">
        <v>0</v>
      </c>
      <c r="I576">
        <f>Tableau6[[#This Row],[GHG (kgCO2eq/GJ)]]*3.6</f>
        <v>0</v>
      </c>
      <c r="J576" t="s">
        <v>104</v>
      </c>
      <c r="K576" t="s">
        <v>109</v>
      </c>
    </row>
    <row r="577" spans="1:11" x14ac:dyDescent="0.3">
      <c r="A577" t="s">
        <v>31</v>
      </c>
      <c r="B577" t="s">
        <v>49</v>
      </c>
      <c r="C577" t="s">
        <v>71</v>
      </c>
      <c r="D577">
        <v>5.5918999999999999</v>
      </c>
      <c r="E577">
        <f>Tableau6[[#This Row],[Potential (PJ)]]/3.6</f>
        <v>1.5533055555555555</v>
      </c>
      <c r="F577">
        <v>0</v>
      </c>
      <c r="G577">
        <f>Tableau6[[#This Row],[Cost (€/GJ)]]*3.6</f>
        <v>0</v>
      </c>
      <c r="H577">
        <v>3.86607608129234</v>
      </c>
      <c r="I577">
        <f>Tableau6[[#This Row],[GHG (kgCO2eq/GJ)]]*3.6</f>
        <v>13.917873892652425</v>
      </c>
      <c r="J577" t="s">
        <v>104</v>
      </c>
      <c r="K577" t="s">
        <v>108</v>
      </c>
    </row>
    <row r="578" spans="1:11" x14ac:dyDescent="0.3">
      <c r="A578" t="s">
        <v>31</v>
      </c>
      <c r="B578" t="s">
        <v>49</v>
      </c>
      <c r="C578" t="s">
        <v>72</v>
      </c>
      <c r="D578">
        <v>8.6999999999999993</v>
      </c>
      <c r="E578">
        <f>Tableau6[[#This Row],[Potential (PJ)]]/3.6</f>
        <v>2.4166666666666665</v>
      </c>
      <c r="F578">
        <v>0</v>
      </c>
      <c r="G578">
        <f>Tableau6[[#This Row],[Cost (€/GJ)]]*3.6</f>
        <v>0</v>
      </c>
      <c r="H578">
        <v>3.86607608129234</v>
      </c>
      <c r="I578">
        <f>Tableau6[[#This Row],[GHG (kgCO2eq/GJ)]]*3.6</f>
        <v>13.917873892652425</v>
      </c>
      <c r="J578" t="s">
        <v>104</v>
      </c>
      <c r="K578" t="s">
        <v>108</v>
      </c>
    </row>
    <row r="579" spans="1:11" x14ac:dyDescent="0.3">
      <c r="A579" t="s">
        <v>31</v>
      </c>
      <c r="B579" t="s">
        <v>50</v>
      </c>
      <c r="C579" t="s">
        <v>73</v>
      </c>
      <c r="D579">
        <v>0.3</v>
      </c>
      <c r="E579">
        <f>Tableau6[[#This Row],[Potential (PJ)]]/3.6</f>
        <v>8.3333333333333329E-2</v>
      </c>
      <c r="F579">
        <v>4.7309999999999999</v>
      </c>
      <c r="G579">
        <f>Tableau6[[#This Row],[Cost (€/GJ)]]*3.6</f>
        <v>17.031600000000001</v>
      </c>
      <c r="H579">
        <v>20.723404255319149</v>
      </c>
      <c r="I579">
        <f>Tableau6[[#This Row],[GHG (kgCO2eq/GJ)]]*3.6</f>
        <v>74.604255319148933</v>
      </c>
      <c r="J579" t="s">
        <v>105</v>
      </c>
      <c r="K579" t="s">
        <v>108</v>
      </c>
    </row>
    <row r="580" spans="1:11" x14ac:dyDescent="0.3">
      <c r="A580" t="s">
        <v>31</v>
      </c>
      <c r="B580" t="s">
        <v>50</v>
      </c>
      <c r="C580" t="s">
        <v>74</v>
      </c>
      <c r="D580">
        <v>0.8</v>
      </c>
      <c r="E580">
        <f>Tableau6[[#This Row],[Potential (PJ)]]/3.6</f>
        <v>0.22222222222222224</v>
      </c>
      <c r="F580">
        <v>3.3919999999999999</v>
      </c>
      <c r="G580">
        <f>Tableau6[[#This Row],[Cost (€/GJ)]]*3.6</f>
        <v>12.2112</v>
      </c>
      <c r="H580">
        <v>2.0635593220338988</v>
      </c>
      <c r="I580">
        <f>Tableau6[[#This Row],[GHG (kgCO2eq/GJ)]]*3.6</f>
        <v>7.4288135593220357</v>
      </c>
      <c r="J580" t="s">
        <v>105</v>
      </c>
      <c r="K580" t="s">
        <v>108</v>
      </c>
    </row>
    <row r="581" spans="1:11" x14ac:dyDescent="0.3">
      <c r="A581" t="s">
        <v>31</v>
      </c>
      <c r="B581" t="s">
        <v>51</v>
      </c>
      <c r="C581" t="s">
        <v>75</v>
      </c>
      <c r="D581">
        <v>0.56571800000000005</v>
      </c>
      <c r="E581">
        <f>Tableau6[[#This Row],[Potential (PJ)]]/3.6</f>
        <v>0.15714388888888889</v>
      </c>
      <c r="F581">
        <v>8.1442870273948406E-2</v>
      </c>
      <c r="G581">
        <f>Tableau6[[#This Row],[Cost (€/GJ)]]*3.6</f>
        <v>0.29319433298621428</v>
      </c>
      <c r="H581">
        <v>11.74</v>
      </c>
      <c r="I581">
        <f>Tableau6[[#This Row],[GHG (kgCO2eq/GJ)]]*3.6</f>
        <v>42.264000000000003</v>
      </c>
      <c r="J581" t="s">
        <v>104</v>
      </c>
      <c r="K581" t="s">
        <v>108</v>
      </c>
    </row>
    <row r="582" spans="1:11" x14ac:dyDescent="0.3">
      <c r="A582" t="s">
        <v>31</v>
      </c>
      <c r="B582" t="s">
        <v>52</v>
      </c>
      <c r="C582" t="s">
        <v>76</v>
      </c>
      <c r="D582">
        <v>3.0000000000000001E-3</v>
      </c>
      <c r="E582">
        <f>Tableau6[[#This Row],[Potential (PJ)]]/3.6</f>
        <v>8.3333333333333328E-4</v>
      </c>
      <c r="F582">
        <v>6.5250000000000004</v>
      </c>
      <c r="G582">
        <f>Tableau6[[#This Row],[Cost (€/GJ)]]*3.6</f>
        <v>23.490000000000002</v>
      </c>
      <c r="H582">
        <v>12.68872359754714</v>
      </c>
      <c r="I582">
        <f>Tableau6[[#This Row],[GHG (kgCO2eq/GJ)]]*3.6</f>
        <v>45.679404951169708</v>
      </c>
      <c r="J582" t="s">
        <v>105</v>
      </c>
      <c r="K582" t="s">
        <v>108</v>
      </c>
    </row>
    <row r="583" spans="1:11" x14ac:dyDescent="0.3">
      <c r="A583" t="s">
        <v>31</v>
      </c>
      <c r="B583" t="s">
        <v>53</v>
      </c>
      <c r="C583" t="s">
        <v>77</v>
      </c>
      <c r="D583">
        <v>4.4000000000000004</v>
      </c>
      <c r="E583">
        <f>Tableau6[[#This Row],[Potential (PJ)]]/3.6</f>
        <v>1.2222222222222223</v>
      </c>
      <c r="F583">
        <v>0</v>
      </c>
      <c r="G583">
        <f>Tableau6[[#This Row],[Cost (€/GJ)]]*3.6</f>
        <v>0</v>
      </c>
      <c r="H583">
        <v>3.86607608129234</v>
      </c>
      <c r="I583">
        <f>Tableau6[[#This Row],[GHG (kgCO2eq/GJ)]]*3.6</f>
        <v>13.917873892652425</v>
      </c>
      <c r="J583" t="s">
        <v>104</v>
      </c>
      <c r="K583" t="s">
        <v>108</v>
      </c>
    </row>
    <row r="584" spans="1:11" x14ac:dyDescent="0.3">
      <c r="A584" t="s">
        <v>31</v>
      </c>
      <c r="B584" t="s">
        <v>54</v>
      </c>
      <c r="C584" t="s">
        <v>78</v>
      </c>
      <c r="D584">
        <v>2.8</v>
      </c>
      <c r="E584">
        <f>Tableau6[[#This Row],[Potential (PJ)]]/3.6</f>
        <v>0.77777777777777768</v>
      </c>
      <c r="F584">
        <v>0</v>
      </c>
      <c r="G584">
        <f>Tableau6[[#This Row],[Cost (€/GJ)]]*3.6</f>
        <v>0</v>
      </c>
      <c r="H584">
        <v>3.86607608129234</v>
      </c>
      <c r="I584">
        <f>Tableau6[[#This Row],[GHG (kgCO2eq/GJ)]]*3.6</f>
        <v>13.917873892652425</v>
      </c>
      <c r="J584" t="s">
        <v>104</v>
      </c>
      <c r="K584" t="s">
        <v>108</v>
      </c>
    </row>
    <row r="585" spans="1:11" x14ac:dyDescent="0.3">
      <c r="A585" t="s">
        <v>32</v>
      </c>
      <c r="B585" t="s">
        <v>46</v>
      </c>
      <c r="C585" t="s">
        <v>103</v>
      </c>
      <c r="D585">
        <v>1.6E-2</v>
      </c>
      <c r="E585">
        <f>Tableau6[[#This Row],[Potential (PJ)]]/3.6</f>
        <v>4.4444444444444444E-3</v>
      </c>
      <c r="F585">
        <v>0</v>
      </c>
      <c r="G585">
        <f>Tableau6[[#This Row],[Cost (€/GJ)]]*3.6</f>
        <v>0</v>
      </c>
      <c r="I585">
        <f>Tableau6[[#This Row],[GHG (kgCO2eq/GJ)]]*3.6</f>
        <v>0</v>
      </c>
    </row>
    <row r="586" spans="1:11" x14ac:dyDescent="0.3">
      <c r="A586" t="s">
        <v>32</v>
      </c>
      <c r="B586" t="s">
        <v>50</v>
      </c>
      <c r="C586" t="s">
        <v>103</v>
      </c>
      <c r="D586">
        <v>0.81403300000000001</v>
      </c>
      <c r="E586">
        <f>Tableau6[[#This Row],[Potential (PJ)]]/3.6</f>
        <v>0.22612027777777777</v>
      </c>
      <c r="F586">
        <v>0</v>
      </c>
      <c r="G586">
        <f>Tableau6[[#This Row],[Cost (€/GJ)]]*3.6</f>
        <v>0</v>
      </c>
      <c r="I586">
        <f>Tableau6[[#This Row],[GHG (kgCO2eq/GJ)]]*3.6</f>
        <v>0</v>
      </c>
    </row>
    <row r="587" spans="1:11" x14ac:dyDescent="0.3">
      <c r="A587" t="s">
        <v>32</v>
      </c>
      <c r="B587" t="s">
        <v>51</v>
      </c>
      <c r="C587" t="s">
        <v>75</v>
      </c>
      <c r="D587">
        <v>3.692412</v>
      </c>
      <c r="E587">
        <f>Tableau6[[#This Row],[Potential (PJ)]]/3.6</f>
        <v>1.0256700000000001</v>
      </c>
      <c r="F587">
        <v>2.8961281384508101E-5</v>
      </c>
      <c r="G587">
        <f>Tableau6[[#This Row],[Cost (€/GJ)]]*3.6</f>
        <v>1.0426061298422917E-4</v>
      </c>
      <c r="H587">
        <v>11.74</v>
      </c>
      <c r="I587">
        <f>Tableau6[[#This Row],[GHG (kgCO2eq/GJ)]]*3.6</f>
        <v>42.264000000000003</v>
      </c>
      <c r="J587" t="s">
        <v>104</v>
      </c>
      <c r="K587" t="s">
        <v>108</v>
      </c>
    </row>
    <row r="588" spans="1:11" x14ac:dyDescent="0.3">
      <c r="A588" t="s">
        <v>33</v>
      </c>
      <c r="B588" t="s">
        <v>46</v>
      </c>
      <c r="C588" t="s">
        <v>64</v>
      </c>
      <c r="D588">
        <v>0.17274999999999999</v>
      </c>
      <c r="E588">
        <f>Tableau6[[#This Row],[Potential (PJ)]]/3.6</f>
        <v>4.7986111111111104E-2</v>
      </c>
      <c r="F588">
        <v>6.772261244573083</v>
      </c>
      <c r="G588">
        <f>Tableau6[[#This Row],[Cost (€/GJ)]]*3.6</f>
        <v>24.380140480463098</v>
      </c>
      <c r="H588">
        <v>2.9521711768407801</v>
      </c>
      <c r="I588">
        <f>Tableau6[[#This Row],[GHG (kgCO2eq/GJ)]]*3.6</f>
        <v>10.627816236626808</v>
      </c>
      <c r="J588" t="s">
        <v>104</v>
      </c>
      <c r="K588" t="s">
        <v>108</v>
      </c>
    </row>
    <row r="589" spans="1:11" x14ac:dyDescent="0.3">
      <c r="A589" t="s">
        <v>33</v>
      </c>
      <c r="B589" t="s">
        <v>46</v>
      </c>
      <c r="C589" t="s">
        <v>79</v>
      </c>
      <c r="D589">
        <v>2.8</v>
      </c>
      <c r="E589">
        <f>Tableau6[[#This Row],[Potential (PJ)]]/3.6</f>
        <v>0.77777777777777768</v>
      </c>
      <c r="F589">
        <v>6.199642857142857</v>
      </c>
      <c r="G589">
        <f>Tableau6[[#This Row],[Cost (€/GJ)]]*3.6</f>
        <v>22.318714285714286</v>
      </c>
      <c r="H589">
        <v>6.8428961748633883</v>
      </c>
      <c r="I589">
        <f>Tableau6[[#This Row],[GHG (kgCO2eq/GJ)]]*3.6</f>
        <v>24.634426229508197</v>
      </c>
      <c r="J589" t="s">
        <v>104</v>
      </c>
      <c r="K589" t="s">
        <v>108</v>
      </c>
    </row>
    <row r="590" spans="1:11" x14ac:dyDescent="0.3">
      <c r="A590" t="s">
        <v>33</v>
      </c>
      <c r="B590" t="s">
        <v>46</v>
      </c>
      <c r="C590" t="s">
        <v>80</v>
      </c>
      <c r="D590">
        <v>1.345</v>
      </c>
      <c r="E590">
        <f>Tableau6[[#This Row],[Potential (PJ)]]/3.6</f>
        <v>0.37361111111111112</v>
      </c>
      <c r="F590">
        <v>0.33378287255563049</v>
      </c>
      <c r="G590">
        <f>Tableau6[[#This Row],[Cost (€/GJ)]]*3.6</f>
        <v>1.2016183412002699</v>
      </c>
      <c r="H590">
        <v>28.139870918023309</v>
      </c>
      <c r="I590">
        <f>Tableau6[[#This Row],[GHG (kgCO2eq/GJ)]]*3.6</f>
        <v>101.30353530488391</v>
      </c>
      <c r="J590" t="s">
        <v>105</v>
      </c>
      <c r="K590" t="s">
        <v>108</v>
      </c>
    </row>
    <row r="591" spans="1:11" x14ac:dyDescent="0.3">
      <c r="A591" t="s">
        <v>33</v>
      </c>
      <c r="B591" t="s">
        <v>46</v>
      </c>
      <c r="C591" t="s">
        <v>81</v>
      </c>
      <c r="D591">
        <v>1.3434999999999999</v>
      </c>
      <c r="E591">
        <f>Tableau6[[#This Row],[Potential (PJ)]]/3.6</f>
        <v>0.37319444444444444</v>
      </c>
      <c r="F591">
        <v>1.173913043478261</v>
      </c>
      <c r="G591">
        <f>Tableau6[[#This Row],[Cost (€/GJ)]]*3.6</f>
        <v>4.2260869565217396</v>
      </c>
      <c r="H591">
        <v>8.9647473560517046</v>
      </c>
      <c r="I591">
        <f>Tableau6[[#This Row],[GHG (kgCO2eq/GJ)]]*3.6</f>
        <v>32.273090481786134</v>
      </c>
      <c r="J591" t="s">
        <v>105</v>
      </c>
      <c r="K591" t="s">
        <v>108</v>
      </c>
    </row>
    <row r="592" spans="1:11" x14ac:dyDescent="0.3">
      <c r="A592" t="s">
        <v>33</v>
      </c>
      <c r="B592" t="s">
        <v>46</v>
      </c>
      <c r="C592" t="s">
        <v>66</v>
      </c>
      <c r="D592">
        <v>0.5</v>
      </c>
      <c r="E592">
        <f>Tableau6[[#This Row],[Potential (PJ)]]/3.6</f>
        <v>0.1388888888888889</v>
      </c>
      <c r="F592">
        <v>6.4692000000000007</v>
      </c>
      <c r="G592">
        <f>Tableau6[[#This Row],[Cost (€/GJ)]]*3.6</f>
        <v>23.289120000000004</v>
      </c>
      <c r="H592">
        <v>6.8428961748633883</v>
      </c>
      <c r="I592">
        <f>Tableau6[[#This Row],[GHG (kgCO2eq/GJ)]]*3.6</f>
        <v>24.634426229508197</v>
      </c>
      <c r="J592" t="s">
        <v>104</v>
      </c>
      <c r="K592" t="s">
        <v>108</v>
      </c>
    </row>
    <row r="593" spans="1:11" x14ac:dyDescent="0.3">
      <c r="A593" t="s">
        <v>33</v>
      </c>
      <c r="B593" t="s">
        <v>46</v>
      </c>
      <c r="C593" t="s">
        <v>84</v>
      </c>
      <c r="D593">
        <v>0.60000000000000009</v>
      </c>
      <c r="E593">
        <f>Tableau6[[#This Row],[Potential (PJ)]]/3.6</f>
        <v>0.16666666666666669</v>
      </c>
      <c r="F593">
        <v>3.2558333333333329</v>
      </c>
      <c r="G593">
        <f>Tableau6[[#This Row],[Cost (€/GJ)]]*3.6</f>
        <v>11.720999999999998</v>
      </c>
      <c r="H593">
        <v>28.139870918023309</v>
      </c>
      <c r="I593">
        <f>Tableau6[[#This Row],[GHG (kgCO2eq/GJ)]]*3.6</f>
        <v>101.30353530488391</v>
      </c>
      <c r="J593" t="s">
        <v>105</v>
      </c>
      <c r="K593" t="s">
        <v>108</v>
      </c>
    </row>
    <row r="594" spans="1:11" x14ac:dyDescent="0.3">
      <c r="A594" t="s">
        <v>33</v>
      </c>
      <c r="B594" t="s">
        <v>55</v>
      </c>
      <c r="C594" t="s">
        <v>86</v>
      </c>
      <c r="D594">
        <v>0.14460000000000001</v>
      </c>
      <c r="E594">
        <f>Tableau6[[#This Row],[Potential (PJ)]]/3.6</f>
        <v>4.016666666666667E-2</v>
      </c>
      <c r="F594">
        <v>11.643000000000001</v>
      </c>
      <c r="G594">
        <f>Tableau6[[#This Row],[Cost (€/GJ)]]*3.6</f>
        <v>41.914800000000007</v>
      </c>
      <c r="H594">
        <v>42.1</v>
      </c>
      <c r="I594">
        <f>Tableau6[[#This Row],[GHG (kgCO2eq/GJ)]]*3.6</f>
        <v>151.56</v>
      </c>
      <c r="J594" t="s">
        <v>106</v>
      </c>
      <c r="K594" t="s">
        <v>109</v>
      </c>
    </row>
    <row r="595" spans="1:11" x14ac:dyDescent="0.3">
      <c r="A595" t="s">
        <v>33</v>
      </c>
      <c r="B595" t="s">
        <v>55</v>
      </c>
      <c r="C595" t="s">
        <v>88</v>
      </c>
      <c r="D595">
        <v>7.4399999999999994E-2</v>
      </c>
      <c r="E595">
        <f>Tableau6[[#This Row],[Potential (PJ)]]/3.6</f>
        <v>2.0666666666666663E-2</v>
      </c>
      <c r="F595">
        <v>11.102</v>
      </c>
      <c r="G595">
        <f>Tableau6[[#This Row],[Cost (€/GJ)]]*3.6</f>
        <v>39.967200000000005</v>
      </c>
      <c r="H595">
        <v>42.1</v>
      </c>
      <c r="I595">
        <f>Tableau6[[#This Row],[GHG (kgCO2eq/GJ)]]*3.6</f>
        <v>151.56</v>
      </c>
      <c r="J595" t="s">
        <v>106</v>
      </c>
      <c r="K595" t="s">
        <v>109</v>
      </c>
    </row>
    <row r="596" spans="1:11" x14ac:dyDescent="0.3">
      <c r="A596" t="s">
        <v>33</v>
      </c>
      <c r="B596" t="s">
        <v>55</v>
      </c>
      <c r="C596" t="s">
        <v>89</v>
      </c>
      <c r="D596">
        <v>7.4800000000000005E-2</v>
      </c>
      <c r="E596">
        <f>Tableau6[[#This Row],[Potential (PJ)]]/3.6</f>
        <v>2.077777777777778E-2</v>
      </c>
      <c r="F596">
        <v>0</v>
      </c>
      <c r="G596">
        <f>Tableau6[[#This Row],[Cost (€/GJ)]]*3.6</f>
        <v>0</v>
      </c>
      <c r="H596">
        <v>42.1</v>
      </c>
      <c r="I596">
        <f>Tableau6[[#This Row],[GHG (kgCO2eq/GJ)]]*3.6</f>
        <v>151.56</v>
      </c>
      <c r="J596" t="s">
        <v>106</v>
      </c>
      <c r="K596" t="s">
        <v>109</v>
      </c>
    </row>
    <row r="597" spans="1:11" x14ac:dyDescent="0.3">
      <c r="A597" t="s">
        <v>33</v>
      </c>
      <c r="B597" t="s">
        <v>55</v>
      </c>
      <c r="C597" t="s">
        <v>90</v>
      </c>
      <c r="D597">
        <v>2.07E-2</v>
      </c>
      <c r="E597">
        <f>Tableau6[[#This Row],[Potential (PJ)]]/3.6</f>
        <v>5.7499999999999999E-3</v>
      </c>
      <c r="F597">
        <v>15.02100000000001</v>
      </c>
      <c r="G597">
        <f>Tableau6[[#This Row],[Cost (€/GJ)]]*3.6</f>
        <v>54.075600000000037</v>
      </c>
      <c r="H597">
        <v>42.1</v>
      </c>
      <c r="I597">
        <f>Tableau6[[#This Row],[GHG (kgCO2eq/GJ)]]*3.6</f>
        <v>151.56</v>
      </c>
      <c r="J597" t="s">
        <v>106</v>
      </c>
      <c r="K597" t="s">
        <v>109</v>
      </c>
    </row>
    <row r="598" spans="1:11" x14ac:dyDescent="0.3">
      <c r="A598" t="s">
        <v>33</v>
      </c>
      <c r="B598" t="s">
        <v>55</v>
      </c>
      <c r="C598" t="s">
        <v>91</v>
      </c>
      <c r="D598">
        <v>0.10979999999999999</v>
      </c>
      <c r="E598">
        <f>Tableau6[[#This Row],[Potential (PJ)]]/3.6</f>
        <v>3.0499999999999999E-2</v>
      </c>
      <c r="F598">
        <v>12.728</v>
      </c>
      <c r="G598">
        <f>Tableau6[[#This Row],[Cost (€/GJ)]]*3.6</f>
        <v>45.820799999999998</v>
      </c>
      <c r="H598">
        <v>42.1</v>
      </c>
      <c r="I598">
        <f>Tableau6[[#This Row],[GHG (kgCO2eq/GJ)]]*3.6</f>
        <v>151.56</v>
      </c>
      <c r="J598" t="s">
        <v>106</v>
      </c>
      <c r="K598" t="s">
        <v>109</v>
      </c>
    </row>
    <row r="599" spans="1:11" x14ac:dyDescent="0.3">
      <c r="A599" t="s">
        <v>33</v>
      </c>
      <c r="B599" t="s">
        <v>55</v>
      </c>
      <c r="C599" t="s">
        <v>92</v>
      </c>
      <c r="D599">
        <v>0.33494000000000002</v>
      </c>
      <c r="E599">
        <f>Tableau6[[#This Row],[Potential (PJ)]]/3.6</f>
        <v>9.3038888888888893E-2</v>
      </c>
      <c r="F599">
        <v>11.698</v>
      </c>
      <c r="G599">
        <f>Tableau6[[#This Row],[Cost (€/GJ)]]*3.6</f>
        <v>42.1128</v>
      </c>
      <c r="H599">
        <v>42.1</v>
      </c>
      <c r="I599">
        <f>Tableau6[[#This Row],[GHG (kgCO2eq/GJ)]]*3.6</f>
        <v>151.56</v>
      </c>
      <c r="J599" t="s">
        <v>106</v>
      </c>
      <c r="K599" t="s">
        <v>109</v>
      </c>
    </row>
    <row r="600" spans="1:11" x14ac:dyDescent="0.3">
      <c r="A600" t="s">
        <v>33</v>
      </c>
      <c r="B600" t="s">
        <v>56</v>
      </c>
      <c r="C600" t="s">
        <v>93</v>
      </c>
      <c r="D600">
        <v>15.5892</v>
      </c>
      <c r="E600">
        <f>Tableau6[[#This Row],[Potential (PJ)]]/3.6</f>
        <v>4.3303333333333329</v>
      </c>
      <c r="F600">
        <v>2.939759036144578</v>
      </c>
      <c r="G600">
        <f>Tableau6[[#This Row],[Cost (€/GJ)]]*3.6</f>
        <v>10.583132530120482</v>
      </c>
      <c r="H600">
        <v>53.4</v>
      </c>
      <c r="I600">
        <f>Tableau6[[#This Row],[GHG (kgCO2eq/GJ)]]*3.6</f>
        <v>192.24</v>
      </c>
      <c r="J600" t="s">
        <v>106</v>
      </c>
      <c r="K600" t="s">
        <v>109</v>
      </c>
    </row>
    <row r="601" spans="1:11" x14ac:dyDescent="0.3">
      <c r="A601" t="s">
        <v>33</v>
      </c>
      <c r="B601" t="s">
        <v>47</v>
      </c>
      <c r="C601" t="s">
        <v>68</v>
      </c>
      <c r="D601">
        <v>5.8</v>
      </c>
      <c r="E601">
        <f>Tableau6[[#This Row],[Potential (PJ)]]/3.6</f>
        <v>1.6111111111111109</v>
      </c>
      <c r="F601">
        <v>8.6225344827586206</v>
      </c>
      <c r="G601">
        <f>Tableau6[[#This Row],[Cost (€/GJ)]]*3.6</f>
        <v>31.041124137931035</v>
      </c>
      <c r="H601">
        <v>23.9</v>
      </c>
      <c r="I601">
        <f>Tableau6[[#This Row],[GHG (kgCO2eq/GJ)]]*3.6</f>
        <v>86.039999999999992</v>
      </c>
      <c r="J601" t="s">
        <v>104</v>
      </c>
      <c r="K601" t="s">
        <v>109</v>
      </c>
    </row>
    <row r="602" spans="1:11" x14ac:dyDescent="0.3">
      <c r="A602" t="s">
        <v>33</v>
      </c>
      <c r="B602" t="s">
        <v>47</v>
      </c>
      <c r="C602" t="s">
        <v>69</v>
      </c>
      <c r="D602">
        <v>8.4</v>
      </c>
      <c r="E602">
        <f>Tableau6[[#This Row],[Potential (PJ)]]/3.6</f>
        <v>2.3333333333333335</v>
      </c>
      <c r="F602">
        <v>7.8986547619047611</v>
      </c>
      <c r="G602">
        <f>Tableau6[[#This Row],[Cost (€/GJ)]]*3.6</f>
        <v>28.43515714285714</v>
      </c>
      <c r="H602">
        <v>23.9</v>
      </c>
      <c r="I602">
        <f>Tableau6[[#This Row],[GHG (kgCO2eq/GJ)]]*3.6</f>
        <v>86.039999999999992</v>
      </c>
      <c r="J602" t="s">
        <v>104</v>
      </c>
      <c r="K602" t="s">
        <v>109</v>
      </c>
    </row>
    <row r="603" spans="1:11" x14ac:dyDescent="0.3">
      <c r="A603" t="s">
        <v>33</v>
      </c>
      <c r="B603" t="s">
        <v>57</v>
      </c>
      <c r="C603" t="s">
        <v>94</v>
      </c>
      <c r="D603">
        <v>1.5</v>
      </c>
      <c r="E603">
        <f>Tableau6[[#This Row],[Potential (PJ)]]/3.6</f>
        <v>0.41666666666666663</v>
      </c>
      <c r="F603">
        <v>14.659733333333341</v>
      </c>
      <c r="G603">
        <f>Tableau6[[#This Row],[Cost (€/GJ)]]*3.6</f>
        <v>52.775040000000025</v>
      </c>
      <c r="H603">
        <v>49.1</v>
      </c>
      <c r="I603">
        <f>Tableau6[[#This Row],[GHG (kgCO2eq/GJ)]]*3.6</f>
        <v>176.76000000000002</v>
      </c>
      <c r="J603" t="s">
        <v>104</v>
      </c>
      <c r="K603" t="s">
        <v>109</v>
      </c>
    </row>
    <row r="604" spans="1:11" x14ac:dyDescent="0.3">
      <c r="A604" t="s">
        <v>33</v>
      </c>
      <c r="B604" t="s">
        <v>49</v>
      </c>
      <c r="C604" t="s">
        <v>71</v>
      </c>
      <c r="D604">
        <v>12.20589</v>
      </c>
      <c r="E604">
        <f>Tableau6[[#This Row],[Potential (PJ)]]/3.6</f>
        <v>3.3905249999999998</v>
      </c>
      <c r="F604">
        <v>3.231765802411787</v>
      </c>
      <c r="G604">
        <f>Tableau6[[#This Row],[Cost (€/GJ)]]*3.6</f>
        <v>11.634356888682433</v>
      </c>
      <c r="H604">
        <v>3.86607608129234</v>
      </c>
      <c r="I604">
        <f>Tableau6[[#This Row],[GHG (kgCO2eq/GJ)]]*3.6</f>
        <v>13.917873892652425</v>
      </c>
      <c r="J604" t="s">
        <v>104</v>
      </c>
      <c r="K604" t="s">
        <v>108</v>
      </c>
    </row>
    <row r="605" spans="1:11" x14ac:dyDescent="0.3">
      <c r="A605" t="s">
        <v>33</v>
      </c>
      <c r="B605" t="s">
        <v>49</v>
      </c>
      <c r="C605" t="s">
        <v>72</v>
      </c>
      <c r="D605">
        <v>2</v>
      </c>
      <c r="E605">
        <f>Tableau6[[#This Row],[Potential (PJ)]]/3.6</f>
        <v>0.55555555555555558</v>
      </c>
      <c r="F605">
        <v>4.5859000000000014</v>
      </c>
      <c r="G605">
        <f>Tableau6[[#This Row],[Cost (€/GJ)]]*3.6</f>
        <v>16.509240000000005</v>
      </c>
      <c r="H605">
        <v>3.86607608129234</v>
      </c>
      <c r="I605">
        <f>Tableau6[[#This Row],[GHG (kgCO2eq/GJ)]]*3.6</f>
        <v>13.917873892652425</v>
      </c>
      <c r="J605" t="s">
        <v>104</v>
      </c>
      <c r="K605" t="s">
        <v>108</v>
      </c>
    </row>
    <row r="606" spans="1:11" x14ac:dyDescent="0.3">
      <c r="A606" t="s">
        <v>33</v>
      </c>
      <c r="B606" t="s">
        <v>58</v>
      </c>
      <c r="C606" t="s">
        <v>95</v>
      </c>
      <c r="D606">
        <v>4.7828900000000001</v>
      </c>
      <c r="E606">
        <f>Tableau6[[#This Row],[Potential (PJ)]]/3.6</f>
        <v>1.3285805555555557</v>
      </c>
      <c r="F606">
        <v>2.5110919987706182</v>
      </c>
      <c r="G606">
        <f>Tableau6[[#This Row],[Cost (€/GJ)]]*3.6</f>
        <v>9.0399311955742263</v>
      </c>
      <c r="H606">
        <v>2.9521711768407801</v>
      </c>
      <c r="I606">
        <f>Tableau6[[#This Row],[GHG (kgCO2eq/GJ)]]*3.6</f>
        <v>10.627816236626808</v>
      </c>
      <c r="J606" t="s">
        <v>104</v>
      </c>
      <c r="K606" t="s">
        <v>108</v>
      </c>
    </row>
    <row r="607" spans="1:11" x14ac:dyDescent="0.3">
      <c r="A607" t="s">
        <v>33</v>
      </c>
      <c r="B607" t="s">
        <v>50</v>
      </c>
      <c r="C607" t="s">
        <v>73</v>
      </c>
      <c r="D607">
        <v>42.4</v>
      </c>
      <c r="E607">
        <f>Tableau6[[#This Row],[Potential (PJ)]]/3.6</f>
        <v>11.777777777777777</v>
      </c>
      <c r="F607">
        <v>5.9100801886792436</v>
      </c>
      <c r="G607">
        <f>Tableau6[[#This Row],[Cost (€/GJ)]]*3.6</f>
        <v>21.276288679245276</v>
      </c>
      <c r="H607">
        <v>20.723404255319149</v>
      </c>
      <c r="I607">
        <f>Tableau6[[#This Row],[GHG (kgCO2eq/GJ)]]*3.6</f>
        <v>74.604255319148933</v>
      </c>
      <c r="J607" t="s">
        <v>105</v>
      </c>
      <c r="K607" t="s">
        <v>108</v>
      </c>
    </row>
    <row r="608" spans="1:11" x14ac:dyDescent="0.3">
      <c r="A608" t="s">
        <v>33</v>
      </c>
      <c r="B608" t="s">
        <v>50</v>
      </c>
      <c r="C608" t="s">
        <v>74</v>
      </c>
      <c r="D608">
        <v>29.3</v>
      </c>
      <c r="E608">
        <f>Tableau6[[#This Row],[Potential (PJ)]]/3.6</f>
        <v>8.1388888888888893</v>
      </c>
      <c r="F608">
        <v>6.3761365187713306</v>
      </c>
      <c r="G608">
        <f>Tableau6[[#This Row],[Cost (€/GJ)]]*3.6</f>
        <v>22.954091467576792</v>
      </c>
      <c r="H608">
        <v>2.0635593220338988</v>
      </c>
      <c r="I608">
        <f>Tableau6[[#This Row],[GHG (kgCO2eq/GJ)]]*3.6</f>
        <v>7.4288135593220357</v>
      </c>
      <c r="J608" t="s">
        <v>105</v>
      </c>
      <c r="K608" t="s">
        <v>108</v>
      </c>
    </row>
    <row r="609" spans="1:11" x14ac:dyDescent="0.3">
      <c r="A609" t="s">
        <v>33</v>
      </c>
      <c r="B609" t="s">
        <v>59</v>
      </c>
      <c r="C609" t="s">
        <v>97</v>
      </c>
      <c r="D609">
        <v>1.66E-2</v>
      </c>
      <c r="E609">
        <f>Tableau6[[#This Row],[Potential (PJ)]]/3.6</f>
        <v>4.611111111111111E-3</v>
      </c>
      <c r="F609">
        <v>20.2930005425936</v>
      </c>
      <c r="G609">
        <f>Tableau6[[#This Row],[Cost (€/GJ)]]*3.6</f>
        <v>73.054801953336963</v>
      </c>
      <c r="H609">
        <v>25.7</v>
      </c>
      <c r="I609">
        <f>Tableau6[[#This Row],[GHG (kgCO2eq/GJ)]]*3.6</f>
        <v>92.52</v>
      </c>
      <c r="J609" t="s">
        <v>107</v>
      </c>
      <c r="K609" t="s">
        <v>109</v>
      </c>
    </row>
    <row r="610" spans="1:11" x14ac:dyDescent="0.3">
      <c r="A610" t="s">
        <v>33</v>
      </c>
      <c r="B610" t="s">
        <v>51</v>
      </c>
      <c r="C610" t="s">
        <v>75</v>
      </c>
      <c r="D610">
        <v>50.882129999999997</v>
      </c>
      <c r="E610">
        <f>Tableau6[[#This Row],[Potential (PJ)]]/3.6</f>
        <v>14.133924999999998</v>
      </c>
      <c r="F610">
        <v>5.5639313540507503E-2</v>
      </c>
      <c r="G610">
        <f>Tableau6[[#This Row],[Cost (€/GJ)]]*3.6</f>
        <v>0.20030152874582702</v>
      </c>
      <c r="H610">
        <v>11.74</v>
      </c>
      <c r="I610">
        <f>Tableau6[[#This Row],[GHG (kgCO2eq/GJ)]]*3.6</f>
        <v>42.264000000000003</v>
      </c>
      <c r="J610" t="s">
        <v>104</v>
      </c>
      <c r="K610" t="s">
        <v>108</v>
      </c>
    </row>
    <row r="611" spans="1:11" x14ac:dyDescent="0.3">
      <c r="A611" t="s">
        <v>33</v>
      </c>
      <c r="B611" t="s">
        <v>60</v>
      </c>
      <c r="C611" t="s">
        <v>98</v>
      </c>
      <c r="D611">
        <v>0.10360999999999999</v>
      </c>
      <c r="E611">
        <f>Tableau6[[#This Row],[Potential (PJ)]]/3.6</f>
        <v>2.8780555555555552E-2</v>
      </c>
      <c r="F611">
        <v>12.19119226638024</v>
      </c>
      <c r="G611">
        <f>Tableau6[[#This Row],[Cost (€/GJ)]]*3.6</f>
        <v>43.888292158968866</v>
      </c>
      <c r="H611">
        <v>61.8</v>
      </c>
      <c r="I611">
        <f>Tableau6[[#This Row],[GHG (kgCO2eq/GJ)]]*3.6</f>
        <v>222.48</v>
      </c>
      <c r="J611" t="s">
        <v>107</v>
      </c>
      <c r="K611" t="s">
        <v>109</v>
      </c>
    </row>
    <row r="612" spans="1:11" x14ac:dyDescent="0.3">
      <c r="A612" t="s">
        <v>33</v>
      </c>
      <c r="B612" t="s">
        <v>52</v>
      </c>
      <c r="C612" t="s">
        <v>76</v>
      </c>
      <c r="D612">
        <v>0.32600000000000001</v>
      </c>
      <c r="E612">
        <f>Tableau6[[#This Row],[Potential (PJ)]]/3.6</f>
        <v>9.0555555555555556E-2</v>
      </c>
      <c r="F612">
        <v>6.5250000000000004</v>
      </c>
      <c r="G612">
        <f>Tableau6[[#This Row],[Cost (€/GJ)]]*3.6</f>
        <v>23.490000000000002</v>
      </c>
      <c r="H612">
        <v>12.68872359754714</v>
      </c>
      <c r="I612">
        <f>Tableau6[[#This Row],[GHG (kgCO2eq/GJ)]]*3.6</f>
        <v>45.679404951169708</v>
      </c>
      <c r="J612" t="s">
        <v>105</v>
      </c>
      <c r="K612" t="s">
        <v>108</v>
      </c>
    </row>
    <row r="613" spans="1:11" x14ac:dyDescent="0.3">
      <c r="A613" t="s">
        <v>33</v>
      </c>
      <c r="B613" t="s">
        <v>53</v>
      </c>
      <c r="C613" t="s">
        <v>77</v>
      </c>
      <c r="D613">
        <v>0.70000000000000007</v>
      </c>
      <c r="E613">
        <f>Tableau6[[#This Row],[Potential (PJ)]]/3.6</f>
        <v>0.19444444444444445</v>
      </c>
      <c r="F613">
        <v>4.5864285714285709</v>
      </c>
      <c r="G613">
        <f>Tableau6[[#This Row],[Cost (€/GJ)]]*3.6</f>
        <v>16.511142857142854</v>
      </c>
      <c r="H613">
        <v>3.86607608129234</v>
      </c>
      <c r="I613">
        <f>Tableau6[[#This Row],[GHG (kgCO2eq/GJ)]]*3.6</f>
        <v>13.917873892652425</v>
      </c>
      <c r="J613" t="s">
        <v>104</v>
      </c>
      <c r="K613" t="s">
        <v>108</v>
      </c>
    </row>
    <row r="614" spans="1:11" x14ac:dyDescent="0.3">
      <c r="A614" t="s">
        <v>33</v>
      </c>
      <c r="B614" t="s">
        <v>61</v>
      </c>
      <c r="C614" t="s">
        <v>99</v>
      </c>
      <c r="D614">
        <v>0.8</v>
      </c>
      <c r="E614">
        <f>Tableau6[[#This Row],[Potential (PJ)]]/3.6</f>
        <v>0.22222222222222224</v>
      </c>
      <c r="F614">
        <v>2.06575</v>
      </c>
      <c r="G614">
        <f>Tableau6[[#This Row],[Cost (€/GJ)]]*3.6</f>
        <v>7.4367000000000001</v>
      </c>
      <c r="H614">
        <v>2.9245635910224439</v>
      </c>
      <c r="I614">
        <f>Tableau6[[#This Row],[GHG (kgCO2eq/GJ)]]*3.6</f>
        <v>10.528428927680798</v>
      </c>
      <c r="J614" t="s">
        <v>104</v>
      </c>
      <c r="K614" t="s">
        <v>108</v>
      </c>
    </row>
    <row r="615" spans="1:11" x14ac:dyDescent="0.3">
      <c r="A615" t="s">
        <v>33</v>
      </c>
      <c r="B615" t="s">
        <v>62</v>
      </c>
      <c r="C615" t="s">
        <v>100</v>
      </c>
      <c r="D615">
        <v>0.3</v>
      </c>
      <c r="E615">
        <f>Tableau6[[#This Row],[Potential (PJ)]]/3.6</f>
        <v>8.3333333333333329E-2</v>
      </c>
      <c r="F615">
        <v>0.43333333333333329</v>
      </c>
      <c r="G615">
        <f>Tableau6[[#This Row],[Cost (€/GJ)]]*3.6</f>
        <v>1.5599999999999998</v>
      </c>
      <c r="H615">
        <v>2.6764106050305911</v>
      </c>
      <c r="I615">
        <f>Tableau6[[#This Row],[GHG (kgCO2eq/GJ)]]*3.6</f>
        <v>9.6350781781101276</v>
      </c>
      <c r="J615" t="s">
        <v>104</v>
      </c>
      <c r="K615" t="s">
        <v>108</v>
      </c>
    </row>
    <row r="616" spans="1:11" x14ac:dyDescent="0.3">
      <c r="A616" t="s">
        <v>33</v>
      </c>
      <c r="B616" t="s">
        <v>54</v>
      </c>
      <c r="C616" t="s">
        <v>78</v>
      </c>
      <c r="D616">
        <v>4.5</v>
      </c>
      <c r="E616">
        <f>Tableau6[[#This Row],[Potential (PJ)]]/3.6</f>
        <v>1.25</v>
      </c>
      <c r="F616">
        <v>9.5490444444444442</v>
      </c>
      <c r="G616">
        <f>Tableau6[[#This Row],[Cost (€/GJ)]]*3.6</f>
        <v>34.376559999999998</v>
      </c>
      <c r="H616">
        <v>3.86607608129234</v>
      </c>
      <c r="I616">
        <f>Tableau6[[#This Row],[GHG (kgCO2eq/GJ)]]*3.6</f>
        <v>13.917873892652425</v>
      </c>
      <c r="J616" t="s">
        <v>104</v>
      </c>
      <c r="K616" t="s">
        <v>108</v>
      </c>
    </row>
    <row r="617" spans="1:11" x14ac:dyDescent="0.3">
      <c r="A617" t="s">
        <v>34</v>
      </c>
      <c r="B617" t="s">
        <v>47</v>
      </c>
      <c r="C617" t="s">
        <v>101</v>
      </c>
      <c r="D617">
        <v>4.5999999999999996</v>
      </c>
      <c r="E617">
        <f>Tableau6[[#This Row],[Potential (PJ)]]/3.6</f>
        <v>1.2777777777777777</v>
      </c>
      <c r="F617">
        <v>0</v>
      </c>
      <c r="G617">
        <f>Tableau6[[#This Row],[Cost (€/GJ)]]*3.6</f>
        <v>0</v>
      </c>
      <c r="H617">
        <v>0</v>
      </c>
      <c r="I617">
        <f>Tableau6[[#This Row],[GHG (kgCO2eq/GJ)]]*3.6</f>
        <v>0</v>
      </c>
      <c r="J617" t="s">
        <v>104</v>
      </c>
      <c r="K617" t="s">
        <v>109</v>
      </c>
    </row>
    <row r="618" spans="1:11" x14ac:dyDescent="0.3">
      <c r="A618" t="s">
        <v>34</v>
      </c>
      <c r="B618" t="s">
        <v>57</v>
      </c>
      <c r="C618" t="s">
        <v>94</v>
      </c>
      <c r="D618">
        <v>4.4000000000000004</v>
      </c>
      <c r="E618">
        <f>Tableau6[[#This Row],[Potential (PJ)]]/3.6</f>
        <v>1.2222222222222223</v>
      </c>
      <c r="F618">
        <v>0</v>
      </c>
      <c r="G618">
        <f>Tableau6[[#This Row],[Cost (€/GJ)]]*3.6</f>
        <v>0</v>
      </c>
      <c r="H618">
        <v>0</v>
      </c>
      <c r="I618">
        <f>Tableau6[[#This Row],[GHG (kgCO2eq/GJ)]]*3.6</f>
        <v>0</v>
      </c>
      <c r="J618" t="s">
        <v>104</v>
      </c>
      <c r="K618" t="s">
        <v>109</v>
      </c>
    </row>
    <row r="619" spans="1:11" x14ac:dyDescent="0.3">
      <c r="A619" t="s">
        <v>34</v>
      </c>
      <c r="B619" t="s">
        <v>49</v>
      </c>
      <c r="C619" t="s">
        <v>71</v>
      </c>
      <c r="D619">
        <v>133.59509</v>
      </c>
      <c r="E619">
        <f>Tableau6[[#This Row],[Potential (PJ)]]/3.6</f>
        <v>37.109747222222218</v>
      </c>
      <c r="F619">
        <v>4.6458086814418103</v>
      </c>
      <c r="G619">
        <f>Tableau6[[#This Row],[Cost (€/GJ)]]*3.6</f>
        <v>16.724911253190516</v>
      </c>
      <c r="H619">
        <v>3.86607608129234</v>
      </c>
      <c r="I619">
        <f>Tableau6[[#This Row],[GHG (kgCO2eq/GJ)]]*3.6</f>
        <v>13.917873892652425</v>
      </c>
      <c r="J619" t="s">
        <v>104</v>
      </c>
      <c r="K619" t="s">
        <v>108</v>
      </c>
    </row>
    <row r="620" spans="1:11" x14ac:dyDescent="0.3">
      <c r="A620" t="s">
        <v>34</v>
      </c>
      <c r="B620" t="s">
        <v>49</v>
      </c>
      <c r="C620" t="s">
        <v>72</v>
      </c>
      <c r="D620">
        <v>11.6</v>
      </c>
      <c r="E620">
        <f>Tableau6[[#This Row],[Potential (PJ)]]/3.6</f>
        <v>3.2222222222222219</v>
      </c>
      <c r="F620">
        <v>3.7137586206896551</v>
      </c>
      <c r="G620">
        <f>Tableau6[[#This Row],[Cost (€/GJ)]]*3.6</f>
        <v>13.369531034482758</v>
      </c>
      <c r="H620">
        <v>3.86607608129234</v>
      </c>
      <c r="I620">
        <f>Tableau6[[#This Row],[GHG (kgCO2eq/GJ)]]*3.6</f>
        <v>13.917873892652425</v>
      </c>
      <c r="J620" t="s">
        <v>104</v>
      </c>
      <c r="K620" t="s">
        <v>108</v>
      </c>
    </row>
    <row r="621" spans="1:11" x14ac:dyDescent="0.3">
      <c r="A621" t="s">
        <v>34</v>
      </c>
      <c r="B621" t="s">
        <v>51</v>
      </c>
      <c r="C621" t="s">
        <v>75</v>
      </c>
      <c r="D621">
        <v>17.731249999999999</v>
      </c>
      <c r="E621">
        <f>Tableau6[[#This Row],[Potential (PJ)]]/3.6</f>
        <v>4.9253472222222223</v>
      </c>
      <c r="F621">
        <v>3.9498274541487997E-3</v>
      </c>
      <c r="G621">
        <f>Tableau6[[#This Row],[Cost (€/GJ)]]*3.6</f>
        <v>1.4219378834935679E-2</v>
      </c>
      <c r="H621">
        <v>11.74</v>
      </c>
      <c r="I621">
        <f>Tableau6[[#This Row],[GHG (kgCO2eq/GJ)]]*3.6</f>
        <v>42.264000000000003</v>
      </c>
      <c r="J621" t="s">
        <v>104</v>
      </c>
      <c r="K621" t="s">
        <v>108</v>
      </c>
    </row>
    <row r="622" spans="1:11" x14ac:dyDescent="0.3">
      <c r="A622" t="s">
        <v>34</v>
      </c>
      <c r="B622" t="s">
        <v>52</v>
      </c>
      <c r="C622" t="s">
        <v>76</v>
      </c>
      <c r="D622">
        <v>0.42</v>
      </c>
      <c r="E622">
        <f>Tableau6[[#This Row],[Potential (PJ)]]/3.6</f>
        <v>0.11666666666666665</v>
      </c>
      <c r="F622">
        <v>6.5250000000000004</v>
      </c>
      <c r="G622">
        <f>Tableau6[[#This Row],[Cost (€/GJ)]]*3.6</f>
        <v>23.490000000000002</v>
      </c>
      <c r="H622">
        <v>12.68872359754714</v>
      </c>
      <c r="I622">
        <f>Tableau6[[#This Row],[GHG (kgCO2eq/GJ)]]*3.6</f>
        <v>45.679404951169708</v>
      </c>
      <c r="J622" t="s">
        <v>105</v>
      </c>
      <c r="K622" t="s">
        <v>108</v>
      </c>
    </row>
    <row r="623" spans="1:11" x14ac:dyDescent="0.3">
      <c r="A623" t="s">
        <v>34</v>
      </c>
      <c r="B623" t="s">
        <v>53</v>
      </c>
      <c r="C623" t="s">
        <v>77</v>
      </c>
      <c r="D623">
        <v>5.7</v>
      </c>
      <c r="E623">
        <f>Tableau6[[#This Row],[Potential (PJ)]]/3.6</f>
        <v>1.5833333333333333</v>
      </c>
      <c r="F623">
        <v>3.7135263157894731</v>
      </c>
      <c r="G623">
        <f>Tableau6[[#This Row],[Cost (€/GJ)]]*3.6</f>
        <v>13.368694736842103</v>
      </c>
      <c r="H623">
        <v>3.86607608129234</v>
      </c>
      <c r="I623">
        <f>Tableau6[[#This Row],[GHG (kgCO2eq/GJ)]]*3.6</f>
        <v>13.917873892652425</v>
      </c>
      <c r="J623" t="s">
        <v>104</v>
      </c>
      <c r="K623" t="s">
        <v>108</v>
      </c>
    </row>
    <row r="624" spans="1:11" x14ac:dyDescent="0.3">
      <c r="A624" t="s">
        <v>34</v>
      </c>
      <c r="B624" t="s">
        <v>54</v>
      </c>
      <c r="C624" t="s">
        <v>78</v>
      </c>
      <c r="D624">
        <v>66.099999999999994</v>
      </c>
      <c r="E624">
        <f>Tableau6[[#This Row],[Potential (PJ)]]/3.6</f>
        <v>18.361111111111111</v>
      </c>
      <c r="F624">
        <v>7.6458154311649018</v>
      </c>
      <c r="G624">
        <f>Tableau6[[#This Row],[Cost (€/GJ)]]*3.6</f>
        <v>27.524935552193647</v>
      </c>
      <c r="H624">
        <v>3.86607608129234</v>
      </c>
      <c r="I624">
        <f>Tableau6[[#This Row],[GHG (kgCO2eq/GJ)]]*3.6</f>
        <v>13.917873892652425</v>
      </c>
      <c r="J624" t="s">
        <v>104</v>
      </c>
      <c r="K624" t="s">
        <v>108</v>
      </c>
    </row>
    <row r="625" spans="1:11" x14ac:dyDescent="0.3">
      <c r="A625" t="s">
        <v>35</v>
      </c>
      <c r="B625" t="s">
        <v>46</v>
      </c>
      <c r="C625" t="s">
        <v>64</v>
      </c>
      <c r="D625">
        <v>2.1164900000000002</v>
      </c>
      <c r="E625">
        <f>Tableau6[[#This Row],[Potential (PJ)]]/3.6</f>
        <v>0.58791388888888896</v>
      </c>
      <c r="F625">
        <v>6.6988302330745704</v>
      </c>
      <c r="G625">
        <f>Tableau6[[#This Row],[Cost (€/GJ)]]*3.6</f>
        <v>24.115788839068454</v>
      </c>
      <c r="H625">
        <v>2.9521711768407801</v>
      </c>
      <c r="I625">
        <f>Tableau6[[#This Row],[GHG (kgCO2eq/GJ)]]*3.6</f>
        <v>10.627816236626808</v>
      </c>
      <c r="J625" t="s">
        <v>104</v>
      </c>
      <c r="K625" t="s">
        <v>108</v>
      </c>
    </row>
    <row r="626" spans="1:11" x14ac:dyDescent="0.3">
      <c r="A626" t="s">
        <v>35</v>
      </c>
      <c r="B626" t="s">
        <v>46</v>
      </c>
      <c r="C626" t="s">
        <v>79</v>
      </c>
      <c r="D626">
        <v>112.6</v>
      </c>
      <c r="E626">
        <f>Tableau6[[#This Row],[Potential (PJ)]]/3.6</f>
        <v>31.277777777777775</v>
      </c>
      <c r="F626">
        <v>2.661069271758437</v>
      </c>
      <c r="G626">
        <f>Tableau6[[#This Row],[Cost (€/GJ)]]*3.6</f>
        <v>9.5798493783303726</v>
      </c>
      <c r="H626">
        <v>6.8428961748633883</v>
      </c>
      <c r="I626">
        <f>Tableau6[[#This Row],[GHG (kgCO2eq/GJ)]]*3.6</f>
        <v>24.634426229508197</v>
      </c>
      <c r="J626" t="s">
        <v>104</v>
      </c>
      <c r="K626" t="s">
        <v>108</v>
      </c>
    </row>
    <row r="627" spans="1:11" x14ac:dyDescent="0.3">
      <c r="A627" t="s">
        <v>35</v>
      </c>
      <c r="B627" t="s">
        <v>46</v>
      </c>
      <c r="C627" t="s">
        <v>65</v>
      </c>
      <c r="D627">
        <v>2.2999999999999998</v>
      </c>
      <c r="E627">
        <f>Tableau6[[#This Row],[Potential (PJ)]]/3.6</f>
        <v>0.63888888888888884</v>
      </c>
      <c r="F627">
        <v>4.6408695652173906</v>
      </c>
      <c r="G627">
        <f>Tableau6[[#This Row],[Cost (€/GJ)]]*3.6</f>
        <v>16.707130434782606</v>
      </c>
      <c r="H627">
        <v>2.9521711768407801</v>
      </c>
      <c r="I627">
        <f>Tableau6[[#This Row],[GHG (kgCO2eq/GJ)]]*3.6</f>
        <v>10.627816236626808</v>
      </c>
      <c r="J627" t="s">
        <v>104</v>
      </c>
      <c r="K627" t="s">
        <v>108</v>
      </c>
    </row>
    <row r="628" spans="1:11" x14ac:dyDescent="0.3">
      <c r="A628" t="s">
        <v>35</v>
      </c>
      <c r="B628" t="s">
        <v>46</v>
      </c>
      <c r="C628" t="s">
        <v>80</v>
      </c>
      <c r="D628">
        <v>1.1129</v>
      </c>
      <c r="E628">
        <f>Tableau6[[#This Row],[Potential (PJ)]]/3.6</f>
        <v>0.30913888888888891</v>
      </c>
      <c r="F628">
        <v>0.46459878624409978</v>
      </c>
      <c r="G628">
        <f>Tableau6[[#This Row],[Cost (€/GJ)]]*3.6</f>
        <v>1.6725556304787592</v>
      </c>
      <c r="H628">
        <v>28.139870918023309</v>
      </c>
      <c r="I628">
        <f>Tableau6[[#This Row],[GHG (kgCO2eq/GJ)]]*3.6</f>
        <v>101.30353530488391</v>
      </c>
      <c r="J628" t="s">
        <v>105</v>
      </c>
      <c r="K628" t="s">
        <v>108</v>
      </c>
    </row>
    <row r="629" spans="1:11" x14ac:dyDescent="0.3">
      <c r="A629" t="s">
        <v>35</v>
      </c>
      <c r="B629" t="s">
        <v>46</v>
      </c>
      <c r="C629" t="s">
        <v>81</v>
      </c>
      <c r="D629">
        <v>3.6419999999999999</v>
      </c>
      <c r="E629">
        <f>Tableau6[[#This Row],[Potential (PJ)]]/3.6</f>
        <v>1.0116666666666667</v>
      </c>
      <c r="F629">
        <v>0.69388954171562867</v>
      </c>
      <c r="G629">
        <f>Tableau6[[#This Row],[Cost (€/GJ)]]*3.6</f>
        <v>2.4980023501762632</v>
      </c>
      <c r="H629">
        <v>8.9647473560517046</v>
      </c>
      <c r="I629">
        <f>Tableau6[[#This Row],[GHG (kgCO2eq/GJ)]]*3.6</f>
        <v>32.273090481786134</v>
      </c>
      <c r="J629" t="s">
        <v>105</v>
      </c>
      <c r="K629" t="s">
        <v>108</v>
      </c>
    </row>
    <row r="630" spans="1:11" x14ac:dyDescent="0.3">
      <c r="A630" t="s">
        <v>35</v>
      </c>
      <c r="B630" t="s">
        <v>46</v>
      </c>
      <c r="C630" t="s">
        <v>66</v>
      </c>
      <c r="D630">
        <v>8.1999999999999993</v>
      </c>
      <c r="E630">
        <f>Tableau6[[#This Row],[Potential (PJ)]]/3.6</f>
        <v>2.2777777777777777</v>
      </c>
      <c r="F630">
        <v>2.7439268292682928</v>
      </c>
      <c r="G630">
        <f>Tableau6[[#This Row],[Cost (€/GJ)]]*3.6</f>
        <v>9.8781365853658549</v>
      </c>
      <c r="H630">
        <v>6.8428961748633883</v>
      </c>
      <c r="I630">
        <f>Tableau6[[#This Row],[GHG (kgCO2eq/GJ)]]*3.6</f>
        <v>24.634426229508197</v>
      </c>
      <c r="J630" t="s">
        <v>104</v>
      </c>
      <c r="K630" t="s">
        <v>108</v>
      </c>
    </row>
    <row r="631" spans="1:11" x14ac:dyDescent="0.3">
      <c r="A631" t="s">
        <v>35</v>
      </c>
      <c r="B631" t="s">
        <v>46</v>
      </c>
      <c r="C631" t="s">
        <v>82</v>
      </c>
      <c r="D631">
        <v>7.2</v>
      </c>
      <c r="E631">
        <f>Tableau6[[#This Row],[Potential (PJ)]]/3.6</f>
        <v>2</v>
      </c>
      <c r="F631">
        <v>1.710652777777778</v>
      </c>
      <c r="G631">
        <f>Tableau6[[#This Row],[Cost (€/GJ)]]*3.6</f>
        <v>6.1583500000000013</v>
      </c>
      <c r="H631">
        <v>6.8428961748633883</v>
      </c>
      <c r="I631">
        <f>Tableau6[[#This Row],[GHG (kgCO2eq/GJ)]]*3.6</f>
        <v>24.634426229508197</v>
      </c>
      <c r="J631" t="s">
        <v>104</v>
      </c>
      <c r="K631" t="s">
        <v>108</v>
      </c>
    </row>
    <row r="632" spans="1:11" x14ac:dyDescent="0.3">
      <c r="A632" t="s">
        <v>35</v>
      </c>
      <c r="B632" t="s">
        <v>46</v>
      </c>
      <c r="C632" t="s">
        <v>84</v>
      </c>
      <c r="D632">
        <v>1.7</v>
      </c>
      <c r="E632">
        <f>Tableau6[[#This Row],[Potential (PJ)]]/3.6</f>
        <v>0.47222222222222221</v>
      </c>
      <c r="F632">
        <v>1.731235294117647</v>
      </c>
      <c r="G632">
        <f>Tableau6[[#This Row],[Cost (€/GJ)]]*3.6</f>
        <v>6.2324470588235297</v>
      </c>
      <c r="H632">
        <v>28.139870918023309</v>
      </c>
      <c r="I632">
        <f>Tableau6[[#This Row],[GHG (kgCO2eq/GJ)]]*3.6</f>
        <v>101.30353530488391</v>
      </c>
      <c r="J632" t="s">
        <v>105</v>
      </c>
      <c r="K632" t="s">
        <v>108</v>
      </c>
    </row>
    <row r="633" spans="1:11" x14ac:dyDescent="0.3">
      <c r="A633" t="s">
        <v>35</v>
      </c>
      <c r="B633" t="s">
        <v>55</v>
      </c>
      <c r="C633" t="s">
        <v>86</v>
      </c>
      <c r="D633">
        <v>2.4171</v>
      </c>
      <c r="E633">
        <f>Tableau6[[#This Row],[Potential (PJ)]]/3.6</f>
        <v>0.67141666666666666</v>
      </c>
      <c r="F633">
        <v>9.7590000000000003</v>
      </c>
      <c r="G633">
        <f>Tableau6[[#This Row],[Cost (€/GJ)]]*3.6</f>
        <v>35.132400000000004</v>
      </c>
      <c r="H633">
        <v>12.6</v>
      </c>
      <c r="I633">
        <f>Tableau6[[#This Row],[GHG (kgCO2eq/GJ)]]*3.6</f>
        <v>45.36</v>
      </c>
      <c r="J633" t="s">
        <v>106</v>
      </c>
      <c r="K633" t="s">
        <v>109</v>
      </c>
    </row>
    <row r="634" spans="1:11" x14ac:dyDescent="0.3">
      <c r="A634" t="s">
        <v>35</v>
      </c>
      <c r="B634" t="s">
        <v>55</v>
      </c>
      <c r="C634" t="s">
        <v>88</v>
      </c>
      <c r="D634">
        <v>2.3380999999999998</v>
      </c>
      <c r="E634">
        <f>Tableau6[[#This Row],[Potential (PJ)]]/3.6</f>
        <v>0.64947222222222212</v>
      </c>
      <c r="F634">
        <v>10.297000000000001</v>
      </c>
      <c r="G634">
        <f>Tableau6[[#This Row],[Cost (€/GJ)]]*3.6</f>
        <v>37.069200000000002</v>
      </c>
      <c r="H634">
        <v>12.6</v>
      </c>
      <c r="I634">
        <f>Tableau6[[#This Row],[GHG (kgCO2eq/GJ)]]*3.6</f>
        <v>45.36</v>
      </c>
      <c r="J634" t="s">
        <v>106</v>
      </c>
      <c r="K634" t="s">
        <v>109</v>
      </c>
    </row>
    <row r="635" spans="1:11" x14ac:dyDescent="0.3">
      <c r="A635" t="s">
        <v>35</v>
      </c>
      <c r="B635" t="s">
        <v>55</v>
      </c>
      <c r="C635" t="s">
        <v>89</v>
      </c>
      <c r="D635">
        <v>6.1899999999999997E-2</v>
      </c>
      <c r="E635">
        <f>Tableau6[[#This Row],[Potential (PJ)]]/3.6</f>
        <v>1.7194444444444443E-2</v>
      </c>
      <c r="F635">
        <v>0</v>
      </c>
      <c r="G635">
        <f>Tableau6[[#This Row],[Cost (€/GJ)]]*3.6</f>
        <v>0</v>
      </c>
      <c r="H635">
        <v>12.6</v>
      </c>
      <c r="I635">
        <f>Tableau6[[#This Row],[GHG (kgCO2eq/GJ)]]*3.6</f>
        <v>45.36</v>
      </c>
      <c r="J635" t="s">
        <v>106</v>
      </c>
      <c r="K635" t="s">
        <v>109</v>
      </c>
    </row>
    <row r="636" spans="1:11" x14ac:dyDescent="0.3">
      <c r="A636" t="s">
        <v>35</v>
      </c>
      <c r="B636" t="s">
        <v>55</v>
      </c>
      <c r="C636" t="s">
        <v>90</v>
      </c>
      <c r="D636">
        <v>1.3339000000000001</v>
      </c>
      <c r="E636">
        <f>Tableau6[[#This Row],[Potential (PJ)]]/3.6</f>
        <v>0.37052777777777779</v>
      </c>
      <c r="F636">
        <v>10.423999999999999</v>
      </c>
      <c r="G636">
        <f>Tableau6[[#This Row],[Cost (€/GJ)]]*3.6</f>
        <v>37.526400000000002</v>
      </c>
      <c r="H636">
        <v>12.6</v>
      </c>
      <c r="I636">
        <f>Tableau6[[#This Row],[GHG (kgCO2eq/GJ)]]*3.6</f>
        <v>45.36</v>
      </c>
      <c r="J636" t="s">
        <v>106</v>
      </c>
      <c r="K636" t="s">
        <v>109</v>
      </c>
    </row>
    <row r="637" spans="1:11" x14ac:dyDescent="0.3">
      <c r="A637" t="s">
        <v>35</v>
      </c>
      <c r="B637" t="s">
        <v>55</v>
      </c>
      <c r="C637" t="s">
        <v>91</v>
      </c>
      <c r="D637">
        <v>4.1269</v>
      </c>
      <c r="E637">
        <f>Tableau6[[#This Row],[Potential (PJ)]]/3.6</f>
        <v>1.1463611111111112</v>
      </c>
      <c r="F637">
        <v>8.9329999999999963</v>
      </c>
      <c r="G637">
        <f>Tableau6[[#This Row],[Cost (€/GJ)]]*3.6</f>
        <v>32.158799999999985</v>
      </c>
      <c r="H637">
        <v>12.6</v>
      </c>
      <c r="I637">
        <f>Tableau6[[#This Row],[GHG (kgCO2eq/GJ)]]*3.6</f>
        <v>45.36</v>
      </c>
      <c r="J637" t="s">
        <v>106</v>
      </c>
      <c r="K637" t="s">
        <v>109</v>
      </c>
    </row>
    <row r="638" spans="1:11" x14ac:dyDescent="0.3">
      <c r="A638" t="s">
        <v>35</v>
      </c>
      <c r="B638" t="s">
        <v>55</v>
      </c>
      <c r="C638" t="s">
        <v>92</v>
      </c>
      <c r="D638">
        <v>2.0031099999999999</v>
      </c>
      <c r="E638">
        <f>Tableau6[[#This Row],[Potential (PJ)]]/3.6</f>
        <v>0.55641944444444447</v>
      </c>
      <c r="F638">
        <v>10.840999999999999</v>
      </c>
      <c r="G638">
        <f>Tableau6[[#This Row],[Cost (€/GJ)]]*3.6</f>
        <v>39.0276</v>
      </c>
      <c r="H638">
        <v>12.6</v>
      </c>
      <c r="I638">
        <f>Tableau6[[#This Row],[GHG (kgCO2eq/GJ)]]*3.6</f>
        <v>45.36</v>
      </c>
      <c r="J638" t="s">
        <v>106</v>
      </c>
      <c r="K638" t="s">
        <v>109</v>
      </c>
    </row>
    <row r="639" spans="1:11" x14ac:dyDescent="0.3">
      <c r="A639" t="s">
        <v>35</v>
      </c>
      <c r="B639" t="s">
        <v>56</v>
      </c>
      <c r="C639" t="s">
        <v>93</v>
      </c>
      <c r="D639">
        <v>31.5594</v>
      </c>
      <c r="E639">
        <f>Tableau6[[#This Row],[Potential (PJ)]]/3.6</f>
        <v>8.7665000000000006</v>
      </c>
      <c r="F639">
        <v>2.9493975903614462</v>
      </c>
      <c r="G639">
        <f>Tableau6[[#This Row],[Cost (€/GJ)]]*3.6</f>
        <v>10.617831325301207</v>
      </c>
      <c r="H639">
        <v>29.5</v>
      </c>
      <c r="I639">
        <f>Tableau6[[#This Row],[GHG (kgCO2eq/GJ)]]*3.6</f>
        <v>106.2</v>
      </c>
      <c r="J639" t="s">
        <v>106</v>
      </c>
      <c r="K639" t="s">
        <v>109</v>
      </c>
    </row>
    <row r="640" spans="1:11" x14ac:dyDescent="0.3">
      <c r="A640" t="s">
        <v>35</v>
      </c>
      <c r="B640" t="s">
        <v>47</v>
      </c>
      <c r="C640" t="s">
        <v>101</v>
      </c>
      <c r="D640">
        <v>226.1</v>
      </c>
      <c r="E640">
        <f>Tableau6[[#This Row],[Potential (PJ)]]/3.6</f>
        <v>62.80555555555555</v>
      </c>
      <c r="F640">
        <v>4.0459898275099517</v>
      </c>
      <c r="G640">
        <f>Tableau6[[#This Row],[Cost (€/GJ)]]*3.6</f>
        <v>14.565563379035826</v>
      </c>
      <c r="H640">
        <v>43.8</v>
      </c>
      <c r="I640">
        <f>Tableau6[[#This Row],[GHG (kgCO2eq/GJ)]]*3.6</f>
        <v>157.68</v>
      </c>
      <c r="J640" t="s">
        <v>104</v>
      </c>
      <c r="K640" t="s">
        <v>109</v>
      </c>
    </row>
    <row r="641" spans="1:11" x14ac:dyDescent="0.3">
      <c r="A641" t="s">
        <v>35</v>
      </c>
      <c r="B641" t="s">
        <v>57</v>
      </c>
      <c r="C641" t="s">
        <v>94</v>
      </c>
      <c r="D641">
        <v>103.3</v>
      </c>
      <c r="E641">
        <f>Tableau6[[#This Row],[Potential (PJ)]]/3.6</f>
        <v>28.694444444444443</v>
      </c>
      <c r="F641">
        <v>8.8413794772507259</v>
      </c>
      <c r="G641">
        <f>Tableau6[[#This Row],[Cost (€/GJ)]]*3.6</f>
        <v>31.828966118102613</v>
      </c>
      <c r="H641">
        <v>19.8</v>
      </c>
      <c r="I641">
        <f>Tableau6[[#This Row],[GHG (kgCO2eq/GJ)]]*3.6</f>
        <v>71.28</v>
      </c>
      <c r="J641" t="s">
        <v>104</v>
      </c>
      <c r="K641" t="s">
        <v>109</v>
      </c>
    </row>
    <row r="642" spans="1:11" x14ac:dyDescent="0.3">
      <c r="A642" t="s">
        <v>35</v>
      </c>
      <c r="B642" t="s">
        <v>49</v>
      </c>
      <c r="C642" t="s">
        <v>71</v>
      </c>
      <c r="D642">
        <v>509.58843000000002</v>
      </c>
      <c r="E642">
        <f>Tableau6[[#This Row],[Potential (PJ)]]/3.6</f>
        <v>141.55234166666668</v>
      </c>
      <c r="F642">
        <v>2.7807163447961321</v>
      </c>
      <c r="G642">
        <f>Tableau6[[#This Row],[Cost (€/GJ)]]*3.6</f>
        <v>10.010578841266076</v>
      </c>
      <c r="H642">
        <v>3.86607608129234</v>
      </c>
      <c r="I642">
        <f>Tableau6[[#This Row],[GHG (kgCO2eq/GJ)]]*3.6</f>
        <v>13.917873892652425</v>
      </c>
      <c r="J642" t="s">
        <v>104</v>
      </c>
      <c r="K642" t="s">
        <v>108</v>
      </c>
    </row>
    <row r="643" spans="1:11" x14ac:dyDescent="0.3">
      <c r="A643" t="s">
        <v>35</v>
      </c>
      <c r="B643" t="s">
        <v>49</v>
      </c>
      <c r="C643" t="s">
        <v>72</v>
      </c>
      <c r="D643">
        <v>25</v>
      </c>
      <c r="E643">
        <f>Tableau6[[#This Row],[Potential (PJ)]]/3.6</f>
        <v>6.9444444444444446</v>
      </c>
      <c r="F643">
        <v>3.7798440000000002</v>
      </c>
      <c r="G643">
        <f>Tableau6[[#This Row],[Cost (€/GJ)]]*3.6</f>
        <v>13.607438400000001</v>
      </c>
      <c r="H643">
        <v>3.86607608129234</v>
      </c>
      <c r="I643">
        <f>Tableau6[[#This Row],[GHG (kgCO2eq/GJ)]]*3.6</f>
        <v>13.917873892652425</v>
      </c>
      <c r="J643" t="s">
        <v>104</v>
      </c>
      <c r="K643" t="s">
        <v>108</v>
      </c>
    </row>
    <row r="644" spans="1:11" x14ac:dyDescent="0.3">
      <c r="A644" t="s">
        <v>35</v>
      </c>
      <c r="B644" t="s">
        <v>58</v>
      </c>
      <c r="C644" t="s">
        <v>95</v>
      </c>
      <c r="D644">
        <v>38.263120000000001</v>
      </c>
      <c r="E644">
        <f>Tableau6[[#This Row],[Potential (PJ)]]/3.6</f>
        <v>10.628644444444445</v>
      </c>
      <c r="F644">
        <v>2.8194687328163508</v>
      </c>
      <c r="G644">
        <f>Tableau6[[#This Row],[Cost (€/GJ)]]*3.6</f>
        <v>10.150087438138863</v>
      </c>
      <c r="H644">
        <v>2.9521711768407801</v>
      </c>
      <c r="I644">
        <f>Tableau6[[#This Row],[GHG (kgCO2eq/GJ)]]*3.6</f>
        <v>10.627816236626808</v>
      </c>
      <c r="J644" t="s">
        <v>104</v>
      </c>
      <c r="K644" t="s">
        <v>108</v>
      </c>
    </row>
    <row r="645" spans="1:11" x14ac:dyDescent="0.3">
      <c r="A645" t="s">
        <v>35</v>
      </c>
      <c r="B645" t="s">
        <v>50</v>
      </c>
      <c r="C645" t="s">
        <v>73</v>
      </c>
      <c r="D645">
        <v>6.2</v>
      </c>
      <c r="E645">
        <f>Tableau6[[#This Row],[Potential (PJ)]]/3.6</f>
        <v>1.7222222222222223</v>
      </c>
      <c r="F645">
        <v>5.106854838709677</v>
      </c>
      <c r="G645">
        <f>Tableau6[[#This Row],[Cost (€/GJ)]]*3.6</f>
        <v>18.384677419354837</v>
      </c>
      <c r="H645">
        <v>20.723404255319149</v>
      </c>
      <c r="I645">
        <f>Tableau6[[#This Row],[GHG (kgCO2eq/GJ)]]*3.6</f>
        <v>74.604255319148933</v>
      </c>
      <c r="J645" t="s">
        <v>105</v>
      </c>
      <c r="K645" t="s">
        <v>108</v>
      </c>
    </row>
    <row r="646" spans="1:11" x14ac:dyDescent="0.3">
      <c r="A646" t="s">
        <v>35</v>
      </c>
      <c r="B646" t="s">
        <v>50</v>
      </c>
      <c r="C646" t="s">
        <v>74</v>
      </c>
      <c r="D646">
        <v>85.7</v>
      </c>
      <c r="E646">
        <f>Tableau6[[#This Row],[Potential (PJ)]]/3.6</f>
        <v>23.805555555555557</v>
      </c>
      <c r="F646">
        <v>3.482845974329055</v>
      </c>
      <c r="G646">
        <f>Tableau6[[#This Row],[Cost (€/GJ)]]*3.6</f>
        <v>12.538245507584598</v>
      </c>
      <c r="H646">
        <v>2.0635593220338988</v>
      </c>
      <c r="I646">
        <f>Tableau6[[#This Row],[GHG (kgCO2eq/GJ)]]*3.6</f>
        <v>7.4288135593220357</v>
      </c>
      <c r="J646" t="s">
        <v>105</v>
      </c>
      <c r="K646" t="s">
        <v>108</v>
      </c>
    </row>
    <row r="647" spans="1:11" x14ac:dyDescent="0.3">
      <c r="A647" t="s">
        <v>35</v>
      </c>
      <c r="B647" t="s">
        <v>59</v>
      </c>
      <c r="C647" t="s">
        <v>96</v>
      </c>
      <c r="D647">
        <v>0.1085</v>
      </c>
      <c r="E647">
        <f>Tableau6[[#This Row],[Potential (PJ)]]/3.6</f>
        <v>3.0138888888888889E-2</v>
      </c>
      <c r="F647">
        <v>18.283000000000001</v>
      </c>
      <c r="G647">
        <f>Tableau6[[#This Row],[Cost (€/GJ)]]*3.6</f>
        <v>65.81880000000001</v>
      </c>
      <c r="H647">
        <v>19.100000000000001</v>
      </c>
      <c r="I647">
        <f>Tableau6[[#This Row],[GHG (kgCO2eq/GJ)]]*3.6</f>
        <v>68.760000000000005</v>
      </c>
      <c r="J647" t="s">
        <v>107</v>
      </c>
      <c r="K647" t="s">
        <v>109</v>
      </c>
    </row>
    <row r="648" spans="1:11" x14ac:dyDescent="0.3">
      <c r="A648" t="s">
        <v>35</v>
      </c>
      <c r="B648" t="s">
        <v>59</v>
      </c>
      <c r="C648" t="s">
        <v>97</v>
      </c>
      <c r="D648">
        <v>0.21859999999999999</v>
      </c>
      <c r="E648">
        <f>Tableau6[[#This Row],[Potential (PJ)]]/3.6</f>
        <v>6.0722222222222219E-2</v>
      </c>
      <c r="F648">
        <v>19.099294628323381</v>
      </c>
      <c r="G648">
        <f>Tableau6[[#This Row],[Cost (€/GJ)]]*3.6</f>
        <v>68.757460661964174</v>
      </c>
      <c r="H648">
        <v>19.100000000000001</v>
      </c>
      <c r="I648">
        <f>Tableau6[[#This Row],[GHG (kgCO2eq/GJ)]]*3.6</f>
        <v>68.760000000000005</v>
      </c>
      <c r="J648" t="s">
        <v>107</v>
      </c>
      <c r="K648" t="s">
        <v>109</v>
      </c>
    </row>
    <row r="649" spans="1:11" x14ac:dyDescent="0.3">
      <c r="A649" t="s">
        <v>35</v>
      </c>
      <c r="B649" t="s">
        <v>51</v>
      </c>
      <c r="C649" t="s">
        <v>75</v>
      </c>
      <c r="D649">
        <v>22.301880000000001</v>
      </c>
      <c r="E649">
        <f>Tableau6[[#This Row],[Potential (PJ)]]/3.6</f>
        <v>6.1949666666666667</v>
      </c>
      <c r="F649">
        <v>2.5987808206021099E-3</v>
      </c>
      <c r="G649">
        <f>Tableau6[[#This Row],[Cost (€/GJ)]]*3.6</f>
        <v>9.3556109541675959E-3</v>
      </c>
      <c r="H649">
        <v>11.74</v>
      </c>
      <c r="I649">
        <f>Tableau6[[#This Row],[GHG (kgCO2eq/GJ)]]*3.6</f>
        <v>42.264000000000003</v>
      </c>
      <c r="J649" t="s">
        <v>104</v>
      </c>
      <c r="K649" t="s">
        <v>108</v>
      </c>
    </row>
    <row r="650" spans="1:11" x14ac:dyDescent="0.3">
      <c r="A650" t="s">
        <v>35</v>
      </c>
      <c r="B650" t="s">
        <v>60</v>
      </c>
      <c r="C650" t="s">
        <v>98</v>
      </c>
      <c r="D650">
        <v>18.448090000000001</v>
      </c>
      <c r="E650">
        <f>Tableau6[[#This Row],[Potential (PJ)]]/3.6</f>
        <v>5.1244694444444443</v>
      </c>
      <c r="F650">
        <v>16.165413533834581</v>
      </c>
      <c r="G650">
        <f>Tableau6[[#This Row],[Cost (€/GJ)]]*3.6</f>
        <v>58.195488721804495</v>
      </c>
      <c r="H650">
        <v>46</v>
      </c>
      <c r="I650">
        <f>Tableau6[[#This Row],[GHG (kgCO2eq/GJ)]]*3.6</f>
        <v>165.6</v>
      </c>
      <c r="J650" t="s">
        <v>107</v>
      </c>
      <c r="K650" t="s">
        <v>109</v>
      </c>
    </row>
    <row r="651" spans="1:11" x14ac:dyDescent="0.3">
      <c r="A651" t="s">
        <v>35</v>
      </c>
      <c r="B651" t="s">
        <v>52</v>
      </c>
      <c r="C651" t="s">
        <v>76</v>
      </c>
      <c r="D651">
        <v>0.91900000000000004</v>
      </c>
      <c r="E651">
        <f>Tableau6[[#This Row],[Potential (PJ)]]/3.6</f>
        <v>0.25527777777777777</v>
      </c>
      <c r="F651">
        <v>6.5250000000000004</v>
      </c>
      <c r="G651">
        <f>Tableau6[[#This Row],[Cost (€/GJ)]]*3.6</f>
        <v>23.490000000000002</v>
      </c>
      <c r="H651">
        <v>12.68872359754714</v>
      </c>
      <c r="I651">
        <f>Tableau6[[#This Row],[GHG (kgCO2eq/GJ)]]*3.6</f>
        <v>45.679404951169708</v>
      </c>
      <c r="J651" t="s">
        <v>105</v>
      </c>
      <c r="K651" t="s">
        <v>108</v>
      </c>
    </row>
    <row r="652" spans="1:11" x14ac:dyDescent="0.3">
      <c r="A652" t="s">
        <v>35</v>
      </c>
      <c r="B652" t="s">
        <v>53</v>
      </c>
      <c r="C652" t="s">
        <v>77</v>
      </c>
      <c r="D652">
        <v>8.6</v>
      </c>
      <c r="E652">
        <f>Tableau6[[#This Row],[Potential (PJ)]]/3.6</f>
        <v>2.3888888888888888</v>
      </c>
      <c r="F652">
        <v>3.7798488372093022</v>
      </c>
      <c r="G652">
        <f>Tableau6[[#This Row],[Cost (€/GJ)]]*3.6</f>
        <v>13.607455813953488</v>
      </c>
      <c r="H652">
        <v>3.86607608129234</v>
      </c>
      <c r="I652">
        <f>Tableau6[[#This Row],[GHG (kgCO2eq/GJ)]]*3.6</f>
        <v>13.917873892652425</v>
      </c>
      <c r="J652" t="s">
        <v>104</v>
      </c>
      <c r="K652" t="s">
        <v>108</v>
      </c>
    </row>
    <row r="653" spans="1:11" x14ac:dyDescent="0.3">
      <c r="A653" t="s">
        <v>35</v>
      </c>
      <c r="B653" t="s">
        <v>61</v>
      </c>
      <c r="C653" t="s">
        <v>99</v>
      </c>
      <c r="D653">
        <v>32.4</v>
      </c>
      <c r="E653">
        <f>Tableau6[[#This Row],[Potential (PJ)]]/3.6</f>
        <v>9</v>
      </c>
      <c r="F653">
        <v>1.4042469135802469</v>
      </c>
      <c r="G653">
        <f>Tableau6[[#This Row],[Cost (€/GJ)]]*3.6</f>
        <v>5.0552888888888887</v>
      </c>
      <c r="H653">
        <v>2.9245635910224439</v>
      </c>
      <c r="I653">
        <f>Tableau6[[#This Row],[GHG (kgCO2eq/GJ)]]*3.6</f>
        <v>10.528428927680798</v>
      </c>
      <c r="J653" t="s">
        <v>104</v>
      </c>
      <c r="K653" t="s">
        <v>108</v>
      </c>
    </row>
    <row r="654" spans="1:11" x14ac:dyDescent="0.3">
      <c r="A654" t="s">
        <v>35</v>
      </c>
      <c r="B654" t="s">
        <v>62</v>
      </c>
      <c r="C654" t="s">
        <v>100</v>
      </c>
      <c r="D654">
        <v>5.3</v>
      </c>
      <c r="E654">
        <f>Tableau6[[#This Row],[Potential (PJ)]]/3.6</f>
        <v>1.4722222222222221</v>
      </c>
      <c r="F654">
        <v>9.0566037735849064E-2</v>
      </c>
      <c r="G654">
        <f>Tableau6[[#This Row],[Cost (€/GJ)]]*3.6</f>
        <v>0.32603773584905665</v>
      </c>
      <c r="H654">
        <v>2.6764106050305911</v>
      </c>
      <c r="I654">
        <f>Tableau6[[#This Row],[GHG (kgCO2eq/GJ)]]*3.6</f>
        <v>9.6350781781101276</v>
      </c>
      <c r="J654" t="s">
        <v>104</v>
      </c>
      <c r="K654" t="s">
        <v>108</v>
      </c>
    </row>
    <row r="655" spans="1:11" x14ac:dyDescent="0.3">
      <c r="A655" t="s">
        <v>35</v>
      </c>
      <c r="B655" t="s">
        <v>54</v>
      </c>
      <c r="C655" t="s">
        <v>78</v>
      </c>
      <c r="D655">
        <v>178.1</v>
      </c>
      <c r="E655">
        <f>Tableau6[[#This Row],[Potential (PJ)]]/3.6</f>
        <v>49.472222222222221</v>
      </c>
      <c r="F655">
        <v>3.7242459292532288</v>
      </c>
      <c r="G655">
        <f>Tableau6[[#This Row],[Cost (€/GJ)]]*3.6</f>
        <v>13.407285345311625</v>
      </c>
      <c r="H655">
        <v>3.86607608129234</v>
      </c>
      <c r="I655">
        <f>Tableau6[[#This Row],[GHG (kgCO2eq/GJ)]]*3.6</f>
        <v>13.917873892652425</v>
      </c>
      <c r="J655" t="s">
        <v>104</v>
      </c>
      <c r="K655" t="s">
        <v>108</v>
      </c>
    </row>
    <row r="656" spans="1:11" x14ac:dyDescent="0.3">
      <c r="A656" t="s">
        <v>36</v>
      </c>
      <c r="B656" t="s">
        <v>46</v>
      </c>
      <c r="C656" t="s">
        <v>63</v>
      </c>
      <c r="D656">
        <v>0.95459999999999989</v>
      </c>
      <c r="E656">
        <f>Tableau6[[#This Row],[Potential (PJ)]]/3.6</f>
        <v>0.26516666666666661</v>
      </c>
      <c r="F656">
        <v>2.9286474973375931</v>
      </c>
      <c r="G656">
        <f>Tableau6[[#This Row],[Cost (€/GJ)]]*3.6</f>
        <v>10.543130990415335</v>
      </c>
      <c r="H656">
        <v>3.950479233226837</v>
      </c>
      <c r="I656">
        <f>Tableau6[[#This Row],[GHG (kgCO2eq/GJ)]]*3.6</f>
        <v>14.221725239616614</v>
      </c>
      <c r="J656" t="s">
        <v>104</v>
      </c>
      <c r="K656" t="s">
        <v>108</v>
      </c>
    </row>
    <row r="657" spans="1:11" x14ac:dyDescent="0.3">
      <c r="A657" t="s">
        <v>36</v>
      </c>
      <c r="B657" t="s">
        <v>46</v>
      </c>
      <c r="C657" t="s">
        <v>64</v>
      </c>
      <c r="D657">
        <v>0.24068000000000001</v>
      </c>
      <c r="E657">
        <f>Tableau6[[#This Row],[Potential (PJ)]]/3.6</f>
        <v>6.6855555555555557E-2</v>
      </c>
      <c r="F657">
        <v>6.8549982964932683</v>
      </c>
      <c r="G657">
        <f>Tableau6[[#This Row],[Cost (€/GJ)]]*3.6</f>
        <v>24.677993867375765</v>
      </c>
      <c r="H657">
        <v>2.9521711768407801</v>
      </c>
      <c r="I657">
        <f>Tableau6[[#This Row],[GHG (kgCO2eq/GJ)]]*3.6</f>
        <v>10.627816236626808</v>
      </c>
      <c r="J657" t="s">
        <v>104</v>
      </c>
      <c r="K657" t="s">
        <v>108</v>
      </c>
    </row>
    <row r="658" spans="1:11" x14ac:dyDescent="0.3">
      <c r="A658" t="s">
        <v>36</v>
      </c>
      <c r="B658" t="s">
        <v>46</v>
      </c>
      <c r="C658" t="s">
        <v>65</v>
      </c>
      <c r="D658">
        <v>1.2</v>
      </c>
      <c r="E658">
        <f>Tableau6[[#This Row],[Potential (PJ)]]/3.6</f>
        <v>0.33333333333333331</v>
      </c>
      <c r="F658">
        <v>4.4943333333333344</v>
      </c>
      <c r="G658">
        <f>Tableau6[[#This Row],[Cost (€/GJ)]]*3.6</f>
        <v>16.179600000000004</v>
      </c>
      <c r="H658">
        <v>2.9521711768407801</v>
      </c>
      <c r="I658">
        <f>Tableau6[[#This Row],[GHG (kgCO2eq/GJ)]]*3.6</f>
        <v>10.627816236626808</v>
      </c>
      <c r="J658" t="s">
        <v>104</v>
      </c>
      <c r="K658" t="s">
        <v>108</v>
      </c>
    </row>
    <row r="659" spans="1:11" x14ac:dyDescent="0.3">
      <c r="A659" t="s">
        <v>36</v>
      </c>
      <c r="B659" t="s">
        <v>46</v>
      </c>
      <c r="C659" t="s">
        <v>102</v>
      </c>
      <c r="D659">
        <v>0.2</v>
      </c>
      <c r="E659">
        <f>Tableau6[[#This Row],[Potential (PJ)]]/3.6</f>
        <v>5.5555555555555559E-2</v>
      </c>
      <c r="F659">
        <v>4.1749999999999998</v>
      </c>
      <c r="G659">
        <f>Tableau6[[#This Row],[Cost (€/GJ)]]*3.6</f>
        <v>15.03</v>
      </c>
      <c r="H659">
        <v>2.9521711768407801</v>
      </c>
      <c r="I659">
        <f>Tableau6[[#This Row],[GHG (kgCO2eq/GJ)]]*3.6</f>
        <v>10.627816236626808</v>
      </c>
      <c r="J659" t="s">
        <v>104</v>
      </c>
      <c r="K659" t="s">
        <v>108</v>
      </c>
    </row>
    <row r="660" spans="1:11" x14ac:dyDescent="0.3">
      <c r="A660" t="s">
        <v>36</v>
      </c>
      <c r="B660" t="s">
        <v>46</v>
      </c>
      <c r="C660" t="s">
        <v>80</v>
      </c>
      <c r="D660">
        <v>0.1857</v>
      </c>
      <c r="E660">
        <f>Tableau6[[#This Row],[Potential (PJ)]]/3.6</f>
        <v>5.1583333333333335E-2</v>
      </c>
      <c r="F660">
        <v>0.36952124072825349</v>
      </c>
      <c r="G660">
        <f>Tableau6[[#This Row],[Cost (€/GJ)]]*3.6</f>
        <v>1.3302764666217126</v>
      </c>
      <c r="H660">
        <v>28.139870918023309</v>
      </c>
      <c r="I660">
        <f>Tableau6[[#This Row],[GHG (kgCO2eq/GJ)]]*3.6</f>
        <v>101.30353530488391</v>
      </c>
      <c r="J660" t="s">
        <v>105</v>
      </c>
      <c r="K660" t="s">
        <v>108</v>
      </c>
    </row>
    <row r="661" spans="1:11" x14ac:dyDescent="0.3">
      <c r="A661" t="s">
        <v>36</v>
      </c>
      <c r="B661" t="s">
        <v>46</v>
      </c>
      <c r="C661" t="s">
        <v>81</v>
      </c>
      <c r="D661">
        <v>0.77140000000000009</v>
      </c>
      <c r="E661">
        <f>Tableau6[[#This Row],[Potential (PJ)]]/3.6</f>
        <v>0.21427777777777779</v>
      </c>
      <c r="F661">
        <v>1.463572267920094</v>
      </c>
      <c r="G661">
        <f>Tableau6[[#This Row],[Cost (€/GJ)]]*3.6</f>
        <v>5.2688601645123381</v>
      </c>
      <c r="H661">
        <v>8.9647473560517046</v>
      </c>
      <c r="I661">
        <f>Tableau6[[#This Row],[GHG (kgCO2eq/GJ)]]*3.6</f>
        <v>32.273090481786134</v>
      </c>
      <c r="J661" t="s">
        <v>105</v>
      </c>
      <c r="K661" t="s">
        <v>108</v>
      </c>
    </row>
    <row r="662" spans="1:11" x14ac:dyDescent="0.3">
      <c r="A662" t="s">
        <v>36</v>
      </c>
      <c r="B662" t="s">
        <v>46</v>
      </c>
      <c r="C662" t="s">
        <v>66</v>
      </c>
      <c r="D662">
        <v>1.1000000000000001</v>
      </c>
      <c r="E662">
        <f>Tableau6[[#This Row],[Potential (PJ)]]/3.6</f>
        <v>0.30555555555555558</v>
      </c>
      <c r="F662">
        <v>2.432818181818182</v>
      </c>
      <c r="G662">
        <f>Tableau6[[#This Row],[Cost (€/GJ)]]*3.6</f>
        <v>8.7581454545454562</v>
      </c>
      <c r="H662">
        <v>6.8428961748633883</v>
      </c>
      <c r="I662">
        <f>Tableau6[[#This Row],[GHG (kgCO2eq/GJ)]]*3.6</f>
        <v>24.634426229508197</v>
      </c>
      <c r="J662" t="s">
        <v>104</v>
      </c>
      <c r="K662" t="s">
        <v>108</v>
      </c>
    </row>
    <row r="663" spans="1:11" x14ac:dyDescent="0.3">
      <c r="A663" t="s">
        <v>36</v>
      </c>
      <c r="B663" t="s">
        <v>46</v>
      </c>
      <c r="C663" t="s">
        <v>67</v>
      </c>
      <c r="D663">
        <v>2.4</v>
      </c>
      <c r="E663">
        <f>Tableau6[[#This Row],[Potential (PJ)]]/3.6</f>
        <v>0.66666666666666663</v>
      </c>
      <c r="F663">
        <v>5.5377916666666671</v>
      </c>
      <c r="G663">
        <f>Tableau6[[#This Row],[Cost (€/GJ)]]*3.6</f>
        <v>19.936050000000002</v>
      </c>
      <c r="H663">
        <v>2.9521711768407801</v>
      </c>
      <c r="I663">
        <f>Tableau6[[#This Row],[GHG (kgCO2eq/GJ)]]*3.6</f>
        <v>10.627816236626808</v>
      </c>
      <c r="J663" t="s">
        <v>104</v>
      </c>
      <c r="K663" t="s">
        <v>108</v>
      </c>
    </row>
    <row r="664" spans="1:11" x14ac:dyDescent="0.3">
      <c r="A664" t="s">
        <v>36</v>
      </c>
      <c r="B664" t="s">
        <v>46</v>
      </c>
      <c r="C664" t="s">
        <v>82</v>
      </c>
      <c r="D664">
        <v>0.4</v>
      </c>
      <c r="E664">
        <f>Tableau6[[#This Row],[Potential (PJ)]]/3.6</f>
        <v>0.11111111111111112</v>
      </c>
      <c r="F664">
        <v>1.542</v>
      </c>
      <c r="G664">
        <f>Tableau6[[#This Row],[Cost (€/GJ)]]*3.6</f>
        <v>5.5512000000000006</v>
      </c>
      <c r="H664">
        <v>6.8428961748633883</v>
      </c>
      <c r="I664">
        <f>Tableau6[[#This Row],[GHG (kgCO2eq/GJ)]]*3.6</f>
        <v>24.634426229508197</v>
      </c>
      <c r="J664" t="s">
        <v>104</v>
      </c>
      <c r="K664" t="s">
        <v>108</v>
      </c>
    </row>
    <row r="665" spans="1:11" x14ac:dyDescent="0.3">
      <c r="A665" t="s">
        <v>36</v>
      </c>
      <c r="B665" t="s">
        <v>46</v>
      </c>
      <c r="C665" t="s">
        <v>83</v>
      </c>
      <c r="D665">
        <v>0.94825000000000004</v>
      </c>
      <c r="E665">
        <f>Tableau6[[#This Row],[Potential (PJ)]]/3.6</f>
        <v>0.26340277777777776</v>
      </c>
      <c r="F665">
        <v>2.266966770366464</v>
      </c>
      <c r="G665">
        <f>Tableau6[[#This Row],[Cost (€/GJ)]]*3.6</f>
        <v>8.1610803733192707</v>
      </c>
      <c r="H665">
        <v>6.8428961748633883</v>
      </c>
      <c r="I665">
        <f>Tableau6[[#This Row],[GHG (kgCO2eq/GJ)]]*3.6</f>
        <v>24.634426229508197</v>
      </c>
      <c r="J665" t="s">
        <v>104</v>
      </c>
      <c r="K665" t="s">
        <v>108</v>
      </c>
    </row>
    <row r="666" spans="1:11" x14ac:dyDescent="0.3">
      <c r="A666" t="s">
        <v>36</v>
      </c>
      <c r="B666" t="s">
        <v>46</v>
      </c>
      <c r="C666" t="s">
        <v>85</v>
      </c>
      <c r="D666">
        <v>1.4</v>
      </c>
      <c r="E666">
        <f>Tableau6[[#This Row],[Potential (PJ)]]/3.6</f>
        <v>0.38888888888888884</v>
      </c>
      <c r="F666">
        <v>3.2915714285714279</v>
      </c>
      <c r="G666">
        <f>Tableau6[[#This Row],[Cost (€/GJ)]]*3.6</f>
        <v>11.84965714285714</v>
      </c>
      <c r="H666">
        <v>2.9521711768407801</v>
      </c>
      <c r="I666">
        <f>Tableau6[[#This Row],[GHG (kgCO2eq/GJ)]]*3.6</f>
        <v>10.627816236626808</v>
      </c>
      <c r="J666" t="s">
        <v>104</v>
      </c>
      <c r="K666" t="s">
        <v>108</v>
      </c>
    </row>
    <row r="667" spans="1:11" x14ac:dyDescent="0.3">
      <c r="A667" t="s">
        <v>36</v>
      </c>
      <c r="B667" t="s">
        <v>55</v>
      </c>
      <c r="C667" t="s">
        <v>86</v>
      </c>
      <c r="D667">
        <v>6.6299999999999998E-2</v>
      </c>
      <c r="E667">
        <f>Tableau6[[#This Row],[Potential (PJ)]]/3.6</f>
        <v>1.8416666666666665E-2</v>
      </c>
      <c r="F667">
        <v>13.714</v>
      </c>
      <c r="G667">
        <f>Tableau6[[#This Row],[Cost (€/GJ)]]*3.6</f>
        <v>49.370400000000004</v>
      </c>
      <c r="H667">
        <v>22.9</v>
      </c>
      <c r="I667">
        <f>Tableau6[[#This Row],[GHG (kgCO2eq/GJ)]]*3.6</f>
        <v>82.44</v>
      </c>
      <c r="J667" t="s">
        <v>106</v>
      </c>
      <c r="K667" t="s">
        <v>109</v>
      </c>
    </row>
    <row r="668" spans="1:11" x14ac:dyDescent="0.3">
      <c r="A668" t="s">
        <v>36</v>
      </c>
      <c r="B668" t="s">
        <v>55</v>
      </c>
      <c r="C668" t="s">
        <v>88</v>
      </c>
      <c r="D668">
        <v>0.11360000000000001</v>
      </c>
      <c r="E668">
        <f>Tableau6[[#This Row],[Potential (PJ)]]/3.6</f>
        <v>3.1555555555555559E-2</v>
      </c>
      <c r="F668">
        <v>12.385</v>
      </c>
      <c r="G668">
        <f>Tableau6[[#This Row],[Cost (€/GJ)]]*3.6</f>
        <v>44.585999999999999</v>
      </c>
      <c r="H668">
        <v>22.9</v>
      </c>
      <c r="I668">
        <f>Tableau6[[#This Row],[GHG (kgCO2eq/GJ)]]*3.6</f>
        <v>82.44</v>
      </c>
      <c r="J668" t="s">
        <v>106</v>
      </c>
      <c r="K668" t="s">
        <v>109</v>
      </c>
    </row>
    <row r="669" spans="1:11" x14ac:dyDescent="0.3">
      <c r="A669" t="s">
        <v>36</v>
      </c>
      <c r="B669" t="s">
        <v>56</v>
      </c>
      <c r="C669" t="s">
        <v>93</v>
      </c>
      <c r="D669">
        <v>0.22189999999999999</v>
      </c>
      <c r="E669">
        <f>Tableau6[[#This Row],[Potential (PJ)]]/3.6</f>
        <v>6.1638888888888882E-2</v>
      </c>
      <c r="F669">
        <v>2.939759036144578</v>
      </c>
      <c r="G669">
        <f>Tableau6[[#This Row],[Cost (€/GJ)]]*3.6</f>
        <v>10.583132530120482</v>
      </c>
      <c r="H669">
        <v>26.7</v>
      </c>
      <c r="I669">
        <f>Tableau6[[#This Row],[GHG (kgCO2eq/GJ)]]*3.6</f>
        <v>96.12</v>
      </c>
      <c r="J669" t="s">
        <v>106</v>
      </c>
      <c r="K669" t="s">
        <v>109</v>
      </c>
    </row>
    <row r="670" spans="1:11" x14ac:dyDescent="0.3">
      <c r="A670" t="s">
        <v>36</v>
      </c>
      <c r="B670" t="s">
        <v>47</v>
      </c>
      <c r="C670" t="s">
        <v>68</v>
      </c>
      <c r="D670">
        <v>22.3</v>
      </c>
      <c r="E670">
        <f>Tableau6[[#This Row],[Potential (PJ)]]/3.6</f>
        <v>6.1944444444444446</v>
      </c>
      <c r="F670">
        <v>4.3394304932735421</v>
      </c>
      <c r="G670">
        <f>Tableau6[[#This Row],[Cost (€/GJ)]]*3.6</f>
        <v>15.621949775784753</v>
      </c>
      <c r="H670">
        <v>8.1</v>
      </c>
      <c r="I670">
        <f>Tableau6[[#This Row],[GHG (kgCO2eq/GJ)]]*3.6</f>
        <v>29.16</v>
      </c>
      <c r="J670" t="s">
        <v>104</v>
      </c>
      <c r="K670" t="s">
        <v>109</v>
      </c>
    </row>
    <row r="671" spans="1:11" x14ac:dyDescent="0.3">
      <c r="A671" t="s">
        <v>36</v>
      </c>
      <c r="B671" t="s">
        <v>47</v>
      </c>
      <c r="C671" t="s">
        <v>69</v>
      </c>
      <c r="D671">
        <v>13.7</v>
      </c>
      <c r="E671">
        <f>Tableau6[[#This Row],[Potential (PJ)]]/3.6</f>
        <v>3.8055555555555554</v>
      </c>
      <c r="F671">
        <v>4.7114817518248184</v>
      </c>
      <c r="G671">
        <f>Tableau6[[#This Row],[Cost (€/GJ)]]*3.6</f>
        <v>16.961334306569348</v>
      </c>
      <c r="H671">
        <v>8.1</v>
      </c>
      <c r="I671">
        <f>Tableau6[[#This Row],[GHG (kgCO2eq/GJ)]]*3.6</f>
        <v>29.16</v>
      </c>
      <c r="J671" t="s">
        <v>104</v>
      </c>
      <c r="K671" t="s">
        <v>109</v>
      </c>
    </row>
    <row r="672" spans="1:11" x14ac:dyDescent="0.3">
      <c r="A672" t="s">
        <v>36</v>
      </c>
      <c r="B672" t="s">
        <v>48</v>
      </c>
      <c r="C672" t="s">
        <v>70</v>
      </c>
      <c r="D672">
        <v>5.6999999999999993</v>
      </c>
      <c r="E672">
        <f>Tableau6[[#This Row],[Potential (PJ)]]/3.6</f>
        <v>1.583333333333333</v>
      </c>
      <c r="F672">
        <v>11.241</v>
      </c>
      <c r="G672">
        <f>Tableau6[[#This Row],[Cost (€/GJ)]]*3.6</f>
        <v>40.467599999999997</v>
      </c>
      <c r="H672">
        <v>0</v>
      </c>
      <c r="I672">
        <f>Tableau6[[#This Row],[GHG (kgCO2eq/GJ)]]*3.6</f>
        <v>0</v>
      </c>
      <c r="J672" t="s">
        <v>104</v>
      </c>
      <c r="K672" t="s">
        <v>109</v>
      </c>
    </row>
    <row r="673" spans="1:11" x14ac:dyDescent="0.3">
      <c r="A673" t="s">
        <v>36</v>
      </c>
      <c r="B673" t="s">
        <v>49</v>
      </c>
      <c r="C673" t="s">
        <v>71</v>
      </c>
      <c r="D673">
        <v>132.1294</v>
      </c>
      <c r="E673">
        <f>Tableau6[[#This Row],[Potential (PJ)]]/3.6</f>
        <v>36.702611111111111</v>
      </c>
      <c r="F673">
        <v>5.2360594055524361</v>
      </c>
      <c r="G673">
        <f>Tableau6[[#This Row],[Cost (€/GJ)]]*3.6</f>
        <v>18.849813859988771</v>
      </c>
      <c r="H673">
        <v>3.86607608129234</v>
      </c>
      <c r="I673">
        <f>Tableau6[[#This Row],[GHG (kgCO2eq/GJ)]]*3.6</f>
        <v>13.917873892652425</v>
      </c>
      <c r="J673" t="s">
        <v>104</v>
      </c>
      <c r="K673" t="s">
        <v>108</v>
      </c>
    </row>
    <row r="674" spans="1:11" x14ac:dyDescent="0.3">
      <c r="A674" t="s">
        <v>36</v>
      </c>
      <c r="B674" t="s">
        <v>49</v>
      </c>
      <c r="C674" t="s">
        <v>72</v>
      </c>
      <c r="D674">
        <v>3.5</v>
      </c>
      <c r="E674">
        <f>Tableau6[[#This Row],[Potential (PJ)]]/3.6</f>
        <v>0.97222222222222221</v>
      </c>
      <c r="F674">
        <v>4.1932285714285724</v>
      </c>
      <c r="G674">
        <f>Tableau6[[#This Row],[Cost (€/GJ)]]*3.6</f>
        <v>15.09562285714286</v>
      </c>
      <c r="H674">
        <v>3.86607608129234</v>
      </c>
      <c r="I674">
        <f>Tableau6[[#This Row],[GHG (kgCO2eq/GJ)]]*3.6</f>
        <v>13.917873892652425</v>
      </c>
      <c r="J674" t="s">
        <v>104</v>
      </c>
      <c r="K674" t="s">
        <v>108</v>
      </c>
    </row>
    <row r="675" spans="1:11" x14ac:dyDescent="0.3">
      <c r="A675" t="s">
        <v>36</v>
      </c>
      <c r="B675" t="s">
        <v>58</v>
      </c>
      <c r="C675" t="s">
        <v>95</v>
      </c>
      <c r="D675">
        <v>10.932320000000001</v>
      </c>
      <c r="E675">
        <f>Tableau6[[#This Row],[Potential (PJ)]]/3.6</f>
        <v>3.0367555555555557</v>
      </c>
      <c r="F675">
        <v>2.661</v>
      </c>
      <c r="G675">
        <f>Tableau6[[#This Row],[Cost (€/GJ)]]*3.6</f>
        <v>9.579600000000001</v>
      </c>
      <c r="H675">
        <v>2.9521711768407801</v>
      </c>
      <c r="I675">
        <f>Tableau6[[#This Row],[GHG (kgCO2eq/GJ)]]*3.6</f>
        <v>10.627816236626808</v>
      </c>
      <c r="J675" t="s">
        <v>104</v>
      </c>
      <c r="K675" t="s">
        <v>108</v>
      </c>
    </row>
    <row r="676" spans="1:11" x14ac:dyDescent="0.3">
      <c r="A676" t="s">
        <v>36</v>
      </c>
      <c r="B676" t="s">
        <v>50</v>
      </c>
      <c r="C676" t="s">
        <v>73</v>
      </c>
      <c r="D676">
        <v>2.6</v>
      </c>
      <c r="E676">
        <f>Tableau6[[#This Row],[Potential (PJ)]]/3.6</f>
        <v>0.72222222222222221</v>
      </c>
      <c r="F676">
        <v>5.0742307692307689</v>
      </c>
      <c r="G676">
        <f>Tableau6[[#This Row],[Cost (€/GJ)]]*3.6</f>
        <v>18.267230769230768</v>
      </c>
      <c r="H676">
        <v>20.723404255319149</v>
      </c>
      <c r="I676">
        <f>Tableau6[[#This Row],[GHG (kgCO2eq/GJ)]]*3.6</f>
        <v>74.604255319148933</v>
      </c>
      <c r="J676" t="s">
        <v>105</v>
      </c>
      <c r="K676" t="s">
        <v>108</v>
      </c>
    </row>
    <row r="677" spans="1:11" x14ac:dyDescent="0.3">
      <c r="A677" t="s">
        <v>36</v>
      </c>
      <c r="B677" t="s">
        <v>50</v>
      </c>
      <c r="C677" t="s">
        <v>74</v>
      </c>
      <c r="D677">
        <v>29.9</v>
      </c>
      <c r="E677">
        <f>Tableau6[[#This Row],[Potential (PJ)]]/3.6</f>
        <v>8.3055555555555554</v>
      </c>
      <c r="F677">
        <v>3.7763377926421411</v>
      </c>
      <c r="G677">
        <f>Tableau6[[#This Row],[Cost (€/GJ)]]*3.6</f>
        <v>13.594816053511709</v>
      </c>
      <c r="H677">
        <v>2.0635593220338988</v>
      </c>
      <c r="I677">
        <f>Tableau6[[#This Row],[GHG (kgCO2eq/GJ)]]*3.6</f>
        <v>7.4288135593220357</v>
      </c>
      <c r="J677" t="s">
        <v>105</v>
      </c>
      <c r="K677" t="s">
        <v>108</v>
      </c>
    </row>
    <row r="678" spans="1:11" x14ac:dyDescent="0.3">
      <c r="A678" t="s">
        <v>36</v>
      </c>
      <c r="B678" t="s">
        <v>59</v>
      </c>
      <c r="C678" t="s">
        <v>97</v>
      </c>
      <c r="D678">
        <v>1.0636000000000001</v>
      </c>
      <c r="E678">
        <f>Tableau6[[#This Row],[Potential (PJ)]]/3.6</f>
        <v>0.29544444444444445</v>
      </c>
      <c r="F678">
        <v>36.353771025501899</v>
      </c>
      <c r="G678">
        <f>Tableau6[[#This Row],[Cost (€/GJ)]]*3.6</f>
        <v>130.87357569180685</v>
      </c>
      <c r="H678">
        <v>36.299999999999997</v>
      </c>
      <c r="I678">
        <f>Tableau6[[#This Row],[GHG (kgCO2eq/GJ)]]*3.6</f>
        <v>130.68</v>
      </c>
      <c r="J678" t="s">
        <v>107</v>
      </c>
      <c r="K678" t="s">
        <v>109</v>
      </c>
    </row>
    <row r="679" spans="1:11" x14ac:dyDescent="0.3">
      <c r="A679" t="s">
        <v>36</v>
      </c>
      <c r="B679" t="s">
        <v>51</v>
      </c>
      <c r="C679" t="s">
        <v>75</v>
      </c>
      <c r="D679">
        <v>11.59877</v>
      </c>
      <c r="E679">
        <f>Tableau6[[#This Row],[Potential (PJ)]]/3.6</f>
        <v>3.2218805555555554</v>
      </c>
      <c r="F679">
        <v>4.5662088836647902E-3</v>
      </c>
      <c r="G679">
        <f>Tableau6[[#This Row],[Cost (€/GJ)]]*3.6</f>
        <v>1.6438351981193245E-2</v>
      </c>
      <c r="H679">
        <v>11.74</v>
      </c>
      <c r="I679">
        <f>Tableau6[[#This Row],[GHG (kgCO2eq/GJ)]]*3.6</f>
        <v>42.264000000000003</v>
      </c>
      <c r="J679" t="s">
        <v>104</v>
      </c>
      <c r="K679" t="s">
        <v>108</v>
      </c>
    </row>
    <row r="680" spans="1:11" x14ac:dyDescent="0.3">
      <c r="A680" t="s">
        <v>36</v>
      </c>
      <c r="B680" t="s">
        <v>52</v>
      </c>
      <c r="C680" t="s">
        <v>76</v>
      </c>
      <c r="D680">
        <v>0.46899999999999997</v>
      </c>
      <c r="E680">
        <f>Tableau6[[#This Row],[Potential (PJ)]]/3.6</f>
        <v>0.13027777777777777</v>
      </c>
      <c r="F680">
        <v>6.5250000000000004</v>
      </c>
      <c r="G680">
        <f>Tableau6[[#This Row],[Cost (€/GJ)]]*3.6</f>
        <v>23.490000000000002</v>
      </c>
      <c r="H680">
        <v>12.68872359754714</v>
      </c>
      <c r="I680">
        <f>Tableau6[[#This Row],[GHG (kgCO2eq/GJ)]]*3.6</f>
        <v>45.679404951169708</v>
      </c>
      <c r="J680" t="s">
        <v>105</v>
      </c>
      <c r="K680" t="s">
        <v>108</v>
      </c>
    </row>
    <row r="681" spans="1:11" x14ac:dyDescent="0.3">
      <c r="A681" t="s">
        <v>36</v>
      </c>
      <c r="B681" t="s">
        <v>53</v>
      </c>
      <c r="C681" t="s">
        <v>77</v>
      </c>
      <c r="D681">
        <v>0.9</v>
      </c>
      <c r="E681">
        <f>Tableau6[[#This Row],[Potential (PJ)]]/3.6</f>
        <v>0.25</v>
      </c>
      <c r="F681">
        <v>4.1936666666666662</v>
      </c>
      <c r="G681">
        <f>Tableau6[[#This Row],[Cost (€/GJ)]]*3.6</f>
        <v>15.097199999999999</v>
      </c>
      <c r="H681">
        <v>3.86607608129234</v>
      </c>
      <c r="I681">
        <f>Tableau6[[#This Row],[GHG (kgCO2eq/GJ)]]*3.6</f>
        <v>13.917873892652425</v>
      </c>
      <c r="J681" t="s">
        <v>104</v>
      </c>
      <c r="K681" t="s">
        <v>108</v>
      </c>
    </row>
    <row r="682" spans="1:11" x14ac:dyDescent="0.3">
      <c r="A682" t="s">
        <v>36</v>
      </c>
      <c r="B682" t="s">
        <v>61</v>
      </c>
      <c r="C682" t="s">
        <v>99</v>
      </c>
      <c r="D682">
        <v>8.8000000000000007</v>
      </c>
      <c r="E682">
        <f>Tableau6[[#This Row],[Potential (PJ)]]/3.6</f>
        <v>2.4444444444444446</v>
      </c>
      <c r="F682">
        <v>1.9753068181818181</v>
      </c>
      <c r="G682">
        <f>Tableau6[[#This Row],[Cost (€/GJ)]]*3.6</f>
        <v>7.1111045454545456</v>
      </c>
      <c r="H682">
        <v>2.9245635910224439</v>
      </c>
      <c r="I682">
        <f>Tableau6[[#This Row],[GHG (kgCO2eq/GJ)]]*3.6</f>
        <v>10.528428927680798</v>
      </c>
      <c r="J682" t="s">
        <v>104</v>
      </c>
      <c r="K682" t="s">
        <v>108</v>
      </c>
    </row>
    <row r="683" spans="1:11" x14ac:dyDescent="0.3">
      <c r="A683" t="s">
        <v>36</v>
      </c>
      <c r="B683" t="s">
        <v>62</v>
      </c>
      <c r="C683" t="s">
        <v>100</v>
      </c>
      <c r="D683">
        <v>1.9</v>
      </c>
      <c r="E683">
        <f>Tableau6[[#This Row],[Potential (PJ)]]/3.6</f>
        <v>0.52777777777777779</v>
      </c>
      <c r="F683">
        <v>0.80526315789473701</v>
      </c>
      <c r="G683">
        <f>Tableau6[[#This Row],[Cost (€/GJ)]]*3.6</f>
        <v>2.8989473684210534</v>
      </c>
      <c r="H683">
        <v>2.6764106050305911</v>
      </c>
      <c r="I683">
        <f>Tableau6[[#This Row],[GHG (kgCO2eq/GJ)]]*3.6</f>
        <v>9.6350781781101276</v>
      </c>
      <c r="J683" t="s">
        <v>104</v>
      </c>
      <c r="K683" t="s">
        <v>108</v>
      </c>
    </row>
    <row r="684" spans="1:11" x14ac:dyDescent="0.3">
      <c r="A684" t="s">
        <v>36</v>
      </c>
      <c r="B684" t="s">
        <v>54</v>
      </c>
      <c r="C684" t="s">
        <v>78</v>
      </c>
      <c r="D684">
        <v>33.9</v>
      </c>
      <c r="E684">
        <f>Tableau6[[#This Row],[Potential (PJ)]]/3.6</f>
        <v>9.4166666666666661</v>
      </c>
      <c r="F684">
        <v>8.8140825958702056</v>
      </c>
      <c r="G684">
        <f>Tableau6[[#This Row],[Cost (€/GJ)]]*3.6</f>
        <v>31.730697345132739</v>
      </c>
      <c r="H684">
        <v>3.86607608129234</v>
      </c>
      <c r="I684">
        <f>Tableau6[[#This Row],[GHG (kgCO2eq/GJ)]]*3.6</f>
        <v>13.917873892652425</v>
      </c>
      <c r="J684" t="s">
        <v>104</v>
      </c>
      <c r="K684" t="s">
        <v>108</v>
      </c>
    </row>
    <row r="685" spans="1:11" x14ac:dyDescent="0.3">
      <c r="A685" t="s">
        <v>37</v>
      </c>
      <c r="B685" t="s">
        <v>46</v>
      </c>
      <c r="C685" t="s">
        <v>64</v>
      </c>
      <c r="D685">
        <v>0.65366000000000002</v>
      </c>
      <c r="E685">
        <f>Tableau6[[#This Row],[Potential (PJ)]]/3.6</f>
        <v>0.18157222222222222</v>
      </c>
      <c r="F685">
        <v>6.4670947128476568</v>
      </c>
      <c r="G685">
        <f>Tableau6[[#This Row],[Cost (€/GJ)]]*3.6</f>
        <v>23.281540966251566</v>
      </c>
      <c r="H685">
        <v>2.9521711768407801</v>
      </c>
      <c r="I685">
        <f>Tableau6[[#This Row],[GHG (kgCO2eq/GJ)]]*3.6</f>
        <v>10.627816236626808</v>
      </c>
      <c r="J685" t="s">
        <v>104</v>
      </c>
      <c r="K685" t="s">
        <v>108</v>
      </c>
    </row>
    <row r="686" spans="1:11" x14ac:dyDescent="0.3">
      <c r="A686" t="s">
        <v>37</v>
      </c>
      <c r="B686" t="s">
        <v>46</v>
      </c>
      <c r="C686" t="s">
        <v>79</v>
      </c>
      <c r="D686">
        <v>33.299999999999997</v>
      </c>
      <c r="E686">
        <f>Tableau6[[#This Row],[Potential (PJ)]]/3.6</f>
        <v>9.2499999999999982</v>
      </c>
      <c r="F686">
        <v>2.7162072072072081</v>
      </c>
      <c r="G686">
        <f>Tableau6[[#This Row],[Cost (€/GJ)]]*3.6</f>
        <v>9.778345945945949</v>
      </c>
      <c r="H686">
        <v>6.8428961748633883</v>
      </c>
      <c r="I686">
        <f>Tableau6[[#This Row],[GHG (kgCO2eq/GJ)]]*3.6</f>
        <v>24.634426229508197</v>
      </c>
      <c r="J686" t="s">
        <v>104</v>
      </c>
      <c r="K686" t="s">
        <v>108</v>
      </c>
    </row>
    <row r="687" spans="1:11" x14ac:dyDescent="0.3">
      <c r="A687" t="s">
        <v>37</v>
      </c>
      <c r="B687" t="s">
        <v>46</v>
      </c>
      <c r="C687" t="s">
        <v>65</v>
      </c>
      <c r="D687">
        <v>1.1000000000000001</v>
      </c>
      <c r="E687">
        <f>Tableau6[[#This Row],[Potential (PJ)]]/3.6</f>
        <v>0.30555555555555558</v>
      </c>
      <c r="F687">
        <v>4.0394545454545456</v>
      </c>
      <c r="G687">
        <f>Tableau6[[#This Row],[Cost (€/GJ)]]*3.6</f>
        <v>14.542036363636365</v>
      </c>
      <c r="H687">
        <v>2.9521711768407801</v>
      </c>
      <c r="I687">
        <f>Tableau6[[#This Row],[GHG (kgCO2eq/GJ)]]*3.6</f>
        <v>10.627816236626808</v>
      </c>
      <c r="J687" t="s">
        <v>104</v>
      </c>
      <c r="K687" t="s">
        <v>108</v>
      </c>
    </row>
    <row r="688" spans="1:11" x14ac:dyDescent="0.3">
      <c r="A688" t="s">
        <v>37</v>
      </c>
      <c r="B688" t="s">
        <v>46</v>
      </c>
      <c r="C688" t="s">
        <v>80</v>
      </c>
      <c r="D688">
        <v>0.99490000000000001</v>
      </c>
      <c r="E688">
        <f>Tableau6[[#This Row],[Potential (PJ)]]/3.6</f>
        <v>0.27636111111111111</v>
      </c>
      <c r="F688">
        <v>1.7687120701281189</v>
      </c>
      <c r="G688">
        <f>Tableau6[[#This Row],[Cost (€/GJ)]]*3.6</f>
        <v>6.3673634524612286</v>
      </c>
      <c r="H688">
        <v>28.139870918023309</v>
      </c>
      <c r="I688">
        <f>Tableau6[[#This Row],[GHG (kgCO2eq/GJ)]]*3.6</f>
        <v>101.30353530488391</v>
      </c>
      <c r="J688" t="s">
        <v>105</v>
      </c>
      <c r="K688" t="s">
        <v>108</v>
      </c>
    </row>
    <row r="689" spans="1:11" x14ac:dyDescent="0.3">
      <c r="A689" t="s">
        <v>37</v>
      </c>
      <c r="B689" t="s">
        <v>46</v>
      </c>
      <c r="C689" t="s">
        <v>81</v>
      </c>
      <c r="D689">
        <v>0.89300000000000002</v>
      </c>
      <c r="E689">
        <f>Tableau6[[#This Row],[Potential (PJ)]]/3.6</f>
        <v>0.24805555555555556</v>
      </c>
      <c r="F689">
        <v>3.96180963572268</v>
      </c>
      <c r="G689">
        <f>Tableau6[[#This Row],[Cost (€/GJ)]]*3.6</f>
        <v>14.262514688601648</v>
      </c>
      <c r="H689">
        <v>8.9647473560517046</v>
      </c>
      <c r="I689">
        <f>Tableau6[[#This Row],[GHG (kgCO2eq/GJ)]]*3.6</f>
        <v>32.273090481786134</v>
      </c>
      <c r="J689" t="s">
        <v>105</v>
      </c>
      <c r="K689" t="s">
        <v>108</v>
      </c>
    </row>
    <row r="690" spans="1:11" x14ac:dyDescent="0.3">
      <c r="A690" t="s">
        <v>37</v>
      </c>
      <c r="B690" t="s">
        <v>46</v>
      </c>
      <c r="C690" t="s">
        <v>66</v>
      </c>
      <c r="D690">
        <v>28.5</v>
      </c>
      <c r="E690">
        <f>Tableau6[[#This Row],[Potential (PJ)]]/3.6</f>
        <v>7.9166666666666661</v>
      </c>
      <c r="F690">
        <v>2.8021508771929819</v>
      </c>
      <c r="G690">
        <f>Tableau6[[#This Row],[Cost (€/GJ)]]*3.6</f>
        <v>10.087743157894735</v>
      </c>
      <c r="H690">
        <v>6.8428961748633883</v>
      </c>
      <c r="I690">
        <f>Tableau6[[#This Row],[GHG (kgCO2eq/GJ)]]*3.6</f>
        <v>24.634426229508197</v>
      </c>
      <c r="J690" t="s">
        <v>104</v>
      </c>
      <c r="K690" t="s">
        <v>108</v>
      </c>
    </row>
    <row r="691" spans="1:11" x14ac:dyDescent="0.3">
      <c r="A691" t="s">
        <v>37</v>
      </c>
      <c r="B691" t="s">
        <v>46</v>
      </c>
      <c r="C691" t="s">
        <v>82</v>
      </c>
      <c r="D691">
        <v>12.5</v>
      </c>
      <c r="E691">
        <f>Tableau6[[#This Row],[Potential (PJ)]]/3.6</f>
        <v>3.4722222222222223</v>
      </c>
      <c r="F691">
        <v>1.7316720000000001</v>
      </c>
      <c r="G691">
        <f>Tableau6[[#This Row],[Cost (€/GJ)]]*3.6</f>
        <v>6.2340192000000005</v>
      </c>
      <c r="H691">
        <v>6.8428961748633883</v>
      </c>
      <c r="I691">
        <f>Tableau6[[#This Row],[GHG (kgCO2eq/GJ)]]*3.6</f>
        <v>24.634426229508197</v>
      </c>
      <c r="J691" t="s">
        <v>104</v>
      </c>
      <c r="K691" t="s">
        <v>108</v>
      </c>
    </row>
    <row r="692" spans="1:11" x14ac:dyDescent="0.3">
      <c r="A692" t="s">
        <v>37</v>
      </c>
      <c r="B692" t="s">
        <v>46</v>
      </c>
      <c r="C692" t="s">
        <v>83</v>
      </c>
      <c r="D692">
        <v>0.30008000000000001</v>
      </c>
      <c r="E692">
        <f>Tableau6[[#This Row],[Potential (PJ)]]/3.6</f>
        <v>8.3355555555555558E-2</v>
      </c>
      <c r="F692">
        <v>2.6574909690749129</v>
      </c>
      <c r="G692">
        <f>Tableau6[[#This Row],[Cost (€/GJ)]]*3.6</f>
        <v>9.566967488669686</v>
      </c>
      <c r="H692">
        <v>6.8428961748633883</v>
      </c>
      <c r="I692">
        <f>Tableau6[[#This Row],[GHG (kgCO2eq/GJ)]]*3.6</f>
        <v>24.634426229508197</v>
      </c>
      <c r="J692" t="s">
        <v>104</v>
      </c>
      <c r="K692" t="s">
        <v>108</v>
      </c>
    </row>
    <row r="693" spans="1:11" x14ac:dyDescent="0.3">
      <c r="A693" t="s">
        <v>37</v>
      </c>
      <c r="B693" t="s">
        <v>46</v>
      </c>
      <c r="C693" t="s">
        <v>84</v>
      </c>
      <c r="D693">
        <v>0.5</v>
      </c>
      <c r="E693">
        <f>Tableau6[[#This Row],[Potential (PJ)]]/3.6</f>
        <v>0.1388888888888889</v>
      </c>
      <c r="F693">
        <v>1.6617999999999999</v>
      </c>
      <c r="G693">
        <f>Tableau6[[#This Row],[Cost (€/GJ)]]*3.6</f>
        <v>5.9824799999999998</v>
      </c>
      <c r="H693">
        <v>28.139870918023309</v>
      </c>
      <c r="I693">
        <f>Tableau6[[#This Row],[GHG (kgCO2eq/GJ)]]*3.6</f>
        <v>101.30353530488391</v>
      </c>
      <c r="J693" t="s">
        <v>105</v>
      </c>
      <c r="K693" t="s">
        <v>108</v>
      </c>
    </row>
    <row r="694" spans="1:11" x14ac:dyDescent="0.3">
      <c r="A694" t="s">
        <v>37</v>
      </c>
      <c r="B694" t="s">
        <v>46</v>
      </c>
      <c r="C694" t="s">
        <v>85</v>
      </c>
      <c r="D694">
        <v>1.4</v>
      </c>
      <c r="E694">
        <f>Tableau6[[#This Row],[Potential (PJ)]]/3.6</f>
        <v>0.38888888888888884</v>
      </c>
      <c r="F694">
        <v>3.8930000000000011</v>
      </c>
      <c r="G694">
        <f>Tableau6[[#This Row],[Cost (€/GJ)]]*3.6</f>
        <v>14.014800000000005</v>
      </c>
      <c r="H694">
        <v>2.9521711768407801</v>
      </c>
      <c r="I694">
        <f>Tableau6[[#This Row],[GHG (kgCO2eq/GJ)]]*3.6</f>
        <v>10.627816236626808</v>
      </c>
      <c r="J694" t="s">
        <v>104</v>
      </c>
      <c r="K694" t="s">
        <v>108</v>
      </c>
    </row>
    <row r="695" spans="1:11" x14ac:dyDescent="0.3">
      <c r="A695" t="s">
        <v>37</v>
      </c>
      <c r="B695" t="s">
        <v>55</v>
      </c>
      <c r="C695" t="s">
        <v>86</v>
      </c>
      <c r="D695">
        <v>2.0528</v>
      </c>
      <c r="E695">
        <f>Tableau6[[#This Row],[Potential (PJ)]]/3.6</f>
        <v>0.57022222222222219</v>
      </c>
      <c r="F695">
        <v>13.375</v>
      </c>
      <c r="G695">
        <f>Tableau6[[#This Row],[Cost (€/GJ)]]*3.6</f>
        <v>48.15</v>
      </c>
      <c r="H695">
        <v>8.6999999999999993</v>
      </c>
      <c r="I695">
        <f>Tableau6[[#This Row],[GHG (kgCO2eq/GJ)]]*3.6</f>
        <v>31.319999999999997</v>
      </c>
      <c r="J695" t="s">
        <v>106</v>
      </c>
      <c r="K695" t="s">
        <v>109</v>
      </c>
    </row>
    <row r="696" spans="1:11" x14ac:dyDescent="0.3">
      <c r="A696" t="s">
        <v>37</v>
      </c>
      <c r="B696" t="s">
        <v>55</v>
      </c>
      <c r="C696" t="s">
        <v>87</v>
      </c>
      <c r="D696">
        <v>0.14499999999999999</v>
      </c>
      <c r="E696">
        <f>Tableau6[[#This Row],[Potential (PJ)]]/3.6</f>
        <v>4.0277777777777773E-2</v>
      </c>
      <c r="F696">
        <v>12.215999999999999</v>
      </c>
      <c r="G696">
        <f>Tableau6[[#This Row],[Cost (€/GJ)]]*3.6</f>
        <v>43.977599999999995</v>
      </c>
      <c r="H696">
        <v>8.6999999999999993</v>
      </c>
      <c r="I696">
        <f>Tableau6[[#This Row],[GHG (kgCO2eq/GJ)]]*3.6</f>
        <v>31.319999999999997</v>
      </c>
      <c r="J696" t="s">
        <v>106</v>
      </c>
      <c r="K696" t="s">
        <v>109</v>
      </c>
    </row>
    <row r="697" spans="1:11" x14ac:dyDescent="0.3">
      <c r="A697" t="s">
        <v>37</v>
      </c>
      <c r="B697" t="s">
        <v>55</v>
      </c>
      <c r="C697" t="s">
        <v>88</v>
      </c>
      <c r="D697">
        <v>15.3911</v>
      </c>
      <c r="E697">
        <f>Tableau6[[#This Row],[Potential (PJ)]]/3.6</f>
        <v>4.2753055555555557</v>
      </c>
      <c r="F697">
        <v>17.085000000000001</v>
      </c>
      <c r="G697">
        <f>Tableau6[[#This Row],[Cost (€/GJ)]]*3.6</f>
        <v>61.506000000000007</v>
      </c>
      <c r="H697">
        <v>8.6999999999999993</v>
      </c>
      <c r="I697">
        <f>Tableau6[[#This Row],[GHG (kgCO2eq/GJ)]]*3.6</f>
        <v>31.319999999999997</v>
      </c>
      <c r="J697" t="s">
        <v>106</v>
      </c>
      <c r="K697" t="s">
        <v>109</v>
      </c>
    </row>
    <row r="698" spans="1:11" x14ac:dyDescent="0.3">
      <c r="A698" t="s">
        <v>37</v>
      </c>
      <c r="B698" t="s">
        <v>55</v>
      </c>
      <c r="C698" t="s">
        <v>89</v>
      </c>
      <c r="D698">
        <v>5.4999999999999997E-3</v>
      </c>
      <c r="E698">
        <f>Tableau6[[#This Row],[Potential (PJ)]]/3.6</f>
        <v>1.5277777777777776E-3</v>
      </c>
      <c r="F698">
        <v>0</v>
      </c>
      <c r="G698">
        <f>Tableau6[[#This Row],[Cost (€/GJ)]]*3.6</f>
        <v>0</v>
      </c>
      <c r="H698">
        <v>8.6999999999999993</v>
      </c>
      <c r="I698">
        <f>Tableau6[[#This Row],[GHG (kgCO2eq/GJ)]]*3.6</f>
        <v>31.319999999999997</v>
      </c>
      <c r="J698" t="s">
        <v>106</v>
      </c>
      <c r="K698" t="s">
        <v>109</v>
      </c>
    </row>
    <row r="699" spans="1:11" x14ac:dyDescent="0.3">
      <c r="A699" t="s">
        <v>37</v>
      </c>
      <c r="B699" t="s">
        <v>55</v>
      </c>
      <c r="C699" t="s">
        <v>92</v>
      </c>
      <c r="D699">
        <v>1.9917400000000001</v>
      </c>
      <c r="E699">
        <f>Tableau6[[#This Row],[Potential (PJ)]]/3.6</f>
        <v>0.55326111111111109</v>
      </c>
      <c r="F699">
        <v>12.215999999999999</v>
      </c>
      <c r="G699">
        <f>Tableau6[[#This Row],[Cost (€/GJ)]]*3.6</f>
        <v>43.977599999999995</v>
      </c>
      <c r="H699">
        <v>8.6999999999999993</v>
      </c>
      <c r="I699">
        <f>Tableau6[[#This Row],[GHG (kgCO2eq/GJ)]]*3.6</f>
        <v>31.319999999999997</v>
      </c>
      <c r="J699" t="s">
        <v>106</v>
      </c>
      <c r="K699" t="s">
        <v>109</v>
      </c>
    </row>
    <row r="700" spans="1:11" x14ac:dyDescent="0.3">
      <c r="A700" t="s">
        <v>37</v>
      </c>
      <c r="B700" t="s">
        <v>56</v>
      </c>
      <c r="C700" t="s">
        <v>93</v>
      </c>
      <c r="D700">
        <v>10.8886</v>
      </c>
      <c r="E700">
        <f>Tableau6[[#This Row],[Potential (PJ)]]/3.6</f>
        <v>3.0246111111111111</v>
      </c>
      <c r="F700">
        <v>2.9493975903614462</v>
      </c>
      <c r="G700">
        <f>Tableau6[[#This Row],[Cost (€/GJ)]]*3.6</f>
        <v>10.617831325301207</v>
      </c>
      <c r="H700">
        <v>34</v>
      </c>
      <c r="I700">
        <f>Tableau6[[#This Row],[GHG (kgCO2eq/GJ)]]*3.6</f>
        <v>122.4</v>
      </c>
      <c r="J700" t="s">
        <v>106</v>
      </c>
      <c r="K700" t="s">
        <v>109</v>
      </c>
    </row>
    <row r="701" spans="1:11" x14ac:dyDescent="0.3">
      <c r="A701" t="s">
        <v>37</v>
      </c>
      <c r="B701" t="s">
        <v>47</v>
      </c>
      <c r="C701" t="s">
        <v>68</v>
      </c>
      <c r="D701">
        <v>185.3</v>
      </c>
      <c r="E701">
        <f>Tableau6[[#This Row],[Potential (PJ)]]/3.6</f>
        <v>51.472222222222221</v>
      </c>
      <c r="F701">
        <v>2.7094365893146239</v>
      </c>
      <c r="G701">
        <f>Tableau6[[#This Row],[Cost (€/GJ)]]*3.6</f>
        <v>9.7539717215326469</v>
      </c>
      <c r="H701">
        <v>16.600000000000001</v>
      </c>
      <c r="I701">
        <f>Tableau6[[#This Row],[GHG (kgCO2eq/GJ)]]*3.6</f>
        <v>59.760000000000005</v>
      </c>
      <c r="J701" t="s">
        <v>104</v>
      </c>
      <c r="K701" t="s">
        <v>109</v>
      </c>
    </row>
    <row r="702" spans="1:11" x14ac:dyDescent="0.3">
      <c r="A702" t="s">
        <v>37</v>
      </c>
      <c r="B702" t="s">
        <v>47</v>
      </c>
      <c r="C702" t="s">
        <v>69</v>
      </c>
      <c r="D702">
        <v>187.4</v>
      </c>
      <c r="E702">
        <f>Tableau6[[#This Row],[Potential (PJ)]]/3.6</f>
        <v>52.055555555555557</v>
      </c>
      <c r="F702">
        <v>2.4560053361792962</v>
      </c>
      <c r="G702">
        <f>Tableau6[[#This Row],[Cost (€/GJ)]]*3.6</f>
        <v>8.8416192102454669</v>
      </c>
      <c r="H702">
        <v>16.600000000000001</v>
      </c>
      <c r="I702">
        <f>Tableau6[[#This Row],[GHG (kgCO2eq/GJ)]]*3.6</f>
        <v>59.760000000000005</v>
      </c>
      <c r="J702" t="s">
        <v>104</v>
      </c>
      <c r="K702" t="s">
        <v>109</v>
      </c>
    </row>
    <row r="703" spans="1:11" x14ac:dyDescent="0.3">
      <c r="A703" t="s">
        <v>37</v>
      </c>
      <c r="B703" t="s">
        <v>57</v>
      </c>
      <c r="C703" t="s">
        <v>94</v>
      </c>
      <c r="D703">
        <v>82.2</v>
      </c>
      <c r="E703">
        <f>Tableau6[[#This Row],[Potential (PJ)]]/3.6</f>
        <v>22.833333333333332</v>
      </c>
      <c r="F703">
        <v>6.7958771289537703</v>
      </c>
      <c r="G703">
        <f>Tableau6[[#This Row],[Cost (€/GJ)]]*3.6</f>
        <v>24.465157664233573</v>
      </c>
      <c r="H703">
        <v>16.600000000000001</v>
      </c>
      <c r="I703">
        <f>Tableau6[[#This Row],[GHG (kgCO2eq/GJ)]]*3.6</f>
        <v>59.760000000000005</v>
      </c>
      <c r="J703" t="s">
        <v>104</v>
      </c>
      <c r="K703" t="s">
        <v>109</v>
      </c>
    </row>
    <row r="704" spans="1:11" x14ac:dyDescent="0.3">
      <c r="A704" t="s">
        <v>37</v>
      </c>
      <c r="B704" t="s">
        <v>49</v>
      </c>
      <c r="C704" t="s">
        <v>71</v>
      </c>
      <c r="D704">
        <v>335.26348000000002</v>
      </c>
      <c r="E704">
        <f>Tableau6[[#This Row],[Potential (PJ)]]/3.6</f>
        <v>93.12874444444445</v>
      </c>
      <c r="F704">
        <v>2.2363365822606149</v>
      </c>
      <c r="G704">
        <f>Tableau6[[#This Row],[Cost (€/GJ)]]*3.6</f>
        <v>8.0508116961382132</v>
      </c>
      <c r="H704">
        <v>3.86607608129234</v>
      </c>
      <c r="I704">
        <f>Tableau6[[#This Row],[GHG (kgCO2eq/GJ)]]*3.6</f>
        <v>13.917873892652425</v>
      </c>
      <c r="J704" t="s">
        <v>104</v>
      </c>
      <c r="K704" t="s">
        <v>108</v>
      </c>
    </row>
    <row r="705" spans="1:11" x14ac:dyDescent="0.3">
      <c r="A705" t="s">
        <v>37</v>
      </c>
      <c r="B705" t="s">
        <v>49</v>
      </c>
      <c r="C705" t="s">
        <v>72</v>
      </c>
      <c r="D705">
        <v>20.399999999999999</v>
      </c>
      <c r="E705">
        <f>Tableau6[[#This Row],[Potential (PJ)]]/3.6</f>
        <v>5.6666666666666661</v>
      </c>
      <c r="F705">
        <v>3.0241813725490201</v>
      </c>
      <c r="G705">
        <f>Tableau6[[#This Row],[Cost (€/GJ)]]*3.6</f>
        <v>10.887052941176472</v>
      </c>
      <c r="H705">
        <v>3.86607608129234</v>
      </c>
      <c r="I705">
        <f>Tableau6[[#This Row],[GHG (kgCO2eq/GJ)]]*3.6</f>
        <v>13.917873892652425</v>
      </c>
      <c r="J705" t="s">
        <v>104</v>
      </c>
      <c r="K705" t="s">
        <v>108</v>
      </c>
    </row>
    <row r="706" spans="1:11" x14ac:dyDescent="0.3">
      <c r="A706" t="s">
        <v>37</v>
      </c>
      <c r="B706" t="s">
        <v>58</v>
      </c>
      <c r="C706" t="s">
        <v>95</v>
      </c>
      <c r="D706">
        <v>40.283470000000001</v>
      </c>
      <c r="E706">
        <f>Tableau6[[#This Row],[Potential (PJ)]]/3.6</f>
        <v>11.189852777777778</v>
      </c>
      <c r="F706">
        <v>2.661</v>
      </c>
      <c r="G706">
        <f>Tableau6[[#This Row],[Cost (€/GJ)]]*3.6</f>
        <v>9.579600000000001</v>
      </c>
      <c r="H706">
        <v>2.9521711768407801</v>
      </c>
      <c r="I706">
        <f>Tableau6[[#This Row],[GHG (kgCO2eq/GJ)]]*3.6</f>
        <v>10.627816236626808</v>
      </c>
      <c r="J706" t="s">
        <v>104</v>
      </c>
      <c r="K706" t="s">
        <v>108</v>
      </c>
    </row>
    <row r="707" spans="1:11" x14ac:dyDescent="0.3">
      <c r="A707" t="s">
        <v>37</v>
      </c>
      <c r="B707" t="s">
        <v>50</v>
      </c>
      <c r="C707" t="s">
        <v>73</v>
      </c>
      <c r="D707">
        <v>3.4</v>
      </c>
      <c r="E707">
        <f>Tableau6[[#This Row],[Potential (PJ)]]/3.6</f>
        <v>0.94444444444444442</v>
      </c>
      <c r="F707">
        <v>4.9504411764705871</v>
      </c>
      <c r="G707">
        <f>Tableau6[[#This Row],[Cost (€/GJ)]]*3.6</f>
        <v>17.821588235294115</v>
      </c>
      <c r="H707">
        <v>20.723404255319149</v>
      </c>
      <c r="I707">
        <f>Tableau6[[#This Row],[GHG (kgCO2eq/GJ)]]*3.6</f>
        <v>74.604255319148933</v>
      </c>
      <c r="J707" t="s">
        <v>105</v>
      </c>
      <c r="K707" t="s">
        <v>108</v>
      </c>
    </row>
    <row r="708" spans="1:11" x14ac:dyDescent="0.3">
      <c r="A708" t="s">
        <v>37</v>
      </c>
      <c r="B708" t="s">
        <v>50</v>
      </c>
      <c r="C708" t="s">
        <v>74</v>
      </c>
      <c r="D708">
        <v>25.1</v>
      </c>
      <c r="E708">
        <f>Tableau6[[#This Row],[Potential (PJ)]]/3.6</f>
        <v>6.9722222222222223</v>
      </c>
      <c r="F708">
        <v>3.2381274900398411</v>
      </c>
      <c r="G708">
        <f>Tableau6[[#This Row],[Cost (€/GJ)]]*3.6</f>
        <v>11.657258964143429</v>
      </c>
      <c r="H708">
        <v>2.0635593220338988</v>
      </c>
      <c r="I708">
        <f>Tableau6[[#This Row],[GHG (kgCO2eq/GJ)]]*3.6</f>
        <v>7.4288135593220357</v>
      </c>
      <c r="J708" t="s">
        <v>105</v>
      </c>
      <c r="K708" t="s">
        <v>108</v>
      </c>
    </row>
    <row r="709" spans="1:11" x14ac:dyDescent="0.3">
      <c r="A709" t="s">
        <v>37</v>
      </c>
      <c r="B709" t="s">
        <v>59</v>
      </c>
      <c r="C709" t="s">
        <v>96</v>
      </c>
      <c r="D709">
        <v>2.2004999999999999</v>
      </c>
      <c r="E709">
        <f>Tableau6[[#This Row],[Potential (PJ)]]/3.6</f>
        <v>0.61124999999999996</v>
      </c>
      <c r="F709">
        <v>19.170999999999999</v>
      </c>
      <c r="G709">
        <f>Tableau6[[#This Row],[Cost (€/GJ)]]*3.6</f>
        <v>69.015600000000006</v>
      </c>
      <c r="H709">
        <v>7.2</v>
      </c>
      <c r="I709">
        <f>Tableau6[[#This Row],[GHG (kgCO2eq/GJ)]]*3.6</f>
        <v>25.92</v>
      </c>
      <c r="J709" t="s">
        <v>107</v>
      </c>
      <c r="K709" t="s">
        <v>109</v>
      </c>
    </row>
    <row r="710" spans="1:11" x14ac:dyDescent="0.3">
      <c r="A710" t="s">
        <v>37</v>
      </c>
      <c r="B710" t="s">
        <v>59</v>
      </c>
      <c r="C710" t="s">
        <v>97</v>
      </c>
      <c r="D710">
        <v>2.9916999999999998</v>
      </c>
      <c r="E710">
        <f>Tableau6[[#This Row],[Potential (PJ)]]/3.6</f>
        <v>0.8310277777777777</v>
      </c>
      <c r="F710">
        <v>15.95225176342919</v>
      </c>
      <c r="G710">
        <f>Tableau6[[#This Row],[Cost (€/GJ)]]*3.6</f>
        <v>57.428106348345089</v>
      </c>
      <c r="H710">
        <v>7.2</v>
      </c>
      <c r="I710">
        <f>Tableau6[[#This Row],[GHG (kgCO2eq/GJ)]]*3.6</f>
        <v>25.92</v>
      </c>
      <c r="J710" t="s">
        <v>107</v>
      </c>
      <c r="K710" t="s">
        <v>109</v>
      </c>
    </row>
    <row r="711" spans="1:11" x14ac:dyDescent="0.3">
      <c r="A711" t="s">
        <v>37</v>
      </c>
      <c r="B711" t="s">
        <v>51</v>
      </c>
      <c r="C711" t="s">
        <v>75</v>
      </c>
      <c r="D711">
        <v>8.0501439999999995</v>
      </c>
      <c r="E711">
        <f>Tableau6[[#This Row],[Potential (PJ)]]/3.6</f>
        <v>2.236151111111111</v>
      </c>
      <c r="F711">
        <v>0.14069241575201899</v>
      </c>
      <c r="G711">
        <f>Tableau6[[#This Row],[Cost (€/GJ)]]*3.6</f>
        <v>0.50649269670726838</v>
      </c>
      <c r="H711">
        <v>11.74</v>
      </c>
      <c r="I711">
        <f>Tableau6[[#This Row],[GHG (kgCO2eq/GJ)]]*3.6</f>
        <v>42.264000000000003</v>
      </c>
      <c r="J711" t="s">
        <v>104</v>
      </c>
      <c r="K711" t="s">
        <v>108</v>
      </c>
    </row>
    <row r="712" spans="1:11" x14ac:dyDescent="0.3">
      <c r="A712" t="s">
        <v>37</v>
      </c>
      <c r="B712" t="s">
        <v>60</v>
      </c>
      <c r="C712" t="s">
        <v>98</v>
      </c>
      <c r="D712">
        <v>7.3623600000000007</v>
      </c>
      <c r="E712">
        <f>Tableau6[[#This Row],[Potential (PJ)]]/3.6</f>
        <v>2.0451000000000001</v>
      </c>
      <c r="F712">
        <v>13.856068743286791</v>
      </c>
      <c r="G712">
        <f>Tableau6[[#This Row],[Cost (€/GJ)]]*3.6</f>
        <v>49.881847475832451</v>
      </c>
      <c r="H712">
        <v>24.7</v>
      </c>
      <c r="I712">
        <f>Tableau6[[#This Row],[GHG (kgCO2eq/GJ)]]*3.6</f>
        <v>88.92</v>
      </c>
      <c r="J712" t="s">
        <v>107</v>
      </c>
      <c r="K712" t="s">
        <v>109</v>
      </c>
    </row>
    <row r="713" spans="1:11" x14ac:dyDescent="0.3">
      <c r="A713" t="s">
        <v>37</v>
      </c>
      <c r="B713" t="s">
        <v>52</v>
      </c>
      <c r="C713" t="s">
        <v>76</v>
      </c>
      <c r="D713">
        <v>1.9E-2</v>
      </c>
      <c r="E713">
        <f>Tableau6[[#This Row],[Potential (PJ)]]/3.6</f>
        <v>5.2777777777777779E-3</v>
      </c>
      <c r="F713">
        <v>6.5250000000000004</v>
      </c>
      <c r="G713">
        <f>Tableau6[[#This Row],[Cost (€/GJ)]]*3.6</f>
        <v>23.490000000000002</v>
      </c>
      <c r="H713">
        <v>12.68872359754714</v>
      </c>
      <c r="I713">
        <f>Tableau6[[#This Row],[GHG (kgCO2eq/GJ)]]*3.6</f>
        <v>45.679404951169708</v>
      </c>
      <c r="J713" t="s">
        <v>105</v>
      </c>
      <c r="K713" t="s">
        <v>108</v>
      </c>
    </row>
    <row r="714" spans="1:11" x14ac:dyDescent="0.3">
      <c r="A714" t="s">
        <v>37</v>
      </c>
      <c r="B714" t="s">
        <v>53</v>
      </c>
      <c r="C714" t="s">
        <v>77</v>
      </c>
      <c r="D714">
        <v>7</v>
      </c>
      <c r="E714">
        <f>Tableau6[[#This Row],[Potential (PJ)]]/3.6</f>
        <v>1.9444444444444444</v>
      </c>
      <c r="F714">
        <v>3.024171428571429</v>
      </c>
      <c r="G714">
        <f>Tableau6[[#This Row],[Cost (€/GJ)]]*3.6</f>
        <v>10.887017142857145</v>
      </c>
      <c r="H714">
        <v>3.86607608129234</v>
      </c>
      <c r="I714">
        <f>Tableau6[[#This Row],[GHG (kgCO2eq/GJ)]]*3.6</f>
        <v>13.917873892652425</v>
      </c>
      <c r="J714" t="s">
        <v>104</v>
      </c>
      <c r="K714" t="s">
        <v>108</v>
      </c>
    </row>
    <row r="715" spans="1:11" x14ac:dyDescent="0.3">
      <c r="A715" t="s">
        <v>37</v>
      </c>
      <c r="B715" t="s">
        <v>61</v>
      </c>
      <c r="C715" t="s">
        <v>99</v>
      </c>
      <c r="D715">
        <v>43.6</v>
      </c>
      <c r="E715">
        <f>Tableau6[[#This Row],[Potential (PJ)]]/3.6</f>
        <v>12.111111111111111</v>
      </c>
      <c r="F715">
        <v>1.4293922018348619</v>
      </c>
      <c r="G715">
        <f>Tableau6[[#This Row],[Cost (€/GJ)]]*3.6</f>
        <v>5.1458119266055027</v>
      </c>
      <c r="H715">
        <v>2.9245635910224439</v>
      </c>
      <c r="I715">
        <f>Tableau6[[#This Row],[GHG (kgCO2eq/GJ)]]*3.6</f>
        <v>10.528428927680798</v>
      </c>
      <c r="J715" t="s">
        <v>104</v>
      </c>
      <c r="K715" t="s">
        <v>108</v>
      </c>
    </row>
    <row r="716" spans="1:11" x14ac:dyDescent="0.3">
      <c r="A716" t="s">
        <v>37</v>
      </c>
      <c r="B716" t="s">
        <v>62</v>
      </c>
      <c r="C716" t="s">
        <v>100</v>
      </c>
      <c r="D716">
        <v>14.5</v>
      </c>
      <c r="E716">
        <f>Tableau6[[#This Row],[Potential (PJ)]]/3.6</f>
        <v>4.0277777777777777</v>
      </c>
      <c r="F716">
        <v>0.49241379310344829</v>
      </c>
      <c r="G716">
        <f>Tableau6[[#This Row],[Cost (€/GJ)]]*3.6</f>
        <v>1.7726896551724138</v>
      </c>
      <c r="H716">
        <v>2.6764106050305911</v>
      </c>
      <c r="I716">
        <f>Tableau6[[#This Row],[GHG (kgCO2eq/GJ)]]*3.6</f>
        <v>9.6350781781101276</v>
      </c>
      <c r="J716" t="s">
        <v>104</v>
      </c>
      <c r="K716" t="s">
        <v>108</v>
      </c>
    </row>
    <row r="717" spans="1:11" x14ac:dyDescent="0.3">
      <c r="A717" t="s">
        <v>37</v>
      </c>
      <c r="B717" t="s">
        <v>54</v>
      </c>
      <c r="C717" t="s">
        <v>78</v>
      </c>
      <c r="D717">
        <v>114.9</v>
      </c>
      <c r="E717">
        <f>Tableau6[[#This Row],[Potential (PJ)]]/3.6</f>
        <v>31.916666666666668</v>
      </c>
      <c r="F717">
        <v>2.9833472584856402</v>
      </c>
      <c r="G717">
        <f>Tableau6[[#This Row],[Cost (€/GJ)]]*3.6</f>
        <v>10.740050130548305</v>
      </c>
      <c r="H717">
        <v>3.86607608129234</v>
      </c>
      <c r="I717">
        <f>Tableau6[[#This Row],[GHG (kgCO2eq/GJ)]]*3.6</f>
        <v>13.917873892652425</v>
      </c>
      <c r="J717" t="s">
        <v>104</v>
      </c>
      <c r="K717" t="s">
        <v>108</v>
      </c>
    </row>
    <row r="718" spans="1:11" x14ac:dyDescent="0.3">
      <c r="A718" t="s">
        <v>38</v>
      </c>
      <c r="B718" t="s">
        <v>46</v>
      </c>
      <c r="C718" t="s">
        <v>64</v>
      </c>
      <c r="D718">
        <v>0.80503999999999998</v>
      </c>
      <c r="E718">
        <f>Tableau6[[#This Row],[Potential (PJ)]]/3.6</f>
        <v>0.22362222222222222</v>
      </c>
      <c r="F718">
        <v>6.2809999999999997</v>
      </c>
      <c r="G718">
        <f>Tableau6[[#This Row],[Cost (€/GJ)]]*3.6</f>
        <v>22.611599999999999</v>
      </c>
      <c r="H718">
        <v>2.9521711768407801</v>
      </c>
      <c r="I718">
        <f>Tableau6[[#This Row],[GHG (kgCO2eq/GJ)]]*3.6</f>
        <v>10.627816236626808</v>
      </c>
      <c r="J718" t="s">
        <v>104</v>
      </c>
      <c r="K718" t="s">
        <v>108</v>
      </c>
    </row>
    <row r="719" spans="1:11" x14ac:dyDescent="0.3">
      <c r="A719" t="s">
        <v>38</v>
      </c>
      <c r="B719" t="s">
        <v>46</v>
      </c>
      <c r="C719" t="s">
        <v>79</v>
      </c>
      <c r="D719">
        <v>7.5</v>
      </c>
      <c r="E719">
        <f>Tableau6[[#This Row],[Potential (PJ)]]/3.6</f>
        <v>2.0833333333333335</v>
      </c>
      <c r="F719">
        <v>3.36</v>
      </c>
      <c r="G719">
        <f>Tableau6[[#This Row],[Cost (€/GJ)]]*3.6</f>
        <v>12.096</v>
      </c>
      <c r="H719">
        <v>6.8428961748633883</v>
      </c>
      <c r="I719">
        <f>Tableau6[[#This Row],[GHG (kgCO2eq/GJ)]]*3.6</f>
        <v>24.634426229508197</v>
      </c>
      <c r="J719" t="s">
        <v>104</v>
      </c>
      <c r="K719" t="s">
        <v>108</v>
      </c>
    </row>
    <row r="720" spans="1:11" x14ac:dyDescent="0.3">
      <c r="A720" t="s">
        <v>38</v>
      </c>
      <c r="B720" t="s">
        <v>46</v>
      </c>
      <c r="C720" t="s">
        <v>65</v>
      </c>
      <c r="D720">
        <v>2.1</v>
      </c>
      <c r="E720">
        <f>Tableau6[[#This Row],[Potential (PJ)]]/3.6</f>
        <v>0.58333333333333337</v>
      </c>
      <c r="F720">
        <v>4.4349999999999996</v>
      </c>
      <c r="G720">
        <f>Tableau6[[#This Row],[Cost (€/GJ)]]*3.6</f>
        <v>15.965999999999999</v>
      </c>
      <c r="H720">
        <v>2.9521711768407801</v>
      </c>
      <c r="I720">
        <f>Tableau6[[#This Row],[GHG (kgCO2eq/GJ)]]*3.6</f>
        <v>10.627816236626808</v>
      </c>
      <c r="J720" t="s">
        <v>104</v>
      </c>
      <c r="K720" t="s">
        <v>108</v>
      </c>
    </row>
    <row r="721" spans="1:11" x14ac:dyDescent="0.3">
      <c r="A721" t="s">
        <v>38</v>
      </c>
      <c r="B721" t="s">
        <v>46</v>
      </c>
      <c r="C721" t="s">
        <v>66</v>
      </c>
      <c r="D721">
        <v>19.600000000000001</v>
      </c>
      <c r="E721">
        <f>Tableau6[[#This Row],[Potential (PJ)]]/3.6</f>
        <v>5.4444444444444446</v>
      </c>
      <c r="F721">
        <v>3.4670000000000001</v>
      </c>
      <c r="G721">
        <f>Tableau6[[#This Row],[Cost (€/GJ)]]*3.6</f>
        <v>12.481200000000001</v>
      </c>
      <c r="H721">
        <v>6.8428961748633883</v>
      </c>
      <c r="I721">
        <f>Tableau6[[#This Row],[GHG (kgCO2eq/GJ)]]*3.6</f>
        <v>24.634426229508197</v>
      </c>
      <c r="J721" t="s">
        <v>104</v>
      </c>
      <c r="K721" t="s">
        <v>108</v>
      </c>
    </row>
    <row r="722" spans="1:11" x14ac:dyDescent="0.3">
      <c r="A722" t="s">
        <v>38</v>
      </c>
      <c r="B722" t="s">
        <v>46</v>
      </c>
      <c r="C722" t="s">
        <v>82</v>
      </c>
      <c r="D722">
        <v>2.6</v>
      </c>
      <c r="E722">
        <f>Tableau6[[#This Row],[Potential (PJ)]]/3.6</f>
        <v>0.72222222222222221</v>
      </c>
      <c r="F722">
        <v>2.1320000000000001</v>
      </c>
      <c r="G722">
        <f>Tableau6[[#This Row],[Cost (€/GJ)]]*3.6</f>
        <v>7.6752000000000002</v>
      </c>
      <c r="H722">
        <v>6.8428961748633883</v>
      </c>
      <c r="I722">
        <f>Tableau6[[#This Row],[GHG (kgCO2eq/GJ)]]*3.6</f>
        <v>24.634426229508197</v>
      </c>
      <c r="J722" t="s">
        <v>104</v>
      </c>
      <c r="K722" t="s">
        <v>108</v>
      </c>
    </row>
    <row r="723" spans="1:11" x14ac:dyDescent="0.3">
      <c r="A723" t="s">
        <v>38</v>
      </c>
      <c r="B723" t="s">
        <v>46</v>
      </c>
      <c r="C723" t="s">
        <v>84</v>
      </c>
      <c r="D723">
        <v>0.7</v>
      </c>
      <c r="E723">
        <f>Tableau6[[#This Row],[Potential (PJ)]]/3.6</f>
        <v>0.19444444444444442</v>
      </c>
      <c r="F723">
        <v>0</v>
      </c>
      <c r="G723">
        <f>Tableau6[[#This Row],[Cost (€/GJ)]]*3.6</f>
        <v>0</v>
      </c>
      <c r="H723">
        <v>28.139870918023309</v>
      </c>
      <c r="I723">
        <f>Tableau6[[#This Row],[GHG (kgCO2eq/GJ)]]*3.6</f>
        <v>101.30353530488391</v>
      </c>
      <c r="J723" t="s">
        <v>105</v>
      </c>
      <c r="K723" t="s">
        <v>108</v>
      </c>
    </row>
    <row r="724" spans="1:11" x14ac:dyDescent="0.3">
      <c r="A724" t="s">
        <v>38</v>
      </c>
      <c r="B724" t="s">
        <v>46</v>
      </c>
      <c r="C724" t="s">
        <v>85</v>
      </c>
      <c r="D724">
        <v>0.7</v>
      </c>
      <c r="E724">
        <f>Tableau6[[#This Row],[Potential (PJ)]]/3.6</f>
        <v>0.19444444444444442</v>
      </c>
      <c r="F724">
        <v>4.1429999999999998</v>
      </c>
      <c r="G724">
        <f>Tableau6[[#This Row],[Cost (€/GJ)]]*3.6</f>
        <v>14.9148</v>
      </c>
      <c r="H724">
        <v>2.9521711768407801</v>
      </c>
      <c r="I724">
        <f>Tableau6[[#This Row],[GHG (kgCO2eq/GJ)]]*3.6</f>
        <v>10.627816236626808</v>
      </c>
      <c r="J724" t="s">
        <v>104</v>
      </c>
      <c r="K724" t="s">
        <v>108</v>
      </c>
    </row>
    <row r="725" spans="1:11" x14ac:dyDescent="0.3">
      <c r="A725" t="s">
        <v>38</v>
      </c>
      <c r="B725" t="s">
        <v>47</v>
      </c>
      <c r="C725" t="s">
        <v>68</v>
      </c>
      <c r="D725">
        <v>25.3</v>
      </c>
      <c r="E725">
        <f>Tableau6[[#This Row],[Potential (PJ)]]/3.6</f>
        <v>7.0277777777777777</v>
      </c>
      <c r="F725">
        <v>3.609</v>
      </c>
      <c r="G725">
        <f>Tableau6[[#This Row],[Cost (€/GJ)]]*3.6</f>
        <v>12.9924</v>
      </c>
      <c r="H725">
        <v>14.5</v>
      </c>
      <c r="I725">
        <f>Tableau6[[#This Row],[GHG (kgCO2eq/GJ)]]*3.6</f>
        <v>52.2</v>
      </c>
      <c r="J725" t="s">
        <v>104</v>
      </c>
      <c r="K725" t="s">
        <v>109</v>
      </c>
    </row>
    <row r="726" spans="1:11" x14ac:dyDescent="0.3">
      <c r="A726" t="s">
        <v>38</v>
      </c>
      <c r="B726" t="s">
        <v>47</v>
      </c>
      <c r="C726" t="s">
        <v>69</v>
      </c>
      <c r="D726">
        <v>17.7</v>
      </c>
      <c r="E726">
        <f>Tableau6[[#This Row],[Potential (PJ)]]/3.6</f>
        <v>4.9166666666666661</v>
      </c>
      <c r="F726">
        <v>3.5910000000000002</v>
      </c>
      <c r="G726">
        <f>Tableau6[[#This Row],[Cost (€/GJ)]]*3.6</f>
        <v>12.927600000000002</v>
      </c>
      <c r="H726">
        <v>14.5</v>
      </c>
      <c r="I726">
        <f>Tableau6[[#This Row],[GHG (kgCO2eq/GJ)]]*3.6</f>
        <v>52.2</v>
      </c>
      <c r="J726" t="s">
        <v>104</v>
      </c>
      <c r="K726" t="s">
        <v>109</v>
      </c>
    </row>
    <row r="727" spans="1:11" x14ac:dyDescent="0.3">
      <c r="A727" t="s">
        <v>38</v>
      </c>
      <c r="B727" t="s">
        <v>48</v>
      </c>
      <c r="C727" t="s">
        <v>70</v>
      </c>
      <c r="D727">
        <v>9.4</v>
      </c>
      <c r="E727">
        <f>Tableau6[[#This Row],[Potential (PJ)]]/3.6</f>
        <v>2.6111111111111112</v>
      </c>
      <c r="F727">
        <v>9.14</v>
      </c>
      <c r="G727">
        <f>Tableau6[[#This Row],[Cost (€/GJ)]]*3.6</f>
        <v>32.904000000000003</v>
      </c>
      <c r="H727">
        <v>0</v>
      </c>
      <c r="I727">
        <f>Tableau6[[#This Row],[GHG (kgCO2eq/GJ)]]*3.6</f>
        <v>0</v>
      </c>
      <c r="J727" t="s">
        <v>104</v>
      </c>
      <c r="K727" t="s">
        <v>109</v>
      </c>
    </row>
    <row r="728" spans="1:11" x14ac:dyDescent="0.3">
      <c r="A728" t="s">
        <v>38</v>
      </c>
      <c r="B728" t="s">
        <v>49</v>
      </c>
      <c r="C728" t="s">
        <v>72</v>
      </c>
      <c r="D728">
        <v>31.5</v>
      </c>
      <c r="E728">
        <f>Tableau6[[#This Row],[Potential (PJ)]]/3.6</f>
        <v>8.75</v>
      </c>
      <c r="F728">
        <v>0</v>
      </c>
      <c r="G728">
        <f>Tableau6[[#This Row],[Cost (€/GJ)]]*3.6</f>
        <v>0</v>
      </c>
      <c r="H728">
        <v>3.86607608129234</v>
      </c>
      <c r="I728">
        <f>Tableau6[[#This Row],[GHG (kgCO2eq/GJ)]]*3.6</f>
        <v>13.917873892652425</v>
      </c>
      <c r="J728" t="s">
        <v>104</v>
      </c>
      <c r="K728" t="s">
        <v>108</v>
      </c>
    </row>
    <row r="729" spans="1:11" x14ac:dyDescent="0.3">
      <c r="A729" t="s">
        <v>38</v>
      </c>
      <c r="B729" t="s">
        <v>50</v>
      </c>
      <c r="C729" t="s">
        <v>73</v>
      </c>
      <c r="D729">
        <v>5</v>
      </c>
      <c r="E729">
        <f>Tableau6[[#This Row],[Potential (PJ)]]/3.6</f>
        <v>1.3888888888888888</v>
      </c>
      <c r="F729">
        <v>5.4240000000000004</v>
      </c>
      <c r="G729">
        <f>Tableau6[[#This Row],[Cost (€/GJ)]]*3.6</f>
        <v>19.526400000000002</v>
      </c>
      <c r="H729">
        <v>20.723404255319149</v>
      </c>
      <c r="I729">
        <f>Tableau6[[#This Row],[GHG (kgCO2eq/GJ)]]*3.6</f>
        <v>74.604255319148933</v>
      </c>
      <c r="J729" t="s">
        <v>105</v>
      </c>
      <c r="K729" t="s">
        <v>108</v>
      </c>
    </row>
    <row r="730" spans="1:11" x14ac:dyDescent="0.3">
      <c r="A730" t="s">
        <v>38</v>
      </c>
      <c r="B730" t="s">
        <v>50</v>
      </c>
      <c r="C730" t="s">
        <v>74</v>
      </c>
      <c r="D730">
        <v>7.1</v>
      </c>
      <c r="E730">
        <f>Tableau6[[#This Row],[Potential (PJ)]]/3.6</f>
        <v>1.9722222222222221</v>
      </c>
      <c r="F730">
        <v>3.484</v>
      </c>
      <c r="G730">
        <f>Tableau6[[#This Row],[Cost (€/GJ)]]*3.6</f>
        <v>12.542400000000001</v>
      </c>
      <c r="H730">
        <v>2.0635593220338988</v>
      </c>
      <c r="I730">
        <f>Tableau6[[#This Row],[GHG (kgCO2eq/GJ)]]*3.6</f>
        <v>7.4288135593220357</v>
      </c>
      <c r="J730" t="s">
        <v>105</v>
      </c>
      <c r="K730" t="s">
        <v>108</v>
      </c>
    </row>
    <row r="731" spans="1:11" x14ac:dyDescent="0.3">
      <c r="A731" t="s">
        <v>38</v>
      </c>
      <c r="B731" t="s">
        <v>51</v>
      </c>
      <c r="C731" t="s">
        <v>75</v>
      </c>
      <c r="D731">
        <v>7.3351420000000003</v>
      </c>
      <c r="E731">
        <f>Tableau6[[#This Row],[Potential (PJ)]]/3.6</f>
        <v>2.0375394444444446</v>
      </c>
      <c r="F731">
        <v>0.14069241575201899</v>
      </c>
      <c r="G731">
        <f>Tableau6[[#This Row],[Cost (€/GJ)]]*3.6</f>
        <v>0.50649269670726838</v>
      </c>
      <c r="H731">
        <v>11.74</v>
      </c>
      <c r="I731">
        <f>Tableau6[[#This Row],[GHG (kgCO2eq/GJ)]]*3.6</f>
        <v>42.264000000000003</v>
      </c>
      <c r="J731" t="s">
        <v>104</v>
      </c>
      <c r="K731" t="s">
        <v>108</v>
      </c>
    </row>
    <row r="732" spans="1:11" x14ac:dyDescent="0.3">
      <c r="A732" t="s">
        <v>38</v>
      </c>
      <c r="B732" t="s">
        <v>52</v>
      </c>
      <c r="C732" t="s">
        <v>76</v>
      </c>
      <c r="D732">
        <v>3.0000000000000001E-3</v>
      </c>
      <c r="E732">
        <f>Tableau6[[#This Row],[Potential (PJ)]]/3.6</f>
        <v>8.3333333333333328E-4</v>
      </c>
      <c r="F732">
        <v>6.5250000000000004</v>
      </c>
      <c r="G732">
        <f>Tableau6[[#This Row],[Cost (€/GJ)]]*3.6</f>
        <v>23.490000000000002</v>
      </c>
      <c r="H732">
        <v>12.68872359754714</v>
      </c>
      <c r="I732">
        <f>Tableau6[[#This Row],[GHG (kgCO2eq/GJ)]]*3.6</f>
        <v>45.679404951169708</v>
      </c>
      <c r="J732" t="s">
        <v>105</v>
      </c>
      <c r="K732" t="s">
        <v>108</v>
      </c>
    </row>
    <row r="733" spans="1:11" x14ac:dyDescent="0.3">
      <c r="A733" t="s">
        <v>38</v>
      </c>
      <c r="B733" t="s">
        <v>53</v>
      </c>
      <c r="C733" t="s">
        <v>77</v>
      </c>
      <c r="D733">
        <v>24.9</v>
      </c>
      <c r="E733">
        <f>Tableau6[[#This Row],[Potential (PJ)]]/3.6</f>
        <v>6.9166666666666661</v>
      </c>
      <c r="F733">
        <v>0</v>
      </c>
      <c r="G733">
        <f>Tableau6[[#This Row],[Cost (€/GJ)]]*3.6</f>
        <v>0</v>
      </c>
      <c r="H733">
        <v>3.86607608129234</v>
      </c>
      <c r="I733">
        <f>Tableau6[[#This Row],[GHG (kgCO2eq/GJ)]]*3.6</f>
        <v>13.917873892652425</v>
      </c>
      <c r="J733" t="s">
        <v>104</v>
      </c>
      <c r="K733" t="s">
        <v>108</v>
      </c>
    </row>
    <row r="734" spans="1:11" x14ac:dyDescent="0.3">
      <c r="A734" t="s">
        <v>39</v>
      </c>
      <c r="B734" t="s">
        <v>46</v>
      </c>
      <c r="C734" t="s">
        <v>64</v>
      </c>
      <c r="D734">
        <v>1.5820000000000001E-2</v>
      </c>
      <c r="E734">
        <f>Tableau6[[#This Row],[Potential (PJ)]]/3.6</f>
        <v>4.3944444444444447E-3</v>
      </c>
      <c r="F734">
        <v>6.6904500632111246</v>
      </c>
      <c r="G734">
        <f>Tableau6[[#This Row],[Cost (€/GJ)]]*3.6</f>
        <v>24.085620227560049</v>
      </c>
      <c r="H734">
        <v>2.9521711768407801</v>
      </c>
      <c r="I734">
        <f>Tableau6[[#This Row],[GHG (kgCO2eq/GJ)]]*3.6</f>
        <v>10.627816236626808</v>
      </c>
      <c r="J734" t="s">
        <v>104</v>
      </c>
      <c r="K734" t="s">
        <v>108</v>
      </c>
    </row>
    <row r="735" spans="1:11" x14ac:dyDescent="0.3">
      <c r="A735" t="s">
        <v>39</v>
      </c>
      <c r="B735" t="s">
        <v>46</v>
      </c>
      <c r="C735" t="s">
        <v>79</v>
      </c>
      <c r="D735">
        <v>20.8</v>
      </c>
      <c r="E735">
        <f>Tableau6[[#This Row],[Potential (PJ)]]/3.6</f>
        <v>5.7777777777777777</v>
      </c>
      <c r="F735">
        <v>4.444548076923077</v>
      </c>
      <c r="G735">
        <f>Tableau6[[#This Row],[Cost (€/GJ)]]*3.6</f>
        <v>16.000373076923079</v>
      </c>
      <c r="H735">
        <v>6.8428961748633883</v>
      </c>
      <c r="I735">
        <f>Tableau6[[#This Row],[GHG (kgCO2eq/GJ)]]*3.6</f>
        <v>24.634426229508197</v>
      </c>
      <c r="J735" t="s">
        <v>104</v>
      </c>
      <c r="K735" t="s">
        <v>108</v>
      </c>
    </row>
    <row r="736" spans="1:11" x14ac:dyDescent="0.3">
      <c r="A736" t="s">
        <v>39</v>
      </c>
      <c r="B736" t="s">
        <v>46</v>
      </c>
      <c r="C736" t="s">
        <v>80</v>
      </c>
      <c r="D736">
        <v>1.3134999999999999</v>
      </c>
      <c r="E736">
        <f>Tableau6[[#This Row],[Potential (PJ)]]/3.6</f>
        <v>0.36486111111111108</v>
      </c>
      <c r="F736">
        <v>0.56844234659474036</v>
      </c>
      <c r="G736">
        <f>Tableau6[[#This Row],[Cost (€/GJ)]]*3.6</f>
        <v>2.0463924477410655</v>
      </c>
      <c r="H736">
        <v>28.139870918023309</v>
      </c>
      <c r="I736">
        <f>Tableau6[[#This Row],[GHG (kgCO2eq/GJ)]]*3.6</f>
        <v>101.30353530488391</v>
      </c>
      <c r="J736" t="s">
        <v>105</v>
      </c>
      <c r="K736" t="s">
        <v>108</v>
      </c>
    </row>
    <row r="737" spans="1:11" x14ac:dyDescent="0.3">
      <c r="A737" t="s">
        <v>39</v>
      </c>
      <c r="B737" t="s">
        <v>46</v>
      </c>
      <c r="C737" t="s">
        <v>81</v>
      </c>
      <c r="D737">
        <v>4.9299999999999997E-2</v>
      </c>
      <c r="E737">
        <f>Tableau6[[#This Row],[Potential (PJ)]]/3.6</f>
        <v>1.3694444444444443E-2</v>
      </c>
      <c r="F737">
        <v>3.150998824911869</v>
      </c>
      <c r="G737">
        <f>Tableau6[[#This Row],[Cost (€/GJ)]]*3.6</f>
        <v>11.343595769682729</v>
      </c>
      <c r="H737">
        <v>8.9647473560517046</v>
      </c>
      <c r="I737">
        <f>Tableau6[[#This Row],[GHG (kgCO2eq/GJ)]]*3.6</f>
        <v>32.273090481786134</v>
      </c>
      <c r="J737" t="s">
        <v>105</v>
      </c>
      <c r="K737" t="s">
        <v>108</v>
      </c>
    </row>
    <row r="738" spans="1:11" x14ac:dyDescent="0.3">
      <c r="A738" t="s">
        <v>39</v>
      </c>
      <c r="B738" t="s">
        <v>46</v>
      </c>
      <c r="C738" t="s">
        <v>82</v>
      </c>
      <c r="D738">
        <v>0.8</v>
      </c>
      <c r="E738">
        <f>Tableau6[[#This Row],[Potential (PJ)]]/3.6</f>
        <v>0.22222222222222224</v>
      </c>
      <c r="F738">
        <v>2.831</v>
      </c>
      <c r="G738">
        <f>Tableau6[[#This Row],[Cost (€/GJ)]]*3.6</f>
        <v>10.191599999999999</v>
      </c>
      <c r="H738">
        <v>6.8428961748633883</v>
      </c>
      <c r="I738">
        <f>Tableau6[[#This Row],[GHG (kgCO2eq/GJ)]]*3.6</f>
        <v>24.634426229508197</v>
      </c>
      <c r="J738" t="s">
        <v>104</v>
      </c>
      <c r="K738" t="s">
        <v>108</v>
      </c>
    </row>
    <row r="739" spans="1:11" x14ac:dyDescent="0.3">
      <c r="A739" t="s">
        <v>39</v>
      </c>
      <c r="B739" t="s">
        <v>46</v>
      </c>
      <c r="C739" t="s">
        <v>84</v>
      </c>
      <c r="D739">
        <v>0.3</v>
      </c>
      <c r="E739">
        <f>Tableau6[[#This Row],[Potential (PJ)]]/3.6</f>
        <v>8.3333333333333329E-2</v>
      </c>
      <c r="F739">
        <v>2.855</v>
      </c>
      <c r="G739">
        <f>Tableau6[[#This Row],[Cost (€/GJ)]]*3.6</f>
        <v>10.278</v>
      </c>
      <c r="H739">
        <v>28.139870918023309</v>
      </c>
      <c r="I739">
        <f>Tableau6[[#This Row],[GHG (kgCO2eq/GJ)]]*3.6</f>
        <v>101.30353530488391</v>
      </c>
      <c r="J739" t="s">
        <v>105</v>
      </c>
      <c r="K739" t="s">
        <v>108</v>
      </c>
    </row>
    <row r="740" spans="1:11" x14ac:dyDescent="0.3">
      <c r="A740" t="s">
        <v>39</v>
      </c>
      <c r="B740" t="s">
        <v>55</v>
      </c>
      <c r="C740" t="s">
        <v>86</v>
      </c>
      <c r="D740">
        <v>0.44800000000000001</v>
      </c>
      <c r="E740">
        <f>Tableau6[[#This Row],[Potential (PJ)]]/3.6</f>
        <v>0.12444444444444444</v>
      </c>
      <c r="F740">
        <v>11.157999999999999</v>
      </c>
      <c r="G740">
        <f>Tableau6[[#This Row],[Cost (€/GJ)]]*3.6</f>
        <v>40.168799999999997</v>
      </c>
      <c r="H740">
        <v>14.2</v>
      </c>
      <c r="I740">
        <f>Tableau6[[#This Row],[GHG (kgCO2eq/GJ)]]*3.6</f>
        <v>51.12</v>
      </c>
      <c r="J740" t="s">
        <v>106</v>
      </c>
      <c r="K740" t="s">
        <v>109</v>
      </c>
    </row>
    <row r="741" spans="1:11" x14ac:dyDescent="0.3">
      <c r="A741" t="s">
        <v>39</v>
      </c>
      <c r="B741" t="s">
        <v>55</v>
      </c>
      <c r="C741" t="s">
        <v>89</v>
      </c>
      <c r="D741">
        <v>8.3500000000000005E-2</v>
      </c>
      <c r="E741">
        <f>Tableau6[[#This Row],[Potential (PJ)]]/3.6</f>
        <v>2.3194444444444445E-2</v>
      </c>
      <c r="F741">
        <v>0</v>
      </c>
      <c r="G741">
        <f>Tableau6[[#This Row],[Cost (€/GJ)]]*3.6</f>
        <v>0</v>
      </c>
      <c r="H741">
        <v>14.2</v>
      </c>
      <c r="I741">
        <f>Tableau6[[#This Row],[GHG (kgCO2eq/GJ)]]*3.6</f>
        <v>51.12</v>
      </c>
      <c r="J741" t="s">
        <v>106</v>
      </c>
      <c r="K741" t="s">
        <v>109</v>
      </c>
    </row>
    <row r="742" spans="1:11" x14ac:dyDescent="0.3">
      <c r="A742" t="s">
        <v>39</v>
      </c>
      <c r="B742" t="s">
        <v>55</v>
      </c>
      <c r="C742" t="s">
        <v>91</v>
      </c>
      <c r="D742">
        <v>3.9800000000000002E-2</v>
      </c>
      <c r="E742">
        <f>Tableau6[[#This Row],[Potential (PJ)]]/3.6</f>
        <v>1.1055555555555556E-2</v>
      </c>
      <c r="F742">
        <v>10.734999999999999</v>
      </c>
      <c r="G742">
        <f>Tableau6[[#This Row],[Cost (€/GJ)]]*3.6</f>
        <v>38.646000000000001</v>
      </c>
      <c r="H742">
        <v>14.2</v>
      </c>
      <c r="I742">
        <f>Tableau6[[#This Row],[GHG (kgCO2eq/GJ)]]*3.6</f>
        <v>51.12</v>
      </c>
      <c r="J742" t="s">
        <v>106</v>
      </c>
      <c r="K742" t="s">
        <v>109</v>
      </c>
    </row>
    <row r="743" spans="1:11" x14ac:dyDescent="0.3">
      <c r="A743" t="s">
        <v>39</v>
      </c>
      <c r="B743" t="s">
        <v>55</v>
      </c>
      <c r="C743" t="s">
        <v>92</v>
      </c>
      <c r="D743">
        <v>0.33502999999999999</v>
      </c>
      <c r="E743">
        <f>Tableau6[[#This Row],[Potential (PJ)]]/3.6</f>
        <v>9.306388888888889E-2</v>
      </c>
      <c r="F743">
        <v>12.048999999999999</v>
      </c>
      <c r="G743">
        <f>Tableau6[[#This Row],[Cost (€/GJ)]]*3.6</f>
        <v>43.376399999999997</v>
      </c>
      <c r="H743">
        <v>14.2</v>
      </c>
      <c r="I743">
        <f>Tableau6[[#This Row],[GHG (kgCO2eq/GJ)]]*3.6</f>
        <v>51.12</v>
      </c>
      <c r="J743" t="s">
        <v>106</v>
      </c>
      <c r="K743" t="s">
        <v>109</v>
      </c>
    </row>
    <row r="744" spans="1:11" x14ac:dyDescent="0.3">
      <c r="A744" t="s">
        <v>39</v>
      </c>
      <c r="B744" t="s">
        <v>56</v>
      </c>
      <c r="C744" t="s">
        <v>93</v>
      </c>
      <c r="D744">
        <v>5.0021000000000004</v>
      </c>
      <c r="E744">
        <f>Tableau6[[#This Row],[Potential (PJ)]]/3.6</f>
        <v>1.3894722222222222</v>
      </c>
      <c r="F744">
        <v>2.939759036144578</v>
      </c>
      <c r="G744">
        <f>Tableau6[[#This Row],[Cost (€/GJ)]]*3.6</f>
        <v>10.583132530120482</v>
      </c>
      <c r="H744">
        <v>0.1</v>
      </c>
      <c r="I744">
        <f>Tableau6[[#This Row],[GHG (kgCO2eq/GJ)]]*3.6</f>
        <v>0.36000000000000004</v>
      </c>
      <c r="J744" t="s">
        <v>106</v>
      </c>
      <c r="K744" t="s">
        <v>109</v>
      </c>
    </row>
    <row r="745" spans="1:11" x14ac:dyDescent="0.3">
      <c r="A745" t="s">
        <v>39</v>
      </c>
      <c r="B745" t="s">
        <v>47</v>
      </c>
      <c r="C745" t="s">
        <v>101</v>
      </c>
      <c r="D745">
        <v>14.2</v>
      </c>
      <c r="E745">
        <f>Tableau6[[#This Row],[Potential (PJ)]]/3.6</f>
        <v>3.9444444444444442</v>
      </c>
      <c r="F745">
        <v>7.6673450704225354</v>
      </c>
      <c r="G745">
        <f>Tableau6[[#This Row],[Cost (€/GJ)]]*3.6</f>
        <v>27.602442253521129</v>
      </c>
      <c r="H745">
        <v>29.8</v>
      </c>
      <c r="I745">
        <f>Tableau6[[#This Row],[GHG (kgCO2eq/GJ)]]*3.6</f>
        <v>107.28</v>
      </c>
      <c r="J745" t="s">
        <v>104</v>
      </c>
      <c r="K745" t="s">
        <v>109</v>
      </c>
    </row>
    <row r="746" spans="1:11" x14ac:dyDescent="0.3">
      <c r="A746" t="s">
        <v>39</v>
      </c>
      <c r="B746" t="s">
        <v>57</v>
      </c>
      <c r="C746" t="s">
        <v>94</v>
      </c>
      <c r="D746">
        <v>5.7</v>
      </c>
      <c r="E746">
        <f>Tableau6[[#This Row],[Potential (PJ)]]/3.6</f>
        <v>1.5833333333333333</v>
      </c>
      <c r="F746">
        <v>12.93994736842105</v>
      </c>
      <c r="G746">
        <f>Tableau6[[#This Row],[Cost (€/GJ)]]*3.6</f>
        <v>46.58381052631578</v>
      </c>
      <c r="H746">
        <v>15.5</v>
      </c>
      <c r="I746">
        <f>Tableau6[[#This Row],[GHG (kgCO2eq/GJ)]]*3.6</f>
        <v>55.800000000000004</v>
      </c>
      <c r="J746" t="s">
        <v>104</v>
      </c>
      <c r="K746" t="s">
        <v>109</v>
      </c>
    </row>
    <row r="747" spans="1:11" x14ac:dyDescent="0.3">
      <c r="A747" t="s">
        <v>39</v>
      </c>
      <c r="B747" t="s">
        <v>49</v>
      </c>
      <c r="C747" t="s">
        <v>71</v>
      </c>
      <c r="D747">
        <v>594.12428</v>
      </c>
      <c r="E747">
        <f>Tableau6[[#This Row],[Potential (PJ)]]/3.6</f>
        <v>165.03452222222222</v>
      </c>
      <c r="F747">
        <v>5.9622395135408377</v>
      </c>
      <c r="G747">
        <f>Tableau6[[#This Row],[Cost (€/GJ)]]*3.6</f>
        <v>21.464062248747016</v>
      </c>
      <c r="H747">
        <v>3.86607608129234</v>
      </c>
      <c r="I747">
        <f>Tableau6[[#This Row],[GHG (kgCO2eq/GJ)]]*3.6</f>
        <v>13.917873892652425</v>
      </c>
      <c r="J747" t="s">
        <v>104</v>
      </c>
      <c r="K747" t="s">
        <v>108</v>
      </c>
    </row>
    <row r="748" spans="1:11" x14ac:dyDescent="0.3">
      <c r="A748" t="s">
        <v>39</v>
      </c>
      <c r="B748" t="s">
        <v>49</v>
      </c>
      <c r="C748" t="s">
        <v>72</v>
      </c>
      <c r="D748">
        <v>30.7</v>
      </c>
      <c r="E748">
        <f>Tableau6[[#This Row],[Potential (PJ)]]/3.6</f>
        <v>8.5277777777777768</v>
      </c>
      <c r="F748">
        <v>4.7674462540716611</v>
      </c>
      <c r="G748">
        <f>Tableau6[[#This Row],[Cost (€/GJ)]]*3.6</f>
        <v>17.16280651465798</v>
      </c>
      <c r="H748">
        <v>3.86607608129234</v>
      </c>
      <c r="I748">
        <f>Tableau6[[#This Row],[GHG (kgCO2eq/GJ)]]*3.6</f>
        <v>13.917873892652425</v>
      </c>
      <c r="J748" t="s">
        <v>104</v>
      </c>
      <c r="K748" t="s">
        <v>108</v>
      </c>
    </row>
    <row r="749" spans="1:11" x14ac:dyDescent="0.3">
      <c r="A749" t="s">
        <v>39</v>
      </c>
      <c r="B749" t="s">
        <v>58</v>
      </c>
      <c r="C749" t="s">
        <v>95</v>
      </c>
      <c r="D749">
        <v>55.077530000000003</v>
      </c>
      <c r="E749">
        <f>Tableau6[[#This Row],[Potential (PJ)]]/3.6</f>
        <v>15.299313888888889</v>
      </c>
      <c r="F749">
        <v>2.661</v>
      </c>
      <c r="G749">
        <f>Tableau6[[#This Row],[Cost (€/GJ)]]*3.6</f>
        <v>9.579600000000001</v>
      </c>
      <c r="H749">
        <v>2.9521711768407801</v>
      </c>
      <c r="I749">
        <f>Tableau6[[#This Row],[GHG (kgCO2eq/GJ)]]*3.6</f>
        <v>10.627816236626808</v>
      </c>
      <c r="J749" t="s">
        <v>104</v>
      </c>
      <c r="K749" t="s">
        <v>108</v>
      </c>
    </row>
    <row r="750" spans="1:11" x14ac:dyDescent="0.3">
      <c r="A750" t="s">
        <v>39</v>
      </c>
      <c r="B750" t="s">
        <v>50</v>
      </c>
      <c r="C750" t="s">
        <v>73</v>
      </c>
      <c r="D750">
        <v>5</v>
      </c>
      <c r="E750">
        <f>Tableau6[[#This Row],[Potential (PJ)]]/3.6</f>
        <v>1.3888888888888888</v>
      </c>
      <c r="F750">
        <v>5.7799800000000001</v>
      </c>
      <c r="G750">
        <f>Tableau6[[#This Row],[Cost (€/GJ)]]*3.6</f>
        <v>20.807928</v>
      </c>
      <c r="H750">
        <v>20.723404255319149</v>
      </c>
      <c r="I750">
        <f>Tableau6[[#This Row],[GHG (kgCO2eq/GJ)]]*3.6</f>
        <v>74.604255319148933</v>
      </c>
      <c r="J750" t="s">
        <v>105</v>
      </c>
      <c r="K750" t="s">
        <v>108</v>
      </c>
    </row>
    <row r="751" spans="1:11" x14ac:dyDescent="0.3">
      <c r="A751" t="s">
        <v>39</v>
      </c>
      <c r="B751" t="s">
        <v>50</v>
      </c>
      <c r="C751" t="s">
        <v>74</v>
      </c>
      <c r="D751">
        <v>24.1</v>
      </c>
      <c r="E751">
        <f>Tableau6[[#This Row],[Potential (PJ)]]/3.6</f>
        <v>6.6944444444444446</v>
      </c>
      <c r="F751">
        <v>6.6845435684647301</v>
      </c>
      <c r="G751">
        <f>Tableau6[[#This Row],[Cost (€/GJ)]]*3.6</f>
        <v>24.064356846473029</v>
      </c>
      <c r="H751">
        <v>2.0635593220338988</v>
      </c>
      <c r="I751">
        <f>Tableau6[[#This Row],[GHG (kgCO2eq/GJ)]]*3.6</f>
        <v>7.4288135593220357</v>
      </c>
      <c r="J751" t="s">
        <v>105</v>
      </c>
      <c r="K751" t="s">
        <v>108</v>
      </c>
    </row>
    <row r="752" spans="1:11" x14ac:dyDescent="0.3">
      <c r="A752" t="s">
        <v>39</v>
      </c>
      <c r="B752" t="s">
        <v>51</v>
      </c>
      <c r="C752" t="s">
        <v>75</v>
      </c>
      <c r="D752">
        <v>27.277329999999999</v>
      </c>
      <c r="E752">
        <f>Tableau6[[#This Row],[Potential (PJ)]]/3.6</f>
        <v>7.5770361111111111</v>
      </c>
      <c r="F752">
        <v>2.9470675665319401E-3</v>
      </c>
      <c r="G752">
        <f>Tableau6[[#This Row],[Cost (€/GJ)]]*3.6</f>
        <v>1.0609443239514984E-2</v>
      </c>
      <c r="H752">
        <v>11.74</v>
      </c>
      <c r="I752">
        <f>Tableau6[[#This Row],[GHG (kgCO2eq/GJ)]]*3.6</f>
        <v>42.264000000000003</v>
      </c>
      <c r="J752" t="s">
        <v>104</v>
      </c>
      <c r="K752" t="s">
        <v>108</v>
      </c>
    </row>
    <row r="753" spans="1:11" x14ac:dyDescent="0.3">
      <c r="A753" t="s">
        <v>39</v>
      </c>
      <c r="B753" t="s">
        <v>60</v>
      </c>
      <c r="C753" t="s">
        <v>98</v>
      </c>
      <c r="D753">
        <v>0.99545000000000006</v>
      </c>
      <c r="E753">
        <f>Tableau6[[#This Row],[Potential (PJ)]]/3.6</f>
        <v>0.27651388888888889</v>
      </c>
      <c r="F753">
        <v>16.004296455424271</v>
      </c>
      <c r="G753">
        <f>Tableau6[[#This Row],[Cost (€/GJ)]]*3.6</f>
        <v>57.615467239527376</v>
      </c>
      <c r="H753">
        <v>22.8</v>
      </c>
      <c r="I753">
        <f>Tableau6[[#This Row],[GHG (kgCO2eq/GJ)]]*3.6</f>
        <v>82.08</v>
      </c>
      <c r="J753" t="s">
        <v>107</v>
      </c>
      <c r="K753" t="s">
        <v>109</v>
      </c>
    </row>
    <row r="754" spans="1:11" x14ac:dyDescent="0.3">
      <c r="A754" t="s">
        <v>39</v>
      </c>
      <c r="B754" t="s">
        <v>52</v>
      </c>
      <c r="C754" t="s">
        <v>76</v>
      </c>
      <c r="D754">
        <v>1.397</v>
      </c>
      <c r="E754">
        <f>Tableau6[[#This Row],[Potential (PJ)]]/3.6</f>
        <v>0.38805555555555554</v>
      </c>
      <c r="F754">
        <v>6.5250000000000004</v>
      </c>
      <c r="G754">
        <f>Tableau6[[#This Row],[Cost (€/GJ)]]*3.6</f>
        <v>23.490000000000002</v>
      </c>
      <c r="H754">
        <v>12.68872359754714</v>
      </c>
      <c r="I754">
        <f>Tableau6[[#This Row],[GHG (kgCO2eq/GJ)]]*3.6</f>
        <v>45.679404951169708</v>
      </c>
      <c r="J754" t="s">
        <v>105</v>
      </c>
      <c r="K754" t="s">
        <v>108</v>
      </c>
    </row>
    <row r="755" spans="1:11" x14ac:dyDescent="0.3">
      <c r="A755" t="s">
        <v>39</v>
      </c>
      <c r="B755" t="s">
        <v>53</v>
      </c>
      <c r="C755" t="s">
        <v>77</v>
      </c>
      <c r="D755">
        <v>15.5</v>
      </c>
      <c r="E755">
        <f>Tableau6[[#This Row],[Potential (PJ)]]/3.6</f>
        <v>4.3055555555555554</v>
      </c>
      <c r="F755">
        <v>4.7675935483870964</v>
      </c>
      <c r="G755">
        <f>Tableau6[[#This Row],[Cost (€/GJ)]]*3.6</f>
        <v>17.163336774193546</v>
      </c>
      <c r="H755">
        <v>3.86607608129234</v>
      </c>
      <c r="I755">
        <f>Tableau6[[#This Row],[GHG (kgCO2eq/GJ)]]*3.6</f>
        <v>13.917873892652425</v>
      </c>
      <c r="J755" t="s">
        <v>104</v>
      </c>
      <c r="K755" t="s">
        <v>108</v>
      </c>
    </row>
    <row r="756" spans="1:11" x14ac:dyDescent="0.3">
      <c r="A756" t="s">
        <v>39</v>
      </c>
      <c r="B756" t="s">
        <v>61</v>
      </c>
      <c r="C756" t="s">
        <v>99</v>
      </c>
      <c r="D756">
        <v>177.6</v>
      </c>
      <c r="E756">
        <f>Tableau6[[#This Row],[Potential (PJ)]]/3.6</f>
        <v>49.333333333333329</v>
      </c>
      <c r="F756">
        <v>1.698978040540541</v>
      </c>
      <c r="G756">
        <f>Tableau6[[#This Row],[Cost (€/GJ)]]*3.6</f>
        <v>6.1163209459459482</v>
      </c>
      <c r="H756">
        <v>2.9245635910224439</v>
      </c>
      <c r="I756">
        <f>Tableau6[[#This Row],[GHG (kgCO2eq/GJ)]]*3.6</f>
        <v>10.528428927680798</v>
      </c>
      <c r="J756" t="s">
        <v>104</v>
      </c>
      <c r="K756" t="s">
        <v>108</v>
      </c>
    </row>
    <row r="757" spans="1:11" x14ac:dyDescent="0.3">
      <c r="A757" t="s">
        <v>39</v>
      </c>
      <c r="B757" t="s">
        <v>62</v>
      </c>
      <c r="C757" t="s">
        <v>100</v>
      </c>
      <c r="D757">
        <v>81.5</v>
      </c>
      <c r="E757">
        <f>Tableau6[[#This Row],[Potential (PJ)]]/3.6</f>
        <v>22.638888888888889</v>
      </c>
      <c r="F757">
        <v>0.53472392638036803</v>
      </c>
      <c r="G757">
        <f>Tableau6[[#This Row],[Cost (€/GJ)]]*3.6</f>
        <v>1.925006134969325</v>
      </c>
      <c r="H757">
        <v>2.6764106050305911</v>
      </c>
      <c r="I757">
        <f>Tableau6[[#This Row],[GHG (kgCO2eq/GJ)]]*3.6</f>
        <v>9.6350781781101276</v>
      </c>
      <c r="J757" t="s">
        <v>104</v>
      </c>
      <c r="K757" t="s">
        <v>108</v>
      </c>
    </row>
    <row r="758" spans="1:11" x14ac:dyDescent="0.3">
      <c r="A758" t="s">
        <v>39</v>
      </c>
      <c r="B758" t="s">
        <v>54</v>
      </c>
      <c r="C758" t="s">
        <v>78</v>
      </c>
      <c r="D758">
        <v>299.5</v>
      </c>
      <c r="E758">
        <f>Tableau6[[#This Row],[Potential (PJ)]]/3.6</f>
        <v>83.194444444444443</v>
      </c>
      <c r="F758">
        <v>9.9421943238731227</v>
      </c>
      <c r="G758">
        <f>Tableau6[[#This Row],[Cost (€/GJ)]]*3.6</f>
        <v>35.79189956594324</v>
      </c>
      <c r="H758">
        <v>3.86607608129234</v>
      </c>
      <c r="I758">
        <f>Tableau6[[#This Row],[GHG (kgCO2eq/GJ)]]*3.6</f>
        <v>13.917873892652425</v>
      </c>
      <c r="J758" t="s">
        <v>104</v>
      </c>
      <c r="K758" t="s">
        <v>108</v>
      </c>
    </row>
    <row r="759" spans="1:11" x14ac:dyDescent="0.3">
      <c r="A759" t="s">
        <v>40</v>
      </c>
      <c r="B759" t="s">
        <v>46</v>
      </c>
      <c r="C759" t="s">
        <v>63</v>
      </c>
      <c r="D759">
        <v>3.5999999999999999E-3</v>
      </c>
      <c r="E759">
        <f>Tableau6[[#This Row],[Potential (PJ)]]/3.6</f>
        <v>1E-3</v>
      </c>
      <c r="F759">
        <v>2.9286474973375931</v>
      </c>
      <c r="G759">
        <f>Tableau6[[#This Row],[Cost (€/GJ)]]*3.6</f>
        <v>10.543130990415335</v>
      </c>
      <c r="H759">
        <v>3.950479233226837</v>
      </c>
      <c r="I759">
        <f>Tableau6[[#This Row],[GHG (kgCO2eq/GJ)]]*3.6</f>
        <v>14.221725239616614</v>
      </c>
      <c r="J759" t="s">
        <v>104</v>
      </c>
      <c r="K759" t="s">
        <v>108</v>
      </c>
    </row>
    <row r="760" spans="1:11" x14ac:dyDescent="0.3">
      <c r="A760" t="s">
        <v>40</v>
      </c>
      <c r="B760" t="s">
        <v>46</v>
      </c>
      <c r="C760" t="s">
        <v>64</v>
      </c>
      <c r="D760">
        <v>4.9259999999999998E-2</v>
      </c>
      <c r="E760">
        <f>Tableau6[[#This Row],[Potential (PJ)]]/3.6</f>
        <v>1.3683333333333332E-2</v>
      </c>
      <c r="F760">
        <v>6.1847237109216424</v>
      </c>
      <c r="G760">
        <f>Tableau6[[#This Row],[Cost (€/GJ)]]*3.6</f>
        <v>22.265005359317914</v>
      </c>
      <c r="H760">
        <v>2.9521711768407801</v>
      </c>
      <c r="I760">
        <f>Tableau6[[#This Row],[GHG (kgCO2eq/GJ)]]*3.6</f>
        <v>10.627816236626808</v>
      </c>
      <c r="J760" t="s">
        <v>104</v>
      </c>
      <c r="K760" t="s">
        <v>108</v>
      </c>
    </row>
    <row r="761" spans="1:11" x14ac:dyDescent="0.3">
      <c r="A761" t="s">
        <v>40</v>
      </c>
      <c r="B761" t="s">
        <v>46</v>
      </c>
      <c r="C761" t="s">
        <v>79</v>
      </c>
      <c r="D761">
        <v>0.1</v>
      </c>
      <c r="E761">
        <f>Tableau6[[#This Row],[Potential (PJ)]]/3.6</f>
        <v>2.777777777777778E-2</v>
      </c>
      <c r="F761">
        <v>2.7770000000000001</v>
      </c>
      <c r="G761">
        <f>Tableau6[[#This Row],[Cost (€/GJ)]]*3.6</f>
        <v>9.9972000000000012</v>
      </c>
      <c r="H761">
        <v>6.8428961748633883</v>
      </c>
      <c r="I761">
        <f>Tableau6[[#This Row],[GHG (kgCO2eq/GJ)]]*3.6</f>
        <v>24.634426229508197</v>
      </c>
      <c r="J761" t="s">
        <v>104</v>
      </c>
      <c r="K761" t="s">
        <v>108</v>
      </c>
    </row>
    <row r="762" spans="1:11" x14ac:dyDescent="0.3">
      <c r="A762" t="s">
        <v>40</v>
      </c>
      <c r="B762" t="s">
        <v>46</v>
      </c>
      <c r="C762" t="s">
        <v>80</v>
      </c>
      <c r="D762">
        <v>0.1341</v>
      </c>
      <c r="E762">
        <f>Tableau6[[#This Row],[Potential (PJ)]]/3.6</f>
        <v>3.7249999999999998E-2</v>
      </c>
      <c r="F762">
        <v>2.7417397167902902</v>
      </c>
      <c r="G762">
        <f>Tableau6[[#This Row],[Cost (€/GJ)]]*3.6</f>
        <v>9.8702629804450446</v>
      </c>
      <c r="H762">
        <v>28.139870918023309</v>
      </c>
      <c r="I762">
        <f>Tableau6[[#This Row],[GHG (kgCO2eq/GJ)]]*3.6</f>
        <v>101.30353530488391</v>
      </c>
      <c r="J762" t="s">
        <v>105</v>
      </c>
      <c r="K762" t="s">
        <v>108</v>
      </c>
    </row>
    <row r="763" spans="1:11" x14ac:dyDescent="0.3">
      <c r="A763" t="s">
        <v>40</v>
      </c>
      <c r="B763" t="s">
        <v>46</v>
      </c>
      <c r="C763" t="s">
        <v>81</v>
      </c>
      <c r="D763">
        <v>3.8199999999999998E-2</v>
      </c>
      <c r="E763">
        <f>Tableau6[[#This Row],[Potential (PJ)]]/3.6</f>
        <v>1.0611111111111111E-2</v>
      </c>
      <c r="F763">
        <v>2.5616921269095179</v>
      </c>
      <c r="G763">
        <f>Tableau6[[#This Row],[Cost (€/GJ)]]*3.6</f>
        <v>9.2220916568742641</v>
      </c>
      <c r="H763">
        <v>8.9647473560517046</v>
      </c>
      <c r="I763">
        <f>Tableau6[[#This Row],[GHG (kgCO2eq/GJ)]]*3.6</f>
        <v>32.273090481786134</v>
      </c>
      <c r="J763" t="s">
        <v>105</v>
      </c>
      <c r="K763" t="s">
        <v>108</v>
      </c>
    </row>
    <row r="764" spans="1:11" x14ac:dyDescent="0.3">
      <c r="A764" t="s">
        <v>40</v>
      </c>
      <c r="B764" t="s">
        <v>46</v>
      </c>
      <c r="C764" t="s">
        <v>66</v>
      </c>
      <c r="D764">
        <v>0.89999999999999991</v>
      </c>
      <c r="E764">
        <f>Tableau6[[#This Row],[Potential (PJ)]]/3.6</f>
        <v>0.24999999999999997</v>
      </c>
      <c r="F764">
        <v>2.867</v>
      </c>
      <c r="G764">
        <f>Tableau6[[#This Row],[Cost (€/GJ)]]*3.6</f>
        <v>10.321200000000001</v>
      </c>
      <c r="H764">
        <v>6.8428961748633883</v>
      </c>
      <c r="I764">
        <f>Tableau6[[#This Row],[GHG (kgCO2eq/GJ)]]*3.6</f>
        <v>24.634426229508197</v>
      </c>
      <c r="J764" t="s">
        <v>104</v>
      </c>
      <c r="K764" t="s">
        <v>108</v>
      </c>
    </row>
    <row r="765" spans="1:11" x14ac:dyDescent="0.3">
      <c r="A765" t="s">
        <v>40</v>
      </c>
      <c r="B765" t="s">
        <v>46</v>
      </c>
      <c r="C765" t="s">
        <v>85</v>
      </c>
      <c r="D765">
        <v>0.2</v>
      </c>
      <c r="E765">
        <f>Tableau6[[#This Row],[Potential (PJ)]]/3.6</f>
        <v>5.5555555555555559E-2</v>
      </c>
      <c r="F765">
        <v>4.383</v>
      </c>
      <c r="G765">
        <f>Tableau6[[#This Row],[Cost (€/GJ)]]*3.6</f>
        <v>15.7788</v>
      </c>
      <c r="H765">
        <v>2.9521711768407801</v>
      </c>
      <c r="I765">
        <f>Tableau6[[#This Row],[GHG (kgCO2eq/GJ)]]*3.6</f>
        <v>10.627816236626808</v>
      </c>
      <c r="J765" t="s">
        <v>104</v>
      </c>
      <c r="K765" t="s">
        <v>108</v>
      </c>
    </row>
    <row r="766" spans="1:11" x14ac:dyDescent="0.3">
      <c r="A766" t="s">
        <v>40</v>
      </c>
      <c r="B766" t="s">
        <v>55</v>
      </c>
      <c r="C766" t="s">
        <v>86</v>
      </c>
      <c r="D766">
        <v>2.5499999999999998E-2</v>
      </c>
      <c r="E766">
        <f>Tableau6[[#This Row],[Potential (PJ)]]/3.6</f>
        <v>7.083333333333333E-3</v>
      </c>
      <c r="F766">
        <v>9.6440000000000001</v>
      </c>
      <c r="G766">
        <f>Tableau6[[#This Row],[Cost (€/GJ)]]*3.6</f>
        <v>34.718400000000003</v>
      </c>
      <c r="H766">
        <v>20.2</v>
      </c>
      <c r="I766">
        <f>Tableau6[[#This Row],[GHG (kgCO2eq/GJ)]]*3.6</f>
        <v>72.72</v>
      </c>
      <c r="J766" t="s">
        <v>106</v>
      </c>
      <c r="K766" t="s">
        <v>109</v>
      </c>
    </row>
    <row r="767" spans="1:11" x14ac:dyDescent="0.3">
      <c r="A767" t="s">
        <v>40</v>
      </c>
      <c r="B767" t="s">
        <v>55</v>
      </c>
      <c r="C767" t="s">
        <v>88</v>
      </c>
      <c r="D767">
        <v>2.3300000000000001E-2</v>
      </c>
      <c r="E767">
        <f>Tableau6[[#This Row],[Potential (PJ)]]/3.6</f>
        <v>6.4722222222222221E-3</v>
      </c>
      <c r="F767">
        <v>10.012</v>
      </c>
      <c r="G767">
        <f>Tableau6[[#This Row],[Cost (€/GJ)]]*3.6</f>
        <v>36.043200000000006</v>
      </c>
      <c r="H767">
        <v>20.2</v>
      </c>
      <c r="I767">
        <f>Tableau6[[#This Row],[GHG (kgCO2eq/GJ)]]*3.6</f>
        <v>72.72</v>
      </c>
      <c r="J767" t="s">
        <v>106</v>
      </c>
      <c r="K767" t="s">
        <v>109</v>
      </c>
    </row>
    <row r="768" spans="1:11" x14ac:dyDescent="0.3">
      <c r="A768" t="s">
        <v>40</v>
      </c>
      <c r="B768" t="s">
        <v>47</v>
      </c>
      <c r="C768" t="s">
        <v>68</v>
      </c>
      <c r="D768">
        <v>1.9</v>
      </c>
      <c r="E768">
        <f>Tableau6[[#This Row],[Potential (PJ)]]/3.6</f>
        <v>0.52777777777777779</v>
      </c>
      <c r="F768">
        <v>3.4153157894736852</v>
      </c>
      <c r="G768">
        <f>Tableau6[[#This Row],[Cost (€/GJ)]]*3.6</f>
        <v>12.295136842105267</v>
      </c>
      <c r="H768">
        <v>17.3</v>
      </c>
      <c r="I768">
        <f>Tableau6[[#This Row],[GHG (kgCO2eq/GJ)]]*3.6</f>
        <v>62.28</v>
      </c>
      <c r="J768" t="s">
        <v>104</v>
      </c>
      <c r="K768" t="s">
        <v>109</v>
      </c>
    </row>
    <row r="769" spans="1:11" x14ac:dyDescent="0.3">
      <c r="A769" t="s">
        <v>40</v>
      </c>
      <c r="B769" t="s">
        <v>47</v>
      </c>
      <c r="C769" t="s">
        <v>69</v>
      </c>
      <c r="D769">
        <v>0.8</v>
      </c>
      <c r="E769">
        <f>Tableau6[[#This Row],[Potential (PJ)]]/3.6</f>
        <v>0.22222222222222224</v>
      </c>
      <c r="F769">
        <v>3.54725</v>
      </c>
      <c r="G769">
        <f>Tableau6[[#This Row],[Cost (€/GJ)]]*3.6</f>
        <v>12.770100000000001</v>
      </c>
      <c r="H769">
        <v>17.3</v>
      </c>
      <c r="I769">
        <f>Tableau6[[#This Row],[GHG (kgCO2eq/GJ)]]*3.6</f>
        <v>62.28</v>
      </c>
      <c r="J769" t="s">
        <v>104</v>
      </c>
      <c r="K769" t="s">
        <v>109</v>
      </c>
    </row>
    <row r="770" spans="1:11" x14ac:dyDescent="0.3">
      <c r="A770" t="s">
        <v>40</v>
      </c>
      <c r="B770" t="s">
        <v>48</v>
      </c>
      <c r="C770" t="s">
        <v>70</v>
      </c>
      <c r="D770">
        <v>0.1</v>
      </c>
      <c r="E770">
        <f>Tableau6[[#This Row],[Potential (PJ)]]/3.6</f>
        <v>2.777777777777778E-2</v>
      </c>
      <c r="F770">
        <v>10.066000000000001</v>
      </c>
      <c r="G770">
        <f>Tableau6[[#This Row],[Cost (€/GJ)]]*3.6</f>
        <v>36.2376</v>
      </c>
      <c r="H770">
        <v>0</v>
      </c>
      <c r="I770">
        <f>Tableau6[[#This Row],[GHG (kgCO2eq/GJ)]]*3.6</f>
        <v>0</v>
      </c>
      <c r="J770" t="s">
        <v>104</v>
      </c>
      <c r="K770" t="s">
        <v>109</v>
      </c>
    </row>
    <row r="771" spans="1:11" x14ac:dyDescent="0.3">
      <c r="A771" t="s">
        <v>40</v>
      </c>
      <c r="B771" t="s">
        <v>49</v>
      </c>
      <c r="C771" t="s">
        <v>71</v>
      </c>
      <c r="D771">
        <v>96.697859999999991</v>
      </c>
      <c r="E771">
        <f>Tableau6[[#This Row],[Potential (PJ)]]/3.6</f>
        <v>26.860516666666662</v>
      </c>
      <c r="F771">
        <v>2.5215884008187981</v>
      </c>
      <c r="G771">
        <f>Tableau6[[#This Row],[Cost (€/GJ)]]*3.6</f>
        <v>9.0777182429476735</v>
      </c>
      <c r="H771">
        <v>3.86607608129234</v>
      </c>
      <c r="I771">
        <f>Tableau6[[#This Row],[GHG (kgCO2eq/GJ)]]*3.6</f>
        <v>13.917873892652425</v>
      </c>
      <c r="J771" t="s">
        <v>104</v>
      </c>
      <c r="K771" t="s">
        <v>108</v>
      </c>
    </row>
    <row r="772" spans="1:11" x14ac:dyDescent="0.3">
      <c r="A772" t="s">
        <v>40</v>
      </c>
      <c r="B772" t="s">
        <v>49</v>
      </c>
      <c r="C772" t="s">
        <v>72</v>
      </c>
      <c r="D772">
        <v>8.1</v>
      </c>
      <c r="E772">
        <f>Tableau6[[#This Row],[Potential (PJ)]]/3.6</f>
        <v>2.25</v>
      </c>
      <c r="F772">
        <v>3.360074074074074</v>
      </c>
      <c r="G772">
        <f>Tableau6[[#This Row],[Cost (€/GJ)]]*3.6</f>
        <v>12.096266666666667</v>
      </c>
      <c r="H772">
        <v>3.86607608129234</v>
      </c>
      <c r="I772">
        <f>Tableau6[[#This Row],[GHG (kgCO2eq/GJ)]]*3.6</f>
        <v>13.917873892652425</v>
      </c>
      <c r="J772" t="s">
        <v>104</v>
      </c>
      <c r="K772" t="s">
        <v>108</v>
      </c>
    </row>
    <row r="773" spans="1:11" x14ac:dyDescent="0.3">
      <c r="A773" t="s">
        <v>40</v>
      </c>
      <c r="B773" t="s">
        <v>58</v>
      </c>
      <c r="C773" t="s">
        <v>95</v>
      </c>
      <c r="D773">
        <v>1.3665400000000001</v>
      </c>
      <c r="E773">
        <f>Tableau6[[#This Row],[Potential (PJ)]]/3.6</f>
        <v>0.37959444444444446</v>
      </c>
      <c r="F773">
        <v>2.661</v>
      </c>
      <c r="G773">
        <f>Tableau6[[#This Row],[Cost (€/GJ)]]*3.6</f>
        <v>9.579600000000001</v>
      </c>
      <c r="H773">
        <v>2.9521711768407801</v>
      </c>
      <c r="I773">
        <f>Tableau6[[#This Row],[GHG (kgCO2eq/GJ)]]*3.6</f>
        <v>10.627816236626808</v>
      </c>
      <c r="J773" t="s">
        <v>104</v>
      </c>
      <c r="K773" t="s">
        <v>108</v>
      </c>
    </row>
    <row r="774" spans="1:11" x14ac:dyDescent="0.3">
      <c r="A774" t="s">
        <v>40</v>
      </c>
      <c r="B774" t="s">
        <v>50</v>
      </c>
      <c r="C774" t="s">
        <v>73</v>
      </c>
      <c r="D774">
        <v>0.4</v>
      </c>
      <c r="E774">
        <f>Tableau6[[#This Row],[Potential (PJ)]]/3.6</f>
        <v>0.11111111111111112</v>
      </c>
      <c r="F774">
        <v>5.1550000000000002</v>
      </c>
      <c r="G774">
        <f>Tableau6[[#This Row],[Cost (€/GJ)]]*3.6</f>
        <v>18.558</v>
      </c>
      <c r="H774">
        <v>20.723404255319149</v>
      </c>
      <c r="I774">
        <f>Tableau6[[#This Row],[GHG (kgCO2eq/GJ)]]*3.6</f>
        <v>74.604255319148933</v>
      </c>
      <c r="J774" t="s">
        <v>105</v>
      </c>
      <c r="K774" t="s">
        <v>108</v>
      </c>
    </row>
    <row r="775" spans="1:11" x14ac:dyDescent="0.3">
      <c r="A775" t="s">
        <v>40</v>
      </c>
      <c r="B775" t="s">
        <v>50</v>
      </c>
      <c r="C775" t="s">
        <v>74</v>
      </c>
      <c r="D775">
        <v>1.7</v>
      </c>
      <c r="E775">
        <f>Tableau6[[#This Row],[Potential (PJ)]]/3.6</f>
        <v>0.47222222222222221</v>
      </c>
      <c r="F775">
        <v>3.8699411764705882</v>
      </c>
      <c r="G775">
        <f>Tableau6[[#This Row],[Cost (€/GJ)]]*3.6</f>
        <v>13.931788235294118</v>
      </c>
      <c r="H775">
        <v>2.0635593220338988</v>
      </c>
      <c r="I775">
        <f>Tableau6[[#This Row],[GHG (kgCO2eq/GJ)]]*3.6</f>
        <v>7.4288135593220357</v>
      </c>
      <c r="J775" t="s">
        <v>105</v>
      </c>
      <c r="K775" t="s">
        <v>108</v>
      </c>
    </row>
    <row r="776" spans="1:11" x14ac:dyDescent="0.3">
      <c r="A776" t="s">
        <v>40</v>
      </c>
      <c r="B776" t="s">
        <v>51</v>
      </c>
      <c r="C776" t="s">
        <v>75</v>
      </c>
      <c r="D776">
        <v>0.93880399999999997</v>
      </c>
      <c r="E776">
        <f>Tableau6[[#This Row],[Potential (PJ)]]/3.6</f>
        <v>0.26077888888888889</v>
      </c>
      <c r="F776">
        <v>0.14369423185663699</v>
      </c>
      <c r="G776">
        <f>Tableau6[[#This Row],[Cost (€/GJ)]]*3.6</f>
        <v>0.51729923468389316</v>
      </c>
      <c r="H776">
        <v>11.74</v>
      </c>
      <c r="I776">
        <f>Tableau6[[#This Row],[GHG (kgCO2eq/GJ)]]*3.6</f>
        <v>42.264000000000003</v>
      </c>
      <c r="J776" t="s">
        <v>104</v>
      </c>
      <c r="K776" t="s">
        <v>108</v>
      </c>
    </row>
    <row r="777" spans="1:11" x14ac:dyDescent="0.3">
      <c r="A777" t="s">
        <v>40</v>
      </c>
      <c r="B777" t="s">
        <v>60</v>
      </c>
      <c r="C777" t="s">
        <v>98</v>
      </c>
      <c r="D777">
        <v>5.2740000000000002E-2</v>
      </c>
      <c r="E777">
        <f>Tableau6[[#This Row],[Potential (PJ)]]/3.6</f>
        <v>1.465E-2</v>
      </c>
      <c r="F777">
        <v>28.73254564983888</v>
      </c>
      <c r="G777">
        <f>Tableau6[[#This Row],[Cost (€/GJ)]]*3.6</f>
        <v>103.43716433941997</v>
      </c>
      <c r="H777">
        <v>37.6</v>
      </c>
      <c r="I777">
        <f>Tableau6[[#This Row],[GHG (kgCO2eq/GJ)]]*3.6</f>
        <v>135.36000000000001</v>
      </c>
      <c r="J777" t="s">
        <v>107</v>
      </c>
      <c r="K777" t="s">
        <v>109</v>
      </c>
    </row>
    <row r="778" spans="1:11" x14ac:dyDescent="0.3">
      <c r="A778" t="s">
        <v>40</v>
      </c>
      <c r="B778" t="s">
        <v>52</v>
      </c>
      <c r="C778" t="s">
        <v>76</v>
      </c>
      <c r="D778">
        <v>5.8000000000000003E-2</v>
      </c>
      <c r="E778">
        <f>Tableau6[[#This Row],[Potential (PJ)]]/3.6</f>
        <v>1.6111111111111111E-2</v>
      </c>
      <c r="F778">
        <v>6.5250000000000004</v>
      </c>
      <c r="G778">
        <f>Tableau6[[#This Row],[Cost (€/GJ)]]*3.6</f>
        <v>23.490000000000002</v>
      </c>
      <c r="H778">
        <v>12.68872359754714</v>
      </c>
      <c r="I778">
        <f>Tableau6[[#This Row],[GHG (kgCO2eq/GJ)]]*3.6</f>
        <v>45.679404951169708</v>
      </c>
      <c r="J778" t="s">
        <v>105</v>
      </c>
      <c r="K778" t="s">
        <v>108</v>
      </c>
    </row>
    <row r="779" spans="1:11" x14ac:dyDescent="0.3">
      <c r="A779" t="s">
        <v>40</v>
      </c>
      <c r="B779" t="s">
        <v>53</v>
      </c>
      <c r="C779" t="s">
        <v>77</v>
      </c>
      <c r="D779">
        <v>2.8</v>
      </c>
      <c r="E779">
        <f>Tableau6[[#This Row],[Potential (PJ)]]/3.6</f>
        <v>0.77777777777777768</v>
      </c>
      <c r="F779">
        <v>3.359928571428572</v>
      </c>
      <c r="G779">
        <f>Tableau6[[#This Row],[Cost (€/GJ)]]*3.6</f>
        <v>12.095742857142859</v>
      </c>
      <c r="H779">
        <v>3.86607608129234</v>
      </c>
      <c r="I779">
        <f>Tableau6[[#This Row],[GHG (kgCO2eq/GJ)]]*3.6</f>
        <v>13.917873892652425</v>
      </c>
      <c r="J779" t="s">
        <v>104</v>
      </c>
      <c r="K779" t="s">
        <v>108</v>
      </c>
    </row>
    <row r="780" spans="1:11" x14ac:dyDescent="0.3">
      <c r="A780" t="s">
        <v>40</v>
      </c>
      <c r="B780" t="s">
        <v>61</v>
      </c>
      <c r="C780" t="s">
        <v>99</v>
      </c>
      <c r="D780">
        <v>4.7</v>
      </c>
      <c r="E780">
        <f>Tableau6[[#This Row],[Potential (PJ)]]/3.6</f>
        <v>1.3055555555555556</v>
      </c>
      <c r="F780">
        <v>1.578702127659575</v>
      </c>
      <c r="G780">
        <f>Tableau6[[#This Row],[Cost (€/GJ)]]*3.6</f>
        <v>5.6833276595744699</v>
      </c>
      <c r="H780">
        <v>2.9245635910224439</v>
      </c>
      <c r="I780">
        <f>Tableau6[[#This Row],[GHG (kgCO2eq/GJ)]]*3.6</f>
        <v>10.528428927680798</v>
      </c>
      <c r="J780" t="s">
        <v>104</v>
      </c>
      <c r="K780" t="s">
        <v>108</v>
      </c>
    </row>
    <row r="781" spans="1:11" x14ac:dyDescent="0.3">
      <c r="A781" t="s">
        <v>40</v>
      </c>
      <c r="B781" t="s">
        <v>62</v>
      </c>
      <c r="C781" t="s">
        <v>100</v>
      </c>
      <c r="D781">
        <v>1</v>
      </c>
      <c r="E781">
        <f>Tableau6[[#This Row],[Potential (PJ)]]/3.6</f>
        <v>0.27777777777777779</v>
      </c>
      <c r="F781">
        <v>0.84</v>
      </c>
      <c r="G781">
        <f>Tableau6[[#This Row],[Cost (€/GJ)]]*3.6</f>
        <v>3.024</v>
      </c>
      <c r="H781">
        <v>2.6764106050305911</v>
      </c>
      <c r="I781">
        <f>Tableau6[[#This Row],[GHG (kgCO2eq/GJ)]]*3.6</f>
        <v>9.6350781781101276</v>
      </c>
      <c r="J781" t="s">
        <v>104</v>
      </c>
      <c r="K781" t="s">
        <v>108</v>
      </c>
    </row>
    <row r="782" spans="1:11" x14ac:dyDescent="0.3">
      <c r="A782" t="s">
        <v>40</v>
      </c>
      <c r="B782" t="s">
        <v>54</v>
      </c>
      <c r="C782" t="s">
        <v>78</v>
      </c>
      <c r="D782">
        <v>34.299999999999997</v>
      </c>
      <c r="E782">
        <f>Tableau6[[#This Row],[Potential (PJ)]]/3.6</f>
        <v>9.5277777777777768</v>
      </c>
      <c r="F782">
        <v>3.3411428571428581</v>
      </c>
      <c r="G782">
        <f>Tableau6[[#This Row],[Cost (€/GJ)]]*3.6</f>
        <v>12.02811428571429</v>
      </c>
      <c r="H782">
        <v>3.86607608129234</v>
      </c>
      <c r="I782">
        <f>Tableau6[[#This Row],[GHG (kgCO2eq/GJ)]]*3.6</f>
        <v>13.917873892652425</v>
      </c>
      <c r="J782" t="s">
        <v>104</v>
      </c>
      <c r="K782" t="s">
        <v>108</v>
      </c>
    </row>
    <row r="783" spans="1:11" x14ac:dyDescent="0.3">
      <c r="A783" t="s">
        <v>41</v>
      </c>
      <c r="B783" t="s">
        <v>46</v>
      </c>
      <c r="C783" t="s">
        <v>64</v>
      </c>
      <c r="D783">
        <v>4.7260000000000003E-2</v>
      </c>
      <c r="E783">
        <f>Tableau6[[#This Row],[Potential (PJ)]]/3.6</f>
        <v>1.3127777777777778E-2</v>
      </c>
      <c r="F783">
        <v>5.8799811680067711</v>
      </c>
      <c r="G783">
        <f>Tableau6[[#This Row],[Cost (€/GJ)]]*3.6</f>
        <v>21.167932204824375</v>
      </c>
      <c r="H783">
        <v>2.9521711768407801</v>
      </c>
      <c r="I783">
        <f>Tableau6[[#This Row],[GHG (kgCO2eq/GJ)]]*3.6</f>
        <v>10.627816236626808</v>
      </c>
      <c r="J783" t="s">
        <v>104</v>
      </c>
      <c r="K783" t="s">
        <v>108</v>
      </c>
    </row>
    <row r="784" spans="1:11" x14ac:dyDescent="0.3">
      <c r="A784" t="s">
        <v>41</v>
      </c>
      <c r="B784" t="s">
        <v>46</v>
      </c>
      <c r="C784" t="s">
        <v>79</v>
      </c>
      <c r="D784">
        <v>13</v>
      </c>
      <c r="E784">
        <f>Tableau6[[#This Row],[Potential (PJ)]]/3.6</f>
        <v>3.6111111111111112</v>
      </c>
      <c r="F784">
        <v>4.5206692307692302</v>
      </c>
      <c r="G784">
        <f>Tableau6[[#This Row],[Cost (€/GJ)]]*3.6</f>
        <v>16.27440923076923</v>
      </c>
      <c r="H784">
        <v>6.8428961748633883</v>
      </c>
      <c r="I784">
        <f>Tableau6[[#This Row],[GHG (kgCO2eq/GJ)]]*3.6</f>
        <v>24.634426229508197</v>
      </c>
      <c r="J784" t="s">
        <v>104</v>
      </c>
      <c r="K784" t="s">
        <v>108</v>
      </c>
    </row>
    <row r="785" spans="1:11" x14ac:dyDescent="0.3">
      <c r="A785" t="s">
        <v>41</v>
      </c>
      <c r="B785" t="s">
        <v>46</v>
      </c>
      <c r="C785" t="s">
        <v>80</v>
      </c>
      <c r="D785">
        <v>0.1026</v>
      </c>
      <c r="E785">
        <f>Tableau6[[#This Row],[Potential (PJ)]]/3.6</f>
        <v>2.8499999999999998E-2</v>
      </c>
      <c r="F785">
        <v>0.2002697235333783</v>
      </c>
      <c r="G785">
        <f>Tableau6[[#This Row],[Cost (€/GJ)]]*3.6</f>
        <v>0.72097100472016185</v>
      </c>
      <c r="H785">
        <v>28.139870918023309</v>
      </c>
      <c r="I785">
        <f>Tableau6[[#This Row],[GHG (kgCO2eq/GJ)]]*3.6</f>
        <v>101.30353530488391</v>
      </c>
      <c r="J785" t="s">
        <v>105</v>
      </c>
      <c r="K785" t="s">
        <v>108</v>
      </c>
    </row>
    <row r="786" spans="1:11" x14ac:dyDescent="0.3">
      <c r="A786" t="s">
        <v>41</v>
      </c>
      <c r="B786" t="s">
        <v>46</v>
      </c>
      <c r="C786" t="s">
        <v>81</v>
      </c>
      <c r="D786">
        <v>5.0900000000000001E-2</v>
      </c>
      <c r="E786">
        <f>Tableau6[[#This Row],[Potential (PJ)]]/3.6</f>
        <v>1.4138888888888888E-2</v>
      </c>
      <c r="F786">
        <v>0.36251468860164521</v>
      </c>
      <c r="G786">
        <f>Tableau6[[#This Row],[Cost (€/GJ)]]*3.6</f>
        <v>1.3050528789659228</v>
      </c>
      <c r="H786">
        <v>8.9647473560517046</v>
      </c>
      <c r="I786">
        <f>Tableau6[[#This Row],[GHG (kgCO2eq/GJ)]]*3.6</f>
        <v>32.273090481786134</v>
      </c>
      <c r="J786" t="s">
        <v>105</v>
      </c>
      <c r="K786" t="s">
        <v>108</v>
      </c>
    </row>
    <row r="787" spans="1:11" x14ac:dyDescent="0.3">
      <c r="A787" t="s">
        <v>41</v>
      </c>
      <c r="B787" t="s">
        <v>46</v>
      </c>
      <c r="C787" t="s">
        <v>66</v>
      </c>
      <c r="D787">
        <v>3.4</v>
      </c>
      <c r="E787">
        <f>Tableau6[[#This Row],[Potential (PJ)]]/3.6</f>
        <v>0.94444444444444442</v>
      </c>
      <c r="F787">
        <v>4.6685294117647054</v>
      </c>
      <c r="G787">
        <f>Tableau6[[#This Row],[Cost (€/GJ)]]*3.6</f>
        <v>16.80670588235294</v>
      </c>
      <c r="H787">
        <v>6.8428961748633883</v>
      </c>
      <c r="I787">
        <f>Tableau6[[#This Row],[GHG (kgCO2eq/GJ)]]*3.6</f>
        <v>24.634426229508197</v>
      </c>
      <c r="J787" t="s">
        <v>104</v>
      </c>
      <c r="K787" t="s">
        <v>108</v>
      </c>
    </row>
    <row r="788" spans="1:11" x14ac:dyDescent="0.3">
      <c r="A788" t="s">
        <v>41</v>
      </c>
      <c r="B788" t="s">
        <v>46</v>
      </c>
      <c r="C788" t="s">
        <v>82</v>
      </c>
      <c r="D788">
        <v>2.8</v>
      </c>
      <c r="E788">
        <f>Tableau6[[#This Row],[Potential (PJ)]]/3.6</f>
        <v>0.77777777777777768</v>
      </c>
      <c r="F788">
        <v>2.8229642857142858</v>
      </c>
      <c r="G788">
        <f>Tableau6[[#This Row],[Cost (€/GJ)]]*3.6</f>
        <v>10.162671428571429</v>
      </c>
      <c r="H788">
        <v>6.8428961748633883</v>
      </c>
      <c r="I788">
        <f>Tableau6[[#This Row],[GHG (kgCO2eq/GJ)]]*3.6</f>
        <v>24.634426229508197</v>
      </c>
      <c r="J788" t="s">
        <v>104</v>
      </c>
      <c r="K788" t="s">
        <v>108</v>
      </c>
    </row>
    <row r="789" spans="1:11" x14ac:dyDescent="0.3">
      <c r="A789" t="s">
        <v>41</v>
      </c>
      <c r="B789" t="s">
        <v>46</v>
      </c>
      <c r="C789" t="s">
        <v>84</v>
      </c>
      <c r="D789">
        <v>0.2</v>
      </c>
      <c r="E789">
        <f>Tableau6[[#This Row],[Potential (PJ)]]/3.6</f>
        <v>5.5555555555555559E-2</v>
      </c>
      <c r="F789">
        <v>2.3820000000000001</v>
      </c>
      <c r="G789">
        <f>Tableau6[[#This Row],[Cost (€/GJ)]]*3.6</f>
        <v>8.5752000000000006</v>
      </c>
      <c r="H789">
        <v>28.139870918023309</v>
      </c>
      <c r="I789">
        <f>Tableau6[[#This Row],[GHG (kgCO2eq/GJ)]]*3.6</f>
        <v>101.30353530488391</v>
      </c>
      <c r="J789" t="s">
        <v>105</v>
      </c>
      <c r="K789" t="s">
        <v>108</v>
      </c>
    </row>
    <row r="790" spans="1:11" x14ac:dyDescent="0.3">
      <c r="A790" t="s">
        <v>41</v>
      </c>
      <c r="B790" t="s">
        <v>46</v>
      </c>
      <c r="C790" t="s">
        <v>85</v>
      </c>
      <c r="D790">
        <v>0.1</v>
      </c>
      <c r="E790">
        <f>Tableau6[[#This Row],[Potential (PJ)]]/3.6</f>
        <v>2.777777777777778E-2</v>
      </c>
      <c r="F790">
        <v>4.1459999999999999</v>
      </c>
      <c r="G790">
        <f>Tableau6[[#This Row],[Cost (€/GJ)]]*3.6</f>
        <v>14.925599999999999</v>
      </c>
      <c r="H790">
        <v>2.9521711768407801</v>
      </c>
      <c r="I790">
        <f>Tableau6[[#This Row],[GHG (kgCO2eq/GJ)]]*3.6</f>
        <v>10.627816236626808</v>
      </c>
      <c r="J790" t="s">
        <v>104</v>
      </c>
      <c r="K790" t="s">
        <v>108</v>
      </c>
    </row>
    <row r="791" spans="1:11" x14ac:dyDescent="0.3">
      <c r="A791" t="s">
        <v>41</v>
      </c>
      <c r="B791" t="s">
        <v>55</v>
      </c>
      <c r="C791" t="s">
        <v>86</v>
      </c>
      <c r="D791">
        <v>0.2853</v>
      </c>
      <c r="E791">
        <f>Tableau6[[#This Row],[Potential (PJ)]]/3.6</f>
        <v>7.9250000000000001E-2</v>
      </c>
      <c r="F791">
        <v>11.377000000000001</v>
      </c>
      <c r="G791">
        <f>Tableau6[[#This Row],[Cost (€/GJ)]]*3.6</f>
        <v>40.9572</v>
      </c>
      <c r="H791">
        <v>9.1999999999999993</v>
      </c>
      <c r="I791">
        <f>Tableau6[[#This Row],[GHG (kgCO2eq/GJ)]]*3.6</f>
        <v>33.119999999999997</v>
      </c>
      <c r="J791" t="s">
        <v>106</v>
      </c>
      <c r="K791" t="s">
        <v>109</v>
      </c>
    </row>
    <row r="792" spans="1:11" x14ac:dyDescent="0.3">
      <c r="A792" t="s">
        <v>41</v>
      </c>
      <c r="B792" t="s">
        <v>55</v>
      </c>
      <c r="C792" t="s">
        <v>87</v>
      </c>
      <c r="D792">
        <v>0.66650000000000009</v>
      </c>
      <c r="E792">
        <f>Tableau6[[#This Row],[Potential (PJ)]]/3.6</f>
        <v>0.18513888888888891</v>
      </c>
      <c r="F792">
        <v>10.821999999999999</v>
      </c>
      <c r="G792">
        <f>Tableau6[[#This Row],[Cost (€/GJ)]]*3.6</f>
        <v>38.959199999999996</v>
      </c>
      <c r="H792">
        <v>9.1999999999999993</v>
      </c>
      <c r="I792">
        <f>Tableau6[[#This Row],[GHG (kgCO2eq/GJ)]]*3.6</f>
        <v>33.119999999999997</v>
      </c>
      <c r="J792" t="s">
        <v>106</v>
      </c>
      <c r="K792" t="s">
        <v>109</v>
      </c>
    </row>
    <row r="793" spans="1:11" x14ac:dyDescent="0.3">
      <c r="A793" t="s">
        <v>41</v>
      </c>
      <c r="B793" t="s">
        <v>55</v>
      </c>
      <c r="C793" t="s">
        <v>88</v>
      </c>
      <c r="D793">
        <v>2.2911999999999999</v>
      </c>
      <c r="E793">
        <f>Tableau6[[#This Row],[Potential (PJ)]]/3.6</f>
        <v>0.63644444444444437</v>
      </c>
      <c r="F793">
        <v>9.9030000000000005</v>
      </c>
      <c r="G793">
        <f>Tableau6[[#This Row],[Cost (€/GJ)]]*3.6</f>
        <v>35.650800000000004</v>
      </c>
      <c r="H793">
        <v>9.1999999999999993</v>
      </c>
      <c r="I793">
        <f>Tableau6[[#This Row],[GHG (kgCO2eq/GJ)]]*3.6</f>
        <v>33.119999999999997</v>
      </c>
      <c r="J793" t="s">
        <v>106</v>
      </c>
      <c r="K793" t="s">
        <v>109</v>
      </c>
    </row>
    <row r="794" spans="1:11" x14ac:dyDescent="0.3">
      <c r="A794" t="s">
        <v>41</v>
      </c>
      <c r="B794" t="s">
        <v>55</v>
      </c>
      <c r="C794" t="s">
        <v>90</v>
      </c>
      <c r="D794">
        <v>4.7199999999999999E-2</v>
      </c>
      <c r="E794">
        <f>Tableau6[[#This Row],[Potential (PJ)]]/3.6</f>
        <v>1.311111111111111E-2</v>
      </c>
      <c r="F794">
        <v>11.891999999999999</v>
      </c>
      <c r="G794">
        <f>Tableau6[[#This Row],[Cost (€/GJ)]]*3.6</f>
        <v>42.811199999999999</v>
      </c>
      <c r="H794">
        <v>9.1999999999999993</v>
      </c>
      <c r="I794">
        <f>Tableau6[[#This Row],[GHG (kgCO2eq/GJ)]]*3.6</f>
        <v>33.119999999999997</v>
      </c>
      <c r="J794" t="s">
        <v>106</v>
      </c>
      <c r="K794" t="s">
        <v>109</v>
      </c>
    </row>
    <row r="795" spans="1:11" x14ac:dyDescent="0.3">
      <c r="A795" t="s">
        <v>41</v>
      </c>
      <c r="B795" t="s">
        <v>55</v>
      </c>
      <c r="C795" t="s">
        <v>91</v>
      </c>
      <c r="D795">
        <v>0.151</v>
      </c>
      <c r="E795">
        <f>Tableau6[[#This Row],[Potential (PJ)]]/3.6</f>
        <v>4.1944444444444444E-2</v>
      </c>
      <c r="F795">
        <v>11.093999999999999</v>
      </c>
      <c r="G795">
        <f>Tableau6[[#This Row],[Cost (€/GJ)]]*3.6</f>
        <v>39.938400000000001</v>
      </c>
      <c r="H795">
        <v>9.1999999999999993</v>
      </c>
      <c r="I795">
        <f>Tableau6[[#This Row],[GHG (kgCO2eq/GJ)]]*3.6</f>
        <v>33.119999999999997</v>
      </c>
      <c r="J795" t="s">
        <v>106</v>
      </c>
      <c r="K795" t="s">
        <v>109</v>
      </c>
    </row>
    <row r="796" spans="1:11" x14ac:dyDescent="0.3">
      <c r="A796" t="s">
        <v>41</v>
      </c>
      <c r="B796" t="s">
        <v>55</v>
      </c>
      <c r="C796" t="s">
        <v>92</v>
      </c>
      <c r="D796">
        <v>0.34222000000000002</v>
      </c>
      <c r="E796">
        <f>Tableau6[[#This Row],[Potential (PJ)]]/3.6</f>
        <v>9.506111111111111E-2</v>
      </c>
      <c r="F796">
        <v>10.821999999999999</v>
      </c>
      <c r="G796">
        <f>Tableau6[[#This Row],[Cost (€/GJ)]]*3.6</f>
        <v>38.959199999999996</v>
      </c>
      <c r="H796">
        <v>9.1999999999999993</v>
      </c>
      <c r="I796">
        <f>Tableau6[[#This Row],[GHG (kgCO2eq/GJ)]]*3.6</f>
        <v>33.119999999999997</v>
      </c>
      <c r="J796" t="s">
        <v>106</v>
      </c>
      <c r="K796" t="s">
        <v>109</v>
      </c>
    </row>
    <row r="797" spans="1:11" x14ac:dyDescent="0.3">
      <c r="A797" t="s">
        <v>41</v>
      </c>
      <c r="B797" t="s">
        <v>56</v>
      </c>
      <c r="C797" t="s">
        <v>93</v>
      </c>
      <c r="D797">
        <v>1.7755000000000001</v>
      </c>
      <c r="E797">
        <f>Tableau6[[#This Row],[Potential (PJ)]]/3.6</f>
        <v>0.49319444444444444</v>
      </c>
      <c r="F797">
        <v>2.9493975903614462</v>
      </c>
      <c r="G797">
        <f>Tableau6[[#This Row],[Cost (€/GJ)]]*3.6</f>
        <v>10.617831325301207</v>
      </c>
      <c r="H797">
        <v>15.9</v>
      </c>
      <c r="I797">
        <f>Tableau6[[#This Row],[GHG (kgCO2eq/GJ)]]*3.6</f>
        <v>57.24</v>
      </c>
      <c r="J797" t="s">
        <v>106</v>
      </c>
      <c r="K797" t="s">
        <v>109</v>
      </c>
    </row>
    <row r="798" spans="1:11" x14ac:dyDescent="0.3">
      <c r="A798" t="s">
        <v>41</v>
      </c>
      <c r="B798" t="s">
        <v>47</v>
      </c>
      <c r="C798" t="s">
        <v>68</v>
      </c>
      <c r="D798">
        <v>9.1</v>
      </c>
      <c r="E798">
        <f>Tableau6[[#This Row],[Potential (PJ)]]/3.6</f>
        <v>2.5277777777777777</v>
      </c>
      <c r="F798">
        <v>3.0127362637362638</v>
      </c>
      <c r="G798">
        <f>Tableau6[[#This Row],[Cost (€/GJ)]]*3.6</f>
        <v>10.845850549450549</v>
      </c>
      <c r="H798">
        <v>23.8</v>
      </c>
      <c r="I798">
        <f>Tableau6[[#This Row],[GHG (kgCO2eq/GJ)]]*3.6</f>
        <v>85.68</v>
      </c>
      <c r="J798" t="s">
        <v>104</v>
      </c>
      <c r="K798" t="s">
        <v>109</v>
      </c>
    </row>
    <row r="799" spans="1:11" x14ac:dyDescent="0.3">
      <c r="A799" t="s">
        <v>41</v>
      </c>
      <c r="B799" t="s">
        <v>47</v>
      </c>
      <c r="C799" t="s">
        <v>69</v>
      </c>
      <c r="D799">
        <v>4.5</v>
      </c>
      <c r="E799">
        <f>Tableau6[[#This Row],[Potential (PJ)]]/3.6</f>
        <v>1.25</v>
      </c>
      <c r="F799">
        <v>3.0124666666666671</v>
      </c>
      <c r="G799">
        <f>Tableau6[[#This Row],[Cost (€/GJ)]]*3.6</f>
        <v>10.844880000000002</v>
      </c>
      <c r="H799">
        <v>23.8</v>
      </c>
      <c r="I799">
        <f>Tableau6[[#This Row],[GHG (kgCO2eq/GJ)]]*3.6</f>
        <v>85.68</v>
      </c>
      <c r="J799" t="s">
        <v>104</v>
      </c>
      <c r="K799" t="s">
        <v>109</v>
      </c>
    </row>
    <row r="800" spans="1:11" x14ac:dyDescent="0.3">
      <c r="A800" t="s">
        <v>41</v>
      </c>
      <c r="B800" t="s">
        <v>57</v>
      </c>
      <c r="C800" t="s">
        <v>94</v>
      </c>
      <c r="D800">
        <v>2.8</v>
      </c>
      <c r="E800">
        <f>Tableau6[[#This Row],[Potential (PJ)]]/3.6</f>
        <v>0.77777777777777768</v>
      </c>
      <c r="F800">
        <v>7.080928571428573</v>
      </c>
      <c r="G800">
        <f>Tableau6[[#This Row],[Cost (€/GJ)]]*3.6</f>
        <v>25.491342857142865</v>
      </c>
      <c r="H800">
        <v>15</v>
      </c>
      <c r="I800">
        <f>Tableau6[[#This Row],[GHG (kgCO2eq/GJ)]]*3.6</f>
        <v>54</v>
      </c>
      <c r="J800" t="s">
        <v>104</v>
      </c>
      <c r="K800" t="s">
        <v>109</v>
      </c>
    </row>
    <row r="801" spans="1:11" x14ac:dyDescent="0.3">
      <c r="A801" t="s">
        <v>41</v>
      </c>
      <c r="B801" t="s">
        <v>49</v>
      </c>
      <c r="C801" t="s">
        <v>71</v>
      </c>
      <c r="D801">
        <v>106.18906</v>
      </c>
      <c r="E801">
        <f>Tableau6[[#This Row],[Potential (PJ)]]/3.6</f>
        <v>29.496961111111109</v>
      </c>
      <c r="F801">
        <v>2.3896700997259042</v>
      </c>
      <c r="G801">
        <f>Tableau6[[#This Row],[Cost (€/GJ)]]*3.6</f>
        <v>8.6028123590132548</v>
      </c>
      <c r="H801">
        <v>3.86607608129234</v>
      </c>
      <c r="I801">
        <f>Tableau6[[#This Row],[GHG (kgCO2eq/GJ)]]*3.6</f>
        <v>13.917873892652425</v>
      </c>
      <c r="J801" t="s">
        <v>104</v>
      </c>
      <c r="K801" t="s">
        <v>108</v>
      </c>
    </row>
    <row r="802" spans="1:11" x14ac:dyDescent="0.3">
      <c r="A802" t="s">
        <v>41</v>
      </c>
      <c r="B802" t="s">
        <v>49</v>
      </c>
      <c r="C802" t="s">
        <v>72</v>
      </c>
      <c r="D802">
        <v>3.2</v>
      </c>
      <c r="E802">
        <f>Tableau6[[#This Row],[Potential (PJ)]]/3.6</f>
        <v>0.88888888888888895</v>
      </c>
      <c r="F802">
        <v>3.19996875</v>
      </c>
      <c r="G802">
        <f>Tableau6[[#This Row],[Cost (€/GJ)]]*3.6</f>
        <v>11.519887500000001</v>
      </c>
      <c r="H802">
        <v>3.86607608129234</v>
      </c>
      <c r="I802">
        <f>Tableau6[[#This Row],[GHG (kgCO2eq/GJ)]]*3.6</f>
        <v>13.917873892652425</v>
      </c>
      <c r="J802" t="s">
        <v>104</v>
      </c>
      <c r="K802" t="s">
        <v>108</v>
      </c>
    </row>
    <row r="803" spans="1:11" x14ac:dyDescent="0.3">
      <c r="A803" t="s">
        <v>41</v>
      </c>
      <c r="B803" t="s">
        <v>58</v>
      </c>
      <c r="C803" t="s">
        <v>95</v>
      </c>
      <c r="D803">
        <v>5.46617</v>
      </c>
      <c r="E803">
        <f>Tableau6[[#This Row],[Potential (PJ)]]/3.6</f>
        <v>1.5183805555555554</v>
      </c>
      <c r="F803">
        <v>2.661</v>
      </c>
      <c r="G803">
        <f>Tableau6[[#This Row],[Cost (€/GJ)]]*3.6</f>
        <v>9.579600000000001</v>
      </c>
      <c r="H803">
        <v>2.9521711768407801</v>
      </c>
      <c r="I803">
        <f>Tableau6[[#This Row],[GHG (kgCO2eq/GJ)]]*3.6</f>
        <v>10.627816236626808</v>
      </c>
      <c r="J803" t="s">
        <v>104</v>
      </c>
      <c r="K803" t="s">
        <v>108</v>
      </c>
    </row>
    <row r="804" spans="1:11" x14ac:dyDescent="0.3">
      <c r="A804" t="s">
        <v>41</v>
      </c>
      <c r="B804" t="s">
        <v>50</v>
      </c>
      <c r="C804" t="s">
        <v>73</v>
      </c>
      <c r="D804">
        <v>2.1</v>
      </c>
      <c r="E804">
        <f>Tableau6[[#This Row],[Potential (PJ)]]/3.6</f>
        <v>0.58333333333333337</v>
      </c>
      <c r="F804">
        <v>5.1365238095238093</v>
      </c>
      <c r="G804">
        <f>Tableau6[[#This Row],[Cost (€/GJ)]]*3.6</f>
        <v>18.491485714285712</v>
      </c>
      <c r="H804">
        <v>20.723404255319149</v>
      </c>
      <c r="I804">
        <f>Tableau6[[#This Row],[GHG (kgCO2eq/GJ)]]*3.6</f>
        <v>74.604255319148933</v>
      </c>
      <c r="J804" t="s">
        <v>105</v>
      </c>
      <c r="K804" t="s">
        <v>108</v>
      </c>
    </row>
    <row r="805" spans="1:11" x14ac:dyDescent="0.3">
      <c r="A805" t="s">
        <v>41</v>
      </c>
      <c r="B805" t="s">
        <v>50</v>
      </c>
      <c r="C805" t="s">
        <v>74</v>
      </c>
      <c r="D805">
        <v>14.7</v>
      </c>
      <c r="E805">
        <f>Tableau6[[#This Row],[Potential (PJ)]]/3.6</f>
        <v>4.083333333333333</v>
      </c>
      <c r="F805">
        <v>3.6209863945578231</v>
      </c>
      <c r="G805">
        <f>Tableau6[[#This Row],[Cost (€/GJ)]]*3.6</f>
        <v>13.035551020408164</v>
      </c>
      <c r="H805">
        <v>2.0635593220338988</v>
      </c>
      <c r="I805">
        <f>Tableau6[[#This Row],[GHG (kgCO2eq/GJ)]]*3.6</f>
        <v>7.4288135593220357</v>
      </c>
      <c r="J805" t="s">
        <v>105</v>
      </c>
      <c r="K805" t="s">
        <v>108</v>
      </c>
    </row>
    <row r="806" spans="1:11" x14ac:dyDescent="0.3">
      <c r="A806" t="s">
        <v>41</v>
      </c>
      <c r="B806" t="s">
        <v>59</v>
      </c>
      <c r="C806" t="s">
        <v>96</v>
      </c>
      <c r="D806">
        <v>0.27650000000000002</v>
      </c>
      <c r="E806">
        <f>Tableau6[[#This Row],[Potential (PJ)]]/3.6</f>
        <v>7.6805555555555557E-2</v>
      </c>
      <c r="F806">
        <v>18.32</v>
      </c>
      <c r="G806">
        <f>Tableau6[[#This Row],[Cost (€/GJ)]]*3.6</f>
        <v>65.951999999999998</v>
      </c>
      <c r="H806">
        <v>10</v>
      </c>
      <c r="I806">
        <f>Tableau6[[#This Row],[GHG (kgCO2eq/GJ)]]*3.6</f>
        <v>36</v>
      </c>
      <c r="J806" t="s">
        <v>107</v>
      </c>
      <c r="K806" t="s">
        <v>109</v>
      </c>
    </row>
    <row r="807" spans="1:11" x14ac:dyDescent="0.3">
      <c r="A807" t="s">
        <v>41</v>
      </c>
      <c r="B807" t="s">
        <v>59</v>
      </c>
      <c r="C807" t="s">
        <v>97</v>
      </c>
      <c r="D807">
        <v>0.7923</v>
      </c>
      <c r="E807">
        <f>Tableau6[[#This Row],[Potential (PJ)]]/3.6</f>
        <v>0.22008333333333333</v>
      </c>
      <c r="F807">
        <v>15.95225176342919</v>
      </c>
      <c r="G807">
        <f>Tableau6[[#This Row],[Cost (€/GJ)]]*3.6</f>
        <v>57.428106348345089</v>
      </c>
      <c r="H807">
        <v>10</v>
      </c>
      <c r="I807">
        <f>Tableau6[[#This Row],[GHG (kgCO2eq/GJ)]]*3.6</f>
        <v>36</v>
      </c>
      <c r="J807" t="s">
        <v>107</v>
      </c>
      <c r="K807" t="s">
        <v>109</v>
      </c>
    </row>
    <row r="808" spans="1:11" x14ac:dyDescent="0.3">
      <c r="A808" t="s">
        <v>41</v>
      </c>
      <c r="B808" t="s">
        <v>51</v>
      </c>
      <c r="C808" t="s">
        <v>75</v>
      </c>
      <c r="D808">
        <v>3.3129200000000001</v>
      </c>
      <c r="E808">
        <f>Tableau6[[#This Row],[Potential (PJ)]]/3.6</f>
        <v>0.9202555555555556</v>
      </c>
      <c r="F808">
        <v>1.9432455248603899E-2</v>
      </c>
      <c r="G808">
        <f>Tableau6[[#This Row],[Cost (€/GJ)]]*3.6</f>
        <v>6.9956838894974033E-2</v>
      </c>
      <c r="H808">
        <v>11.74</v>
      </c>
      <c r="I808">
        <f>Tableau6[[#This Row],[GHG (kgCO2eq/GJ)]]*3.6</f>
        <v>42.264000000000003</v>
      </c>
      <c r="J808" t="s">
        <v>104</v>
      </c>
      <c r="K808" t="s">
        <v>108</v>
      </c>
    </row>
    <row r="809" spans="1:11" x14ac:dyDescent="0.3">
      <c r="A809" t="s">
        <v>41</v>
      </c>
      <c r="B809" t="s">
        <v>60</v>
      </c>
      <c r="C809" t="s">
        <v>98</v>
      </c>
      <c r="D809">
        <v>2.9053599999999999</v>
      </c>
      <c r="E809">
        <f>Tableau6[[#This Row],[Potential (PJ)]]/3.6</f>
        <v>0.80704444444444445</v>
      </c>
      <c r="F809">
        <v>18.367346938775508</v>
      </c>
      <c r="G809">
        <f>Tableau6[[#This Row],[Cost (€/GJ)]]*3.6</f>
        <v>66.122448979591837</v>
      </c>
      <c r="H809">
        <v>18.8</v>
      </c>
      <c r="I809">
        <f>Tableau6[[#This Row],[GHG (kgCO2eq/GJ)]]*3.6</f>
        <v>67.680000000000007</v>
      </c>
      <c r="J809" t="s">
        <v>107</v>
      </c>
      <c r="K809" t="s">
        <v>109</v>
      </c>
    </row>
    <row r="810" spans="1:11" x14ac:dyDescent="0.3">
      <c r="A810" t="s">
        <v>41</v>
      </c>
      <c r="B810" t="s">
        <v>52</v>
      </c>
      <c r="C810" t="s">
        <v>76</v>
      </c>
      <c r="D810">
        <v>1E-3</v>
      </c>
      <c r="E810">
        <f>Tableau6[[#This Row],[Potential (PJ)]]/3.6</f>
        <v>2.7777777777777778E-4</v>
      </c>
      <c r="F810">
        <v>6.5250000000000004</v>
      </c>
      <c r="G810">
        <f>Tableau6[[#This Row],[Cost (€/GJ)]]*3.6</f>
        <v>23.490000000000002</v>
      </c>
      <c r="H810">
        <v>12.68872359754714</v>
      </c>
      <c r="I810">
        <f>Tableau6[[#This Row],[GHG (kgCO2eq/GJ)]]*3.6</f>
        <v>45.679404951169708</v>
      </c>
      <c r="J810" t="s">
        <v>105</v>
      </c>
      <c r="K810" t="s">
        <v>108</v>
      </c>
    </row>
    <row r="811" spans="1:11" x14ac:dyDescent="0.3">
      <c r="A811" t="s">
        <v>41</v>
      </c>
      <c r="B811" t="s">
        <v>53</v>
      </c>
      <c r="C811" t="s">
        <v>77</v>
      </c>
      <c r="D811">
        <v>1</v>
      </c>
      <c r="E811">
        <f>Tableau6[[#This Row],[Potential (PJ)]]/3.6</f>
        <v>0.27777777777777779</v>
      </c>
      <c r="F811">
        <v>3.1998000000000002</v>
      </c>
      <c r="G811">
        <f>Tableau6[[#This Row],[Cost (€/GJ)]]*3.6</f>
        <v>11.51928</v>
      </c>
      <c r="H811">
        <v>3.86607608129234</v>
      </c>
      <c r="I811">
        <f>Tableau6[[#This Row],[GHG (kgCO2eq/GJ)]]*3.6</f>
        <v>13.917873892652425</v>
      </c>
      <c r="J811" t="s">
        <v>104</v>
      </c>
      <c r="K811" t="s">
        <v>108</v>
      </c>
    </row>
    <row r="812" spans="1:11" x14ac:dyDescent="0.3">
      <c r="A812" t="s">
        <v>41</v>
      </c>
      <c r="B812" t="s">
        <v>61</v>
      </c>
      <c r="C812" t="s">
        <v>99</v>
      </c>
      <c r="D812">
        <v>10.8</v>
      </c>
      <c r="E812">
        <f>Tableau6[[#This Row],[Potential (PJ)]]/3.6</f>
        <v>3</v>
      </c>
      <c r="F812">
        <v>1.9537037037037039</v>
      </c>
      <c r="G812">
        <f>Tableau6[[#This Row],[Cost (€/GJ)]]*3.6</f>
        <v>7.0333333333333341</v>
      </c>
      <c r="H812">
        <v>2.9245635910224439</v>
      </c>
      <c r="I812">
        <f>Tableau6[[#This Row],[GHG (kgCO2eq/GJ)]]*3.6</f>
        <v>10.528428927680798</v>
      </c>
      <c r="J812" t="s">
        <v>104</v>
      </c>
      <c r="K812" t="s">
        <v>108</v>
      </c>
    </row>
    <row r="813" spans="1:11" x14ac:dyDescent="0.3">
      <c r="A813" t="s">
        <v>41</v>
      </c>
      <c r="B813" t="s">
        <v>62</v>
      </c>
      <c r="C813" t="s">
        <v>100</v>
      </c>
      <c r="D813">
        <v>3.4</v>
      </c>
      <c r="E813">
        <f>Tableau6[[#This Row],[Potential (PJ)]]/3.6</f>
        <v>0.94444444444444442</v>
      </c>
      <c r="F813">
        <v>0.73823529411764688</v>
      </c>
      <c r="G813">
        <f>Tableau6[[#This Row],[Cost (€/GJ)]]*3.6</f>
        <v>2.657647058823529</v>
      </c>
      <c r="H813">
        <v>2.6764106050305911</v>
      </c>
      <c r="I813">
        <f>Tableau6[[#This Row],[GHG (kgCO2eq/GJ)]]*3.6</f>
        <v>9.6350781781101276</v>
      </c>
      <c r="J813" t="s">
        <v>104</v>
      </c>
      <c r="K813" t="s">
        <v>108</v>
      </c>
    </row>
    <row r="814" spans="1:11" x14ac:dyDescent="0.3">
      <c r="A814" t="s">
        <v>41</v>
      </c>
      <c r="B814" t="s">
        <v>54</v>
      </c>
      <c r="C814" t="s">
        <v>78</v>
      </c>
      <c r="D814">
        <v>35.4</v>
      </c>
      <c r="E814">
        <f>Tableau6[[#This Row],[Potential (PJ)]]/3.6</f>
        <v>9.8333333333333321</v>
      </c>
      <c r="F814">
        <v>3.1732203389830511</v>
      </c>
      <c r="G814">
        <f>Tableau6[[#This Row],[Cost (€/GJ)]]*3.6</f>
        <v>11.423593220338985</v>
      </c>
      <c r="H814">
        <v>3.86607608129234</v>
      </c>
      <c r="I814">
        <f>Tableau6[[#This Row],[GHG (kgCO2eq/GJ)]]*3.6</f>
        <v>13.917873892652425</v>
      </c>
      <c r="J814" t="s">
        <v>104</v>
      </c>
      <c r="K814" t="s">
        <v>108</v>
      </c>
    </row>
    <row r="815" spans="1:11" x14ac:dyDescent="0.3">
      <c r="A815" t="s">
        <v>42</v>
      </c>
      <c r="B815" t="s">
        <v>46</v>
      </c>
      <c r="C815" t="s">
        <v>63</v>
      </c>
      <c r="D815">
        <v>2.3744999999999998</v>
      </c>
      <c r="E815">
        <f>Tableau6[[#This Row],[Potential (PJ)]]/3.6</f>
        <v>0.6595833333333333</v>
      </c>
      <c r="F815">
        <v>2.9286474973375931</v>
      </c>
      <c r="G815">
        <f>Tableau6[[#This Row],[Cost (€/GJ)]]*3.6</f>
        <v>10.543130990415335</v>
      </c>
      <c r="H815">
        <v>3.950479233226837</v>
      </c>
      <c r="I815">
        <f>Tableau6[[#This Row],[GHG (kgCO2eq/GJ)]]*3.6</f>
        <v>14.221725239616614</v>
      </c>
      <c r="J815" t="s">
        <v>104</v>
      </c>
      <c r="K815" t="s">
        <v>108</v>
      </c>
    </row>
    <row r="816" spans="1:11" x14ac:dyDescent="0.3">
      <c r="A816" t="s">
        <v>42</v>
      </c>
      <c r="B816" t="s">
        <v>46</v>
      </c>
      <c r="C816" t="s">
        <v>64</v>
      </c>
      <c r="D816">
        <v>3.0007799999999998</v>
      </c>
      <c r="E816">
        <f>Tableau6[[#This Row],[Potential (PJ)]]/3.6</f>
        <v>0.8335499999999999</v>
      </c>
      <c r="F816">
        <v>6.7059057345090283</v>
      </c>
      <c r="G816">
        <f>Tableau6[[#This Row],[Cost (€/GJ)]]*3.6</f>
        <v>24.141260644232503</v>
      </c>
      <c r="H816">
        <v>2.9521711768407801</v>
      </c>
      <c r="I816">
        <f>Tableau6[[#This Row],[GHG (kgCO2eq/GJ)]]*3.6</f>
        <v>10.627816236626808</v>
      </c>
      <c r="J816" t="s">
        <v>104</v>
      </c>
      <c r="K816" t="s">
        <v>108</v>
      </c>
    </row>
    <row r="817" spans="1:11" x14ac:dyDescent="0.3">
      <c r="A817" t="s">
        <v>42</v>
      </c>
      <c r="B817" t="s">
        <v>46</v>
      </c>
      <c r="C817" t="s">
        <v>65</v>
      </c>
      <c r="D817">
        <v>15.2</v>
      </c>
      <c r="E817">
        <f>Tableau6[[#This Row],[Potential (PJ)]]/3.6</f>
        <v>4.2222222222222223</v>
      </c>
      <c r="F817">
        <v>4.7208815789473677</v>
      </c>
      <c r="G817">
        <f>Tableau6[[#This Row],[Cost (€/GJ)]]*3.6</f>
        <v>16.995173684210524</v>
      </c>
      <c r="H817">
        <v>2.9521711768407801</v>
      </c>
      <c r="I817">
        <f>Tableau6[[#This Row],[GHG (kgCO2eq/GJ)]]*3.6</f>
        <v>10.627816236626808</v>
      </c>
      <c r="J817" t="s">
        <v>104</v>
      </c>
      <c r="K817" t="s">
        <v>108</v>
      </c>
    </row>
    <row r="818" spans="1:11" x14ac:dyDescent="0.3">
      <c r="A818" t="s">
        <v>42</v>
      </c>
      <c r="B818" t="s">
        <v>46</v>
      </c>
      <c r="C818" t="s">
        <v>67</v>
      </c>
      <c r="D818">
        <v>8.5</v>
      </c>
      <c r="E818">
        <f>Tableau6[[#This Row],[Potential (PJ)]]/3.6</f>
        <v>2.3611111111111112</v>
      </c>
      <c r="F818">
        <v>6.2850000000000001</v>
      </c>
      <c r="G818">
        <f>Tableau6[[#This Row],[Cost (€/GJ)]]*3.6</f>
        <v>22.626000000000001</v>
      </c>
      <c r="H818">
        <v>2.9521711768407801</v>
      </c>
      <c r="I818">
        <f>Tableau6[[#This Row],[GHG (kgCO2eq/GJ)]]*3.6</f>
        <v>10.627816236626808</v>
      </c>
      <c r="J818" t="s">
        <v>104</v>
      </c>
      <c r="K818" t="s">
        <v>108</v>
      </c>
    </row>
    <row r="819" spans="1:11" x14ac:dyDescent="0.3">
      <c r="A819" t="s">
        <v>42</v>
      </c>
      <c r="B819" t="s">
        <v>46</v>
      </c>
      <c r="C819" t="s">
        <v>85</v>
      </c>
      <c r="D819">
        <v>4.9000000000000004</v>
      </c>
      <c r="E819">
        <f>Tableau6[[#This Row],[Potential (PJ)]]/3.6</f>
        <v>1.3611111111111112</v>
      </c>
      <c r="F819">
        <v>4.3479999999999999</v>
      </c>
      <c r="G819">
        <f>Tableau6[[#This Row],[Cost (€/GJ)]]*3.6</f>
        <v>15.652799999999999</v>
      </c>
      <c r="H819">
        <v>2.9521711768407801</v>
      </c>
      <c r="I819">
        <f>Tableau6[[#This Row],[GHG (kgCO2eq/GJ)]]*3.6</f>
        <v>10.627816236626808</v>
      </c>
      <c r="J819" t="s">
        <v>104</v>
      </c>
      <c r="K819" t="s">
        <v>108</v>
      </c>
    </row>
    <row r="820" spans="1:11" x14ac:dyDescent="0.3">
      <c r="A820" t="s">
        <v>42</v>
      </c>
      <c r="B820" t="s">
        <v>47</v>
      </c>
      <c r="C820" t="s">
        <v>68</v>
      </c>
      <c r="D820">
        <v>213.4</v>
      </c>
      <c r="E820">
        <f>Tableau6[[#This Row],[Potential (PJ)]]/3.6</f>
        <v>59.277777777777779</v>
      </c>
      <c r="F820">
        <v>3.0546996251171521</v>
      </c>
      <c r="G820">
        <f>Tableau6[[#This Row],[Cost (€/GJ)]]*3.6</f>
        <v>10.996918650421748</v>
      </c>
      <c r="I820">
        <f>Tableau6[[#This Row],[GHG (kgCO2eq/GJ)]]*3.6</f>
        <v>0</v>
      </c>
      <c r="J820" t="s">
        <v>104</v>
      </c>
      <c r="K820" t="s">
        <v>109</v>
      </c>
    </row>
    <row r="821" spans="1:11" x14ac:dyDescent="0.3">
      <c r="A821" t="s">
        <v>42</v>
      </c>
      <c r="B821" t="s">
        <v>47</v>
      </c>
      <c r="C821" t="s">
        <v>69</v>
      </c>
      <c r="D821">
        <v>149.4</v>
      </c>
      <c r="E821">
        <f>Tableau6[[#This Row],[Potential (PJ)]]/3.6</f>
        <v>41.5</v>
      </c>
      <c r="F821">
        <v>3.0439196787148601</v>
      </c>
      <c r="G821">
        <f>Tableau6[[#This Row],[Cost (€/GJ)]]*3.6</f>
        <v>10.958110843373497</v>
      </c>
      <c r="I821">
        <f>Tableau6[[#This Row],[GHG (kgCO2eq/GJ)]]*3.6</f>
        <v>0</v>
      </c>
      <c r="J821" t="s">
        <v>104</v>
      </c>
      <c r="K821" t="s">
        <v>109</v>
      </c>
    </row>
    <row r="822" spans="1:11" x14ac:dyDescent="0.3">
      <c r="A822" t="s">
        <v>42</v>
      </c>
      <c r="B822" t="s">
        <v>48</v>
      </c>
      <c r="C822" t="s">
        <v>70</v>
      </c>
      <c r="D822">
        <v>78.7</v>
      </c>
      <c r="E822">
        <f>Tableau6[[#This Row],[Potential (PJ)]]/3.6</f>
        <v>21.861111111111111</v>
      </c>
      <c r="F822">
        <v>7.93989834815756</v>
      </c>
      <c r="G822">
        <f>Tableau6[[#This Row],[Cost (€/GJ)]]*3.6</f>
        <v>28.583634053367216</v>
      </c>
      <c r="I822">
        <f>Tableau6[[#This Row],[GHG (kgCO2eq/GJ)]]*3.6</f>
        <v>0</v>
      </c>
      <c r="J822" t="s">
        <v>104</v>
      </c>
      <c r="K822" t="s">
        <v>109</v>
      </c>
    </row>
    <row r="823" spans="1:11" x14ac:dyDescent="0.3">
      <c r="A823" t="s">
        <v>42</v>
      </c>
      <c r="B823" t="s">
        <v>49</v>
      </c>
      <c r="C823" t="s">
        <v>71</v>
      </c>
      <c r="D823">
        <v>0.29780000000000001</v>
      </c>
      <c r="E823">
        <f>Tableau6[[#This Row],[Potential (PJ)]]/3.6</f>
        <v>8.2722222222222225E-2</v>
      </c>
      <c r="F823">
        <v>3.423</v>
      </c>
      <c r="G823">
        <f>Tableau6[[#This Row],[Cost (€/GJ)]]*3.6</f>
        <v>12.322800000000001</v>
      </c>
      <c r="H823">
        <v>3.86607608129234</v>
      </c>
      <c r="I823">
        <f>Tableau6[[#This Row],[GHG (kgCO2eq/GJ)]]*3.6</f>
        <v>13.917873892652425</v>
      </c>
      <c r="J823" t="s">
        <v>104</v>
      </c>
      <c r="K823" t="s">
        <v>108</v>
      </c>
    </row>
    <row r="824" spans="1:11" x14ac:dyDescent="0.3">
      <c r="A824" t="s">
        <v>42</v>
      </c>
      <c r="B824" t="s">
        <v>52</v>
      </c>
      <c r="C824" t="s">
        <v>76</v>
      </c>
      <c r="D824">
        <v>2.2509999999999999</v>
      </c>
      <c r="E824">
        <f>Tableau6[[#This Row],[Potential (PJ)]]/3.6</f>
        <v>0.62527777777777771</v>
      </c>
      <c r="F824">
        <v>0</v>
      </c>
      <c r="G824">
        <f>Tableau6[[#This Row],[Cost (€/GJ)]]*3.6</f>
        <v>0</v>
      </c>
      <c r="H824">
        <v>12.68872359754714</v>
      </c>
      <c r="I824">
        <f>Tableau6[[#This Row],[GHG (kgCO2eq/GJ)]]*3.6</f>
        <v>45.679404951169708</v>
      </c>
      <c r="J824" t="s">
        <v>105</v>
      </c>
      <c r="K824" t="s">
        <v>108</v>
      </c>
    </row>
    <row r="825" spans="1:11" x14ac:dyDescent="0.3">
      <c r="A825" t="s">
        <v>43</v>
      </c>
      <c r="B825" t="s">
        <v>49</v>
      </c>
      <c r="C825" t="s">
        <v>71</v>
      </c>
      <c r="D825">
        <v>340.45048000000003</v>
      </c>
      <c r="E825">
        <f>Tableau6[[#This Row],[Potential (PJ)]]/3.6</f>
        <v>94.569577777777781</v>
      </c>
      <c r="F825">
        <v>0</v>
      </c>
      <c r="G825">
        <f>Tableau6[[#This Row],[Cost (€/GJ)]]*3.6</f>
        <v>0</v>
      </c>
      <c r="I825">
        <f>Tableau6[[#This Row],[GHG (kgCO2eq/GJ)]]*3.6</f>
        <v>0</v>
      </c>
      <c r="J825" t="s">
        <v>104</v>
      </c>
      <c r="K825" t="s">
        <v>108</v>
      </c>
    </row>
    <row r="826" spans="1:11" x14ac:dyDescent="0.3">
      <c r="A826" t="s">
        <v>43</v>
      </c>
      <c r="B826" t="s">
        <v>49</v>
      </c>
      <c r="C826" t="s">
        <v>72</v>
      </c>
      <c r="D826">
        <v>62</v>
      </c>
      <c r="E826">
        <f>Tableau6[[#This Row],[Potential (PJ)]]/3.6</f>
        <v>17.222222222222221</v>
      </c>
      <c r="F826">
        <v>0</v>
      </c>
      <c r="G826">
        <f>Tableau6[[#This Row],[Cost (€/GJ)]]*3.6</f>
        <v>0</v>
      </c>
      <c r="I826">
        <f>Tableau6[[#This Row],[GHG (kgCO2eq/GJ)]]*3.6</f>
        <v>0</v>
      </c>
      <c r="J826" t="s">
        <v>104</v>
      </c>
      <c r="K826" t="s">
        <v>108</v>
      </c>
    </row>
    <row r="827" spans="1:11" x14ac:dyDescent="0.3">
      <c r="A827" t="s">
        <v>43</v>
      </c>
      <c r="B827" t="s">
        <v>53</v>
      </c>
      <c r="C827" t="s">
        <v>77</v>
      </c>
      <c r="D827">
        <v>20.5</v>
      </c>
      <c r="E827">
        <f>Tableau6[[#This Row],[Potential (PJ)]]/3.6</f>
        <v>5.6944444444444446</v>
      </c>
      <c r="F827">
        <v>0</v>
      </c>
      <c r="G827">
        <f>Tableau6[[#This Row],[Cost (€/GJ)]]*3.6</f>
        <v>0</v>
      </c>
      <c r="I827">
        <f>Tableau6[[#This Row],[GHG (kgCO2eq/GJ)]]*3.6</f>
        <v>0</v>
      </c>
      <c r="J827" t="s">
        <v>104</v>
      </c>
      <c r="K827" t="s">
        <v>108</v>
      </c>
    </row>
    <row r="828" spans="1:11" x14ac:dyDescent="0.3">
      <c r="A828" t="s">
        <v>43</v>
      </c>
      <c r="B828" t="s">
        <v>54</v>
      </c>
      <c r="C828" t="s">
        <v>78</v>
      </c>
      <c r="D828">
        <v>112.3</v>
      </c>
      <c r="E828">
        <f>Tableau6[[#This Row],[Potential (PJ)]]/3.6</f>
        <v>31.194444444444443</v>
      </c>
      <c r="F828">
        <v>0</v>
      </c>
      <c r="G828">
        <f>Tableau6[[#This Row],[Cost (€/GJ)]]*3.6</f>
        <v>0</v>
      </c>
      <c r="I828">
        <f>Tableau6[[#This Row],[GHG (kgCO2eq/GJ)]]*3.6</f>
        <v>0</v>
      </c>
      <c r="J828" t="s">
        <v>104</v>
      </c>
      <c r="K828" t="s">
        <v>108</v>
      </c>
    </row>
    <row r="829" spans="1:11" x14ac:dyDescent="0.3">
      <c r="A829" t="s">
        <v>44</v>
      </c>
      <c r="B829" t="s">
        <v>46</v>
      </c>
      <c r="C829" t="s">
        <v>64</v>
      </c>
      <c r="D829">
        <v>0.16994999999999999</v>
      </c>
      <c r="E829">
        <f>Tableau6[[#This Row],[Potential (PJ)]]/3.6</f>
        <v>4.7208333333333331E-2</v>
      </c>
      <c r="F829">
        <v>6.7041573403942341</v>
      </c>
      <c r="G829">
        <f>Tableau6[[#This Row],[Cost (€/GJ)]]*3.6</f>
        <v>24.134966425419243</v>
      </c>
      <c r="H829">
        <v>2.9521711768407801</v>
      </c>
      <c r="I829">
        <f>Tableau6[[#This Row],[GHG (kgCO2eq/GJ)]]*3.6</f>
        <v>10.627816236626808</v>
      </c>
      <c r="J829" t="s">
        <v>104</v>
      </c>
      <c r="K829" t="s">
        <v>108</v>
      </c>
    </row>
    <row r="830" spans="1:11" x14ac:dyDescent="0.3">
      <c r="A830" t="s">
        <v>44</v>
      </c>
      <c r="B830" t="s">
        <v>46</v>
      </c>
      <c r="C830" t="s">
        <v>79</v>
      </c>
      <c r="D830">
        <v>76.2</v>
      </c>
      <c r="E830">
        <f>Tableau6[[#This Row],[Potential (PJ)]]/3.6</f>
        <v>21.166666666666668</v>
      </c>
      <c r="F830">
        <v>4.6847296587926506</v>
      </c>
      <c r="G830">
        <f>Tableau6[[#This Row],[Cost (€/GJ)]]*3.6</f>
        <v>16.865026771653543</v>
      </c>
      <c r="H830">
        <v>6.8428961748633883</v>
      </c>
      <c r="I830">
        <f>Tableau6[[#This Row],[GHG (kgCO2eq/GJ)]]*3.6</f>
        <v>24.634426229508197</v>
      </c>
      <c r="J830" t="s">
        <v>104</v>
      </c>
      <c r="K830" t="s">
        <v>108</v>
      </c>
    </row>
    <row r="831" spans="1:11" x14ac:dyDescent="0.3">
      <c r="A831" t="s">
        <v>44</v>
      </c>
      <c r="B831" t="s">
        <v>46</v>
      </c>
      <c r="C831" t="s">
        <v>80</v>
      </c>
      <c r="D831">
        <v>2.9095</v>
      </c>
      <c r="E831">
        <f>Tableau6[[#This Row],[Potential (PJ)]]/3.6</f>
        <v>0.80819444444444444</v>
      </c>
      <c r="F831">
        <v>4.7201618341200263E-2</v>
      </c>
      <c r="G831">
        <f>Tableau6[[#This Row],[Cost (€/GJ)]]*3.6</f>
        <v>0.16992582602832096</v>
      </c>
      <c r="H831">
        <v>28.139870918023309</v>
      </c>
      <c r="I831">
        <f>Tableau6[[#This Row],[GHG (kgCO2eq/GJ)]]*3.6</f>
        <v>101.30353530488391</v>
      </c>
      <c r="J831" t="s">
        <v>105</v>
      </c>
      <c r="K831" t="s">
        <v>108</v>
      </c>
    </row>
    <row r="832" spans="1:11" x14ac:dyDescent="0.3">
      <c r="A832" t="s">
        <v>44</v>
      </c>
      <c r="B832" t="s">
        <v>46</v>
      </c>
      <c r="C832" t="s">
        <v>81</v>
      </c>
      <c r="D832">
        <v>1.0318000000000001</v>
      </c>
      <c r="E832">
        <f>Tableau6[[#This Row],[Potential (PJ)]]/3.6</f>
        <v>0.28661111111111109</v>
      </c>
      <c r="F832">
        <v>0.69388954171562867</v>
      </c>
      <c r="G832">
        <f>Tableau6[[#This Row],[Cost (€/GJ)]]*3.6</f>
        <v>2.4980023501762632</v>
      </c>
      <c r="H832">
        <v>8.9647473560517046</v>
      </c>
      <c r="I832">
        <f>Tableau6[[#This Row],[GHG (kgCO2eq/GJ)]]*3.6</f>
        <v>32.273090481786134</v>
      </c>
      <c r="J832" t="s">
        <v>105</v>
      </c>
      <c r="K832" t="s">
        <v>108</v>
      </c>
    </row>
    <row r="833" spans="1:11" x14ac:dyDescent="0.3">
      <c r="A833" t="s">
        <v>44</v>
      </c>
      <c r="B833" t="s">
        <v>46</v>
      </c>
      <c r="C833" t="s">
        <v>82</v>
      </c>
      <c r="D833">
        <v>7.8</v>
      </c>
      <c r="E833">
        <f>Tableau6[[#This Row],[Potential (PJ)]]/3.6</f>
        <v>2.1666666666666665</v>
      </c>
      <c r="F833">
        <v>2.973871794871795</v>
      </c>
      <c r="G833">
        <f>Tableau6[[#This Row],[Cost (€/GJ)]]*3.6</f>
        <v>10.705938461538462</v>
      </c>
      <c r="H833">
        <v>6.8428961748633883</v>
      </c>
      <c r="I833">
        <f>Tableau6[[#This Row],[GHG (kgCO2eq/GJ)]]*3.6</f>
        <v>24.634426229508197</v>
      </c>
      <c r="J833" t="s">
        <v>104</v>
      </c>
      <c r="K833" t="s">
        <v>108</v>
      </c>
    </row>
    <row r="834" spans="1:11" x14ac:dyDescent="0.3">
      <c r="A834" t="s">
        <v>44</v>
      </c>
      <c r="B834" t="s">
        <v>46</v>
      </c>
      <c r="C834" t="s">
        <v>84</v>
      </c>
      <c r="D834">
        <v>1.2</v>
      </c>
      <c r="E834">
        <f>Tableau6[[#This Row],[Potential (PJ)]]/3.6</f>
        <v>0.33333333333333331</v>
      </c>
      <c r="F834">
        <v>2.851666666666667</v>
      </c>
      <c r="G834">
        <f>Tableau6[[#This Row],[Cost (€/GJ)]]*3.6</f>
        <v>10.266000000000002</v>
      </c>
      <c r="H834">
        <v>28.139870918023309</v>
      </c>
      <c r="I834">
        <f>Tableau6[[#This Row],[GHG (kgCO2eq/GJ)]]*3.6</f>
        <v>101.30353530488391</v>
      </c>
      <c r="J834" t="s">
        <v>105</v>
      </c>
      <c r="K834" t="s">
        <v>108</v>
      </c>
    </row>
    <row r="835" spans="1:11" x14ac:dyDescent="0.3">
      <c r="A835" t="s">
        <v>44</v>
      </c>
      <c r="B835" t="s">
        <v>55</v>
      </c>
      <c r="C835" t="s">
        <v>86</v>
      </c>
      <c r="D835">
        <v>3.2776999999999998</v>
      </c>
      <c r="E835">
        <f>Tableau6[[#This Row],[Potential (PJ)]]/3.6</f>
        <v>0.91047222222222213</v>
      </c>
      <c r="F835">
        <v>12.305999999999999</v>
      </c>
      <c r="G835">
        <f>Tableau6[[#This Row],[Cost (€/GJ)]]*3.6</f>
        <v>44.301600000000001</v>
      </c>
      <c r="H835">
        <v>11.6</v>
      </c>
      <c r="I835">
        <f>Tableau6[[#This Row],[GHG (kgCO2eq/GJ)]]*3.6</f>
        <v>41.76</v>
      </c>
      <c r="J835" t="s">
        <v>106</v>
      </c>
      <c r="K835" t="s">
        <v>109</v>
      </c>
    </row>
    <row r="836" spans="1:11" x14ac:dyDescent="0.3">
      <c r="A836" t="s">
        <v>44</v>
      </c>
      <c r="B836" t="s">
        <v>55</v>
      </c>
      <c r="C836" t="s">
        <v>89</v>
      </c>
      <c r="D836">
        <v>3.4201999999999999</v>
      </c>
      <c r="E836">
        <f>Tableau6[[#This Row],[Potential (PJ)]]/3.6</f>
        <v>0.95005555555555554</v>
      </c>
      <c r="F836">
        <v>0</v>
      </c>
      <c r="G836">
        <f>Tableau6[[#This Row],[Cost (€/GJ)]]*3.6</f>
        <v>0</v>
      </c>
      <c r="H836">
        <v>11.6</v>
      </c>
      <c r="I836">
        <f>Tableau6[[#This Row],[GHG (kgCO2eq/GJ)]]*3.6</f>
        <v>41.76</v>
      </c>
      <c r="J836" t="s">
        <v>106</v>
      </c>
      <c r="K836" t="s">
        <v>109</v>
      </c>
    </row>
    <row r="837" spans="1:11" x14ac:dyDescent="0.3">
      <c r="A837" t="s">
        <v>44</v>
      </c>
      <c r="B837" t="s">
        <v>55</v>
      </c>
      <c r="C837" t="s">
        <v>92</v>
      </c>
      <c r="D837">
        <v>13.19496</v>
      </c>
      <c r="E837">
        <f>Tableau6[[#This Row],[Potential (PJ)]]/3.6</f>
        <v>3.6652666666666667</v>
      </c>
      <c r="F837">
        <v>12.39999999999999</v>
      </c>
      <c r="G837">
        <f>Tableau6[[#This Row],[Cost (€/GJ)]]*3.6</f>
        <v>44.639999999999965</v>
      </c>
      <c r="H837">
        <v>11.6</v>
      </c>
      <c r="I837">
        <f>Tableau6[[#This Row],[GHG (kgCO2eq/GJ)]]*3.6</f>
        <v>41.76</v>
      </c>
      <c r="J837" t="s">
        <v>106</v>
      </c>
      <c r="K837" t="s">
        <v>109</v>
      </c>
    </row>
    <row r="838" spans="1:11" x14ac:dyDescent="0.3">
      <c r="A838" t="s">
        <v>44</v>
      </c>
      <c r="B838" t="s">
        <v>56</v>
      </c>
      <c r="C838" t="s">
        <v>93</v>
      </c>
      <c r="D838">
        <v>19.983000000000001</v>
      </c>
      <c r="E838">
        <f>Tableau6[[#This Row],[Potential (PJ)]]/3.6</f>
        <v>5.5508333333333333</v>
      </c>
      <c r="F838">
        <v>2.939759036144578</v>
      </c>
      <c r="G838">
        <f>Tableau6[[#This Row],[Cost (€/GJ)]]*3.6</f>
        <v>10.583132530120482</v>
      </c>
      <c r="H838">
        <v>28.8</v>
      </c>
      <c r="I838">
        <f>Tableau6[[#This Row],[GHG (kgCO2eq/GJ)]]*3.6</f>
        <v>103.68</v>
      </c>
      <c r="J838" t="s">
        <v>106</v>
      </c>
      <c r="K838" t="s">
        <v>109</v>
      </c>
    </row>
    <row r="839" spans="1:11" x14ac:dyDescent="0.3">
      <c r="A839" t="s">
        <v>44</v>
      </c>
      <c r="B839" t="s">
        <v>47</v>
      </c>
      <c r="C839" t="s">
        <v>68</v>
      </c>
      <c r="D839">
        <v>20.8</v>
      </c>
      <c r="E839">
        <f>Tableau6[[#This Row],[Potential (PJ)]]/3.6</f>
        <v>5.7777777777777777</v>
      </c>
      <c r="F839">
        <v>6.9537211538461543</v>
      </c>
      <c r="G839">
        <f>Tableau6[[#This Row],[Cost (€/GJ)]]*3.6</f>
        <v>25.033396153846155</v>
      </c>
      <c r="H839">
        <v>15.9</v>
      </c>
      <c r="I839">
        <f>Tableau6[[#This Row],[GHG (kgCO2eq/GJ)]]*3.6</f>
        <v>57.24</v>
      </c>
      <c r="J839" t="s">
        <v>104</v>
      </c>
      <c r="K839" t="s">
        <v>109</v>
      </c>
    </row>
    <row r="840" spans="1:11" x14ac:dyDescent="0.3">
      <c r="A840" t="s">
        <v>44</v>
      </c>
      <c r="B840" t="s">
        <v>47</v>
      </c>
      <c r="C840" t="s">
        <v>69</v>
      </c>
      <c r="D840">
        <v>14</v>
      </c>
      <c r="E840">
        <f>Tableau6[[#This Row],[Potential (PJ)]]/3.6</f>
        <v>3.8888888888888888</v>
      </c>
      <c r="F840">
        <v>7.3613357142857154</v>
      </c>
      <c r="G840">
        <f>Tableau6[[#This Row],[Cost (€/GJ)]]*3.6</f>
        <v>26.500808571428575</v>
      </c>
      <c r="H840">
        <v>15.9</v>
      </c>
      <c r="I840">
        <f>Tableau6[[#This Row],[GHG (kgCO2eq/GJ)]]*3.6</f>
        <v>57.24</v>
      </c>
      <c r="J840" t="s">
        <v>104</v>
      </c>
      <c r="K840" t="s">
        <v>109</v>
      </c>
    </row>
    <row r="841" spans="1:11" x14ac:dyDescent="0.3">
      <c r="A841" t="s">
        <v>44</v>
      </c>
      <c r="B841" t="s">
        <v>57</v>
      </c>
      <c r="C841" t="s">
        <v>94</v>
      </c>
      <c r="D841">
        <v>34.1</v>
      </c>
      <c r="E841">
        <f>Tableau6[[#This Row],[Potential (PJ)]]/3.6</f>
        <v>9.4722222222222232</v>
      </c>
      <c r="F841">
        <v>10.26938123167155</v>
      </c>
      <c r="G841">
        <f>Tableau6[[#This Row],[Cost (€/GJ)]]*3.6</f>
        <v>36.969772434017585</v>
      </c>
      <c r="H841">
        <v>24.6</v>
      </c>
      <c r="I841">
        <f>Tableau6[[#This Row],[GHG (kgCO2eq/GJ)]]*3.6</f>
        <v>88.56</v>
      </c>
      <c r="J841" t="s">
        <v>104</v>
      </c>
      <c r="K841" t="s">
        <v>109</v>
      </c>
    </row>
    <row r="842" spans="1:11" x14ac:dyDescent="0.3">
      <c r="A842" t="s">
        <v>44</v>
      </c>
      <c r="B842" t="s">
        <v>49</v>
      </c>
      <c r="C842" t="s">
        <v>71</v>
      </c>
      <c r="D842">
        <v>102.15833000000001</v>
      </c>
      <c r="E842">
        <f>Tableau6[[#This Row],[Potential (PJ)]]/3.6</f>
        <v>28.377313888888889</v>
      </c>
      <c r="F842">
        <v>3.3709703859685249</v>
      </c>
      <c r="G842">
        <f>Tableau6[[#This Row],[Cost (€/GJ)]]*3.6</f>
        <v>12.13549338948669</v>
      </c>
      <c r="H842">
        <v>3.86607608129234</v>
      </c>
      <c r="I842">
        <f>Tableau6[[#This Row],[GHG (kgCO2eq/GJ)]]*3.6</f>
        <v>13.917873892652425</v>
      </c>
      <c r="J842" t="s">
        <v>104</v>
      </c>
      <c r="K842" t="s">
        <v>108</v>
      </c>
    </row>
    <row r="843" spans="1:11" x14ac:dyDescent="0.3">
      <c r="A843" t="s">
        <v>44</v>
      </c>
      <c r="B843" t="s">
        <v>49</v>
      </c>
      <c r="C843" t="s">
        <v>72</v>
      </c>
      <c r="D843">
        <v>7.4</v>
      </c>
      <c r="E843">
        <f>Tableau6[[#This Row],[Potential (PJ)]]/3.6</f>
        <v>2.0555555555555558</v>
      </c>
      <c r="F843">
        <v>2.7111081081081081</v>
      </c>
      <c r="G843">
        <f>Tableau6[[#This Row],[Cost (€/GJ)]]*3.6</f>
        <v>9.7599891891891897</v>
      </c>
      <c r="H843">
        <v>3.86607608129234</v>
      </c>
      <c r="I843">
        <f>Tableau6[[#This Row],[GHG (kgCO2eq/GJ)]]*3.6</f>
        <v>13.917873892652425</v>
      </c>
      <c r="J843" t="s">
        <v>104</v>
      </c>
      <c r="K843" t="s">
        <v>108</v>
      </c>
    </row>
    <row r="844" spans="1:11" x14ac:dyDescent="0.3">
      <c r="A844" t="s">
        <v>44</v>
      </c>
      <c r="B844" t="s">
        <v>58</v>
      </c>
      <c r="C844" t="s">
        <v>95</v>
      </c>
      <c r="D844">
        <v>27.94341</v>
      </c>
      <c r="E844">
        <f>Tableau6[[#This Row],[Potential (PJ)]]/3.6</f>
        <v>7.7620583333333331</v>
      </c>
      <c r="F844">
        <v>0.31875232800864323</v>
      </c>
      <c r="G844">
        <f>Tableau6[[#This Row],[Cost (€/GJ)]]*3.6</f>
        <v>1.1475083808311157</v>
      </c>
      <c r="H844">
        <v>2.9521711768407801</v>
      </c>
      <c r="I844">
        <f>Tableau6[[#This Row],[GHG (kgCO2eq/GJ)]]*3.6</f>
        <v>10.627816236626808</v>
      </c>
      <c r="J844" t="s">
        <v>104</v>
      </c>
      <c r="K844" t="s">
        <v>108</v>
      </c>
    </row>
    <row r="845" spans="1:11" x14ac:dyDescent="0.3">
      <c r="A845" t="s">
        <v>44</v>
      </c>
      <c r="B845" t="s">
        <v>50</v>
      </c>
      <c r="C845" t="s">
        <v>73</v>
      </c>
      <c r="D845">
        <v>20.2</v>
      </c>
      <c r="E845">
        <f>Tableau6[[#This Row],[Potential (PJ)]]/3.6</f>
        <v>5.6111111111111107</v>
      </c>
      <c r="F845">
        <v>5.9723613861386138</v>
      </c>
      <c r="G845">
        <f>Tableau6[[#This Row],[Cost (€/GJ)]]*3.6</f>
        <v>21.50050099009901</v>
      </c>
      <c r="H845">
        <v>20.723404255319149</v>
      </c>
      <c r="I845">
        <f>Tableau6[[#This Row],[GHG (kgCO2eq/GJ)]]*3.6</f>
        <v>74.604255319148933</v>
      </c>
      <c r="J845" t="s">
        <v>105</v>
      </c>
      <c r="K845" t="s">
        <v>108</v>
      </c>
    </row>
    <row r="846" spans="1:11" x14ac:dyDescent="0.3">
      <c r="A846" t="s">
        <v>44</v>
      </c>
      <c r="B846" t="s">
        <v>50</v>
      </c>
      <c r="C846" t="s">
        <v>74</v>
      </c>
      <c r="D846">
        <v>227.6</v>
      </c>
      <c r="E846">
        <f>Tableau6[[#This Row],[Potential (PJ)]]/3.6</f>
        <v>63.222222222222221</v>
      </c>
      <c r="F846">
        <v>6.4870909490333926</v>
      </c>
      <c r="G846">
        <f>Tableau6[[#This Row],[Cost (€/GJ)]]*3.6</f>
        <v>23.353527416520215</v>
      </c>
      <c r="H846">
        <v>2.0635593220338988</v>
      </c>
      <c r="I846">
        <f>Tableau6[[#This Row],[GHG (kgCO2eq/GJ)]]*3.6</f>
        <v>7.4288135593220357</v>
      </c>
      <c r="J846" t="s">
        <v>105</v>
      </c>
      <c r="K846" t="s">
        <v>108</v>
      </c>
    </row>
    <row r="847" spans="1:11" x14ac:dyDescent="0.3">
      <c r="A847" t="s">
        <v>44</v>
      </c>
      <c r="B847" t="s">
        <v>51</v>
      </c>
      <c r="C847" t="s">
        <v>75</v>
      </c>
      <c r="D847">
        <v>14.98071</v>
      </c>
      <c r="E847">
        <f>Tableau6[[#This Row],[Potential (PJ)]]/3.6</f>
        <v>4.1613083333333334</v>
      </c>
      <c r="F847">
        <v>4.0116991337164599E-2</v>
      </c>
      <c r="G847">
        <f>Tableau6[[#This Row],[Cost (€/GJ)]]*3.6</f>
        <v>0.14442116881379255</v>
      </c>
      <c r="H847">
        <v>11.74</v>
      </c>
      <c r="I847">
        <f>Tableau6[[#This Row],[GHG (kgCO2eq/GJ)]]*3.6</f>
        <v>42.264000000000003</v>
      </c>
      <c r="J847" t="s">
        <v>104</v>
      </c>
      <c r="K847" t="s">
        <v>108</v>
      </c>
    </row>
    <row r="848" spans="1:11" x14ac:dyDescent="0.3">
      <c r="A848" t="s">
        <v>44</v>
      </c>
      <c r="B848" t="s">
        <v>60</v>
      </c>
      <c r="C848" t="s">
        <v>98</v>
      </c>
      <c r="D848">
        <v>2.5670199999999999</v>
      </c>
      <c r="E848">
        <f>Tableau6[[#This Row],[Potential (PJ)]]/3.6</f>
        <v>0.71306111111111103</v>
      </c>
      <c r="F848">
        <v>19.60257787325456</v>
      </c>
      <c r="G848">
        <f>Tableau6[[#This Row],[Cost (€/GJ)]]*3.6</f>
        <v>70.569280343716414</v>
      </c>
      <c r="H848">
        <v>20.6</v>
      </c>
      <c r="I848">
        <f>Tableau6[[#This Row],[GHG (kgCO2eq/GJ)]]*3.6</f>
        <v>74.160000000000011</v>
      </c>
      <c r="J848" t="s">
        <v>107</v>
      </c>
      <c r="K848" t="s">
        <v>109</v>
      </c>
    </row>
    <row r="849" spans="1:11" x14ac:dyDescent="0.3">
      <c r="A849" t="s">
        <v>44</v>
      </c>
      <c r="B849" t="s">
        <v>52</v>
      </c>
      <c r="C849" t="s">
        <v>76</v>
      </c>
      <c r="D849">
        <v>0.108</v>
      </c>
      <c r="E849">
        <f>Tableau6[[#This Row],[Potential (PJ)]]/3.6</f>
        <v>0.03</v>
      </c>
      <c r="F849">
        <v>6.5250000000000004</v>
      </c>
      <c r="G849">
        <f>Tableau6[[#This Row],[Cost (€/GJ)]]*3.6</f>
        <v>23.490000000000002</v>
      </c>
      <c r="H849">
        <v>12.68872359754714</v>
      </c>
      <c r="I849">
        <f>Tableau6[[#This Row],[GHG (kgCO2eq/GJ)]]*3.6</f>
        <v>45.679404951169708</v>
      </c>
      <c r="J849" t="s">
        <v>105</v>
      </c>
      <c r="K849" t="s">
        <v>108</v>
      </c>
    </row>
    <row r="850" spans="1:11" x14ac:dyDescent="0.3">
      <c r="A850" t="s">
        <v>44</v>
      </c>
      <c r="B850" t="s">
        <v>53</v>
      </c>
      <c r="C850" t="s">
        <v>77</v>
      </c>
      <c r="D850">
        <v>3.2</v>
      </c>
      <c r="E850">
        <f>Tableau6[[#This Row],[Potential (PJ)]]/3.6</f>
        <v>0.88888888888888895</v>
      </c>
      <c r="F850">
        <v>2.5273124999999999</v>
      </c>
      <c r="G850">
        <f>Tableau6[[#This Row],[Cost (€/GJ)]]*3.6</f>
        <v>9.0983249999999991</v>
      </c>
      <c r="H850">
        <v>3.86607608129234</v>
      </c>
      <c r="I850">
        <f>Tableau6[[#This Row],[GHG (kgCO2eq/GJ)]]*3.6</f>
        <v>13.917873892652425</v>
      </c>
      <c r="J850" t="s">
        <v>104</v>
      </c>
      <c r="K850" t="s">
        <v>108</v>
      </c>
    </row>
    <row r="851" spans="1:11" x14ac:dyDescent="0.3">
      <c r="A851" t="s">
        <v>44</v>
      </c>
      <c r="B851" t="s">
        <v>61</v>
      </c>
      <c r="C851" t="s">
        <v>99</v>
      </c>
      <c r="D851">
        <v>20.3</v>
      </c>
      <c r="E851">
        <f>Tableau6[[#This Row],[Potential (PJ)]]/3.6</f>
        <v>5.6388888888888893</v>
      </c>
      <c r="F851">
        <v>1.7208719211822661</v>
      </c>
      <c r="G851">
        <f>Tableau6[[#This Row],[Cost (€/GJ)]]*3.6</f>
        <v>6.1951389162561581</v>
      </c>
      <c r="H851">
        <v>2.9245635910224439</v>
      </c>
      <c r="I851">
        <f>Tableau6[[#This Row],[GHG (kgCO2eq/GJ)]]*3.6</f>
        <v>10.528428927680798</v>
      </c>
      <c r="J851" t="s">
        <v>104</v>
      </c>
      <c r="K851" t="s">
        <v>108</v>
      </c>
    </row>
    <row r="852" spans="1:11" x14ac:dyDescent="0.3">
      <c r="A852" t="s">
        <v>44</v>
      </c>
      <c r="B852" t="s">
        <v>62</v>
      </c>
      <c r="C852" t="s">
        <v>100</v>
      </c>
      <c r="D852">
        <v>6.3</v>
      </c>
      <c r="E852">
        <f>Tableau6[[#This Row],[Potential (PJ)]]/3.6</f>
        <v>1.75</v>
      </c>
      <c r="F852">
        <v>9.841269841269841E-2</v>
      </c>
      <c r="G852">
        <f>Tableau6[[#This Row],[Cost (€/GJ)]]*3.6</f>
        <v>0.35428571428571426</v>
      </c>
      <c r="H852">
        <v>2.6764106050305911</v>
      </c>
      <c r="I852">
        <f>Tableau6[[#This Row],[GHG (kgCO2eq/GJ)]]*3.6</f>
        <v>9.6350781781101276</v>
      </c>
      <c r="J852" t="s">
        <v>104</v>
      </c>
      <c r="K852" t="s">
        <v>108</v>
      </c>
    </row>
    <row r="853" spans="1:11" x14ac:dyDescent="0.3">
      <c r="A853" t="s">
        <v>44</v>
      </c>
      <c r="B853" t="s">
        <v>54</v>
      </c>
      <c r="C853" t="s">
        <v>78</v>
      </c>
      <c r="D853">
        <v>48.2</v>
      </c>
      <c r="E853">
        <f>Tableau6[[#This Row],[Potential (PJ)]]/3.6</f>
        <v>13.388888888888889</v>
      </c>
      <c r="F853">
        <v>5.3449481327800834</v>
      </c>
      <c r="G853">
        <f>Tableau6[[#This Row],[Cost (€/GJ)]]*3.6</f>
        <v>19.241813278008301</v>
      </c>
      <c r="H853">
        <v>3.86607608129234</v>
      </c>
      <c r="I853">
        <f>Tableau6[[#This Row],[GHG (kgCO2eq/GJ)]]*3.6</f>
        <v>13.917873892652425</v>
      </c>
      <c r="J853" t="s">
        <v>104</v>
      </c>
      <c r="K853" t="s">
        <v>108</v>
      </c>
    </row>
    <row r="854" spans="1:11" x14ac:dyDescent="0.3">
      <c r="A854" t="s">
        <v>45</v>
      </c>
      <c r="B854" t="s">
        <v>46</v>
      </c>
      <c r="C854" t="s">
        <v>64</v>
      </c>
      <c r="D854">
        <v>2.0619999999999999E-2</v>
      </c>
      <c r="E854">
        <f>Tableau6[[#This Row],[Potential (PJ)]]/3.6</f>
        <v>5.7277777777777778E-3</v>
      </c>
      <c r="F854">
        <v>6.7129999999999992</v>
      </c>
      <c r="G854">
        <f>Tableau6[[#This Row],[Cost (€/GJ)]]*3.6</f>
        <v>24.166799999999999</v>
      </c>
      <c r="H854">
        <v>2.9521711768407801</v>
      </c>
      <c r="I854">
        <f>Tableau6[[#This Row],[GHG (kgCO2eq/GJ)]]*3.6</f>
        <v>10.627816236626808</v>
      </c>
      <c r="J854" t="s">
        <v>104</v>
      </c>
      <c r="K854" t="s">
        <v>108</v>
      </c>
    </row>
    <row r="855" spans="1:11" x14ac:dyDescent="0.3">
      <c r="A855" t="s">
        <v>45</v>
      </c>
      <c r="B855" t="s">
        <v>46</v>
      </c>
      <c r="C855" t="s">
        <v>79</v>
      </c>
      <c r="D855">
        <v>1.2</v>
      </c>
      <c r="E855">
        <f>Tableau6[[#This Row],[Potential (PJ)]]/3.6</f>
        <v>0.33333333333333331</v>
      </c>
      <c r="F855">
        <v>3.4670000000000001</v>
      </c>
      <c r="G855">
        <f>Tableau6[[#This Row],[Cost (€/GJ)]]*3.6</f>
        <v>12.481200000000001</v>
      </c>
      <c r="H855">
        <v>6.8428961748633883</v>
      </c>
      <c r="I855">
        <f>Tableau6[[#This Row],[GHG (kgCO2eq/GJ)]]*3.6</f>
        <v>24.634426229508197</v>
      </c>
      <c r="J855" t="s">
        <v>104</v>
      </c>
      <c r="K855" t="s">
        <v>108</v>
      </c>
    </row>
    <row r="856" spans="1:11" x14ac:dyDescent="0.3">
      <c r="A856" t="s">
        <v>45</v>
      </c>
      <c r="B856" t="s">
        <v>46</v>
      </c>
      <c r="C856" t="s">
        <v>66</v>
      </c>
      <c r="D856">
        <v>0.1</v>
      </c>
      <c r="E856">
        <f>Tableau6[[#This Row],[Potential (PJ)]]/3.6</f>
        <v>2.777777777777778E-2</v>
      </c>
      <c r="F856">
        <v>3.180000000000001</v>
      </c>
      <c r="G856">
        <f>Tableau6[[#This Row],[Cost (€/GJ)]]*3.6</f>
        <v>11.448000000000004</v>
      </c>
      <c r="H856">
        <v>6.8428961748633883</v>
      </c>
      <c r="I856">
        <f>Tableau6[[#This Row],[GHG (kgCO2eq/GJ)]]*3.6</f>
        <v>24.634426229508197</v>
      </c>
      <c r="J856" t="s">
        <v>104</v>
      </c>
      <c r="K856" t="s">
        <v>108</v>
      </c>
    </row>
    <row r="857" spans="1:11" x14ac:dyDescent="0.3">
      <c r="A857" t="s">
        <v>45</v>
      </c>
      <c r="B857" t="s">
        <v>47</v>
      </c>
      <c r="C857" t="s">
        <v>68</v>
      </c>
      <c r="D857">
        <v>29.1</v>
      </c>
      <c r="E857">
        <f>Tableau6[[#This Row],[Potential (PJ)]]/3.6</f>
        <v>8.0833333333333339</v>
      </c>
      <c r="F857">
        <v>3.6120000000000001</v>
      </c>
      <c r="G857">
        <f>Tableau6[[#This Row],[Cost (€/GJ)]]*3.6</f>
        <v>13.003200000000001</v>
      </c>
      <c r="I857">
        <f>Tableau6[[#This Row],[GHG (kgCO2eq/GJ)]]*3.6</f>
        <v>0</v>
      </c>
      <c r="J857" t="s">
        <v>104</v>
      </c>
      <c r="K857" t="s">
        <v>109</v>
      </c>
    </row>
    <row r="858" spans="1:11" x14ac:dyDescent="0.3">
      <c r="A858" t="s">
        <v>45</v>
      </c>
      <c r="B858" t="s">
        <v>47</v>
      </c>
      <c r="C858" t="s">
        <v>69</v>
      </c>
      <c r="D858">
        <v>20.3</v>
      </c>
      <c r="E858">
        <f>Tableau6[[#This Row],[Potential (PJ)]]/3.6</f>
        <v>5.6388888888888893</v>
      </c>
      <c r="F858">
        <v>3.593</v>
      </c>
      <c r="G858">
        <f>Tableau6[[#This Row],[Cost (€/GJ)]]*3.6</f>
        <v>12.934800000000001</v>
      </c>
      <c r="I858">
        <f>Tableau6[[#This Row],[GHG (kgCO2eq/GJ)]]*3.6</f>
        <v>0</v>
      </c>
      <c r="J858" t="s">
        <v>104</v>
      </c>
      <c r="K858" t="s">
        <v>109</v>
      </c>
    </row>
    <row r="859" spans="1:11" x14ac:dyDescent="0.3">
      <c r="A859" t="s">
        <v>45</v>
      </c>
      <c r="B859" t="s">
        <v>48</v>
      </c>
      <c r="C859" t="s">
        <v>70</v>
      </c>
      <c r="D859">
        <v>10.7</v>
      </c>
      <c r="E859">
        <f>Tableau6[[#This Row],[Potential (PJ)]]/3.6</f>
        <v>2.9722222222222219</v>
      </c>
      <c r="F859">
        <v>9.1419999999999995</v>
      </c>
      <c r="G859">
        <f>Tableau6[[#This Row],[Cost (€/GJ)]]*3.6</f>
        <v>32.911200000000001</v>
      </c>
      <c r="I859">
        <f>Tableau6[[#This Row],[GHG (kgCO2eq/GJ)]]*3.6</f>
        <v>0</v>
      </c>
      <c r="J859" t="s">
        <v>104</v>
      </c>
      <c r="K859" t="s">
        <v>109</v>
      </c>
    </row>
    <row r="860" spans="1:11" x14ac:dyDescent="0.3">
      <c r="A860" t="s">
        <v>45</v>
      </c>
      <c r="B860" t="s">
        <v>49</v>
      </c>
      <c r="C860" t="s">
        <v>71</v>
      </c>
      <c r="D860">
        <v>3.0570499999999998</v>
      </c>
      <c r="E860">
        <f>Tableau6[[#This Row],[Potential (PJ)]]/3.6</f>
        <v>0.84918055555555549</v>
      </c>
      <c r="F860">
        <v>0</v>
      </c>
      <c r="G860">
        <f>Tableau6[[#This Row],[Cost (€/GJ)]]*3.6</f>
        <v>0</v>
      </c>
      <c r="H860">
        <v>3.86607608129234</v>
      </c>
      <c r="I860">
        <f>Tableau6[[#This Row],[GHG (kgCO2eq/GJ)]]*3.6</f>
        <v>13.917873892652425</v>
      </c>
      <c r="J860" t="s">
        <v>104</v>
      </c>
      <c r="K860" t="s">
        <v>108</v>
      </c>
    </row>
    <row r="861" spans="1:11" x14ac:dyDescent="0.3">
      <c r="A861" t="s">
        <v>45</v>
      </c>
      <c r="B861" t="s">
        <v>50</v>
      </c>
      <c r="C861" t="s">
        <v>73</v>
      </c>
      <c r="D861">
        <v>0.2</v>
      </c>
      <c r="E861">
        <f>Tableau6[[#This Row],[Potential (PJ)]]/3.6</f>
        <v>5.5555555555555559E-2</v>
      </c>
      <c r="F861">
        <v>5.4240000000000004</v>
      </c>
      <c r="G861">
        <f>Tableau6[[#This Row],[Cost (€/GJ)]]*3.6</f>
        <v>19.526400000000002</v>
      </c>
      <c r="H861">
        <v>20.723404255319149</v>
      </c>
      <c r="I861">
        <f>Tableau6[[#This Row],[GHG (kgCO2eq/GJ)]]*3.6</f>
        <v>74.604255319148933</v>
      </c>
      <c r="J861" t="s">
        <v>105</v>
      </c>
      <c r="K861" t="s">
        <v>108</v>
      </c>
    </row>
    <row r="862" spans="1:11" x14ac:dyDescent="0.3">
      <c r="A862" t="s">
        <v>45</v>
      </c>
      <c r="B862" t="s">
        <v>50</v>
      </c>
      <c r="C862" t="s">
        <v>74</v>
      </c>
      <c r="D862">
        <v>0.1</v>
      </c>
      <c r="E862">
        <f>Tableau6[[#This Row],[Potential (PJ)]]/3.6</f>
        <v>2.777777777777778E-2</v>
      </c>
      <c r="F862">
        <v>3.484</v>
      </c>
      <c r="G862">
        <f>Tableau6[[#This Row],[Cost (€/GJ)]]*3.6</f>
        <v>12.542400000000001</v>
      </c>
      <c r="H862">
        <v>2.0635593220338988</v>
      </c>
      <c r="I862">
        <f>Tableau6[[#This Row],[GHG (kgCO2eq/GJ)]]*3.6</f>
        <v>7.4288135593220357</v>
      </c>
      <c r="J862" t="s">
        <v>105</v>
      </c>
      <c r="K862" t="s">
        <v>108</v>
      </c>
    </row>
    <row r="863" spans="1:11" x14ac:dyDescent="0.3">
      <c r="A863" t="s">
        <v>45</v>
      </c>
      <c r="B863" t="s">
        <v>52</v>
      </c>
      <c r="C863" t="s">
        <v>76</v>
      </c>
      <c r="D863">
        <v>1.6E-2</v>
      </c>
      <c r="E863">
        <f>Tableau6[[#This Row],[Potential (PJ)]]/3.6</f>
        <v>4.4444444444444444E-3</v>
      </c>
      <c r="F863">
        <v>0</v>
      </c>
      <c r="G863">
        <f>Tableau6[[#This Row],[Cost (€/GJ)]]*3.6</f>
        <v>0</v>
      </c>
      <c r="H863">
        <v>12.68872359754714</v>
      </c>
      <c r="I863">
        <f>Tableau6[[#This Row],[GHG (kgCO2eq/GJ)]]*3.6</f>
        <v>45.679404951169708</v>
      </c>
      <c r="J863" t="s">
        <v>105</v>
      </c>
      <c r="K863" t="s">
        <v>108</v>
      </c>
    </row>
    <row r="864" spans="1:11" x14ac:dyDescent="0.3">
      <c r="A864" t="s">
        <v>45</v>
      </c>
      <c r="B864" t="s">
        <v>54</v>
      </c>
      <c r="C864" t="s">
        <v>78</v>
      </c>
      <c r="D864">
        <v>2.5</v>
      </c>
      <c r="E864">
        <f>Tableau6[[#This Row],[Potential (PJ)]]/3.6</f>
        <v>0.69444444444444442</v>
      </c>
      <c r="F864">
        <v>0</v>
      </c>
      <c r="G864">
        <f>Tableau6[[#This Row],[Cost (€/GJ)]]*3.6</f>
        <v>0</v>
      </c>
      <c r="H864">
        <v>3.86607608129234</v>
      </c>
      <c r="I864">
        <f>Tableau6[[#This Row],[GHG (kgCO2eq/GJ)]]*3.6</f>
        <v>13.917873892652425</v>
      </c>
      <c r="J864" t="s">
        <v>104</v>
      </c>
      <c r="K864" t="s">
        <v>108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44"/>
  <sheetViews>
    <sheetView topLeftCell="A339" workbookViewId="0">
      <selection activeCell="E339" sqref="E339:E360"/>
    </sheetView>
  </sheetViews>
  <sheetFormatPr baseColWidth="10" defaultColWidth="8.88671875" defaultRowHeight="14.4" x14ac:dyDescent="0.3"/>
  <cols>
    <col min="2" max="2" width="16.21875" customWidth="1"/>
    <col min="3" max="3" width="18.88671875" customWidth="1"/>
    <col min="4" max="5" width="14" customWidth="1"/>
    <col min="7" max="7" width="14.33203125" customWidth="1"/>
    <col min="8" max="9" width="18.6640625" customWidth="1"/>
    <col min="10" max="10" width="10.441406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113</v>
      </c>
      <c r="F1" s="1" t="s">
        <v>110</v>
      </c>
      <c r="G1" s="2" t="s">
        <v>111</v>
      </c>
      <c r="H1" s="2" t="s">
        <v>4</v>
      </c>
      <c r="I1" s="2" t="s">
        <v>112</v>
      </c>
      <c r="J1" s="2" t="s">
        <v>5</v>
      </c>
      <c r="K1" s="2" t="s">
        <v>6</v>
      </c>
    </row>
    <row r="2" spans="1:11" hidden="1" x14ac:dyDescent="0.3">
      <c r="A2" t="s">
        <v>7</v>
      </c>
      <c r="B2" t="s">
        <v>46</v>
      </c>
      <c r="C2" t="s">
        <v>63</v>
      </c>
      <c r="D2">
        <v>7.7600000000000002E-2</v>
      </c>
      <c r="E2">
        <f>Tableau2[[#This Row],[Potential (PJ)]]/3.6</f>
        <v>2.1555555555555557E-2</v>
      </c>
      <c r="F2">
        <v>2.9286474973375931</v>
      </c>
      <c r="G2">
        <f>Tableau2[[#This Row],[Cost (€/GJ)]]/1000*3600</f>
        <v>10.543130990415335</v>
      </c>
      <c r="H2">
        <v>3.950479233226837</v>
      </c>
      <c r="I2">
        <f>Tableau2[[#This Row],[GHG (kgCO2eq/GJ)]]*3.6</f>
        <v>14.221725239616614</v>
      </c>
      <c r="J2" t="s">
        <v>104</v>
      </c>
      <c r="K2" t="s">
        <v>108</v>
      </c>
    </row>
    <row r="3" spans="1:11" hidden="1" x14ac:dyDescent="0.3">
      <c r="A3" t="s">
        <v>7</v>
      </c>
      <c r="B3" t="s">
        <v>46</v>
      </c>
      <c r="C3" t="s">
        <v>64</v>
      </c>
      <c r="D3">
        <v>0.34582000000000002</v>
      </c>
      <c r="E3">
        <f>Tableau2[[#This Row],[Potential (PJ)]]/3.6</f>
        <v>9.6061111111111111E-2</v>
      </c>
      <c r="F3">
        <v>2.5129999999999999</v>
      </c>
      <c r="G3">
        <f>Tableau2[[#This Row],[Cost (€/GJ)]]/1000*3600</f>
        <v>9.0467999999999993</v>
      </c>
      <c r="H3">
        <v>2.9521711768407801</v>
      </c>
      <c r="I3">
        <f>Tableau2[[#This Row],[GHG (kgCO2eq/GJ)]]*3.6</f>
        <v>10.627816236626808</v>
      </c>
      <c r="J3" t="s">
        <v>104</v>
      </c>
      <c r="K3" t="s">
        <v>108</v>
      </c>
    </row>
    <row r="4" spans="1:11" hidden="1" x14ac:dyDescent="0.3">
      <c r="A4" t="s">
        <v>7</v>
      </c>
      <c r="B4" t="s">
        <v>46</v>
      </c>
      <c r="C4" t="s">
        <v>65</v>
      </c>
      <c r="D4">
        <v>0.5</v>
      </c>
      <c r="E4">
        <f>Tableau2[[#This Row],[Potential (PJ)]]/3.6</f>
        <v>0.1388888888888889</v>
      </c>
      <c r="F4">
        <v>4.3099999999999996</v>
      </c>
      <c r="G4">
        <f>Tableau2[[#This Row],[Cost (€/GJ)]]/1000*3600</f>
        <v>15.515999999999998</v>
      </c>
      <c r="H4">
        <v>2.9521711768407801</v>
      </c>
      <c r="I4">
        <f>Tableau2[[#This Row],[GHG (kgCO2eq/GJ)]]*3.6</f>
        <v>10.627816236626808</v>
      </c>
      <c r="J4" t="s">
        <v>104</v>
      </c>
      <c r="K4" t="s">
        <v>108</v>
      </c>
    </row>
    <row r="5" spans="1:11" hidden="1" x14ac:dyDescent="0.3">
      <c r="A5" t="s">
        <v>7</v>
      </c>
      <c r="B5" t="s">
        <v>46</v>
      </c>
      <c r="C5" t="s">
        <v>66</v>
      </c>
      <c r="D5">
        <v>0.4</v>
      </c>
      <c r="E5">
        <f>Tableau2[[#This Row],[Potential (PJ)]]/3.6</f>
        <v>0.11111111111111112</v>
      </c>
      <c r="F5">
        <v>1.504</v>
      </c>
      <c r="G5">
        <f>Tableau2[[#This Row],[Cost (€/GJ)]]/1000*3600</f>
        <v>5.4143999999999997</v>
      </c>
      <c r="H5">
        <v>6.8428961748633883</v>
      </c>
      <c r="I5">
        <f>Tableau2[[#This Row],[GHG (kgCO2eq/GJ)]]*3.6</f>
        <v>24.634426229508197</v>
      </c>
      <c r="J5" t="s">
        <v>104</v>
      </c>
      <c r="K5" t="s">
        <v>108</v>
      </c>
    </row>
    <row r="6" spans="1:11" hidden="1" x14ac:dyDescent="0.3">
      <c r="A6" t="s">
        <v>7</v>
      </c>
      <c r="B6" t="s">
        <v>46</v>
      </c>
      <c r="C6" t="s">
        <v>67</v>
      </c>
      <c r="D6">
        <v>0.2</v>
      </c>
      <c r="E6">
        <f>Tableau2[[#This Row],[Potential (PJ)]]/3.6</f>
        <v>5.5555555555555559E-2</v>
      </c>
      <c r="F6">
        <v>4.7140000000000004</v>
      </c>
      <c r="G6">
        <f>Tableau2[[#This Row],[Cost (€/GJ)]]/1000*3600</f>
        <v>16.970400000000001</v>
      </c>
      <c r="H6">
        <v>2.9521711768407801</v>
      </c>
      <c r="I6">
        <f>Tableau2[[#This Row],[GHG (kgCO2eq/GJ)]]*3.6</f>
        <v>10.627816236626808</v>
      </c>
      <c r="J6" t="s">
        <v>104</v>
      </c>
      <c r="K6" t="s">
        <v>108</v>
      </c>
    </row>
    <row r="7" spans="1:11" hidden="1" x14ac:dyDescent="0.3">
      <c r="A7" t="s">
        <v>7</v>
      </c>
      <c r="B7" t="s">
        <v>46</v>
      </c>
      <c r="C7" t="s">
        <v>85</v>
      </c>
      <c r="D7">
        <v>0.1</v>
      </c>
      <c r="E7">
        <f>Tableau2[[#This Row],[Potential (PJ)]]/3.6</f>
        <v>2.777777777777778E-2</v>
      </c>
      <c r="F7">
        <v>4.0629999999999997</v>
      </c>
      <c r="G7">
        <f>Tableau2[[#This Row],[Cost (€/GJ)]]/1000*3600</f>
        <v>14.626799999999999</v>
      </c>
      <c r="H7">
        <v>2.9521711768407801</v>
      </c>
      <c r="I7">
        <f>Tableau2[[#This Row],[GHG (kgCO2eq/GJ)]]*3.6</f>
        <v>10.627816236626808</v>
      </c>
      <c r="J7" t="s">
        <v>104</v>
      </c>
      <c r="K7" t="s">
        <v>108</v>
      </c>
    </row>
    <row r="8" spans="1:11" hidden="1" x14ac:dyDescent="0.3">
      <c r="A8" t="s">
        <v>7</v>
      </c>
      <c r="B8" t="s">
        <v>47</v>
      </c>
      <c r="C8" t="s">
        <v>68</v>
      </c>
      <c r="D8">
        <v>16.8</v>
      </c>
      <c r="E8">
        <f>Tableau2[[#This Row],[Potential (PJ)]]/3.6</f>
        <v>4.666666666666667</v>
      </c>
      <c r="F8">
        <v>3.36</v>
      </c>
      <c r="G8">
        <f>Tableau2[[#This Row],[Cost (€/GJ)]]/1000*3600</f>
        <v>12.095999999999998</v>
      </c>
      <c r="H8">
        <v>14.1</v>
      </c>
      <c r="I8">
        <f>Tableau2[[#This Row],[GHG (kgCO2eq/GJ)]]*3.6</f>
        <v>50.76</v>
      </c>
      <c r="J8" t="s">
        <v>104</v>
      </c>
      <c r="K8" t="s">
        <v>109</v>
      </c>
    </row>
    <row r="9" spans="1:11" hidden="1" x14ac:dyDescent="0.3">
      <c r="A9" t="s">
        <v>7</v>
      </c>
      <c r="B9" t="s">
        <v>47</v>
      </c>
      <c r="C9" t="s">
        <v>69</v>
      </c>
      <c r="D9">
        <v>11.8</v>
      </c>
      <c r="E9">
        <f>Tableau2[[#This Row],[Potential (PJ)]]/3.6</f>
        <v>3.2777777777777777</v>
      </c>
      <c r="F9">
        <v>3.355</v>
      </c>
      <c r="G9">
        <f>Tableau2[[#This Row],[Cost (€/GJ)]]/1000*3600</f>
        <v>12.077999999999999</v>
      </c>
      <c r="H9">
        <v>14.1</v>
      </c>
      <c r="I9">
        <f>Tableau2[[#This Row],[GHG (kgCO2eq/GJ)]]*3.6</f>
        <v>50.76</v>
      </c>
      <c r="J9" t="s">
        <v>104</v>
      </c>
      <c r="K9" t="s">
        <v>109</v>
      </c>
    </row>
    <row r="10" spans="1:11" hidden="1" x14ac:dyDescent="0.3">
      <c r="A10" t="s">
        <v>7</v>
      </c>
      <c r="B10" t="s">
        <v>48</v>
      </c>
      <c r="C10" t="s">
        <v>70</v>
      </c>
      <c r="D10">
        <v>6.2</v>
      </c>
      <c r="E10">
        <f>Tableau2[[#This Row],[Potential (PJ)]]/3.6</f>
        <v>1.7222222222222223</v>
      </c>
      <c r="F10">
        <v>8.8789999999999996</v>
      </c>
      <c r="G10">
        <f>Tableau2[[#This Row],[Cost (€/GJ)]]/1000*3600</f>
        <v>31.964399999999998</v>
      </c>
      <c r="H10">
        <v>0</v>
      </c>
      <c r="I10">
        <f>Tableau2[[#This Row],[GHG (kgCO2eq/GJ)]]*3.6</f>
        <v>0</v>
      </c>
      <c r="J10" t="s">
        <v>104</v>
      </c>
      <c r="K10" t="s">
        <v>109</v>
      </c>
    </row>
    <row r="11" spans="1:11" x14ac:dyDescent="0.3">
      <c r="A11" t="s">
        <v>7</v>
      </c>
      <c r="B11" t="s">
        <v>49</v>
      </c>
      <c r="C11" t="s">
        <v>71</v>
      </c>
      <c r="D11">
        <v>3.7838699999999998</v>
      </c>
      <c r="E11">
        <f>Tableau2[[#This Row],[Potential (PJ)]]/3.6</f>
        <v>1.051075</v>
      </c>
      <c r="F11">
        <v>0</v>
      </c>
      <c r="G11">
        <f>Tableau2[[#This Row],[Cost (€/GJ)]]/1000*3600</f>
        <v>0</v>
      </c>
      <c r="H11">
        <v>3.86607608129234</v>
      </c>
      <c r="I11">
        <f>Tableau2[[#This Row],[GHG (kgCO2eq/GJ)]]*3.6</f>
        <v>13.917873892652425</v>
      </c>
      <c r="J11" t="s">
        <v>104</v>
      </c>
      <c r="K11" t="s">
        <v>108</v>
      </c>
    </row>
    <row r="12" spans="1:11" x14ac:dyDescent="0.3">
      <c r="A12" t="s">
        <v>7</v>
      </c>
      <c r="B12" t="s">
        <v>49</v>
      </c>
      <c r="C12" t="s">
        <v>72</v>
      </c>
      <c r="D12">
        <v>1</v>
      </c>
      <c r="E12">
        <f>Tableau2[[#This Row],[Potential (PJ)]]/3.6</f>
        <v>0.27777777777777779</v>
      </c>
      <c r="F12">
        <v>0</v>
      </c>
      <c r="G12">
        <f>Tableau2[[#This Row],[Cost (€/GJ)]]/1000*3600</f>
        <v>0</v>
      </c>
      <c r="H12">
        <v>3.86607608129234</v>
      </c>
      <c r="I12">
        <f>Tableau2[[#This Row],[GHG (kgCO2eq/GJ)]]*3.6</f>
        <v>13.917873892652425</v>
      </c>
      <c r="J12" t="s">
        <v>104</v>
      </c>
      <c r="K12" t="s">
        <v>108</v>
      </c>
    </row>
    <row r="13" spans="1:11" hidden="1" x14ac:dyDescent="0.3">
      <c r="A13" t="s">
        <v>7</v>
      </c>
      <c r="B13" t="s">
        <v>50</v>
      </c>
      <c r="C13" t="s">
        <v>73</v>
      </c>
      <c r="D13">
        <v>0.4</v>
      </c>
      <c r="E13">
        <f>Tableau2[[#This Row],[Potential (PJ)]]/3.6</f>
        <v>0.11111111111111112</v>
      </c>
      <c r="F13">
        <v>5.4240000000000004</v>
      </c>
      <c r="G13">
        <f>Tableau2[[#This Row],[Cost (€/GJ)]]/1000*3600</f>
        <v>19.526399999999999</v>
      </c>
      <c r="H13">
        <v>20.723404255319149</v>
      </c>
      <c r="I13">
        <f>Tableau2[[#This Row],[GHG (kgCO2eq/GJ)]]*3.6</f>
        <v>74.604255319148933</v>
      </c>
      <c r="J13" t="s">
        <v>105</v>
      </c>
      <c r="K13" t="s">
        <v>108</v>
      </c>
    </row>
    <row r="14" spans="1:11" hidden="1" x14ac:dyDescent="0.3">
      <c r="A14" t="s">
        <v>7</v>
      </c>
      <c r="B14" t="s">
        <v>50</v>
      </c>
      <c r="C14" t="s">
        <v>74</v>
      </c>
      <c r="D14">
        <v>1.4</v>
      </c>
      <c r="E14">
        <f>Tableau2[[#This Row],[Potential (PJ)]]/3.6</f>
        <v>0.38888888888888884</v>
      </c>
      <c r="F14">
        <v>3.484</v>
      </c>
      <c r="G14">
        <f>Tableau2[[#This Row],[Cost (€/GJ)]]/1000*3600</f>
        <v>12.542400000000001</v>
      </c>
      <c r="H14">
        <v>2.0635593220338988</v>
      </c>
      <c r="I14">
        <f>Tableau2[[#This Row],[GHG (kgCO2eq/GJ)]]*3.6</f>
        <v>7.4288135593220357</v>
      </c>
      <c r="J14" t="s">
        <v>105</v>
      </c>
      <c r="K14" t="s">
        <v>108</v>
      </c>
    </row>
    <row r="15" spans="1:11" x14ac:dyDescent="0.3">
      <c r="A15" t="s">
        <v>7</v>
      </c>
      <c r="B15" t="s">
        <v>51</v>
      </c>
      <c r="C15" t="s">
        <v>75</v>
      </c>
      <c r="D15">
        <v>2.4212999999999998E-2</v>
      </c>
      <c r="E15">
        <f>Tableau2[[#This Row],[Potential (PJ)]]/3.6</f>
        <v>6.7258333333333328E-3</v>
      </c>
      <c r="F15">
        <v>8.9872161086532704E-2</v>
      </c>
      <c r="G15">
        <f>Tableau2[[#This Row],[Cost (€/GJ)]]/1000*3600</f>
        <v>0.32353977991151772</v>
      </c>
      <c r="H15">
        <v>11.74</v>
      </c>
      <c r="I15">
        <f>Tableau2[[#This Row],[GHG (kgCO2eq/GJ)]]*3.6</f>
        <v>42.264000000000003</v>
      </c>
      <c r="J15" t="s">
        <v>104</v>
      </c>
      <c r="K15" t="s">
        <v>108</v>
      </c>
    </row>
    <row r="16" spans="1:11" hidden="1" x14ac:dyDescent="0.3">
      <c r="A16" t="s">
        <v>7</v>
      </c>
      <c r="B16" t="s">
        <v>52</v>
      </c>
      <c r="C16" t="s">
        <v>76</v>
      </c>
      <c r="D16">
        <v>4.9000000000000002E-2</v>
      </c>
      <c r="E16">
        <f>Tableau2[[#This Row],[Potential (PJ)]]/3.6</f>
        <v>1.3611111111111112E-2</v>
      </c>
      <c r="F16">
        <v>5.4702337500000002</v>
      </c>
      <c r="G16">
        <f>Tableau2[[#This Row],[Cost (€/GJ)]]/1000*3600</f>
        <v>19.6928415</v>
      </c>
      <c r="H16">
        <v>12.68872359754714</v>
      </c>
      <c r="I16">
        <f>Tableau2[[#This Row],[GHG (kgCO2eq/GJ)]]*3.6</f>
        <v>45.679404951169708</v>
      </c>
      <c r="J16" t="s">
        <v>105</v>
      </c>
      <c r="K16" t="s">
        <v>108</v>
      </c>
    </row>
    <row r="17" spans="1:11" x14ac:dyDescent="0.3">
      <c r="A17" t="s">
        <v>7</v>
      </c>
      <c r="B17" t="s">
        <v>53</v>
      </c>
      <c r="C17" t="s">
        <v>77</v>
      </c>
      <c r="D17">
        <v>1.2</v>
      </c>
      <c r="E17">
        <f>Tableau2[[#This Row],[Potential (PJ)]]/3.6</f>
        <v>0.33333333333333331</v>
      </c>
      <c r="F17">
        <v>0</v>
      </c>
      <c r="G17">
        <f>Tableau2[[#This Row],[Cost (€/GJ)]]/1000*3600</f>
        <v>0</v>
      </c>
      <c r="H17">
        <v>3.86607608129234</v>
      </c>
      <c r="I17">
        <f>Tableau2[[#This Row],[GHG (kgCO2eq/GJ)]]*3.6</f>
        <v>13.917873892652425</v>
      </c>
      <c r="J17" t="s">
        <v>104</v>
      </c>
      <c r="K17" t="s">
        <v>108</v>
      </c>
    </row>
    <row r="18" spans="1:11" x14ac:dyDescent="0.3">
      <c r="A18" t="s">
        <v>7</v>
      </c>
      <c r="B18" t="s">
        <v>54</v>
      </c>
      <c r="C18" t="s">
        <v>78</v>
      </c>
      <c r="D18">
        <v>4.4000000000000004</v>
      </c>
      <c r="E18">
        <f>Tableau2[[#This Row],[Potential (PJ)]]/3.6</f>
        <v>1.2222222222222223</v>
      </c>
      <c r="F18">
        <v>0</v>
      </c>
      <c r="G18">
        <f>Tableau2[[#This Row],[Cost (€/GJ)]]/1000*3600</f>
        <v>0</v>
      </c>
      <c r="H18">
        <v>3.86607608129234</v>
      </c>
      <c r="I18">
        <f>Tableau2[[#This Row],[GHG (kgCO2eq/GJ)]]*3.6</f>
        <v>13.917873892652425</v>
      </c>
      <c r="J18" t="s">
        <v>104</v>
      </c>
      <c r="K18" t="s">
        <v>108</v>
      </c>
    </row>
    <row r="19" spans="1:11" hidden="1" x14ac:dyDescent="0.3">
      <c r="A19" t="s">
        <v>8</v>
      </c>
      <c r="B19" t="s">
        <v>46</v>
      </c>
      <c r="C19" t="s">
        <v>79</v>
      </c>
      <c r="D19">
        <v>7.3999999999999986</v>
      </c>
      <c r="E19">
        <f>Tableau2[[#This Row],[Potential (PJ)]]/3.6</f>
        <v>2.0555555555555549</v>
      </c>
      <c r="F19">
        <v>8.3298648648648648</v>
      </c>
      <c r="G19">
        <f>Tableau2[[#This Row],[Cost (€/GJ)]]/1000*3600</f>
        <v>29.987513513513512</v>
      </c>
      <c r="H19">
        <v>6.8428961748633883</v>
      </c>
      <c r="I19">
        <f>Tableau2[[#This Row],[GHG (kgCO2eq/GJ)]]*3.6</f>
        <v>24.634426229508197</v>
      </c>
      <c r="J19" t="s">
        <v>104</v>
      </c>
      <c r="K19" t="s">
        <v>108</v>
      </c>
    </row>
    <row r="20" spans="1:11" hidden="1" x14ac:dyDescent="0.3">
      <c r="A20" t="s">
        <v>8</v>
      </c>
      <c r="B20" t="s">
        <v>46</v>
      </c>
      <c r="C20" t="s">
        <v>80</v>
      </c>
      <c r="D20">
        <v>8.7295999999999996</v>
      </c>
      <c r="E20">
        <f>Tableau2[[#This Row],[Potential (PJ)]]/3.6</f>
        <v>2.4248888888888889</v>
      </c>
      <c r="F20">
        <v>0.71274443695212408</v>
      </c>
      <c r="G20">
        <f>Tableau2[[#This Row],[Cost (€/GJ)]]/1000*3600</f>
        <v>2.5658799730276467</v>
      </c>
      <c r="H20">
        <v>28.139870918023309</v>
      </c>
      <c r="I20">
        <f>Tableau2[[#This Row],[GHG (kgCO2eq/GJ)]]*3.6</f>
        <v>101.30353530488391</v>
      </c>
      <c r="J20" t="s">
        <v>105</v>
      </c>
      <c r="K20" t="s">
        <v>108</v>
      </c>
    </row>
    <row r="21" spans="1:11" hidden="1" x14ac:dyDescent="0.3">
      <c r="A21" t="s">
        <v>8</v>
      </c>
      <c r="B21" t="s">
        <v>46</v>
      </c>
      <c r="C21" t="s">
        <v>81</v>
      </c>
      <c r="D21">
        <v>2.0388000000000002</v>
      </c>
      <c r="E21">
        <f>Tableau2[[#This Row],[Potential (PJ)]]/3.6</f>
        <v>0.56633333333333336</v>
      </c>
      <c r="F21">
        <v>1.242655699177438</v>
      </c>
      <c r="G21">
        <f>Tableau2[[#This Row],[Cost (€/GJ)]]/1000*3600</f>
        <v>4.4735605170387771</v>
      </c>
      <c r="H21">
        <v>8.9647473560517046</v>
      </c>
      <c r="I21">
        <f>Tableau2[[#This Row],[GHG (kgCO2eq/GJ)]]*3.6</f>
        <v>32.273090481786134</v>
      </c>
      <c r="J21" t="s">
        <v>105</v>
      </c>
      <c r="K21" t="s">
        <v>108</v>
      </c>
    </row>
    <row r="22" spans="1:11" hidden="1" x14ac:dyDescent="0.3">
      <c r="A22" t="s">
        <v>8</v>
      </c>
      <c r="B22" t="s">
        <v>46</v>
      </c>
      <c r="C22" t="s">
        <v>66</v>
      </c>
      <c r="D22">
        <v>3.6</v>
      </c>
      <c r="E22">
        <f>Tableau2[[#This Row],[Potential (PJ)]]/3.6</f>
        <v>1</v>
      </c>
      <c r="F22">
        <v>8.7730555555555565</v>
      </c>
      <c r="G22">
        <f>Tableau2[[#This Row],[Cost (€/GJ)]]/1000*3600</f>
        <v>31.583000000000002</v>
      </c>
      <c r="H22">
        <v>6.8428961748633883</v>
      </c>
      <c r="I22">
        <f>Tableau2[[#This Row],[GHG (kgCO2eq/GJ)]]*3.6</f>
        <v>24.634426229508197</v>
      </c>
      <c r="J22" t="s">
        <v>104</v>
      </c>
      <c r="K22" t="s">
        <v>108</v>
      </c>
    </row>
    <row r="23" spans="1:11" hidden="1" x14ac:dyDescent="0.3">
      <c r="A23" t="s">
        <v>8</v>
      </c>
      <c r="B23" t="s">
        <v>46</v>
      </c>
      <c r="C23" t="s">
        <v>82</v>
      </c>
      <c r="D23">
        <v>1</v>
      </c>
      <c r="E23">
        <f>Tableau2[[#This Row],[Potential (PJ)]]/3.6</f>
        <v>0.27777777777777779</v>
      </c>
      <c r="F23">
        <v>5.1779999999999999</v>
      </c>
      <c r="G23">
        <f>Tableau2[[#This Row],[Cost (€/GJ)]]/1000*3600</f>
        <v>18.640800000000002</v>
      </c>
      <c r="H23">
        <v>6.8428961748633883</v>
      </c>
      <c r="I23">
        <f>Tableau2[[#This Row],[GHG (kgCO2eq/GJ)]]*3.6</f>
        <v>24.634426229508197</v>
      </c>
      <c r="J23" t="s">
        <v>104</v>
      </c>
      <c r="K23" t="s">
        <v>108</v>
      </c>
    </row>
    <row r="24" spans="1:11" hidden="1" x14ac:dyDescent="0.3">
      <c r="A24" t="s">
        <v>8</v>
      </c>
      <c r="B24" t="s">
        <v>46</v>
      </c>
      <c r="C24" t="s">
        <v>83</v>
      </c>
      <c r="D24">
        <v>0.2</v>
      </c>
      <c r="E24">
        <f>Tableau2[[#This Row],[Potential (PJ)]]/3.6</f>
        <v>5.5555555555555559E-2</v>
      </c>
      <c r="F24">
        <v>0</v>
      </c>
      <c r="G24">
        <f>Tableau2[[#This Row],[Cost (€/GJ)]]/1000*3600</f>
        <v>0</v>
      </c>
      <c r="H24">
        <v>6.8428961748633883</v>
      </c>
      <c r="I24">
        <f>Tableau2[[#This Row],[GHG (kgCO2eq/GJ)]]*3.6</f>
        <v>24.634426229508197</v>
      </c>
      <c r="J24" t="s">
        <v>104</v>
      </c>
      <c r="K24" t="s">
        <v>108</v>
      </c>
    </row>
    <row r="25" spans="1:11" hidden="1" x14ac:dyDescent="0.3">
      <c r="A25" t="s">
        <v>8</v>
      </c>
      <c r="B25" t="s">
        <v>46</v>
      </c>
      <c r="C25" t="s">
        <v>84</v>
      </c>
      <c r="D25">
        <v>0.2</v>
      </c>
      <c r="E25">
        <f>Tableau2[[#This Row],[Potential (PJ)]]/3.6</f>
        <v>5.5555555555555559E-2</v>
      </c>
      <c r="F25">
        <v>4.1900000000000004</v>
      </c>
      <c r="G25">
        <f>Tableau2[[#This Row],[Cost (€/GJ)]]/1000*3600</f>
        <v>15.084000000000001</v>
      </c>
      <c r="H25">
        <v>28.139870918023309</v>
      </c>
      <c r="I25">
        <f>Tableau2[[#This Row],[GHG (kgCO2eq/GJ)]]*3.6</f>
        <v>101.30353530488391</v>
      </c>
      <c r="J25" t="s">
        <v>105</v>
      </c>
      <c r="K25" t="s">
        <v>108</v>
      </c>
    </row>
    <row r="26" spans="1:11" hidden="1" x14ac:dyDescent="0.3">
      <c r="A26" t="s">
        <v>8</v>
      </c>
      <c r="B26" t="s">
        <v>46</v>
      </c>
      <c r="C26" t="s">
        <v>85</v>
      </c>
      <c r="D26">
        <v>0.2</v>
      </c>
      <c r="E26">
        <f>Tableau2[[#This Row],[Potential (PJ)]]/3.6</f>
        <v>5.5555555555555559E-2</v>
      </c>
      <c r="F26">
        <v>3.722</v>
      </c>
      <c r="G26">
        <f>Tableau2[[#This Row],[Cost (€/GJ)]]/1000*3600</f>
        <v>13.3992</v>
      </c>
      <c r="H26">
        <v>2.9521711768407801</v>
      </c>
      <c r="I26">
        <f>Tableau2[[#This Row],[GHG (kgCO2eq/GJ)]]*3.6</f>
        <v>10.627816236626808</v>
      </c>
      <c r="J26" t="s">
        <v>104</v>
      </c>
      <c r="K26" t="s">
        <v>108</v>
      </c>
    </row>
    <row r="27" spans="1:11" hidden="1" x14ac:dyDescent="0.3">
      <c r="A27" t="s">
        <v>8</v>
      </c>
      <c r="B27" t="s">
        <v>55</v>
      </c>
      <c r="C27" t="s">
        <v>86</v>
      </c>
      <c r="D27">
        <v>0.11169999999999999</v>
      </c>
      <c r="E27">
        <f>Tableau2[[#This Row],[Potential (PJ)]]/3.6</f>
        <v>3.1027777777777776E-2</v>
      </c>
      <c r="F27">
        <v>15.507999999999999</v>
      </c>
      <c r="G27">
        <f>Tableau2[[#This Row],[Cost (€/GJ)]]/1000*3600</f>
        <v>55.828799999999994</v>
      </c>
      <c r="H27">
        <v>9.3000000000000007</v>
      </c>
      <c r="I27">
        <f>Tableau2[[#This Row],[GHG (kgCO2eq/GJ)]]*3.6</f>
        <v>33.480000000000004</v>
      </c>
      <c r="J27" t="s">
        <v>106</v>
      </c>
      <c r="K27" t="s">
        <v>109</v>
      </c>
    </row>
    <row r="28" spans="1:11" hidden="1" x14ac:dyDescent="0.3">
      <c r="A28" t="s">
        <v>8</v>
      </c>
      <c r="B28" t="s">
        <v>55</v>
      </c>
      <c r="C28" t="s">
        <v>87</v>
      </c>
      <c r="D28">
        <v>0.38100000000000001</v>
      </c>
      <c r="E28">
        <f>Tableau2[[#This Row],[Potential (PJ)]]/3.6</f>
        <v>0.10583333333333333</v>
      </c>
      <c r="F28">
        <v>17.648</v>
      </c>
      <c r="G28">
        <f>Tableau2[[#This Row],[Cost (€/GJ)]]/1000*3600</f>
        <v>63.532800000000002</v>
      </c>
      <c r="H28">
        <v>9.3000000000000007</v>
      </c>
      <c r="I28">
        <f>Tableau2[[#This Row],[GHG (kgCO2eq/GJ)]]*3.6</f>
        <v>33.480000000000004</v>
      </c>
      <c r="J28" t="s">
        <v>106</v>
      </c>
      <c r="K28" t="s">
        <v>109</v>
      </c>
    </row>
    <row r="29" spans="1:11" hidden="1" x14ac:dyDescent="0.3">
      <c r="A29" t="s">
        <v>8</v>
      </c>
      <c r="B29" t="s">
        <v>55</v>
      </c>
      <c r="C29" t="s">
        <v>88</v>
      </c>
      <c r="D29">
        <v>0.74129999999999996</v>
      </c>
      <c r="E29">
        <f>Tableau2[[#This Row],[Potential (PJ)]]/3.6</f>
        <v>0.20591666666666664</v>
      </c>
      <c r="F29">
        <v>15.755000000000001</v>
      </c>
      <c r="G29">
        <f>Tableau2[[#This Row],[Cost (€/GJ)]]/1000*3600</f>
        <v>56.718000000000004</v>
      </c>
      <c r="H29">
        <v>9.3000000000000007</v>
      </c>
      <c r="I29">
        <f>Tableau2[[#This Row],[GHG (kgCO2eq/GJ)]]*3.6</f>
        <v>33.480000000000004</v>
      </c>
      <c r="J29" t="s">
        <v>106</v>
      </c>
      <c r="K29" t="s">
        <v>109</v>
      </c>
    </row>
    <row r="30" spans="1:11" hidden="1" x14ac:dyDescent="0.3">
      <c r="A30" t="s">
        <v>8</v>
      </c>
      <c r="B30" t="s">
        <v>55</v>
      </c>
      <c r="C30" t="s">
        <v>89</v>
      </c>
      <c r="D30">
        <v>0.1336</v>
      </c>
      <c r="E30">
        <f>Tableau2[[#This Row],[Potential (PJ)]]/3.6</f>
        <v>3.7111111111111109E-2</v>
      </c>
      <c r="F30">
        <v>0</v>
      </c>
      <c r="G30">
        <f>Tableau2[[#This Row],[Cost (€/GJ)]]/1000*3600</f>
        <v>0</v>
      </c>
      <c r="H30">
        <v>9.3000000000000007</v>
      </c>
      <c r="I30">
        <f>Tableau2[[#This Row],[GHG (kgCO2eq/GJ)]]*3.6</f>
        <v>33.480000000000004</v>
      </c>
      <c r="J30" t="s">
        <v>106</v>
      </c>
      <c r="K30" t="s">
        <v>109</v>
      </c>
    </row>
    <row r="31" spans="1:11" hidden="1" x14ac:dyDescent="0.3">
      <c r="A31" t="s">
        <v>8</v>
      </c>
      <c r="B31" t="s">
        <v>55</v>
      </c>
      <c r="C31" t="s">
        <v>91</v>
      </c>
      <c r="D31">
        <v>9.69E-2</v>
      </c>
      <c r="E31">
        <f>Tableau2[[#This Row],[Potential (PJ)]]/3.6</f>
        <v>2.6916666666666665E-2</v>
      </c>
      <c r="F31">
        <v>14.819000000000001</v>
      </c>
      <c r="G31">
        <f>Tableau2[[#This Row],[Cost (€/GJ)]]/1000*3600</f>
        <v>53.348400000000005</v>
      </c>
      <c r="H31">
        <v>9.3000000000000007</v>
      </c>
      <c r="I31">
        <f>Tableau2[[#This Row],[GHG (kgCO2eq/GJ)]]*3.6</f>
        <v>33.480000000000004</v>
      </c>
      <c r="J31" t="s">
        <v>106</v>
      </c>
      <c r="K31" t="s">
        <v>109</v>
      </c>
    </row>
    <row r="32" spans="1:11" hidden="1" x14ac:dyDescent="0.3">
      <c r="A32" t="s">
        <v>8</v>
      </c>
      <c r="B32" t="s">
        <v>55</v>
      </c>
      <c r="C32" t="s">
        <v>92</v>
      </c>
      <c r="D32">
        <v>0.49289000000000011</v>
      </c>
      <c r="E32">
        <f>Tableau2[[#This Row],[Potential (PJ)]]/3.6</f>
        <v>0.13691388888888892</v>
      </c>
      <c r="F32">
        <v>17.648</v>
      </c>
      <c r="G32">
        <f>Tableau2[[#This Row],[Cost (€/GJ)]]/1000*3600</f>
        <v>63.532800000000002</v>
      </c>
      <c r="H32">
        <v>9.3000000000000007</v>
      </c>
      <c r="I32">
        <f>Tableau2[[#This Row],[GHG (kgCO2eq/GJ)]]*3.6</f>
        <v>33.480000000000004</v>
      </c>
      <c r="J32" t="s">
        <v>106</v>
      </c>
      <c r="K32" t="s">
        <v>109</v>
      </c>
    </row>
    <row r="33" spans="1:11" hidden="1" x14ac:dyDescent="0.3">
      <c r="A33" t="s">
        <v>8</v>
      </c>
      <c r="B33" t="s">
        <v>56</v>
      </c>
      <c r="C33" t="s">
        <v>93</v>
      </c>
      <c r="D33">
        <v>14.3353</v>
      </c>
      <c r="E33">
        <f>Tableau2[[#This Row],[Potential (PJ)]]/3.6</f>
        <v>3.9820277777777777</v>
      </c>
      <c r="F33">
        <v>2.939759036144578</v>
      </c>
      <c r="G33">
        <f>Tableau2[[#This Row],[Cost (€/GJ)]]/1000*3600</f>
        <v>10.58313253012048</v>
      </c>
      <c r="H33">
        <v>16.899999999999999</v>
      </c>
      <c r="I33">
        <f>Tableau2[[#This Row],[GHG (kgCO2eq/GJ)]]*3.6</f>
        <v>60.839999999999996</v>
      </c>
      <c r="J33" t="s">
        <v>106</v>
      </c>
      <c r="K33" t="s">
        <v>109</v>
      </c>
    </row>
    <row r="34" spans="1:11" hidden="1" x14ac:dyDescent="0.3">
      <c r="A34" t="s">
        <v>8</v>
      </c>
      <c r="B34" t="s">
        <v>47</v>
      </c>
      <c r="C34" t="s">
        <v>68</v>
      </c>
      <c r="D34">
        <v>3.4</v>
      </c>
      <c r="E34">
        <f>Tableau2[[#This Row],[Potential (PJ)]]/3.6</f>
        <v>0.94444444444444442</v>
      </c>
      <c r="F34">
        <v>5.3194999999999997</v>
      </c>
      <c r="G34">
        <f>Tableau2[[#This Row],[Cost (€/GJ)]]/1000*3600</f>
        <v>19.150199999999998</v>
      </c>
      <c r="H34">
        <v>21.1</v>
      </c>
      <c r="I34">
        <f>Tableau2[[#This Row],[GHG (kgCO2eq/GJ)]]*3.6</f>
        <v>75.960000000000008</v>
      </c>
      <c r="J34" t="s">
        <v>104</v>
      </c>
      <c r="K34" t="s">
        <v>109</v>
      </c>
    </row>
    <row r="35" spans="1:11" hidden="1" x14ac:dyDescent="0.3">
      <c r="A35" t="s">
        <v>8</v>
      </c>
      <c r="B35" t="s">
        <v>47</v>
      </c>
      <c r="C35" t="s">
        <v>69</v>
      </c>
      <c r="D35">
        <v>6.9</v>
      </c>
      <c r="E35">
        <f>Tableau2[[#This Row],[Potential (PJ)]]/3.6</f>
        <v>1.9166666666666667</v>
      </c>
      <c r="F35">
        <v>4.8790869565217392</v>
      </c>
      <c r="G35">
        <f>Tableau2[[#This Row],[Cost (€/GJ)]]/1000*3600</f>
        <v>17.56471304347826</v>
      </c>
      <c r="H35">
        <v>21.1</v>
      </c>
      <c r="I35">
        <f>Tableau2[[#This Row],[GHG (kgCO2eq/GJ)]]*3.6</f>
        <v>75.960000000000008</v>
      </c>
      <c r="J35" t="s">
        <v>104</v>
      </c>
      <c r="K35" t="s">
        <v>109</v>
      </c>
    </row>
    <row r="36" spans="1:11" hidden="1" x14ac:dyDescent="0.3">
      <c r="A36" t="s">
        <v>8</v>
      </c>
      <c r="B36" t="s">
        <v>57</v>
      </c>
      <c r="C36" t="s">
        <v>94</v>
      </c>
      <c r="D36">
        <v>1.9</v>
      </c>
      <c r="E36">
        <f>Tableau2[[#This Row],[Potential (PJ)]]/3.6</f>
        <v>0.52777777777777779</v>
      </c>
      <c r="F36">
        <v>10.686</v>
      </c>
      <c r="G36">
        <f>Tableau2[[#This Row],[Cost (€/GJ)]]/1000*3600</f>
        <v>38.4696</v>
      </c>
      <c r="H36">
        <v>14.9</v>
      </c>
      <c r="I36">
        <f>Tableau2[[#This Row],[GHG (kgCO2eq/GJ)]]*3.6</f>
        <v>53.64</v>
      </c>
      <c r="J36" t="s">
        <v>104</v>
      </c>
      <c r="K36" t="s">
        <v>109</v>
      </c>
    </row>
    <row r="37" spans="1:11" x14ac:dyDescent="0.3">
      <c r="A37" t="s">
        <v>8</v>
      </c>
      <c r="B37" t="s">
        <v>49</v>
      </c>
      <c r="C37" t="s">
        <v>71</v>
      </c>
      <c r="D37">
        <v>69.570229999999995</v>
      </c>
      <c r="E37">
        <f>Tableau2[[#This Row],[Potential (PJ)]]/3.6</f>
        <v>19.325063888888888</v>
      </c>
      <c r="F37">
        <v>4.3251254096759499</v>
      </c>
      <c r="G37">
        <f>Tableau2[[#This Row],[Cost (€/GJ)]]/1000*3600</f>
        <v>15.570451474833421</v>
      </c>
      <c r="H37">
        <v>3.86607608129234</v>
      </c>
      <c r="I37">
        <f>Tableau2[[#This Row],[GHG (kgCO2eq/GJ)]]*3.6</f>
        <v>13.917873892652425</v>
      </c>
      <c r="J37" t="s">
        <v>104</v>
      </c>
      <c r="K37" t="s">
        <v>108</v>
      </c>
    </row>
    <row r="38" spans="1:11" x14ac:dyDescent="0.3">
      <c r="A38" t="s">
        <v>8</v>
      </c>
      <c r="B38" t="s">
        <v>49</v>
      </c>
      <c r="C38" t="s">
        <v>72</v>
      </c>
      <c r="D38">
        <v>8.4</v>
      </c>
      <c r="E38">
        <f>Tableau2[[#This Row],[Potential (PJ)]]/3.6</f>
        <v>2.3333333333333335</v>
      </c>
      <c r="F38">
        <v>3.4612023809523809</v>
      </c>
      <c r="G38">
        <f>Tableau2[[#This Row],[Cost (€/GJ)]]/1000*3600</f>
        <v>12.460328571428571</v>
      </c>
      <c r="H38">
        <v>3.86607608129234</v>
      </c>
      <c r="I38">
        <f>Tableau2[[#This Row],[GHG (kgCO2eq/GJ)]]*3.6</f>
        <v>13.917873892652425</v>
      </c>
      <c r="J38" t="s">
        <v>104</v>
      </c>
      <c r="K38" t="s">
        <v>108</v>
      </c>
    </row>
    <row r="39" spans="1:11" x14ac:dyDescent="0.3">
      <c r="A39" t="s">
        <v>8</v>
      </c>
      <c r="B39" t="s">
        <v>58</v>
      </c>
      <c r="C39" t="s">
        <v>95</v>
      </c>
      <c r="D39">
        <v>3.0063800000000001</v>
      </c>
      <c r="E39">
        <f>Tableau2[[#This Row],[Potential (PJ)]]/3.6</f>
        <v>0.83510555555555555</v>
      </c>
      <c r="F39">
        <v>2.4378376785369782</v>
      </c>
      <c r="G39">
        <f>Tableau2[[#This Row],[Cost (€/GJ)]]/1000*3600</f>
        <v>8.7762156427331224</v>
      </c>
      <c r="H39">
        <v>2.9521711768407801</v>
      </c>
      <c r="I39">
        <f>Tableau2[[#This Row],[GHG (kgCO2eq/GJ)]]*3.6</f>
        <v>10.627816236626808</v>
      </c>
      <c r="J39" t="s">
        <v>104</v>
      </c>
      <c r="K39" t="s">
        <v>108</v>
      </c>
    </row>
    <row r="40" spans="1:11" hidden="1" x14ac:dyDescent="0.3">
      <c r="A40" t="s">
        <v>8</v>
      </c>
      <c r="B40" t="s">
        <v>50</v>
      </c>
      <c r="C40" t="s">
        <v>73</v>
      </c>
      <c r="D40">
        <v>1</v>
      </c>
      <c r="E40">
        <f>Tableau2[[#This Row],[Potential (PJ)]]/3.6</f>
        <v>0.27777777777777779</v>
      </c>
      <c r="F40">
        <v>5.5198999999999998</v>
      </c>
      <c r="G40">
        <f>Tableau2[[#This Row],[Cost (€/GJ)]]/1000*3600</f>
        <v>19.871639999999999</v>
      </c>
      <c r="H40">
        <v>20.723404255319149</v>
      </c>
      <c r="I40">
        <f>Tableau2[[#This Row],[GHG (kgCO2eq/GJ)]]*3.6</f>
        <v>74.604255319148933</v>
      </c>
      <c r="J40" t="s">
        <v>105</v>
      </c>
      <c r="K40" t="s">
        <v>108</v>
      </c>
    </row>
    <row r="41" spans="1:11" hidden="1" x14ac:dyDescent="0.3">
      <c r="A41" t="s">
        <v>8</v>
      </c>
      <c r="B41" t="s">
        <v>50</v>
      </c>
      <c r="C41" t="s">
        <v>74</v>
      </c>
      <c r="D41">
        <v>3.9</v>
      </c>
      <c r="E41">
        <f>Tableau2[[#This Row],[Potential (PJ)]]/3.6</f>
        <v>1.0833333333333333</v>
      </c>
      <c r="F41">
        <v>6.2696666666666676</v>
      </c>
      <c r="G41">
        <f>Tableau2[[#This Row],[Cost (€/GJ)]]/1000*3600</f>
        <v>22.570800000000002</v>
      </c>
      <c r="H41">
        <v>2.0635593220338988</v>
      </c>
      <c r="I41">
        <f>Tableau2[[#This Row],[GHG (kgCO2eq/GJ)]]*3.6</f>
        <v>7.4288135593220357</v>
      </c>
      <c r="J41" t="s">
        <v>105</v>
      </c>
      <c r="K41" t="s">
        <v>108</v>
      </c>
    </row>
    <row r="42" spans="1:11" hidden="1" x14ac:dyDescent="0.3">
      <c r="A42" t="s">
        <v>8</v>
      </c>
      <c r="B42" t="s">
        <v>59</v>
      </c>
      <c r="C42" t="s">
        <v>96</v>
      </c>
      <c r="D42">
        <v>5.4100000000000002E-2</v>
      </c>
      <c r="E42">
        <f>Tableau2[[#This Row],[Potential (PJ)]]/3.6</f>
        <v>1.5027777777777779E-2</v>
      </c>
      <c r="F42">
        <v>28.414000000000009</v>
      </c>
      <c r="G42">
        <f>Tableau2[[#This Row],[Cost (€/GJ)]]/1000*3600</f>
        <v>102.29040000000003</v>
      </c>
      <c r="H42">
        <v>16.899999999999999</v>
      </c>
      <c r="I42">
        <f>Tableau2[[#This Row],[GHG (kgCO2eq/GJ)]]*3.6</f>
        <v>60.839999999999996</v>
      </c>
      <c r="J42" t="s">
        <v>107</v>
      </c>
      <c r="K42" t="s">
        <v>109</v>
      </c>
    </row>
    <row r="43" spans="1:11" hidden="1" x14ac:dyDescent="0.3">
      <c r="A43" t="s">
        <v>8</v>
      </c>
      <c r="B43" t="s">
        <v>59</v>
      </c>
      <c r="C43" t="s">
        <v>97</v>
      </c>
      <c r="D43">
        <v>1.5239</v>
      </c>
      <c r="E43">
        <f>Tableau2[[#This Row],[Potential (PJ)]]/3.6</f>
        <v>0.42330555555555555</v>
      </c>
      <c r="F43">
        <v>16.657623440043409</v>
      </c>
      <c r="G43">
        <f>Tableau2[[#This Row],[Cost (€/GJ)]]/1000*3600</f>
        <v>59.967444384156266</v>
      </c>
      <c r="H43">
        <v>16.899999999999999</v>
      </c>
      <c r="I43">
        <f>Tableau2[[#This Row],[GHG (kgCO2eq/GJ)]]*3.6</f>
        <v>60.839999999999996</v>
      </c>
      <c r="J43" t="s">
        <v>107</v>
      </c>
      <c r="K43" t="s">
        <v>109</v>
      </c>
    </row>
    <row r="44" spans="1:11" x14ac:dyDescent="0.3">
      <c r="A44" t="s">
        <v>8</v>
      </c>
      <c r="B44" t="s">
        <v>51</v>
      </c>
      <c r="C44" t="s">
        <v>75</v>
      </c>
      <c r="D44">
        <v>10.459339999999999</v>
      </c>
      <c r="E44">
        <f>Tableau2[[#This Row],[Potential (PJ)]]/3.6</f>
        <v>2.9053722222222218</v>
      </c>
      <c r="F44">
        <v>0.117870100719024</v>
      </c>
      <c r="G44">
        <f>Tableau2[[#This Row],[Cost (€/GJ)]]/1000*3600</f>
        <v>0.42433236258848639</v>
      </c>
      <c r="H44">
        <v>11.74</v>
      </c>
      <c r="I44">
        <f>Tableau2[[#This Row],[GHG (kgCO2eq/GJ)]]*3.6</f>
        <v>42.264000000000003</v>
      </c>
      <c r="J44" t="s">
        <v>104</v>
      </c>
      <c r="K44" t="s">
        <v>108</v>
      </c>
    </row>
    <row r="45" spans="1:11" hidden="1" x14ac:dyDescent="0.3">
      <c r="A45" t="s">
        <v>8</v>
      </c>
      <c r="B45" t="s">
        <v>60</v>
      </c>
      <c r="C45" t="s">
        <v>98</v>
      </c>
      <c r="D45">
        <v>2.7139600000000002</v>
      </c>
      <c r="E45">
        <f>Tableau2[[#This Row],[Potential (PJ)]]/3.6</f>
        <v>0.75387777777777776</v>
      </c>
      <c r="F45">
        <v>20.300751879699249</v>
      </c>
      <c r="G45">
        <f>Tableau2[[#This Row],[Cost (€/GJ)]]/1000*3600</f>
        <v>73.082706766917298</v>
      </c>
      <c r="H45">
        <v>21</v>
      </c>
      <c r="I45">
        <f>Tableau2[[#This Row],[GHG (kgCO2eq/GJ)]]*3.6</f>
        <v>75.600000000000009</v>
      </c>
      <c r="J45" t="s">
        <v>107</v>
      </c>
      <c r="K45" t="s">
        <v>109</v>
      </c>
    </row>
    <row r="46" spans="1:11" hidden="1" x14ac:dyDescent="0.3">
      <c r="A46" t="s">
        <v>8</v>
      </c>
      <c r="B46" t="s">
        <v>52</v>
      </c>
      <c r="C46" t="s">
        <v>76</v>
      </c>
      <c r="D46">
        <v>4.2370000000000001</v>
      </c>
      <c r="E46">
        <f>Tableau2[[#This Row],[Potential (PJ)]]/3.6</f>
        <v>1.1769444444444443</v>
      </c>
      <c r="F46">
        <v>5.4702337500000002</v>
      </c>
      <c r="G46">
        <f>Tableau2[[#This Row],[Cost (€/GJ)]]/1000*3600</f>
        <v>19.6928415</v>
      </c>
      <c r="H46">
        <v>12.68872359754714</v>
      </c>
      <c r="I46">
        <f>Tableau2[[#This Row],[GHG (kgCO2eq/GJ)]]*3.6</f>
        <v>45.679404951169708</v>
      </c>
      <c r="J46" t="s">
        <v>105</v>
      </c>
      <c r="K46" t="s">
        <v>108</v>
      </c>
    </row>
    <row r="47" spans="1:11" x14ac:dyDescent="0.3">
      <c r="A47" t="s">
        <v>8</v>
      </c>
      <c r="B47" t="s">
        <v>53</v>
      </c>
      <c r="C47" t="s">
        <v>77</v>
      </c>
      <c r="D47">
        <v>13</v>
      </c>
      <c r="E47">
        <f>Tableau2[[#This Row],[Potential (PJ)]]/3.6</f>
        <v>3.6111111111111112</v>
      </c>
      <c r="F47">
        <v>3.4607846153846151</v>
      </c>
      <c r="G47">
        <f>Tableau2[[#This Row],[Cost (€/GJ)]]/1000*3600</f>
        <v>12.458824615384614</v>
      </c>
      <c r="H47">
        <v>3.86607608129234</v>
      </c>
      <c r="I47">
        <f>Tableau2[[#This Row],[GHG (kgCO2eq/GJ)]]*3.6</f>
        <v>13.917873892652425</v>
      </c>
      <c r="J47" t="s">
        <v>104</v>
      </c>
      <c r="K47" t="s">
        <v>108</v>
      </c>
    </row>
    <row r="48" spans="1:11" x14ac:dyDescent="0.3">
      <c r="A48" t="s">
        <v>8</v>
      </c>
      <c r="B48" t="s">
        <v>61</v>
      </c>
      <c r="C48" t="s">
        <v>99</v>
      </c>
      <c r="D48">
        <v>16.8</v>
      </c>
      <c r="E48">
        <f>Tableau2[[#This Row],[Potential (PJ)]]/3.6</f>
        <v>4.666666666666667</v>
      </c>
      <c r="F48">
        <v>1.8392142857142859</v>
      </c>
      <c r="G48">
        <f>Tableau2[[#This Row],[Cost (€/GJ)]]/1000*3600</f>
        <v>6.6211714285714294</v>
      </c>
      <c r="H48">
        <v>2.9245635910224439</v>
      </c>
      <c r="I48">
        <f>Tableau2[[#This Row],[GHG (kgCO2eq/GJ)]]*3.6</f>
        <v>10.528428927680798</v>
      </c>
      <c r="J48" t="s">
        <v>104</v>
      </c>
      <c r="K48" t="s">
        <v>108</v>
      </c>
    </row>
    <row r="49" spans="1:11" x14ac:dyDescent="0.3">
      <c r="A49" t="s">
        <v>8</v>
      </c>
      <c r="B49" t="s">
        <v>62</v>
      </c>
      <c r="C49" t="s">
        <v>100</v>
      </c>
      <c r="D49">
        <v>6.2</v>
      </c>
      <c r="E49">
        <f>Tableau2[[#This Row],[Potential (PJ)]]/3.6</f>
        <v>1.7222222222222223</v>
      </c>
      <c r="F49">
        <v>0.34032258064516119</v>
      </c>
      <c r="G49">
        <f>Tableau2[[#This Row],[Cost (€/GJ)]]/1000*3600</f>
        <v>1.2251612903225804</v>
      </c>
      <c r="H49">
        <v>2.6764106050305911</v>
      </c>
      <c r="I49">
        <f>Tableau2[[#This Row],[GHG (kgCO2eq/GJ)]]*3.6</f>
        <v>9.6350781781101276</v>
      </c>
      <c r="J49" t="s">
        <v>104</v>
      </c>
      <c r="K49" t="s">
        <v>108</v>
      </c>
    </row>
    <row r="50" spans="1:11" x14ac:dyDescent="0.3">
      <c r="A50" t="s">
        <v>8</v>
      </c>
      <c r="B50" t="s">
        <v>54</v>
      </c>
      <c r="C50" t="s">
        <v>78</v>
      </c>
      <c r="D50">
        <v>109.7</v>
      </c>
      <c r="E50">
        <f>Tableau2[[#This Row],[Potential (PJ)]]/3.6</f>
        <v>30.472222222222221</v>
      </c>
      <c r="F50">
        <v>7.1386718322698268</v>
      </c>
      <c r="G50">
        <f>Tableau2[[#This Row],[Cost (€/GJ)]]/1000*3600</f>
        <v>25.699218596171377</v>
      </c>
      <c r="H50">
        <v>3.86607608129234</v>
      </c>
      <c r="I50">
        <f>Tableau2[[#This Row],[GHG (kgCO2eq/GJ)]]*3.6</f>
        <v>13.917873892652425</v>
      </c>
      <c r="J50" t="s">
        <v>104</v>
      </c>
      <c r="K50" t="s">
        <v>108</v>
      </c>
    </row>
    <row r="51" spans="1:11" hidden="1" x14ac:dyDescent="0.3">
      <c r="A51" t="s">
        <v>9</v>
      </c>
      <c r="B51" t="s">
        <v>46</v>
      </c>
      <c r="C51" t="s">
        <v>63</v>
      </c>
      <c r="D51">
        <v>5.9999999999999995E-4</v>
      </c>
      <c r="E51">
        <f>Tableau2[[#This Row],[Potential (PJ)]]/3.6</f>
        <v>1.6666666666666666E-4</v>
      </c>
      <c r="F51">
        <v>2.9286474973375931</v>
      </c>
      <c r="G51">
        <f>Tableau2[[#This Row],[Cost (€/GJ)]]/1000*3600</f>
        <v>10.543130990415335</v>
      </c>
      <c r="H51">
        <v>3.950479233226837</v>
      </c>
      <c r="I51">
        <f>Tableau2[[#This Row],[GHG (kgCO2eq/GJ)]]*3.6</f>
        <v>14.221725239616614</v>
      </c>
      <c r="J51" t="s">
        <v>104</v>
      </c>
      <c r="K51" t="s">
        <v>108</v>
      </c>
    </row>
    <row r="52" spans="1:11" hidden="1" x14ac:dyDescent="0.3">
      <c r="A52" t="s">
        <v>9</v>
      </c>
      <c r="B52" t="s">
        <v>46</v>
      </c>
      <c r="C52" t="s">
        <v>64</v>
      </c>
      <c r="D52">
        <v>0.71028000000000002</v>
      </c>
      <c r="E52">
        <f>Tableau2[[#This Row],[Potential (PJ)]]/3.6</f>
        <v>0.1973</v>
      </c>
      <c r="F52">
        <v>2.1850000000000001</v>
      </c>
      <c r="G52">
        <f>Tableau2[[#This Row],[Cost (€/GJ)]]/1000*3600</f>
        <v>7.8659999999999997</v>
      </c>
      <c r="H52">
        <v>2.9521711768407801</v>
      </c>
      <c r="I52">
        <f>Tableau2[[#This Row],[GHG (kgCO2eq/GJ)]]*3.6</f>
        <v>10.627816236626808</v>
      </c>
      <c r="J52" t="s">
        <v>104</v>
      </c>
      <c r="K52" t="s">
        <v>108</v>
      </c>
    </row>
    <row r="53" spans="1:11" hidden="1" x14ac:dyDescent="0.3">
      <c r="A53" t="s">
        <v>9</v>
      </c>
      <c r="B53" t="s">
        <v>46</v>
      </c>
      <c r="C53" t="s">
        <v>65</v>
      </c>
      <c r="D53">
        <v>0.5</v>
      </c>
      <c r="E53">
        <f>Tableau2[[#This Row],[Potential (PJ)]]/3.6</f>
        <v>0.1388888888888889</v>
      </c>
      <c r="F53">
        <v>4.3609999999999998</v>
      </c>
      <c r="G53">
        <f>Tableau2[[#This Row],[Cost (€/GJ)]]/1000*3600</f>
        <v>15.699599999999998</v>
      </c>
      <c r="H53">
        <v>2.9521711768407801</v>
      </c>
      <c r="I53">
        <f>Tableau2[[#This Row],[GHG (kgCO2eq/GJ)]]*3.6</f>
        <v>10.627816236626808</v>
      </c>
      <c r="J53" t="s">
        <v>104</v>
      </c>
      <c r="K53" t="s">
        <v>108</v>
      </c>
    </row>
    <row r="54" spans="1:11" hidden="1" x14ac:dyDescent="0.3">
      <c r="A54" t="s">
        <v>9</v>
      </c>
      <c r="B54" t="s">
        <v>46</v>
      </c>
      <c r="C54" t="s">
        <v>66</v>
      </c>
      <c r="D54">
        <v>1.7</v>
      </c>
      <c r="E54">
        <f>Tableau2[[#This Row],[Potential (PJ)]]/3.6</f>
        <v>0.47222222222222221</v>
      </c>
      <c r="F54">
        <v>2.1539999999999999</v>
      </c>
      <c r="G54">
        <f>Tableau2[[#This Row],[Cost (€/GJ)]]/1000*3600</f>
        <v>7.7544000000000004</v>
      </c>
      <c r="H54">
        <v>6.8428961748633883</v>
      </c>
      <c r="I54">
        <f>Tableau2[[#This Row],[GHG (kgCO2eq/GJ)]]*3.6</f>
        <v>24.634426229508197</v>
      </c>
      <c r="J54" t="s">
        <v>104</v>
      </c>
      <c r="K54" t="s">
        <v>108</v>
      </c>
    </row>
    <row r="55" spans="1:11" hidden="1" x14ac:dyDescent="0.3">
      <c r="A55" t="s">
        <v>9</v>
      </c>
      <c r="B55" t="s">
        <v>46</v>
      </c>
      <c r="C55" t="s">
        <v>85</v>
      </c>
      <c r="D55">
        <v>0.1</v>
      </c>
      <c r="E55">
        <f>Tableau2[[#This Row],[Potential (PJ)]]/3.6</f>
        <v>2.777777777777778E-2</v>
      </c>
      <c r="F55">
        <v>4.0759999999999996</v>
      </c>
      <c r="G55">
        <f>Tableau2[[#This Row],[Cost (€/GJ)]]/1000*3600</f>
        <v>14.673599999999999</v>
      </c>
      <c r="H55">
        <v>2.9521711768407801</v>
      </c>
      <c r="I55">
        <f>Tableau2[[#This Row],[GHG (kgCO2eq/GJ)]]*3.6</f>
        <v>10.627816236626808</v>
      </c>
      <c r="J55" t="s">
        <v>104</v>
      </c>
      <c r="K55" t="s">
        <v>108</v>
      </c>
    </row>
    <row r="56" spans="1:11" hidden="1" x14ac:dyDescent="0.3">
      <c r="A56" t="s">
        <v>9</v>
      </c>
      <c r="B56" t="s">
        <v>47</v>
      </c>
      <c r="C56" t="s">
        <v>68</v>
      </c>
      <c r="D56">
        <v>37.4</v>
      </c>
      <c r="E56">
        <f>Tableau2[[#This Row],[Potential (PJ)]]/3.6</f>
        <v>10.388888888888888</v>
      </c>
      <c r="F56">
        <v>3.9260000000000002</v>
      </c>
      <c r="G56">
        <f>Tableau2[[#This Row],[Cost (€/GJ)]]/1000*3600</f>
        <v>14.133599999999999</v>
      </c>
      <c r="I56">
        <f>Tableau2[[#This Row],[GHG (kgCO2eq/GJ)]]*3.6</f>
        <v>0</v>
      </c>
      <c r="J56" t="s">
        <v>104</v>
      </c>
      <c r="K56" t="s">
        <v>109</v>
      </c>
    </row>
    <row r="57" spans="1:11" hidden="1" x14ac:dyDescent="0.3">
      <c r="A57" t="s">
        <v>9</v>
      </c>
      <c r="B57" t="s">
        <v>47</v>
      </c>
      <c r="C57" t="s">
        <v>69</v>
      </c>
      <c r="D57">
        <v>26.2</v>
      </c>
      <c r="E57">
        <f>Tableau2[[#This Row],[Potential (PJ)]]/3.6</f>
        <v>7.2777777777777777</v>
      </c>
      <c r="F57">
        <v>3.9169999999999998</v>
      </c>
      <c r="G57">
        <f>Tableau2[[#This Row],[Cost (€/GJ)]]/1000*3600</f>
        <v>14.101199999999999</v>
      </c>
      <c r="I57">
        <f>Tableau2[[#This Row],[GHG (kgCO2eq/GJ)]]*3.6</f>
        <v>0</v>
      </c>
      <c r="J57" t="s">
        <v>104</v>
      </c>
      <c r="K57" t="s">
        <v>109</v>
      </c>
    </row>
    <row r="58" spans="1:11" hidden="1" x14ac:dyDescent="0.3">
      <c r="A58" t="s">
        <v>9</v>
      </c>
      <c r="B58" t="s">
        <v>48</v>
      </c>
      <c r="C58" t="s">
        <v>70</v>
      </c>
      <c r="D58">
        <v>13.8</v>
      </c>
      <c r="E58">
        <f>Tableau2[[#This Row],[Potential (PJ)]]/3.6</f>
        <v>3.8333333333333335</v>
      </c>
      <c r="F58">
        <v>10.117000000000001</v>
      </c>
      <c r="G58">
        <f>Tableau2[[#This Row],[Cost (€/GJ)]]/1000*3600</f>
        <v>36.421200000000006</v>
      </c>
      <c r="I58">
        <f>Tableau2[[#This Row],[GHG (kgCO2eq/GJ)]]*3.6</f>
        <v>0</v>
      </c>
      <c r="J58" t="s">
        <v>104</v>
      </c>
      <c r="K58" t="s">
        <v>109</v>
      </c>
    </row>
    <row r="59" spans="1:11" x14ac:dyDescent="0.3">
      <c r="A59" t="s">
        <v>9</v>
      </c>
      <c r="B59" t="s">
        <v>49</v>
      </c>
      <c r="C59" t="s">
        <v>71</v>
      </c>
      <c r="D59">
        <v>4.2243399999999998</v>
      </c>
      <c r="E59">
        <f>Tableau2[[#This Row],[Potential (PJ)]]/3.6</f>
        <v>1.1734277777777777</v>
      </c>
      <c r="F59">
        <v>0</v>
      </c>
      <c r="G59">
        <f>Tableau2[[#This Row],[Cost (€/GJ)]]/1000*3600</f>
        <v>0</v>
      </c>
      <c r="H59">
        <v>3.86607608129234</v>
      </c>
      <c r="I59">
        <f>Tableau2[[#This Row],[GHG (kgCO2eq/GJ)]]*3.6</f>
        <v>13.917873892652425</v>
      </c>
      <c r="J59" t="s">
        <v>104</v>
      </c>
      <c r="K59" t="s">
        <v>108</v>
      </c>
    </row>
    <row r="60" spans="1:11" x14ac:dyDescent="0.3">
      <c r="A60" t="s">
        <v>9</v>
      </c>
      <c r="B60" t="s">
        <v>49</v>
      </c>
      <c r="C60" t="s">
        <v>72</v>
      </c>
      <c r="D60">
        <v>1.7</v>
      </c>
      <c r="E60">
        <f>Tableau2[[#This Row],[Potential (PJ)]]/3.6</f>
        <v>0.47222222222222221</v>
      </c>
      <c r="F60">
        <v>0</v>
      </c>
      <c r="G60">
        <f>Tableau2[[#This Row],[Cost (€/GJ)]]/1000*3600</f>
        <v>0</v>
      </c>
      <c r="H60">
        <v>3.86607608129234</v>
      </c>
      <c r="I60">
        <f>Tableau2[[#This Row],[GHG (kgCO2eq/GJ)]]*3.6</f>
        <v>13.917873892652425</v>
      </c>
      <c r="J60" t="s">
        <v>104</v>
      </c>
      <c r="K60" t="s">
        <v>108</v>
      </c>
    </row>
    <row r="61" spans="1:11" hidden="1" x14ac:dyDescent="0.3">
      <c r="A61" t="s">
        <v>9</v>
      </c>
      <c r="B61" t="s">
        <v>50</v>
      </c>
      <c r="C61" t="s">
        <v>73</v>
      </c>
      <c r="D61">
        <v>0.4</v>
      </c>
      <c r="E61">
        <f>Tableau2[[#This Row],[Potential (PJ)]]/3.6</f>
        <v>0.11111111111111112</v>
      </c>
      <c r="F61">
        <v>5.4240000000000004</v>
      </c>
      <c r="G61">
        <f>Tableau2[[#This Row],[Cost (€/GJ)]]/1000*3600</f>
        <v>19.526399999999999</v>
      </c>
      <c r="H61">
        <v>20.723404255319149</v>
      </c>
      <c r="I61">
        <f>Tableau2[[#This Row],[GHG (kgCO2eq/GJ)]]*3.6</f>
        <v>74.604255319148933</v>
      </c>
      <c r="J61" t="s">
        <v>105</v>
      </c>
      <c r="K61" t="s">
        <v>108</v>
      </c>
    </row>
    <row r="62" spans="1:11" hidden="1" x14ac:dyDescent="0.3">
      <c r="A62" t="s">
        <v>9</v>
      </c>
      <c r="B62" t="s">
        <v>50</v>
      </c>
      <c r="C62" t="s">
        <v>74</v>
      </c>
      <c r="D62">
        <v>1.2</v>
      </c>
      <c r="E62">
        <f>Tableau2[[#This Row],[Potential (PJ)]]/3.6</f>
        <v>0.33333333333333331</v>
      </c>
      <c r="F62">
        <v>3.484</v>
      </c>
      <c r="G62">
        <f>Tableau2[[#This Row],[Cost (€/GJ)]]/1000*3600</f>
        <v>12.542400000000001</v>
      </c>
      <c r="H62">
        <v>2.0635593220338988</v>
      </c>
      <c r="I62">
        <f>Tableau2[[#This Row],[GHG (kgCO2eq/GJ)]]*3.6</f>
        <v>7.4288135593220357</v>
      </c>
      <c r="J62" t="s">
        <v>105</v>
      </c>
      <c r="K62" t="s">
        <v>108</v>
      </c>
    </row>
    <row r="63" spans="1:11" x14ac:dyDescent="0.3">
      <c r="A63" t="s">
        <v>9</v>
      </c>
      <c r="B63" t="s">
        <v>51</v>
      </c>
      <c r="C63" t="s">
        <v>75</v>
      </c>
      <c r="D63">
        <v>0</v>
      </c>
      <c r="E63">
        <f>Tableau2[[#This Row],[Potential (PJ)]]/3.6</f>
        <v>0</v>
      </c>
      <c r="F63">
        <v>0</v>
      </c>
      <c r="G63">
        <f>Tableau2[[#This Row],[Cost (€/GJ)]]/1000*3600</f>
        <v>0</v>
      </c>
      <c r="H63">
        <v>11.74</v>
      </c>
      <c r="I63">
        <f>Tableau2[[#This Row],[GHG (kgCO2eq/GJ)]]*3.6</f>
        <v>42.264000000000003</v>
      </c>
      <c r="J63" t="s">
        <v>104</v>
      </c>
      <c r="K63" t="s">
        <v>108</v>
      </c>
    </row>
    <row r="64" spans="1:11" hidden="1" x14ac:dyDescent="0.3">
      <c r="A64" t="s">
        <v>9</v>
      </c>
      <c r="B64" t="s">
        <v>52</v>
      </c>
      <c r="C64" t="s">
        <v>76</v>
      </c>
      <c r="D64">
        <v>0.215</v>
      </c>
      <c r="E64">
        <f>Tableau2[[#This Row],[Potential (PJ)]]/3.6</f>
        <v>5.9722222222222218E-2</v>
      </c>
      <c r="F64">
        <v>0</v>
      </c>
      <c r="G64">
        <f>Tableau2[[#This Row],[Cost (€/GJ)]]/1000*3600</f>
        <v>0</v>
      </c>
      <c r="H64">
        <v>12.68872359754714</v>
      </c>
      <c r="I64">
        <f>Tableau2[[#This Row],[GHG (kgCO2eq/GJ)]]*3.6</f>
        <v>45.679404951169708</v>
      </c>
      <c r="J64" t="s">
        <v>105</v>
      </c>
      <c r="K64" t="s">
        <v>108</v>
      </c>
    </row>
    <row r="65" spans="1:11" x14ac:dyDescent="0.3">
      <c r="A65" t="s">
        <v>9</v>
      </c>
      <c r="B65" t="s">
        <v>53</v>
      </c>
      <c r="C65" t="s">
        <v>77</v>
      </c>
      <c r="D65">
        <v>5.7</v>
      </c>
      <c r="E65">
        <f>Tableau2[[#This Row],[Potential (PJ)]]/3.6</f>
        <v>1.5833333333333333</v>
      </c>
      <c r="F65">
        <v>0</v>
      </c>
      <c r="G65">
        <f>Tableau2[[#This Row],[Cost (€/GJ)]]/1000*3600</f>
        <v>0</v>
      </c>
      <c r="H65">
        <v>3.86607608129234</v>
      </c>
      <c r="I65">
        <f>Tableau2[[#This Row],[GHG (kgCO2eq/GJ)]]*3.6</f>
        <v>13.917873892652425</v>
      </c>
      <c r="J65" t="s">
        <v>104</v>
      </c>
      <c r="K65" t="s">
        <v>108</v>
      </c>
    </row>
    <row r="66" spans="1:11" x14ac:dyDescent="0.3">
      <c r="A66" t="s">
        <v>9</v>
      </c>
      <c r="B66" t="s">
        <v>54</v>
      </c>
      <c r="C66" t="s">
        <v>78</v>
      </c>
      <c r="D66">
        <v>14</v>
      </c>
      <c r="E66">
        <f>Tableau2[[#This Row],[Potential (PJ)]]/3.6</f>
        <v>3.8888888888888888</v>
      </c>
      <c r="F66">
        <v>0</v>
      </c>
      <c r="G66">
        <f>Tableau2[[#This Row],[Cost (€/GJ)]]/1000*3600</f>
        <v>0</v>
      </c>
      <c r="H66">
        <v>3.86607608129234</v>
      </c>
      <c r="I66">
        <f>Tableau2[[#This Row],[GHG (kgCO2eq/GJ)]]*3.6</f>
        <v>13.917873892652425</v>
      </c>
      <c r="J66" t="s">
        <v>104</v>
      </c>
      <c r="K66" t="s">
        <v>108</v>
      </c>
    </row>
    <row r="67" spans="1:11" hidden="1" x14ac:dyDescent="0.3">
      <c r="A67" t="s">
        <v>10</v>
      </c>
      <c r="B67" t="s">
        <v>46</v>
      </c>
      <c r="C67" t="s">
        <v>64</v>
      </c>
      <c r="D67">
        <v>0.1</v>
      </c>
      <c r="E67">
        <f>Tableau2[[#This Row],[Potential (PJ)]]/3.6</f>
        <v>2.777777777777778E-2</v>
      </c>
      <c r="F67">
        <v>5.0540000000000003</v>
      </c>
      <c r="G67">
        <f>Tableau2[[#This Row],[Cost (€/GJ)]]/1000*3600</f>
        <v>18.194400000000002</v>
      </c>
      <c r="H67">
        <v>2.9521711768407801</v>
      </c>
      <c r="I67">
        <f>Tableau2[[#This Row],[GHG (kgCO2eq/GJ)]]*3.6</f>
        <v>10.627816236626808</v>
      </c>
      <c r="J67" t="s">
        <v>104</v>
      </c>
      <c r="K67" t="s">
        <v>108</v>
      </c>
    </row>
    <row r="68" spans="1:11" hidden="1" x14ac:dyDescent="0.3">
      <c r="A68" t="s">
        <v>10</v>
      </c>
      <c r="B68" t="s">
        <v>46</v>
      </c>
      <c r="C68" t="s">
        <v>79</v>
      </c>
      <c r="D68">
        <v>3.4</v>
      </c>
      <c r="E68">
        <f>Tableau2[[#This Row],[Potential (PJ)]]/3.6</f>
        <v>0.94444444444444442</v>
      </c>
      <c r="F68">
        <v>3.9244117647058818</v>
      </c>
      <c r="G68">
        <f>Tableau2[[#This Row],[Cost (€/GJ)]]/1000*3600</f>
        <v>14.127882352941175</v>
      </c>
      <c r="H68">
        <v>6.8428961748633883</v>
      </c>
      <c r="I68">
        <f>Tableau2[[#This Row],[GHG (kgCO2eq/GJ)]]*3.6</f>
        <v>24.634426229508197</v>
      </c>
      <c r="J68" t="s">
        <v>104</v>
      </c>
      <c r="K68" t="s">
        <v>108</v>
      </c>
    </row>
    <row r="69" spans="1:11" hidden="1" x14ac:dyDescent="0.3">
      <c r="A69" t="s">
        <v>10</v>
      </c>
      <c r="B69" t="s">
        <v>46</v>
      </c>
      <c r="C69" t="s">
        <v>80</v>
      </c>
      <c r="D69">
        <v>0.57240000000000002</v>
      </c>
      <c r="E69">
        <f>Tableau2[[#This Row],[Potential (PJ)]]/3.6</f>
        <v>0.159</v>
      </c>
      <c r="F69">
        <v>1.026972353337829</v>
      </c>
      <c r="G69">
        <f>Tableau2[[#This Row],[Cost (€/GJ)]]/1000*3600</f>
        <v>3.6971004720161842</v>
      </c>
      <c r="H69">
        <v>28.139870918023309</v>
      </c>
      <c r="I69">
        <f>Tableau2[[#This Row],[GHG (kgCO2eq/GJ)]]*3.6</f>
        <v>101.30353530488391</v>
      </c>
      <c r="J69" t="s">
        <v>105</v>
      </c>
      <c r="K69" t="s">
        <v>108</v>
      </c>
    </row>
    <row r="70" spans="1:11" hidden="1" x14ac:dyDescent="0.3">
      <c r="A70" t="s">
        <v>10</v>
      </c>
      <c r="B70" t="s">
        <v>46</v>
      </c>
      <c r="C70" t="s">
        <v>81</v>
      </c>
      <c r="D70">
        <v>1.1978</v>
      </c>
      <c r="E70">
        <f>Tableau2[[#This Row],[Potential (PJ)]]/3.6</f>
        <v>0.3327222222222222</v>
      </c>
      <c r="F70">
        <v>1.078730904817861</v>
      </c>
      <c r="G70">
        <f>Tableau2[[#This Row],[Cost (€/GJ)]]/1000*3600</f>
        <v>3.8834312573442995</v>
      </c>
      <c r="H70">
        <v>8.9647473560517046</v>
      </c>
      <c r="I70">
        <f>Tableau2[[#This Row],[GHG (kgCO2eq/GJ)]]*3.6</f>
        <v>32.273090481786134</v>
      </c>
      <c r="J70" t="s">
        <v>105</v>
      </c>
      <c r="K70" t="s">
        <v>108</v>
      </c>
    </row>
    <row r="71" spans="1:11" hidden="1" x14ac:dyDescent="0.3">
      <c r="A71" t="s">
        <v>10</v>
      </c>
      <c r="B71" t="s">
        <v>46</v>
      </c>
      <c r="C71" t="s">
        <v>66</v>
      </c>
      <c r="D71">
        <v>1.1000000000000001</v>
      </c>
      <c r="E71">
        <f>Tableau2[[#This Row],[Potential (PJ)]]/3.6</f>
        <v>0.30555555555555558</v>
      </c>
      <c r="F71">
        <v>4.2138181818181817</v>
      </c>
      <c r="G71">
        <f>Tableau2[[#This Row],[Cost (€/GJ)]]/1000*3600</f>
        <v>15.169745454545453</v>
      </c>
      <c r="H71">
        <v>6.8428961748633883</v>
      </c>
      <c r="I71">
        <f>Tableau2[[#This Row],[GHG (kgCO2eq/GJ)]]*3.6</f>
        <v>24.634426229508197</v>
      </c>
      <c r="J71" t="s">
        <v>104</v>
      </c>
      <c r="K71" t="s">
        <v>108</v>
      </c>
    </row>
    <row r="72" spans="1:11" hidden="1" x14ac:dyDescent="0.3">
      <c r="A72" t="s">
        <v>10</v>
      </c>
      <c r="B72" t="s">
        <v>46</v>
      </c>
      <c r="C72" t="s">
        <v>83</v>
      </c>
      <c r="D72">
        <v>0.60000000000000009</v>
      </c>
      <c r="E72">
        <f>Tableau2[[#This Row],[Potential (PJ)]]/3.6</f>
        <v>0.16666666666666669</v>
      </c>
      <c r="F72">
        <v>0</v>
      </c>
      <c r="G72">
        <f>Tableau2[[#This Row],[Cost (€/GJ)]]/1000*3600</f>
        <v>0</v>
      </c>
      <c r="H72">
        <v>6.8428961748633883</v>
      </c>
      <c r="I72">
        <f>Tableau2[[#This Row],[GHG (kgCO2eq/GJ)]]*3.6</f>
        <v>24.634426229508197</v>
      </c>
      <c r="J72" t="s">
        <v>104</v>
      </c>
      <c r="K72" t="s">
        <v>108</v>
      </c>
    </row>
    <row r="73" spans="1:11" hidden="1" x14ac:dyDescent="0.3">
      <c r="A73" t="s">
        <v>10</v>
      </c>
      <c r="B73" t="s">
        <v>46</v>
      </c>
      <c r="C73" t="s">
        <v>84</v>
      </c>
      <c r="D73">
        <v>0.60000000000000009</v>
      </c>
      <c r="E73">
        <f>Tableau2[[#This Row],[Potential (PJ)]]/3.6</f>
        <v>0.16666666666666669</v>
      </c>
      <c r="F73">
        <v>2.4186666666666659</v>
      </c>
      <c r="G73">
        <f>Tableau2[[#This Row],[Cost (€/GJ)]]/1000*3600</f>
        <v>8.7071999999999967</v>
      </c>
      <c r="H73">
        <v>28.139870918023309</v>
      </c>
      <c r="I73">
        <f>Tableau2[[#This Row],[GHG (kgCO2eq/GJ)]]*3.6</f>
        <v>101.30353530488391</v>
      </c>
      <c r="J73" t="s">
        <v>105</v>
      </c>
      <c r="K73" t="s">
        <v>108</v>
      </c>
    </row>
    <row r="74" spans="1:11" hidden="1" x14ac:dyDescent="0.3">
      <c r="A74" t="s">
        <v>10</v>
      </c>
      <c r="B74" t="s">
        <v>55</v>
      </c>
      <c r="C74" t="s">
        <v>86</v>
      </c>
      <c r="D74">
        <v>1.1568000000000001</v>
      </c>
      <c r="E74">
        <f>Tableau2[[#This Row],[Potential (PJ)]]/3.6</f>
        <v>0.32133333333333336</v>
      </c>
      <c r="F74">
        <v>16.411999999999999</v>
      </c>
      <c r="G74">
        <f>Tableau2[[#This Row],[Cost (€/GJ)]]/1000*3600</f>
        <v>59.083199999999998</v>
      </c>
      <c r="H74">
        <v>26.3</v>
      </c>
      <c r="I74">
        <f>Tableau2[[#This Row],[GHG (kgCO2eq/GJ)]]*3.6</f>
        <v>94.68</v>
      </c>
      <c r="J74" t="s">
        <v>106</v>
      </c>
      <c r="K74" t="s">
        <v>109</v>
      </c>
    </row>
    <row r="75" spans="1:11" hidden="1" x14ac:dyDescent="0.3">
      <c r="A75" t="s">
        <v>10</v>
      </c>
      <c r="B75" t="s">
        <v>55</v>
      </c>
      <c r="C75" t="s">
        <v>88</v>
      </c>
      <c r="D75">
        <v>1.1521999999999999</v>
      </c>
      <c r="E75">
        <f>Tableau2[[#This Row],[Potential (PJ)]]/3.6</f>
        <v>0.32005555555555554</v>
      </c>
      <c r="F75">
        <v>10.111000000000001</v>
      </c>
      <c r="G75">
        <f>Tableau2[[#This Row],[Cost (€/GJ)]]/1000*3600</f>
        <v>36.3996</v>
      </c>
      <c r="H75">
        <v>26.3</v>
      </c>
      <c r="I75">
        <f>Tableau2[[#This Row],[GHG (kgCO2eq/GJ)]]*3.6</f>
        <v>94.68</v>
      </c>
      <c r="J75" t="s">
        <v>106</v>
      </c>
      <c r="K75" t="s">
        <v>109</v>
      </c>
    </row>
    <row r="76" spans="1:11" hidden="1" x14ac:dyDescent="0.3">
      <c r="A76" t="s">
        <v>10</v>
      </c>
      <c r="B76" t="s">
        <v>55</v>
      </c>
      <c r="C76" t="s">
        <v>92</v>
      </c>
      <c r="D76">
        <v>3.2894999999999999</v>
      </c>
      <c r="E76">
        <f>Tableau2[[#This Row],[Potential (PJ)]]/3.6</f>
        <v>0.91374999999999995</v>
      </c>
      <c r="F76">
        <v>17.815999999999999</v>
      </c>
      <c r="G76">
        <f>Tableau2[[#This Row],[Cost (€/GJ)]]/1000*3600</f>
        <v>64.137599999999992</v>
      </c>
      <c r="H76">
        <v>26.3</v>
      </c>
      <c r="I76">
        <f>Tableau2[[#This Row],[GHG (kgCO2eq/GJ)]]*3.6</f>
        <v>94.68</v>
      </c>
      <c r="J76" t="s">
        <v>106</v>
      </c>
      <c r="K76" t="s">
        <v>109</v>
      </c>
    </row>
    <row r="77" spans="1:11" hidden="1" x14ac:dyDescent="0.3">
      <c r="A77" t="s">
        <v>10</v>
      </c>
      <c r="B77" t="s">
        <v>56</v>
      </c>
      <c r="C77" t="s">
        <v>93</v>
      </c>
      <c r="D77">
        <v>36.4009</v>
      </c>
      <c r="E77">
        <f>Tableau2[[#This Row],[Potential (PJ)]]/3.6</f>
        <v>10.11136111111111</v>
      </c>
      <c r="F77">
        <v>2.939759036144578</v>
      </c>
      <c r="G77">
        <f>Tableau2[[#This Row],[Cost (€/GJ)]]/1000*3600</f>
        <v>10.58313253012048</v>
      </c>
      <c r="H77">
        <v>31.2</v>
      </c>
      <c r="I77">
        <f>Tableau2[[#This Row],[GHG (kgCO2eq/GJ)]]*3.6</f>
        <v>112.32</v>
      </c>
      <c r="J77" t="s">
        <v>106</v>
      </c>
      <c r="K77" t="s">
        <v>109</v>
      </c>
    </row>
    <row r="78" spans="1:11" hidden="1" x14ac:dyDescent="0.3">
      <c r="A78" t="s">
        <v>10</v>
      </c>
      <c r="B78" t="s">
        <v>47</v>
      </c>
      <c r="C78" t="s">
        <v>68</v>
      </c>
      <c r="D78">
        <v>0.9</v>
      </c>
      <c r="E78">
        <f>Tableau2[[#This Row],[Potential (PJ)]]/3.6</f>
        <v>0.25</v>
      </c>
      <c r="F78">
        <v>6.386000000000001</v>
      </c>
      <c r="G78">
        <f>Tableau2[[#This Row],[Cost (€/GJ)]]/1000*3600</f>
        <v>22.989600000000003</v>
      </c>
      <c r="H78">
        <v>20.5</v>
      </c>
      <c r="I78">
        <f>Tableau2[[#This Row],[GHG (kgCO2eq/GJ)]]*3.6</f>
        <v>73.8</v>
      </c>
      <c r="J78" t="s">
        <v>104</v>
      </c>
      <c r="K78" t="s">
        <v>109</v>
      </c>
    </row>
    <row r="79" spans="1:11" hidden="1" x14ac:dyDescent="0.3">
      <c r="A79" t="s">
        <v>10</v>
      </c>
      <c r="B79" t="s">
        <v>47</v>
      </c>
      <c r="C79" t="s">
        <v>69</v>
      </c>
      <c r="D79">
        <v>2.1</v>
      </c>
      <c r="E79">
        <f>Tableau2[[#This Row],[Potential (PJ)]]/3.6</f>
        <v>0.58333333333333337</v>
      </c>
      <c r="F79">
        <v>5.4963333333333333</v>
      </c>
      <c r="G79">
        <f>Tableau2[[#This Row],[Cost (€/GJ)]]/1000*3600</f>
        <v>19.786799999999999</v>
      </c>
      <c r="H79">
        <v>20.5</v>
      </c>
      <c r="I79">
        <f>Tableau2[[#This Row],[GHG (kgCO2eq/GJ)]]*3.6</f>
        <v>73.8</v>
      </c>
      <c r="J79" t="s">
        <v>104</v>
      </c>
      <c r="K79" t="s">
        <v>109</v>
      </c>
    </row>
    <row r="80" spans="1:11" hidden="1" x14ac:dyDescent="0.3">
      <c r="A80" t="s">
        <v>10</v>
      </c>
      <c r="B80" t="s">
        <v>57</v>
      </c>
      <c r="C80" t="s">
        <v>94</v>
      </c>
      <c r="D80">
        <v>0.70000000000000007</v>
      </c>
      <c r="E80">
        <f>Tableau2[[#This Row],[Potential (PJ)]]/3.6</f>
        <v>0.19444444444444445</v>
      </c>
      <c r="F80">
        <v>10.420999999999999</v>
      </c>
      <c r="G80">
        <f>Tableau2[[#This Row],[Cost (€/GJ)]]/1000*3600</f>
        <v>37.515599999999999</v>
      </c>
      <c r="H80">
        <v>16.399999999999999</v>
      </c>
      <c r="I80">
        <f>Tableau2[[#This Row],[GHG (kgCO2eq/GJ)]]*3.6</f>
        <v>59.04</v>
      </c>
      <c r="J80" t="s">
        <v>104</v>
      </c>
      <c r="K80" t="s">
        <v>109</v>
      </c>
    </row>
    <row r="81" spans="1:11" x14ac:dyDescent="0.3">
      <c r="A81" t="s">
        <v>10</v>
      </c>
      <c r="B81" t="s">
        <v>49</v>
      </c>
      <c r="C81" t="s">
        <v>71</v>
      </c>
      <c r="D81">
        <v>14.726699999999999</v>
      </c>
      <c r="E81">
        <f>Tableau2[[#This Row],[Potential (PJ)]]/3.6</f>
        <v>4.0907499999999999</v>
      </c>
      <c r="F81">
        <v>4.4082231090468333</v>
      </c>
      <c r="G81">
        <f>Tableau2[[#This Row],[Cost (€/GJ)]]/1000*3600</f>
        <v>15.869603192568601</v>
      </c>
      <c r="H81">
        <v>3.86607608129234</v>
      </c>
      <c r="I81">
        <f>Tableau2[[#This Row],[GHG (kgCO2eq/GJ)]]*3.6</f>
        <v>13.917873892652425</v>
      </c>
      <c r="J81" t="s">
        <v>104</v>
      </c>
      <c r="K81" t="s">
        <v>108</v>
      </c>
    </row>
    <row r="82" spans="1:11" x14ac:dyDescent="0.3">
      <c r="A82" t="s">
        <v>10</v>
      </c>
      <c r="B82" t="s">
        <v>49</v>
      </c>
      <c r="C82" t="s">
        <v>72</v>
      </c>
      <c r="D82">
        <v>1.6</v>
      </c>
      <c r="E82">
        <f>Tableau2[[#This Row],[Potential (PJ)]]/3.6</f>
        <v>0.44444444444444448</v>
      </c>
      <c r="F82">
        <v>3.5334999999999992</v>
      </c>
      <c r="G82">
        <f>Tableau2[[#This Row],[Cost (€/GJ)]]/1000*3600</f>
        <v>12.720599999999997</v>
      </c>
      <c r="H82">
        <v>3.86607608129234</v>
      </c>
      <c r="I82">
        <f>Tableau2[[#This Row],[GHG (kgCO2eq/GJ)]]*3.6</f>
        <v>13.917873892652425</v>
      </c>
      <c r="J82" t="s">
        <v>104</v>
      </c>
      <c r="K82" t="s">
        <v>108</v>
      </c>
    </row>
    <row r="83" spans="1:11" x14ac:dyDescent="0.3">
      <c r="A83" t="s">
        <v>10</v>
      </c>
      <c r="B83" t="s">
        <v>58</v>
      </c>
      <c r="C83" t="s">
        <v>95</v>
      </c>
      <c r="D83">
        <v>5.73644</v>
      </c>
      <c r="E83">
        <f>Tableau2[[#This Row],[Potential (PJ)]]/3.6</f>
        <v>1.5934555555555554</v>
      </c>
      <c r="F83">
        <v>2.7166789524513462</v>
      </c>
      <c r="G83">
        <f>Tableau2[[#This Row],[Cost (€/GJ)]]/1000*3600</f>
        <v>9.7800442288248473</v>
      </c>
      <c r="H83">
        <v>2.9521711768407801</v>
      </c>
      <c r="I83">
        <f>Tableau2[[#This Row],[GHG (kgCO2eq/GJ)]]*3.6</f>
        <v>10.627816236626808</v>
      </c>
      <c r="J83" t="s">
        <v>104</v>
      </c>
      <c r="K83" t="s">
        <v>108</v>
      </c>
    </row>
    <row r="84" spans="1:11" hidden="1" x14ac:dyDescent="0.3">
      <c r="A84" t="s">
        <v>10</v>
      </c>
      <c r="B84" t="s">
        <v>50</v>
      </c>
      <c r="C84" t="s">
        <v>73</v>
      </c>
      <c r="D84">
        <v>8</v>
      </c>
      <c r="E84">
        <f>Tableau2[[#This Row],[Potential (PJ)]]/3.6</f>
        <v>2.2222222222222223</v>
      </c>
      <c r="F84">
        <v>5.6698500000000003</v>
      </c>
      <c r="G84">
        <f>Tableau2[[#This Row],[Cost (€/GJ)]]/1000*3600</f>
        <v>20.411460000000002</v>
      </c>
      <c r="H84">
        <v>20.723404255319149</v>
      </c>
      <c r="I84">
        <f>Tableau2[[#This Row],[GHG (kgCO2eq/GJ)]]*3.6</f>
        <v>74.604255319148933</v>
      </c>
      <c r="J84" t="s">
        <v>105</v>
      </c>
      <c r="K84" t="s">
        <v>108</v>
      </c>
    </row>
    <row r="85" spans="1:11" hidden="1" x14ac:dyDescent="0.3">
      <c r="A85" t="s">
        <v>10</v>
      </c>
      <c r="B85" t="s">
        <v>50</v>
      </c>
      <c r="C85" t="s">
        <v>74</v>
      </c>
      <c r="D85">
        <v>30.7</v>
      </c>
      <c r="E85">
        <f>Tableau2[[#This Row],[Potential (PJ)]]/3.6</f>
        <v>8.5277777777777768</v>
      </c>
      <c r="F85">
        <v>6.3553973941368076</v>
      </c>
      <c r="G85">
        <f>Tableau2[[#This Row],[Cost (€/GJ)]]/1000*3600</f>
        <v>22.87943061889251</v>
      </c>
      <c r="H85">
        <v>2.0635593220338988</v>
      </c>
      <c r="I85">
        <f>Tableau2[[#This Row],[GHG (kgCO2eq/GJ)]]*3.6</f>
        <v>7.4288135593220357</v>
      </c>
      <c r="J85" t="s">
        <v>105</v>
      </c>
      <c r="K85" t="s">
        <v>108</v>
      </c>
    </row>
    <row r="86" spans="1:11" x14ac:dyDescent="0.3">
      <c r="A86" t="s">
        <v>10</v>
      </c>
      <c r="B86" t="s">
        <v>51</v>
      </c>
      <c r="C86" t="s">
        <v>75</v>
      </c>
      <c r="D86">
        <v>53.82967</v>
      </c>
      <c r="E86">
        <f>Tableau2[[#This Row],[Potential (PJ)]]/3.6</f>
        <v>14.952686111111111</v>
      </c>
      <c r="F86">
        <v>3.38695378252689E-2</v>
      </c>
      <c r="G86">
        <f>Tableau2[[#This Row],[Cost (€/GJ)]]/1000*3600</f>
        <v>0.12193033617096805</v>
      </c>
      <c r="H86">
        <v>11.74</v>
      </c>
      <c r="I86">
        <f>Tableau2[[#This Row],[GHG (kgCO2eq/GJ)]]*3.6</f>
        <v>42.264000000000003</v>
      </c>
      <c r="J86" t="s">
        <v>104</v>
      </c>
      <c r="K86" t="s">
        <v>108</v>
      </c>
    </row>
    <row r="87" spans="1:11" hidden="1" x14ac:dyDescent="0.3">
      <c r="A87" t="s">
        <v>10</v>
      </c>
      <c r="B87" t="s">
        <v>60</v>
      </c>
      <c r="C87" t="s">
        <v>98</v>
      </c>
      <c r="D87">
        <v>8.5169999999999996E-2</v>
      </c>
      <c r="E87">
        <f>Tableau2[[#This Row],[Potential (PJ)]]/3.6</f>
        <v>2.365833333333333E-2</v>
      </c>
      <c r="F87">
        <v>24.86573576799141</v>
      </c>
      <c r="G87">
        <f>Tableau2[[#This Row],[Cost (€/GJ)]]/1000*3600</f>
        <v>89.516648764769073</v>
      </c>
      <c r="H87">
        <v>37.799999999999997</v>
      </c>
      <c r="I87">
        <f>Tableau2[[#This Row],[GHG (kgCO2eq/GJ)]]*3.6</f>
        <v>136.07999999999998</v>
      </c>
      <c r="J87" t="s">
        <v>107</v>
      </c>
      <c r="K87" t="s">
        <v>109</v>
      </c>
    </row>
    <row r="88" spans="1:11" hidden="1" x14ac:dyDescent="0.3">
      <c r="A88" t="s">
        <v>10</v>
      </c>
      <c r="B88" t="s">
        <v>52</v>
      </c>
      <c r="C88" t="s">
        <v>76</v>
      </c>
      <c r="D88">
        <v>19.471</v>
      </c>
      <c r="E88">
        <f>Tableau2[[#This Row],[Potential (PJ)]]/3.6</f>
        <v>5.408611111111111</v>
      </c>
      <c r="F88">
        <v>5.4702337500000002</v>
      </c>
      <c r="G88">
        <f>Tableau2[[#This Row],[Cost (€/GJ)]]/1000*3600</f>
        <v>19.6928415</v>
      </c>
      <c r="H88">
        <v>12.68872359754714</v>
      </c>
      <c r="I88">
        <f>Tableau2[[#This Row],[GHG (kgCO2eq/GJ)]]*3.6</f>
        <v>45.679404951169708</v>
      </c>
      <c r="J88" t="s">
        <v>105</v>
      </c>
      <c r="K88" t="s">
        <v>108</v>
      </c>
    </row>
    <row r="89" spans="1:11" x14ac:dyDescent="0.3">
      <c r="A89" t="s">
        <v>10</v>
      </c>
      <c r="B89" t="s">
        <v>53</v>
      </c>
      <c r="C89" t="s">
        <v>77</v>
      </c>
      <c r="D89">
        <v>1.9</v>
      </c>
      <c r="E89">
        <f>Tableau2[[#This Row],[Potential (PJ)]]/3.6</f>
        <v>0.52777777777777779</v>
      </c>
      <c r="F89">
        <v>3.533526315789473</v>
      </c>
      <c r="G89">
        <f>Tableau2[[#This Row],[Cost (€/GJ)]]/1000*3600</f>
        <v>12.720694736842104</v>
      </c>
      <c r="H89">
        <v>3.86607608129234</v>
      </c>
      <c r="I89">
        <f>Tableau2[[#This Row],[GHG (kgCO2eq/GJ)]]*3.6</f>
        <v>13.917873892652425</v>
      </c>
      <c r="J89" t="s">
        <v>104</v>
      </c>
      <c r="K89" t="s">
        <v>108</v>
      </c>
    </row>
    <row r="90" spans="1:11" x14ac:dyDescent="0.3">
      <c r="A90" t="s">
        <v>10</v>
      </c>
      <c r="B90" t="s">
        <v>61</v>
      </c>
      <c r="C90" t="s">
        <v>99</v>
      </c>
      <c r="D90">
        <v>10.8</v>
      </c>
      <c r="E90">
        <f>Tableau2[[#This Row],[Potential (PJ)]]/3.6</f>
        <v>3</v>
      </c>
      <c r="F90">
        <v>1.857099099099099</v>
      </c>
      <c r="G90">
        <f>Tableau2[[#This Row],[Cost (€/GJ)]]/1000*3600</f>
        <v>6.6855567567567569</v>
      </c>
      <c r="H90">
        <v>2.9245635910224439</v>
      </c>
      <c r="I90">
        <f>Tableau2[[#This Row],[GHG (kgCO2eq/GJ)]]*3.6</f>
        <v>10.528428927680798</v>
      </c>
      <c r="J90" t="s">
        <v>104</v>
      </c>
      <c r="K90" t="s">
        <v>108</v>
      </c>
    </row>
    <row r="91" spans="1:11" x14ac:dyDescent="0.3">
      <c r="A91" t="s">
        <v>10</v>
      </c>
      <c r="B91" t="s">
        <v>62</v>
      </c>
      <c r="C91" t="s">
        <v>100</v>
      </c>
      <c r="D91">
        <v>5.3</v>
      </c>
      <c r="E91">
        <f>Tableau2[[#This Row],[Potential (PJ)]]/3.6</f>
        <v>1.4722222222222221</v>
      </c>
      <c r="F91">
        <v>0.44905660377358492</v>
      </c>
      <c r="G91">
        <f>Tableau2[[#This Row],[Cost (€/GJ)]]/1000*3600</f>
        <v>1.6166037735849057</v>
      </c>
      <c r="H91">
        <v>2.6764106050305911</v>
      </c>
      <c r="I91">
        <f>Tableau2[[#This Row],[GHG (kgCO2eq/GJ)]]*3.6</f>
        <v>9.6350781781101276</v>
      </c>
      <c r="J91" t="s">
        <v>104</v>
      </c>
      <c r="K91" t="s">
        <v>108</v>
      </c>
    </row>
    <row r="92" spans="1:11" x14ac:dyDescent="0.3">
      <c r="A92" t="s">
        <v>10</v>
      </c>
      <c r="B92" t="s">
        <v>54</v>
      </c>
      <c r="C92" t="s">
        <v>78</v>
      </c>
      <c r="D92">
        <v>18.100000000000001</v>
      </c>
      <c r="E92">
        <f>Tableau2[[#This Row],[Potential (PJ)]]/3.6</f>
        <v>5.0277777777777777</v>
      </c>
      <c r="F92">
        <v>7.2833867403314922</v>
      </c>
      <c r="G92">
        <f>Tableau2[[#This Row],[Cost (€/GJ)]]/1000*3600</f>
        <v>26.220192265193372</v>
      </c>
      <c r="H92">
        <v>3.86607608129234</v>
      </c>
      <c r="I92">
        <f>Tableau2[[#This Row],[GHG (kgCO2eq/GJ)]]*3.6</f>
        <v>13.917873892652425</v>
      </c>
      <c r="J92" t="s">
        <v>104</v>
      </c>
      <c r="K92" t="s">
        <v>108</v>
      </c>
    </row>
    <row r="93" spans="1:11" hidden="1" x14ac:dyDescent="0.3">
      <c r="A93" t="s">
        <v>11</v>
      </c>
      <c r="B93" t="s">
        <v>46</v>
      </c>
      <c r="C93" t="s">
        <v>64</v>
      </c>
      <c r="D93">
        <v>5.1069999999999997E-2</v>
      </c>
      <c r="E93">
        <f>Tableau2[[#This Row],[Potential (PJ)]]/3.6</f>
        <v>1.4186111111111109E-2</v>
      </c>
      <c r="F93">
        <v>5.3626906207166627</v>
      </c>
      <c r="G93">
        <f>Tableau2[[#This Row],[Cost (€/GJ)]]/1000*3600</f>
        <v>19.305686234579987</v>
      </c>
      <c r="H93">
        <v>2.9521711768407801</v>
      </c>
      <c r="I93">
        <f>Tableau2[[#This Row],[GHG (kgCO2eq/GJ)]]*3.6</f>
        <v>10.627816236626808</v>
      </c>
      <c r="J93" t="s">
        <v>104</v>
      </c>
      <c r="K93" t="s">
        <v>108</v>
      </c>
    </row>
    <row r="94" spans="1:11" hidden="1" x14ac:dyDescent="0.3">
      <c r="A94" t="s">
        <v>11</v>
      </c>
      <c r="B94" t="s">
        <v>46</v>
      </c>
      <c r="C94" t="s">
        <v>79</v>
      </c>
      <c r="D94">
        <v>14.5</v>
      </c>
      <c r="E94">
        <f>Tableau2[[#This Row],[Potential (PJ)]]/3.6</f>
        <v>4.0277777777777777</v>
      </c>
      <c r="F94">
        <v>2.3158482758620691</v>
      </c>
      <c r="G94">
        <f>Tableau2[[#This Row],[Cost (€/GJ)]]/1000*3600</f>
        <v>8.3370537931034487</v>
      </c>
      <c r="H94">
        <v>6.8428961748633883</v>
      </c>
      <c r="I94">
        <f>Tableau2[[#This Row],[GHG (kgCO2eq/GJ)]]*3.6</f>
        <v>24.634426229508197</v>
      </c>
      <c r="J94" t="s">
        <v>104</v>
      </c>
      <c r="K94" t="s">
        <v>108</v>
      </c>
    </row>
    <row r="95" spans="1:11" hidden="1" x14ac:dyDescent="0.3">
      <c r="A95" t="s">
        <v>11</v>
      </c>
      <c r="B95" t="s">
        <v>46</v>
      </c>
      <c r="C95" t="s">
        <v>65</v>
      </c>
      <c r="D95">
        <v>0.4</v>
      </c>
      <c r="E95">
        <f>Tableau2[[#This Row],[Potential (PJ)]]/3.6</f>
        <v>0.11111111111111112</v>
      </c>
      <c r="F95">
        <v>3.5242499999999999</v>
      </c>
      <c r="G95">
        <f>Tableau2[[#This Row],[Cost (€/GJ)]]/1000*3600</f>
        <v>12.6873</v>
      </c>
      <c r="H95">
        <v>2.9521711768407801</v>
      </c>
      <c r="I95">
        <f>Tableau2[[#This Row],[GHG (kgCO2eq/GJ)]]*3.6</f>
        <v>10.627816236626808</v>
      </c>
      <c r="J95" t="s">
        <v>104</v>
      </c>
      <c r="K95" t="s">
        <v>108</v>
      </c>
    </row>
    <row r="96" spans="1:11" hidden="1" x14ac:dyDescent="0.3">
      <c r="A96" t="s">
        <v>11</v>
      </c>
      <c r="B96" t="s">
        <v>46</v>
      </c>
      <c r="C96" t="s">
        <v>80</v>
      </c>
      <c r="D96">
        <v>0.39470000000000011</v>
      </c>
      <c r="E96">
        <f>Tableau2[[#This Row],[Potential (PJ)]]/3.6</f>
        <v>0.10963888888888891</v>
      </c>
      <c r="F96">
        <v>0.44234659474039112</v>
      </c>
      <c r="G96">
        <f>Tableau2[[#This Row],[Cost (€/GJ)]]/1000*3600</f>
        <v>1.5924477410654081</v>
      </c>
      <c r="H96">
        <v>28.139870918023309</v>
      </c>
      <c r="I96">
        <f>Tableau2[[#This Row],[GHG (kgCO2eq/GJ)]]*3.6</f>
        <v>101.30353530488391</v>
      </c>
      <c r="J96" t="s">
        <v>105</v>
      </c>
      <c r="K96" t="s">
        <v>108</v>
      </c>
    </row>
    <row r="97" spans="1:11" hidden="1" x14ac:dyDescent="0.3">
      <c r="A97" t="s">
        <v>11</v>
      </c>
      <c r="B97" t="s">
        <v>46</v>
      </c>
      <c r="C97" t="s">
        <v>81</v>
      </c>
      <c r="D97">
        <v>1.24E-2</v>
      </c>
      <c r="E97">
        <f>Tableau2[[#This Row],[Potential (PJ)]]/3.6</f>
        <v>3.4444444444444444E-3</v>
      </c>
      <c r="F97">
        <v>2.839600470035252</v>
      </c>
      <c r="G97">
        <f>Tableau2[[#This Row],[Cost (€/GJ)]]/1000*3600</f>
        <v>10.222561692126908</v>
      </c>
      <c r="H97">
        <v>8.9647473560517046</v>
      </c>
      <c r="I97">
        <f>Tableau2[[#This Row],[GHG (kgCO2eq/GJ)]]*3.6</f>
        <v>32.273090481786134</v>
      </c>
      <c r="J97" t="s">
        <v>105</v>
      </c>
      <c r="K97" t="s">
        <v>108</v>
      </c>
    </row>
    <row r="98" spans="1:11" hidden="1" x14ac:dyDescent="0.3">
      <c r="A98" t="s">
        <v>11</v>
      </c>
      <c r="B98" t="s">
        <v>46</v>
      </c>
      <c r="C98" t="s">
        <v>66</v>
      </c>
      <c r="D98">
        <v>2.6</v>
      </c>
      <c r="E98">
        <f>Tableau2[[#This Row],[Potential (PJ)]]/3.6</f>
        <v>0.72222222222222221</v>
      </c>
      <c r="F98">
        <v>2.425730769230769</v>
      </c>
      <c r="G98">
        <f>Tableau2[[#This Row],[Cost (€/GJ)]]/1000*3600</f>
        <v>8.7326307692307683</v>
      </c>
      <c r="H98">
        <v>6.8428961748633883</v>
      </c>
      <c r="I98">
        <f>Tableau2[[#This Row],[GHG (kgCO2eq/GJ)]]*3.6</f>
        <v>24.634426229508197</v>
      </c>
      <c r="J98" t="s">
        <v>104</v>
      </c>
      <c r="K98" t="s">
        <v>108</v>
      </c>
    </row>
    <row r="99" spans="1:11" hidden="1" x14ac:dyDescent="0.3">
      <c r="A99" t="s">
        <v>11</v>
      </c>
      <c r="B99" t="s">
        <v>46</v>
      </c>
      <c r="C99" t="s">
        <v>82</v>
      </c>
      <c r="D99">
        <v>7.2</v>
      </c>
      <c r="E99">
        <f>Tableau2[[#This Row],[Potential (PJ)]]/3.6</f>
        <v>2</v>
      </c>
      <c r="F99">
        <v>1.4673888888888891</v>
      </c>
      <c r="G99">
        <f>Tableau2[[#This Row],[Cost (€/GJ)]]/1000*3600</f>
        <v>5.2826000000000013</v>
      </c>
      <c r="H99">
        <v>6.8428961748633883</v>
      </c>
      <c r="I99">
        <f>Tableau2[[#This Row],[GHG (kgCO2eq/GJ)]]*3.6</f>
        <v>24.634426229508197</v>
      </c>
      <c r="J99" t="s">
        <v>104</v>
      </c>
      <c r="K99" t="s">
        <v>108</v>
      </c>
    </row>
    <row r="100" spans="1:11" hidden="1" x14ac:dyDescent="0.3">
      <c r="A100" t="s">
        <v>11</v>
      </c>
      <c r="B100" t="s">
        <v>46</v>
      </c>
      <c r="C100" t="s">
        <v>83</v>
      </c>
      <c r="D100">
        <v>4.4900000000000001E-3</v>
      </c>
      <c r="E100">
        <f>Tableau2[[#This Row],[Potential (PJ)]]/3.6</f>
        <v>1.2472222222222223E-3</v>
      </c>
      <c r="F100">
        <v>2.3039999999999998</v>
      </c>
      <c r="G100">
        <f>Tableau2[[#This Row],[Cost (€/GJ)]]/1000*3600</f>
        <v>8.2943999999999978</v>
      </c>
      <c r="H100">
        <v>6.8428961748633883</v>
      </c>
      <c r="I100">
        <f>Tableau2[[#This Row],[GHG (kgCO2eq/GJ)]]*3.6</f>
        <v>24.634426229508197</v>
      </c>
      <c r="J100" t="s">
        <v>104</v>
      </c>
      <c r="K100" t="s">
        <v>108</v>
      </c>
    </row>
    <row r="101" spans="1:11" hidden="1" x14ac:dyDescent="0.3">
      <c r="A101" t="s">
        <v>11</v>
      </c>
      <c r="B101" t="s">
        <v>46</v>
      </c>
      <c r="C101" t="s">
        <v>85</v>
      </c>
      <c r="D101">
        <v>0.2</v>
      </c>
      <c r="E101">
        <f>Tableau2[[#This Row],[Potential (PJ)]]/3.6</f>
        <v>5.5555555555555559E-2</v>
      </c>
      <c r="F101">
        <v>2.9104999999999999</v>
      </c>
      <c r="G101">
        <f>Tableau2[[#This Row],[Cost (€/GJ)]]/1000*3600</f>
        <v>10.4778</v>
      </c>
      <c r="H101">
        <v>2.9521711768407801</v>
      </c>
      <c r="I101">
        <f>Tableau2[[#This Row],[GHG (kgCO2eq/GJ)]]*3.6</f>
        <v>10.627816236626808</v>
      </c>
      <c r="J101" t="s">
        <v>104</v>
      </c>
      <c r="K101" t="s">
        <v>108</v>
      </c>
    </row>
    <row r="102" spans="1:11" hidden="1" x14ac:dyDescent="0.3">
      <c r="A102" t="s">
        <v>11</v>
      </c>
      <c r="B102" t="s">
        <v>55</v>
      </c>
      <c r="C102" t="s">
        <v>86</v>
      </c>
      <c r="D102">
        <v>2.4451999999999998</v>
      </c>
      <c r="E102">
        <f>Tableau2[[#This Row],[Potential (PJ)]]/3.6</f>
        <v>0.67922222222222217</v>
      </c>
      <c r="F102">
        <v>15.287000000000001</v>
      </c>
      <c r="G102">
        <f>Tableau2[[#This Row],[Cost (€/GJ)]]/1000*3600</f>
        <v>55.033200000000001</v>
      </c>
      <c r="H102">
        <v>9.1999999999999993</v>
      </c>
      <c r="I102">
        <f>Tableau2[[#This Row],[GHG (kgCO2eq/GJ)]]*3.6</f>
        <v>33.119999999999997</v>
      </c>
      <c r="J102" t="s">
        <v>106</v>
      </c>
      <c r="K102" t="s">
        <v>109</v>
      </c>
    </row>
    <row r="103" spans="1:11" hidden="1" x14ac:dyDescent="0.3">
      <c r="A103" t="s">
        <v>11</v>
      </c>
      <c r="B103" t="s">
        <v>55</v>
      </c>
      <c r="C103" t="s">
        <v>87</v>
      </c>
      <c r="D103">
        <v>2.1019999999999999</v>
      </c>
      <c r="E103">
        <f>Tableau2[[#This Row],[Potential (PJ)]]/3.6</f>
        <v>0.58388888888888879</v>
      </c>
      <c r="F103">
        <v>15.510999999999999</v>
      </c>
      <c r="G103">
        <f>Tableau2[[#This Row],[Cost (€/GJ)]]/1000*3600</f>
        <v>55.839599999999997</v>
      </c>
      <c r="H103">
        <v>9.1999999999999993</v>
      </c>
      <c r="I103">
        <f>Tableau2[[#This Row],[GHG (kgCO2eq/GJ)]]*3.6</f>
        <v>33.119999999999997</v>
      </c>
      <c r="J103" t="s">
        <v>106</v>
      </c>
      <c r="K103" t="s">
        <v>109</v>
      </c>
    </row>
    <row r="104" spans="1:11" hidden="1" x14ac:dyDescent="0.3">
      <c r="A104" t="s">
        <v>11</v>
      </c>
      <c r="B104" t="s">
        <v>55</v>
      </c>
      <c r="C104" t="s">
        <v>88</v>
      </c>
      <c r="D104">
        <v>2.8576999999999999</v>
      </c>
      <c r="E104">
        <f>Tableau2[[#This Row],[Potential (PJ)]]/3.6</f>
        <v>0.79380555555555554</v>
      </c>
      <c r="F104">
        <v>16.786000000000001</v>
      </c>
      <c r="G104">
        <f>Tableau2[[#This Row],[Cost (€/GJ)]]/1000*3600</f>
        <v>60.429600000000008</v>
      </c>
      <c r="H104">
        <v>9.1999999999999993</v>
      </c>
      <c r="I104">
        <f>Tableau2[[#This Row],[GHG (kgCO2eq/GJ)]]*3.6</f>
        <v>33.119999999999997</v>
      </c>
      <c r="J104" t="s">
        <v>106</v>
      </c>
      <c r="K104" t="s">
        <v>109</v>
      </c>
    </row>
    <row r="105" spans="1:11" hidden="1" x14ac:dyDescent="0.3">
      <c r="A105" t="s">
        <v>11</v>
      </c>
      <c r="B105" t="s">
        <v>55</v>
      </c>
      <c r="C105" t="s">
        <v>89</v>
      </c>
      <c r="D105">
        <v>8.9999999999999998E-4</v>
      </c>
      <c r="E105">
        <f>Tableau2[[#This Row],[Potential (PJ)]]/3.6</f>
        <v>2.5000000000000001E-4</v>
      </c>
      <c r="F105">
        <v>0</v>
      </c>
      <c r="G105">
        <f>Tableau2[[#This Row],[Cost (€/GJ)]]/1000*3600</f>
        <v>0</v>
      </c>
      <c r="H105">
        <v>9.1999999999999993</v>
      </c>
      <c r="I105">
        <f>Tableau2[[#This Row],[GHG (kgCO2eq/GJ)]]*3.6</f>
        <v>33.119999999999997</v>
      </c>
      <c r="J105" t="s">
        <v>106</v>
      </c>
      <c r="K105" t="s">
        <v>109</v>
      </c>
    </row>
    <row r="106" spans="1:11" hidden="1" x14ac:dyDescent="0.3">
      <c r="A106" t="s">
        <v>11</v>
      </c>
      <c r="B106" t="s">
        <v>55</v>
      </c>
      <c r="C106" t="s">
        <v>92</v>
      </c>
      <c r="D106">
        <v>2.2937500000000002</v>
      </c>
      <c r="E106">
        <f>Tableau2[[#This Row],[Potential (PJ)]]/3.6</f>
        <v>0.63715277777777779</v>
      </c>
      <c r="F106">
        <v>15.510999999999999</v>
      </c>
      <c r="G106">
        <f>Tableau2[[#This Row],[Cost (€/GJ)]]/1000*3600</f>
        <v>55.839599999999997</v>
      </c>
      <c r="H106">
        <v>9.1999999999999993</v>
      </c>
      <c r="I106">
        <f>Tableau2[[#This Row],[GHG (kgCO2eq/GJ)]]*3.6</f>
        <v>33.119999999999997</v>
      </c>
      <c r="J106" t="s">
        <v>106</v>
      </c>
      <c r="K106" t="s">
        <v>109</v>
      </c>
    </row>
    <row r="107" spans="1:11" hidden="1" x14ac:dyDescent="0.3">
      <c r="A107" t="s">
        <v>11</v>
      </c>
      <c r="B107" t="s">
        <v>56</v>
      </c>
      <c r="C107" t="s">
        <v>93</v>
      </c>
      <c r="D107">
        <v>11.674799999999999</v>
      </c>
      <c r="E107">
        <f>Tableau2[[#This Row],[Potential (PJ)]]/3.6</f>
        <v>3.2429999999999999</v>
      </c>
      <c r="F107">
        <v>6.7759036144578308</v>
      </c>
      <c r="G107">
        <f>Tableau2[[#This Row],[Cost (€/GJ)]]/1000*3600</f>
        <v>24.393253012048191</v>
      </c>
      <c r="H107">
        <v>22.9</v>
      </c>
      <c r="I107">
        <f>Tableau2[[#This Row],[GHG (kgCO2eq/GJ)]]*3.6</f>
        <v>82.44</v>
      </c>
      <c r="J107" t="s">
        <v>106</v>
      </c>
      <c r="K107" t="s">
        <v>109</v>
      </c>
    </row>
    <row r="108" spans="1:11" hidden="1" x14ac:dyDescent="0.3">
      <c r="A108" t="s">
        <v>11</v>
      </c>
      <c r="B108" t="s">
        <v>47</v>
      </c>
      <c r="C108" t="s">
        <v>68</v>
      </c>
      <c r="D108">
        <v>29.5</v>
      </c>
      <c r="E108">
        <f>Tableau2[[#This Row],[Potential (PJ)]]/3.6</f>
        <v>8.1944444444444446</v>
      </c>
      <c r="F108">
        <v>2.8974745762711862</v>
      </c>
      <c r="G108">
        <f>Tableau2[[#This Row],[Cost (€/GJ)]]/1000*3600</f>
        <v>10.43090847457627</v>
      </c>
      <c r="H108">
        <v>15</v>
      </c>
      <c r="I108">
        <f>Tableau2[[#This Row],[GHG (kgCO2eq/GJ)]]*3.6</f>
        <v>54</v>
      </c>
      <c r="J108" t="s">
        <v>104</v>
      </c>
      <c r="K108" t="s">
        <v>109</v>
      </c>
    </row>
    <row r="109" spans="1:11" hidden="1" x14ac:dyDescent="0.3">
      <c r="A109" t="s">
        <v>11</v>
      </c>
      <c r="B109" t="s">
        <v>47</v>
      </c>
      <c r="C109" t="s">
        <v>69</v>
      </c>
      <c r="D109">
        <v>22.5</v>
      </c>
      <c r="E109">
        <f>Tableau2[[#This Row],[Potential (PJ)]]/3.6</f>
        <v>6.25</v>
      </c>
      <c r="F109">
        <v>2.707177777777777</v>
      </c>
      <c r="G109">
        <f>Tableau2[[#This Row],[Cost (€/GJ)]]/1000*3600</f>
        <v>9.7458399999999976</v>
      </c>
      <c r="H109">
        <v>15</v>
      </c>
      <c r="I109">
        <f>Tableau2[[#This Row],[GHG (kgCO2eq/GJ)]]*3.6</f>
        <v>54</v>
      </c>
      <c r="J109" t="s">
        <v>104</v>
      </c>
      <c r="K109" t="s">
        <v>109</v>
      </c>
    </row>
    <row r="110" spans="1:11" hidden="1" x14ac:dyDescent="0.3">
      <c r="A110" t="s">
        <v>11</v>
      </c>
      <c r="B110" t="s">
        <v>57</v>
      </c>
      <c r="C110" t="s">
        <v>94</v>
      </c>
      <c r="D110">
        <v>6.5</v>
      </c>
      <c r="E110">
        <f>Tableau2[[#This Row],[Potential (PJ)]]/3.6</f>
        <v>1.8055555555555556</v>
      </c>
      <c r="F110">
        <v>7.5216769230769236</v>
      </c>
      <c r="G110">
        <f>Tableau2[[#This Row],[Cost (€/GJ)]]/1000*3600</f>
        <v>27.078036923076926</v>
      </c>
      <c r="H110">
        <v>15.6</v>
      </c>
      <c r="I110">
        <f>Tableau2[[#This Row],[GHG (kgCO2eq/GJ)]]*3.6</f>
        <v>56.16</v>
      </c>
      <c r="J110" t="s">
        <v>104</v>
      </c>
      <c r="K110" t="s">
        <v>109</v>
      </c>
    </row>
    <row r="111" spans="1:11" x14ac:dyDescent="0.3">
      <c r="A111" t="s">
        <v>11</v>
      </c>
      <c r="B111" t="s">
        <v>49</v>
      </c>
      <c r="C111" t="s">
        <v>71</v>
      </c>
      <c r="D111">
        <v>32.658839999999998</v>
      </c>
      <c r="E111">
        <f>Tableau2[[#This Row],[Potential (PJ)]]/3.6</f>
        <v>9.0718999999999994</v>
      </c>
      <c r="F111">
        <v>2.1519086033061798</v>
      </c>
      <c r="G111">
        <f>Tableau2[[#This Row],[Cost (€/GJ)]]/1000*3600</f>
        <v>7.7468709719022479</v>
      </c>
      <c r="H111">
        <v>3.86607608129234</v>
      </c>
      <c r="I111">
        <f>Tableau2[[#This Row],[GHG (kgCO2eq/GJ)]]*3.6</f>
        <v>13.917873892652425</v>
      </c>
      <c r="J111" t="s">
        <v>104</v>
      </c>
      <c r="K111" t="s">
        <v>108</v>
      </c>
    </row>
    <row r="112" spans="1:11" x14ac:dyDescent="0.3">
      <c r="A112" t="s">
        <v>11</v>
      </c>
      <c r="B112" t="s">
        <v>49</v>
      </c>
      <c r="C112" t="s">
        <v>72</v>
      </c>
      <c r="D112">
        <v>4.5</v>
      </c>
      <c r="E112">
        <f>Tableau2[[#This Row],[Potential (PJ)]]/3.6</f>
        <v>1.25</v>
      </c>
      <c r="F112">
        <v>2.9020000000000001</v>
      </c>
      <c r="G112">
        <f>Tableau2[[#This Row],[Cost (€/GJ)]]/1000*3600</f>
        <v>10.4472</v>
      </c>
      <c r="H112">
        <v>3.86607608129234</v>
      </c>
      <c r="I112">
        <f>Tableau2[[#This Row],[GHG (kgCO2eq/GJ)]]*3.6</f>
        <v>13.917873892652425</v>
      </c>
      <c r="J112" t="s">
        <v>104</v>
      </c>
      <c r="K112" t="s">
        <v>108</v>
      </c>
    </row>
    <row r="113" spans="1:11" x14ac:dyDescent="0.3">
      <c r="A113" t="s">
        <v>11</v>
      </c>
      <c r="B113" t="s">
        <v>58</v>
      </c>
      <c r="C113" t="s">
        <v>95</v>
      </c>
      <c r="D113">
        <v>3.5530200000000001</v>
      </c>
      <c r="E113">
        <f>Tableau2[[#This Row],[Potential (PJ)]]/3.6</f>
        <v>0.98694999999999999</v>
      </c>
      <c r="F113">
        <v>2.7170000000000001</v>
      </c>
      <c r="G113">
        <f>Tableau2[[#This Row],[Cost (€/GJ)]]/1000*3600</f>
        <v>9.7812000000000001</v>
      </c>
      <c r="H113">
        <v>2.9521711768407801</v>
      </c>
      <c r="I113">
        <f>Tableau2[[#This Row],[GHG (kgCO2eq/GJ)]]*3.6</f>
        <v>10.627816236626808</v>
      </c>
      <c r="J113" t="s">
        <v>104</v>
      </c>
      <c r="K113" t="s">
        <v>108</v>
      </c>
    </row>
    <row r="114" spans="1:11" hidden="1" x14ac:dyDescent="0.3">
      <c r="A114" t="s">
        <v>11</v>
      </c>
      <c r="B114" t="s">
        <v>50</v>
      </c>
      <c r="C114" t="s">
        <v>73</v>
      </c>
      <c r="D114">
        <v>0.2</v>
      </c>
      <c r="E114">
        <f>Tableau2[[#This Row],[Potential (PJ)]]/3.6</f>
        <v>5.5555555555555559E-2</v>
      </c>
      <c r="F114">
        <v>5.1019999999999994</v>
      </c>
      <c r="G114">
        <f>Tableau2[[#This Row],[Cost (€/GJ)]]/1000*3600</f>
        <v>18.3672</v>
      </c>
      <c r="H114">
        <v>20.723404255319149</v>
      </c>
      <c r="I114">
        <f>Tableau2[[#This Row],[GHG (kgCO2eq/GJ)]]*3.6</f>
        <v>74.604255319148933</v>
      </c>
      <c r="J114" t="s">
        <v>105</v>
      </c>
      <c r="K114" t="s">
        <v>108</v>
      </c>
    </row>
    <row r="115" spans="1:11" hidden="1" x14ac:dyDescent="0.3">
      <c r="A115" t="s">
        <v>11</v>
      </c>
      <c r="B115" t="s">
        <v>50</v>
      </c>
      <c r="C115" t="s">
        <v>74</v>
      </c>
      <c r="D115">
        <v>5.4</v>
      </c>
      <c r="E115">
        <f>Tableau2[[#This Row],[Potential (PJ)]]/3.6</f>
        <v>1.5</v>
      </c>
      <c r="F115">
        <v>3.359962962962963</v>
      </c>
      <c r="G115">
        <f>Tableau2[[#This Row],[Cost (€/GJ)]]/1000*3600</f>
        <v>12.095866666666668</v>
      </c>
      <c r="H115">
        <v>2.0635593220338988</v>
      </c>
      <c r="I115">
        <f>Tableau2[[#This Row],[GHG (kgCO2eq/GJ)]]*3.6</f>
        <v>7.4288135593220357</v>
      </c>
      <c r="J115" t="s">
        <v>105</v>
      </c>
      <c r="K115" t="s">
        <v>108</v>
      </c>
    </row>
    <row r="116" spans="1:11" hidden="1" x14ac:dyDescent="0.3">
      <c r="A116" t="s">
        <v>11</v>
      </c>
      <c r="B116" t="s">
        <v>59</v>
      </c>
      <c r="C116" t="s">
        <v>96</v>
      </c>
      <c r="D116">
        <v>0.1832</v>
      </c>
      <c r="E116">
        <f>Tableau2[[#This Row],[Potential (PJ)]]/3.6</f>
        <v>5.0888888888888886E-2</v>
      </c>
      <c r="F116">
        <v>31.494</v>
      </c>
      <c r="G116">
        <f>Tableau2[[#This Row],[Cost (€/GJ)]]/1000*3600</f>
        <v>113.3784</v>
      </c>
      <c r="H116">
        <v>15.4</v>
      </c>
      <c r="I116">
        <f>Tableau2[[#This Row],[GHG (kgCO2eq/GJ)]]*3.6</f>
        <v>55.440000000000005</v>
      </c>
      <c r="J116" t="s">
        <v>107</v>
      </c>
      <c r="K116" t="s">
        <v>109</v>
      </c>
    </row>
    <row r="117" spans="1:11" hidden="1" x14ac:dyDescent="0.3">
      <c r="A117" t="s">
        <v>11</v>
      </c>
      <c r="B117" t="s">
        <v>59</v>
      </c>
      <c r="C117" t="s">
        <v>97</v>
      </c>
      <c r="D117">
        <v>5.2123999999999997</v>
      </c>
      <c r="E117">
        <f>Tableau2[[#This Row],[Potential (PJ)]]/3.6</f>
        <v>1.4478888888888888</v>
      </c>
      <c r="F117">
        <v>13.4020618556701</v>
      </c>
      <c r="G117">
        <f>Tableau2[[#This Row],[Cost (€/GJ)]]/1000*3600</f>
        <v>48.247422680412363</v>
      </c>
      <c r="H117">
        <v>15.4</v>
      </c>
      <c r="I117">
        <f>Tableau2[[#This Row],[GHG (kgCO2eq/GJ)]]*3.6</f>
        <v>55.440000000000005</v>
      </c>
      <c r="J117" t="s">
        <v>107</v>
      </c>
      <c r="K117" t="s">
        <v>109</v>
      </c>
    </row>
    <row r="118" spans="1:11" x14ac:dyDescent="0.3">
      <c r="A118" t="s">
        <v>11</v>
      </c>
      <c r="B118" t="s">
        <v>51</v>
      </c>
      <c r="C118" t="s">
        <v>75</v>
      </c>
      <c r="D118">
        <v>3.7521719999999998</v>
      </c>
      <c r="E118">
        <f>Tableau2[[#This Row],[Potential (PJ)]]/3.6</f>
        <v>1.04227</v>
      </c>
      <c r="F118">
        <v>5.5565822569739401E-5</v>
      </c>
      <c r="G118">
        <f>Tableau2[[#This Row],[Cost (€/GJ)]]/1000*3600</f>
        <v>2.0003696125106183E-4</v>
      </c>
      <c r="H118">
        <v>11.74</v>
      </c>
      <c r="I118">
        <f>Tableau2[[#This Row],[GHG (kgCO2eq/GJ)]]*3.6</f>
        <v>42.264000000000003</v>
      </c>
      <c r="J118" t="s">
        <v>104</v>
      </c>
      <c r="K118" t="s">
        <v>108</v>
      </c>
    </row>
    <row r="119" spans="1:11" hidden="1" x14ac:dyDescent="0.3">
      <c r="A119" t="s">
        <v>11</v>
      </c>
      <c r="B119" t="s">
        <v>60</v>
      </c>
      <c r="C119" t="s">
        <v>98</v>
      </c>
      <c r="D119">
        <v>23.229559999999999</v>
      </c>
      <c r="E119">
        <f>Tableau2[[#This Row],[Potential (PJ)]]/3.6</f>
        <v>6.4526555555555554</v>
      </c>
      <c r="F119">
        <v>15.789473684210529</v>
      </c>
      <c r="G119">
        <f>Tableau2[[#This Row],[Cost (€/GJ)]]/1000*3600</f>
        <v>56.842105263157912</v>
      </c>
      <c r="H119">
        <v>1.5</v>
      </c>
      <c r="I119">
        <f>Tableau2[[#This Row],[GHG (kgCO2eq/GJ)]]*3.6</f>
        <v>5.4</v>
      </c>
      <c r="J119" t="s">
        <v>107</v>
      </c>
      <c r="K119" t="s">
        <v>109</v>
      </c>
    </row>
    <row r="120" spans="1:11" x14ac:dyDescent="0.3">
      <c r="A120" t="s">
        <v>11</v>
      </c>
      <c r="B120" t="s">
        <v>53</v>
      </c>
      <c r="C120" t="s">
        <v>77</v>
      </c>
      <c r="D120">
        <v>4</v>
      </c>
      <c r="E120">
        <f>Tableau2[[#This Row],[Potential (PJ)]]/3.6</f>
        <v>1.1111111111111112</v>
      </c>
      <c r="F120">
        <v>2.902075</v>
      </c>
      <c r="G120">
        <f>Tableau2[[#This Row],[Cost (€/GJ)]]/1000*3600</f>
        <v>10.447470000000001</v>
      </c>
      <c r="H120">
        <v>3.86607608129234</v>
      </c>
      <c r="I120">
        <f>Tableau2[[#This Row],[GHG (kgCO2eq/GJ)]]*3.6</f>
        <v>13.917873892652425</v>
      </c>
      <c r="J120" t="s">
        <v>104</v>
      </c>
      <c r="K120" t="s">
        <v>108</v>
      </c>
    </row>
    <row r="121" spans="1:11" x14ac:dyDescent="0.3">
      <c r="A121" t="s">
        <v>11</v>
      </c>
      <c r="B121" t="s">
        <v>61</v>
      </c>
      <c r="C121" t="s">
        <v>99</v>
      </c>
      <c r="D121">
        <v>1.6</v>
      </c>
      <c r="E121">
        <f>Tableau2[[#This Row],[Potential (PJ)]]/3.6</f>
        <v>0.44444444444444448</v>
      </c>
      <c r="F121">
        <v>1.324125</v>
      </c>
      <c r="G121">
        <f>Tableau2[[#This Row],[Cost (€/GJ)]]/1000*3600</f>
        <v>4.7668499999999998</v>
      </c>
      <c r="H121">
        <v>2.9245635910224439</v>
      </c>
      <c r="I121">
        <f>Tableau2[[#This Row],[GHG (kgCO2eq/GJ)]]*3.6</f>
        <v>10.528428927680798</v>
      </c>
      <c r="J121" t="s">
        <v>104</v>
      </c>
      <c r="K121" t="s">
        <v>108</v>
      </c>
    </row>
    <row r="122" spans="1:11" x14ac:dyDescent="0.3">
      <c r="A122" t="s">
        <v>11</v>
      </c>
      <c r="B122" t="s">
        <v>62</v>
      </c>
      <c r="C122" t="s">
        <v>100</v>
      </c>
      <c r="D122">
        <v>0.3</v>
      </c>
      <c r="E122">
        <f>Tableau2[[#This Row],[Potential (PJ)]]/3.6</f>
        <v>8.3333333333333329E-2</v>
      </c>
      <c r="F122">
        <v>0.33333333333333331</v>
      </c>
      <c r="G122">
        <f>Tableau2[[#This Row],[Cost (€/GJ)]]/1000*3600</f>
        <v>1.2</v>
      </c>
      <c r="H122">
        <v>2.6764106050305911</v>
      </c>
      <c r="I122">
        <f>Tableau2[[#This Row],[GHG (kgCO2eq/GJ)]]*3.6</f>
        <v>9.6350781781101276</v>
      </c>
      <c r="J122" t="s">
        <v>104</v>
      </c>
      <c r="K122" t="s">
        <v>108</v>
      </c>
    </row>
    <row r="123" spans="1:11" x14ac:dyDescent="0.3">
      <c r="A123" t="s">
        <v>11</v>
      </c>
      <c r="B123" t="s">
        <v>54</v>
      </c>
      <c r="C123" t="s">
        <v>78</v>
      </c>
      <c r="D123">
        <v>29.3</v>
      </c>
      <c r="E123">
        <f>Tableau2[[#This Row],[Potential (PJ)]]/3.6</f>
        <v>8.1388888888888893</v>
      </c>
      <c r="F123">
        <v>2.8618327645051189</v>
      </c>
      <c r="G123">
        <f>Tableau2[[#This Row],[Cost (€/GJ)]]/1000*3600</f>
        <v>10.302597952218427</v>
      </c>
      <c r="H123">
        <v>3.86607608129234</v>
      </c>
      <c r="I123">
        <f>Tableau2[[#This Row],[GHG (kgCO2eq/GJ)]]*3.6</f>
        <v>13.917873892652425</v>
      </c>
      <c r="J123" t="s">
        <v>104</v>
      </c>
      <c r="K123" t="s">
        <v>108</v>
      </c>
    </row>
    <row r="124" spans="1:11" x14ac:dyDescent="0.3">
      <c r="A124" t="s">
        <v>12</v>
      </c>
      <c r="B124" t="s">
        <v>49</v>
      </c>
      <c r="C124" t="s">
        <v>71</v>
      </c>
      <c r="D124">
        <v>37.254899999999999</v>
      </c>
      <c r="E124">
        <f>Tableau2[[#This Row],[Potential (PJ)]]/3.6</f>
        <v>10.348583333333332</v>
      </c>
      <c r="F124">
        <v>0</v>
      </c>
      <c r="G124">
        <f>Tableau2[[#This Row],[Cost (€/GJ)]]/1000*3600</f>
        <v>0</v>
      </c>
      <c r="H124">
        <v>3.86607608129234</v>
      </c>
      <c r="I124">
        <f>Tableau2[[#This Row],[GHG (kgCO2eq/GJ)]]*3.6</f>
        <v>13.917873892652425</v>
      </c>
      <c r="J124" t="s">
        <v>104</v>
      </c>
      <c r="K124" t="s">
        <v>108</v>
      </c>
    </row>
    <row r="125" spans="1:11" x14ac:dyDescent="0.3">
      <c r="A125" t="s">
        <v>12</v>
      </c>
      <c r="B125" t="s">
        <v>49</v>
      </c>
      <c r="C125" t="s">
        <v>72</v>
      </c>
      <c r="D125">
        <v>3</v>
      </c>
      <c r="E125">
        <f>Tableau2[[#This Row],[Potential (PJ)]]/3.6</f>
        <v>0.83333333333333326</v>
      </c>
      <c r="F125">
        <v>0</v>
      </c>
      <c r="G125">
        <f>Tableau2[[#This Row],[Cost (€/GJ)]]/1000*3600</f>
        <v>0</v>
      </c>
      <c r="H125">
        <v>3.86607608129234</v>
      </c>
      <c r="I125">
        <f>Tableau2[[#This Row],[GHG (kgCO2eq/GJ)]]*3.6</f>
        <v>13.917873892652425</v>
      </c>
      <c r="J125" t="s">
        <v>104</v>
      </c>
      <c r="K125" t="s">
        <v>108</v>
      </c>
    </row>
    <row r="126" spans="1:11" x14ac:dyDescent="0.3">
      <c r="A126" t="s">
        <v>12</v>
      </c>
      <c r="B126" t="s">
        <v>51</v>
      </c>
      <c r="C126" t="s">
        <v>75</v>
      </c>
      <c r="D126">
        <v>31.90427</v>
      </c>
      <c r="E126">
        <f>Tableau2[[#This Row],[Potential (PJ)]]/3.6</f>
        <v>8.8622972222222227</v>
      </c>
      <c r="F126">
        <v>0.117870100719024</v>
      </c>
      <c r="G126">
        <f>Tableau2[[#This Row],[Cost (€/GJ)]]/1000*3600</f>
        <v>0.42433236258848639</v>
      </c>
      <c r="H126">
        <v>11.74</v>
      </c>
      <c r="I126">
        <f>Tableau2[[#This Row],[GHG (kgCO2eq/GJ)]]*3.6</f>
        <v>42.264000000000003</v>
      </c>
      <c r="J126" t="s">
        <v>104</v>
      </c>
      <c r="K126" t="s">
        <v>108</v>
      </c>
    </row>
    <row r="127" spans="1:11" x14ac:dyDescent="0.3">
      <c r="A127" t="s">
        <v>12</v>
      </c>
      <c r="B127" t="s">
        <v>53</v>
      </c>
      <c r="C127" t="s">
        <v>77</v>
      </c>
      <c r="D127">
        <v>3.1</v>
      </c>
      <c r="E127">
        <f>Tableau2[[#This Row],[Potential (PJ)]]/3.6</f>
        <v>0.86111111111111116</v>
      </c>
      <c r="F127">
        <v>0</v>
      </c>
      <c r="G127">
        <f>Tableau2[[#This Row],[Cost (€/GJ)]]/1000*3600</f>
        <v>0</v>
      </c>
      <c r="H127">
        <v>3.86607608129234</v>
      </c>
      <c r="I127">
        <f>Tableau2[[#This Row],[GHG (kgCO2eq/GJ)]]*3.6</f>
        <v>13.917873892652425</v>
      </c>
      <c r="J127" t="s">
        <v>104</v>
      </c>
      <c r="K127" t="s">
        <v>108</v>
      </c>
    </row>
    <row r="128" spans="1:11" x14ac:dyDescent="0.3">
      <c r="A128" t="s">
        <v>12</v>
      </c>
      <c r="B128" t="s">
        <v>54</v>
      </c>
      <c r="C128" t="s">
        <v>78</v>
      </c>
      <c r="D128">
        <v>39.4</v>
      </c>
      <c r="E128">
        <f>Tableau2[[#This Row],[Potential (PJ)]]/3.6</f>
        <v>10.944444444444445</v>
      </c>
      <c r="F128">
        <v>0</v>
      </c>
      <c r="G128">
        <f>Tableau2[[#This Row],[Cost (€/GJ)]]/1000*3600</f>
        <v>0</v>
      </c>
      <c r="H128">
        <v>3.86607608129234</v>
      </c>
      <c r="I128">
        <f>Tableau2[[#This Row],[GHG (kgCO2eq/GJ)]]*3.6</f>
        <v>13.917873892652425</v>
      </c>
      <c r="J128" t="s">
        <v>104</v>
      </c>
      <c r="K128" t="s">
        <v>108</v>
      </c>
    </row>
    <row r="129" spans="1:11" hidden="1" x14ac:dyDescent="0.3">
      <c r="A129" t="s">
        <v>13</v>
      </c>
      <c r="B129" t="s">
        <v>46</v>
      </c>
      <c r="C129" t="s">
        <v>63</v>
      </c>
      <c r="D129">
        <v>3.4500000000000003E-2</v>
      </c>
      <c r="E129">
        <f>Tableau2[[#This Row],[Potential (PJ)]]/3.6</f>
        <v>9.5833333333333343E-3</v>
      </c>
      <c r="F129">
        <v>2.9286474973375931</v>
      </c>
      <c r="G129">
        <f>Tableau2[[#This Row],[Cost (€/GJ)]]/1000*3600</f>
        <v>10.543130990415335</v>
      </c>
      <c r="H129">
        <v>3.950479233226837</v>
      </c>
      <c r="I129">
        <f>Tableau2[[#This Row],[GHG (kgCO2eq/GJ)]]*3.6</f>
        <v>14.221725239616614</v>
      </c>
      <c r="J129" t="s">
        <v>104</v>
      </c>
      <c r="K129" t="s">
        <v>108</v>
      </c>
    </row>
    <row r="130" spans="1:11" hidden="1" x14ac:dyDescent="0.3">
      <c r="A130" t="s">
        <v>13</v>
      </c>
      <c r="B130" t="s">
        <v>46</v>
      </c>
      <c r="C130" t="s">
        <v>64</v>
      </c>
      <c r="D130">
        <v>8.43E-3</v>
      </c>
      <c r="E130">
        <f>Tableau2[[#This Row],[Potential (PJ)]]/3.6</f>
        <v>2.3416666666666668E-3</v>
      </c>
      <c r="F130">
        <v>5.0540000000000003</v>
      </c>
      <c r="G130">
        <f>Tableau2[[#This Row],[Cost (€/GJ)]]/1000*3600</f>
        <v>18.194400000000002</v>
      </c>
      <c r="H130">
        <v>2.9521711768407801</v>
      </c>
      <c r="I130">
        <f>Tableau2[[#This Row],[GHG (kgCO2eq/GJ)]]*3.6</f>
        <v>10.627816236626808</v>
      </c>
      <c r="J130" t="s">
        <v>104</v>
      </c>
      <c r="K130" t="s">
        <v>108</v>
      </c>
    </row>
    <row r="131" spans="1:11" hidden="1" x14ac:dyDescent="0.3">
      <c r="A131" t="s">
        <v>13</v>
      </c>
      <c r="B131" t="s">
        <v>46</v>
      </c>
      <c r="C131" t="s">
        <v>65</v>
      </c>
      <c r="D131">
        <v>0.1</v>
      </c>
      <c r="E131">
        <f>Tableau2[[#This Row],[Potential (PJ)]]/3.6</f>
        <v>2.777777777777778E-2</v>
      </c>
      <c r="F131">
        <v>4.4660000000000002</v>
      </c>
      <c r="G131">
        <f>Tableau2[[#This Row],[Cost (€/GJ)]]/1000*3600</f>
        <v>16.0776</v>
      </c>
      <c r="H131">
        <v>2.9521711768407801</v>
      </c>
      <c r="I131">
        <f>Tableau2[[#This Row],[GHG (kgCO2eq/GJ)]]*3.6</f>
        <v>10.627816236626808</v>
      </c>
      <c r="J131" t="s">
        <v>104</v>
      </c>
      <c r="K131" t="s">
        <v>108</v>
      </c>
    </row>
    <row r="132" spans="1:11" hidden="1" x14ac:dyDescent="0.3">
      <c r="A132" t="s">
        <v>13</v>
      </c>
      <c r="B132" t="s">
        <v>46</v>
      </c>
      <c r="C132" t="s">
        <v>102</v>
      </c>
      <c r="D132">
        <v>0.1</v>
      </c>
      <c r="E132">
        <f>Tableau2[[#This Row],[Potential (PJ)]]/3.6</f>
        <v>2.777777777777778E-2</v>
      </c>
      <c r="F132">
        <v>3.9340000000000002</v>
      </c>
      <c r="G132">
        <f>Tableau2[[#This Row],[Cost (€/GJ)]]/1000*3600</f>
        <v>14.1624</v>
      </c>
      <c r="H132">
        <v>2.9521711768407801</v>
      </c>
      <c r="I132">
        <f>Tableau2[[#This Row],[GHG (kgCO2eq/GJ)]]*3.6</f>
        <v>10.627816236626808</v>
      </c>
      <c r="J132" t="s">
        <v>104</v>
      </c>
      <c r="K132" t="s">
        <v>108</v>
      </c>
    </row>
    <row r="133" spans="1:11" hidden="1" x14ac:dyDescent="0.3">
      <c r="A133" t="s">
        <v>13</v>
      </c>
      <c r="B133" t="s">
        <v>46</v>
      </c>
      <c r="C133" t="s">
        <v>80</v>
      </c>
      <c r="D133">
        <v>0.12330000000000001</v>
      </c>
      <c r="E133">
        <f>Tableau2[[#This Row],[Potential (PJ)]]/3.6</f>
        <v>3.4250000000000003E-2</v>
      </c>
      <c r="F133">
        <v>1.2157788267026299</v>
      </c>
      <c r="G133">
        <f>Tableau2[[#This Row],[Cost (€/GJ)]]/1000*3600</f>
        <v>4.376803776129468</v>
      </c>
      <c r="H133">
        <v>28.139870918023309</v>
      </c>
      <c r="I133">
        <f>Tableau2[[#This Row],[GHG (kgCO2eq/GJ)]]*3.6</f>
        <v>101.30353530488391</v>
      </c>
      <c r="J133" t="s">
        <v>105</v>
      </c>
      <c r="K133" t="s">
        <v>108</v>
      </c>
    </row>
    <row r="134" spans="1:11" hidden="1" x14ac:dyDescent="0.3">
      <c r="A134" t="s">
        <v>13</v>
      </c>
      <c r="B134" t="s">
        <v>46</v>
      </c>
      <c r="C134" t="s">
        <v>81</v>
      </c>
      <c r="D134">
        <v>3.0999999999999999E-3</v>
      </c>
      <c r="E134">
        <f>Tableau2[[#This Row],[Potential (PJ)]]/3.6</f>
        <v>8.611111111111111E-4</v>
      </c>
      <c r="F134">
        <v>3.252643948296122</v>
      </c>
      <c r="G134">
        <f>Tableau2[[#This Row],[Cost (€/GJ)]]/1000*3600</f>
        <v>11.709518213866041</v>
      </c>
      <c r="H134">
        <v>8.9647473560517046</v>
      </c>
      <c r="I134">
        <f>Tableau2[[#This Row],[GHG (kgCO2eq/GJ)]]*3.6</f>
        <v>32.273090481786134</v>
      </c>
      <c r="J134" t="s">
        <v>105</v>
      </c>
      <c r="K134" t="s">
        <v>108</v>
      </c>
    </row>
    <row r="135" spans="1:11" hidden="1" x14ac:dyDescent="0.3">
      <c r="A135" t="s">
        <v>13</v>
      </c>
      <c r="B135" t="s">
        <v>46</v>
      </c>
      <c r="C135" t="s">
        <v>67</v>
      </c>
      <c r="D135">
        <v>0.1</v>
      </c>
      <c r="E135">
        <f>Tableau2[[#This Row],[Potential (PJ)]]/3.6</f>
        <v>2.777777777777778E-2</v>
      </c>
      <c r="F135">
        <v>6.21</v>
      </c>
      <c r="G135">
        <f>Tableau2[[#This Row],[Cost (€/GJ)]]/1000*3600</f>
        <v>22.356000000000002</v>
      </c>
      <c r="H135">
        <v>2.9521711768407801</v>
      </c>
      <c r="I135">
        <f>Tableau2[[#This Row],[GHG (kgCO2eq/GJ)]]*3.6</f>
        <v>10.627816236626808</v>
      </c>
      <c r="J135" t="s">
        <v>104</v>
      </c>
      <c r="K135" t="s">
        <v>108</v>
      </c>
    </row>
    <row r="136" spans="1:11" hidden="1" x14ac:dyDescent="0.3">
      <c r="A136" t="s">
        <v>13</v>
      </c>
      <c r="B136" t="s">
        <v>47</v>
      </c>
      <c r="C136" t="s">
        <v>68</v>
      </c>
      <c r="D136">
        <v>0.6</v>
      </c>
      <c r="E136">
        <f>Tableau2[[#This Row],[Potential (PJ)]]/3.6</f>
        <v>0.16666666666666666</v>
      </c>
      <c r="F136">
        <v>5.2709999999999999</v>
      </c>
      <c r="G136">
        <f>Tableau2[[#This Row],[Cost (€/GJ)]]/1000*3600</f>
        <v>18.9756</v>
      </c>
      <c r="H136">
        <v>13.5</v>
      </c>
      <c r="I136">
        <f>Tableau2[[#This Row],[GHG (kgCO2eq/GJ)]]*3.6</f>
        <v>48.6</v>
      </c>
      <c r="J136" t="s">
        <v>104</v>
      </c>
      <c r="K136" t="s">
        <v>109</v>
      </c>
    </row>
    <row r="137" spans="1:11" hidden="1" x14ac:dyDescent="0.3">
      <c r="A137" t="s">
        <v>13</v>
      </c>
      <c r="B137" t="s">
        <v>48</v>
      </c>
      <c r="C137" t="s">
        <v>70</v>
      </c>
      <c r="D137">
        <v>0.3</v>
      </c>
      <c r="E137">
        <f>Tableau2[[#This Row],[Potential (PJ)]]/3.6</f>
        <v>8.3333333333333329E-2</v>
      </c>
      <c r="F137">
        <v>12.675000000000001</v>
      </c>
      <c r="G137">
        <f>Tableau2[[#This Row],[Cost (€/GJ)]]/1000*3600</f>
        <v>45.63</v>
      </c>
      <c r="H137">
        <v>0</v>
      </c>
      <c r="I137">
        <f>Tableau2[[#This Row],[GHG (kgCO2eq/GJ)]]*3.6</f>
        <v>0</v>
      </c>
      <c r="J137" t="s">
        <v>104</v>
      </c>
      <c r="K137" t="s">
        <v>109</v>
      </c>
    </row>
    <row r="138" spans="1:11" hidden="1" x14ac:dyDescent="0.3">
      <c r="A138" t="s">
        <v>13</v>
      </c>
      <c r="B138" t="s">
        <v>50</v>
      </c>
      <c r="C138" t="s">
        <v>73</v>
      </c>
      <c r="D138">
        <v>0.7</v>
      </c>
      <c r="E138">
        <f>Tableau2[[#This Row],[Potential (PJ)]]/3.6</f>
        <v>0.19444444444444442</v>
      </c>
      <c r="F138">
        <v>5.37</v>
      </c>
      <c r="G138">
        <f>Tableau2[[#This Row],[Cost (€/GJ)]]/1000*3600</f>
        <v>19.332000000000001</v>
      </c>
      <c r="H138">
        <v>20.723404255319149</v>
      </c>
      <c r="I138">
        <f>Tableau2[[#This Row],[GHG (kgCO2eq/GJ)]]*3.6</f>
        <v>74.604255319148933</v>
      </c>
      <c r="J138" t="s">
        <v>105</v>
      </c>
      <c r="K138" t="s">
        <v>108</v>
      </c>
    </row>
    <row r="139" spans="1:11" hidden="1" x14ac:dyDescent="0.3">
      <c r="A139" t="s">
        <v>13</v>
      </c>
      <c r="B139" t="s">
        <v>50</v>
      </c>
      <c r="C139" t="s">
        <v>74</v>
      </c>
      <c r="D139">
        <v>3.8</v>
      </c>
      <c r="E139">
        <f>Tableau2[[#This Row],[Potential (PJ)]]/3.6</f>
        <v>1.0555555555555556</v>
      </c>
      <c r="F139">
        <v>4.3220000000000001</v>
      </c>
      <c r="G139">
        <f>Tableau2[[#This Row],[Cost (€/GJ)]]/1000*3600</f>
        <v>15.559200000000001</v>
      </c>
      <c r="H139">
        <v>2.0635593220338988</v>
      </c>
      <c r="I139">
        <f>Tableau2[[#This Row],[GHG (kgCO2eq/GJ)]]*3.6</f>
        <v>7.4288135593220357</v>
      </c>
      <c r="J139" t="s">
        <v>105</v>
      </c>
      <c r="K139" t="s">
        <v>108</v>
      </c>
    </row>
    <row r="140" spans="1:11" x14ac:dyDescent="0.3">
      <c r="A140" t="s">
        <v>13</v>
      </c>
      <c r="B140" t="s">
        <v>51</v>
      </c>
      <c r="C140" t="s">
        <v>75</v>
      </c>
      <c r="D140">
        <v>2.6793640000000001</v>
      </c>
      <c r="E140">
        <f>Tableau2[[#This Row],[Potential (PJ)]]/3.6</f>
        <v>0.74426777777777775</v>
      </c>
      <c r="F140">
        <v>4.3221731549732299E-3</v>
      </c>
      <c r="G140">
        <f>Tableau2[[#This Row],[Cost (€/GJ)]]/1000*3600</f>
        <v>1.5559823357903626E-2</v>
      </c>
      <c r="H140">
        <v>11.74</v>
      </c>
      <c r="I140">
        <f>Tableau2[[#This Row],[GHG (kgCO2eq/GJ)]]*3.6</f>
        <v>42.264000000000003</v>
      </c>
      <c r="J140" t="s">
        <v>104</v>
      </c>
      <c r="K140" t="s">
        <v>108</v>
      </c>
    </row>
    <row r="141" spans="1:11" hidden="1" x14ac:dyDescent="0.3">
      <c r="A141" t="s">
        <v>13</v>
      </c>
      <c r="B141" t="s">
        <v>52</v>
      </c>
      <c r="C141" t="s">
        <v>76</v>
      </c>
      <c r="D141">
        <v>3.0000000000000001E-3</v>
      </c>
      <c r="E141">
        <f>Tableau2[[#This Row],[Potential (PJ)]]/3.6</f>
        <v>8.3333333333333328E-4</v>
      </c>
      <c r="F141">
        <v>5.4702337500000002</v>
      </c>
      <c r="G141">
        <f>Tableau2[[#This Row],[Cost (€/GJ)]]/1000*3600</f>
        <v>19.6928415</v>
      </c>
      <c r="H141">
        <v>12.68872359754714</v>
      </c>
      <c r="I141">
        <f>Tableau2[[#This Row],[GHG (kgCO2eq/GJ)]]*3.6</f>
        <v>45.679404951169708</v>
      </c>
      <c r="J141" t="s">
        <v>105</v>
      </c>
      <c r="K141" t="s">
        <v>108</v>
      </c>
    </row>
    <row r="142" spans="1:11" hidden="1" x14ac:dyDescent="0.3">
      <c r="A142" t="s">
        <v>14</v>
      </c>
      <c r="B142" t="s">
        <v>46</v>
      </c>
      <c r="C142" t="s">
        <v>64</v>
      </c>
      <c r="D142">
        <v>0.1111</v>
      </c>
      <c r="E142">
        <f>Tableau2[[#This Row],[Potential (PJ)]]/3.6</f>
        <v>3.086111111111111E-2</v>
      </c>
      <c r="F142">
        <v>4.9866307830783079</v>
      </c>
      <c r="G142">
        <f>Tableau2[[#This Row],[Cost (€/GJ)]]/1000*3600</f>
        <v>17.951870819081908</v>
      </c>
      <c r="H142">
        <v>2.9521711768407801</v>
      </c>
      <c r="I142">
        <f>Tableau2[[#This Row],[GHG (kgCO2eq/GJ)]]*3.6</f>
        <v>10.627816236626808</v>
      </c>
      <c r="J142" t="s">
        <v>104</v>
      </c>
      <c r="K142" t="s">
        <v>108</v>
      </c>
    </row>
    <row r="143" spans="1:11" hidden="1" x14ac:dyDescent="0.3">
      <c r="A143" t="s">
        <v>14</v>
      </c>
      <c r="B143" t="s">
        <v>46</v>
      </c>
      <c r="C143" t="s">
        <v>79</v>
      </c>
      <c r="D143">
        <v>29.4</v>
      </c>
      <c r="E143">
        <f>Tableau2[[#This Row],[Potential (PJ)]]/3.6</f>
        <v>8.1666666666666661</v>
      </c>
      <c r="F143">
        <v>3.4848843537414971</v>
      </c>
      <c r="G143">
        <f>Tableau2[[#This Row],[Cost (€/GJ)]]/1000*3600</f>
        <v>12.545583673469389</v>
      </c>
      <c r="H143">
        <v>6.8428961748633883</v>
      </c>
      <c r="I143">
        <f>Tableau2[[#This Row],[GHG (kgCO2eq/GJ)]]*3.6</f>
        <v>24.634426229508197</v>
      </c>
      <c r="J143" t="s">
        <v>104</v>
      </c>
      <c r="K143" t="s">
        <v>108</v>
      </c>
    </row>
    <row r="144" spans="1:11" hidden="1" x14ac:dyDescent="0.3">
      <c r="A144" t="s">
        <v>14</v>
      </c>
      <c r="B144" t="s">
        <v>46</v>
      </c>
      <c r="C144" t="s">
        <v>80</v>
      </c>
      <c r="D144">
        <v>0.505</v>
      </c>
      <c r="E144">
        <f>Tableau2[[#This Row],[Potential (PJ)]]/3.6</f>
        <v>0.14027777777777778</v>
      </c>
      <c r="F144">
        <v>0.48482805124747141</v>
      </c>
      <c r="G144">
        <f>Tableau2[[#This Row],[Cost (€/GJ)]]/1000*3600</f>
        <v>1.7453809844908972</v>
      </c>
      <c r="H144">
        <v>28.139870918023309</v>
      </c>
      <c r="I144">
        <f>Tableau2[[#This Row],[GHG (kgCO2eq/GJ)]]*3.6</f>
        <v>101.30353530488391</v>
      </c>
      <c r="J144" t="s">
        <v>105</v>
      </c>
      <c r="K144" t="s">
        <v>108</v>
      </c>
    </row>
    <row r="145" spans="1:11" hidden="1" x14ac:dyDescent="0.3">
      <c r="A145" t="s">
        <v>14</v>
      </c>
      <c r="B145" t="s">
        <v>46</v>
      </c>
      <c r="C145" t="s">
        <v>81</v>
      </c>
      <c r="D145">
        <v>0.32229999999999998</v>
      </c>
      <c r="E145">
        <f>Tableau2[[#This Row],[Potential (PJ)]]/3.6</f>
        <v>8.9527777777777776E-2</v>
      </c>
      <c r="F145">
        <v>1.2338425381903639</v>
      </c>
      <c r="G145">
        <f>Tableau2[[#This Row],[Cost (€/GJ)]]/1000*3600</f>
        <v>4.4418331374853102</v>
      </c>
      <c r="H145">
        <v>8.9647473560517046</v>
      </c>
      <c r="I145">
        <f>Tableau2[[#This Row],[GHG (kgCO2eq/GJ)]]*3.6</f>
        <v>32.273090481786134</v>
      </c>
      <c r="J145" t="s">
        <v>105</v>
      </c>
      <c r="K145" t="s">
        <v>108</v>
      </c>
    </row>
    <row r="146" spans="1:11" hidden="1" x14ac:dyDescent="0.3">
      <c r="A146" t="s">
        <v>14</v>
      </c>
      <c r="B146" t="s">
        <v>46</v>
      </c>
      <c r="C146" t="s">
        <v>66</v>
      </c>
      <c r="D146">
        <v>0.89999999999999991</v>
      </c>
      <c r="E146">
        <f>Tableau2[[#This Row],[Potential (PJ)]]/3.6</f>
        <v>0.24999999999999997</v>
      </c>
      <c r="F146">
        <v>3.746</v>
      </c>
      <c r="G146">
        <f>Tableau2[[#This Row],[Cost (€/GJ)]]/1000*3600</f>
        <v>13.485600000000002</v>
      </c>
      <c r="H146">
        <v>6.8428961748633883</v>
      </c>
      <c r="I146">
        <f>Tableau2[[#This Row],[GHG (kgCO2eq/GJ)]]*3.6</f>
        <v>24.634426229508197</v>
      </c>
      <c r="J146" t="s">
        <v>104</v>
      </c>
      <c r="K146" t="s">
        <v>108</v>
      </c>
    </row>
    <row r="147" spans="1:11" hidden="1" x14ac:dyDescent="0.3">
      <c r="A147" t="s">
        <v>14</v>
      </c>
      <c r="B147" t="s">
        <v>46</v>
      </c>
      <c r="C147" t="s">
        <v>82</v>
      </c>
      <c r="D147">
        <v>3.8</v>
      </c>
      <c r="E147">
        <f>Tableau2[[#This Row],[Potential (PJ)]]/3.6</f>
        <v>1.0555555555555556</v>
      </c>
      <c r="F147">
        <v>2.1908157894736839</v>
      </c>
      <c r="G147">
        <f>Tableau2[[#This Row],[Cost (€/GJ)]]/1000*3600</f>
        <v>7.8869368421052624</v>
      </c>
      <c r="H147">
        <v>6.8428961748633883</v>
      </c>
      <c r="I147">
        <f>Tableau2[[#This Row],[GHG (kgCO2eq/GJ)]]*3.6</f>
        <v>24.634426229508197</v>
      </c>
      <c r="J147" t="s">
        <v>104</v>
      </c>
      <c r="K147" t="s">
        <v>108</v>
      </c>
    </row>
    <row r="148" spans="1:11" hidden="1" x14ac:dyDescent="0.3">
      <c r="A148" t="s">
        <v>14</v>
      </c>
      <c r="B148" t="s">
        <v>46</v>
      </c>
      <c r="C148" t="s">
        <v>84</v>
      </c>
      <c r="D148">
        <v>0.5</v>
      </c>
      <c r="E148">
        <f>Tableau2[[#This Row],[Potential (PJ)]]/3.6</f>
        <v>0.1388888888888889</v>
      </c>
      <c r="F148">
        <v>2.0539999999999998</v>
      </c>
      <c r="G148">
        <f>Tableau2[[#This Row],[Cost (€/GJ)]]/1000*3600</f>
        <v>7.3943999999999992</v>
      </c>
      <c r="H148">
        <v>28.139870918023309</v>
      </c>
      <c r="I148">
        <f>Tableau2[[#This Row],[GHG (kgCO2eq/GJ)]]*3.6</f>
        <v>101.30353530488391</v>
      </c>
      <c r="J148" t="s">
        <v>105</v>
      </c>
      <c r="K148" t="s">
        <v>108</v>
      </c>
    </row>
    <row r="149" spans="1:11" hidden="1" x14ac:dyDescent="0.3">
      <c r="A149" t="s">
        <v>14</v>
      </c>
      <c r="B149" t="s">
        <v>46</v>
      </c>
      <c r="C149" t="s">
        <v>85</v>
      </c>
      <c r="D149">
        <v>0.2</v>
      </c>
      <c r="E149">
        <f>Tableau2[[#This Row],[Potential (PJ)]]/3.6</f>
        <v>5.5555555555555559E-2</v>
      </c>
      <c r="F149">
        <v>3.0960000000000001</v>
      </c>
      <c r="G149">
        <f>Tableau2[[#This Row],[Cost (€/GJ)]]/1000*3600</f>
        <v>11.1456</v>
      </c>
      <c r="H149">
        <v>2.9521711768407801</v>
      </c>
      <c r="I149">
        <f>Tableau2[[#This Row],[GHG (kgCO2eq/GJ)]]*3.6</f>
        <v>10.627816236626808</v>
      </c>
      <c r="J149" t="s">
        <v>104</v>
      </c>
      <c r="K149" t="s">
        <v>108</v>
      </c>
    </row>
    <row r="150" spans="1:11" hidden="1" x14ac:dyDescent="0.3">
      <c r="A150" t="s">
        <v>14</v>
      </c>
      <c r="B150" t="s">
        <v>55</v>
      </c>
      <c r="C150" t="s">
        <v>86</v>
      </c>
      <c r="D150">
        <v>0.8508</v>
      </c>
      <c r="E150">
        <f>Tableau2[[#This Row],[Potential (PJ)]]/3.6</f>
        <v>0.23633333333333334</v>
      </c>
      <c r="F150">
        <v>16.027000000000001</v>
      </c>
      <c r="G150">
        <f>Tableau2[[#This Row],[Cost (€/GJ)]]/1000*3600</f>
        <v>57.697199999999995</v>
      </c>
      <c r="H150">
        <v>11.7</v>
      </c>
      <c r="I150">
        <f>Tableau2[[#This Row],[GHG (kgCO2eq/GJ)]]*3.6</f>
        <v>42.12</v>
      </c>
      <c r="J150" t="s">
        <v>106</v>
      </c>
      <c r="K150" t="s">
        <v>109</v>
      </c>
    </row>
    <row r="151" spans="1:11" hidden="1" x14ac:dyDescent="0.3">
      <c r="A151" t="s">
        <v>14</v>
      </c>
      <c r="B151" t="s">
        <v>55</v>
      </c>
      <c r="C151" t="s">
        <v>88</v>
      </c>
      <c r="D151">
        <v>0.79759999999999998</v>
      </c>
      <c r="E151">
        <f>Tableau2[[#This Row],[Potential (PJ)]]/3.6</f>
        <v>0.22155555555555553</v>
      </c>
      <c r="F151">
        <v>16.309999999999999</v>
      </c>
      <c r="G151">
        <f>Tableau2[[#This Row],[Cost (€/GJ)]]/1000*3600</f>
        <v>58.715999999999994</v>
      </c>
      <c r="H151">
        <v>11.7</v>
      </c>
      <c r="I151">
        <f>Tableau2[[#This Row],[GHG (kgCO2eq/GJ)]]*3.6</f>
        <v>42.12</v>
      </c>
      <c r="J151" t="s">
        <v>106</v>
      </c>
      <c r="K151" t="s">
        <v>109</v>
      </c>
    </row>
    <row r="152" spans="1:11" hidden="1" x14ac:dyDescent="0.3">
      <c r="A152" t="s">
        <v>14</v>
      </c>
      <c r="B152" t="s">
        <v>55</v>
      </c>
      <c r="C152" t="s">
        <v>89</v>
      </c>
      <c r="D152">
        <v>0.1061</v>
      </c>
      <c r="E152">
        <f>Tableau2[[#This Row],[Potential (PJ)]]/3.6</f>
        <v>2.9472222222222223E-2</v>
      </c>
      <c r="F152">
        <v>0</v>
      </c>
      <c r="G152">
        <f>Tableau2[[#This Row],[Cost (€/GJ)]]/1000*3600</f>
        <v>0</v>
      </c>
      <c r="H152">
        <v>11.7</v>
      </c>
      <c r="I152">
        <f>Tableau2[[#This Row],[GHG (kgCO2eq/GJ)]]*3.6</f>
        <v>42.12</v>
      </c>
      <c r="J152" t="s">
        <v>106</v>
      </c>
      <c r="K152" t="s">
        <v>109</v>
      </c>
    </row>
    <row r="153" spans="1:11" hidden="1" x14ac:dyDescent="0.3">
      <c r="A153" t="s">
        <v>14</v>
      </c>
      <c r="B153" t="s">
        <v>55</v>
      </c>
      <c r="C153" t="s">
        <v>90</v>
      </c>
      <c r="D153">
        <v>7.1999999999999998E-3</v>
      </c>
      <c r="E153">
        <f>Tableau2[[#This Row],[Potential (PJ)]]/3.6</f>
        <v>2E-3</v>
      </c>
      <c r="F153">
        <v>13.617000000000001</v>
      </c>
      <c r="G153">
        <f>Tableau2[[#This Row],[Cost (€/GJ)]]/1000*3600</f>
        <v>49.0212</v>
      </c>
      <c r="H153">
        <v>11.7</v>
      </c>
      <c r="I153">
        <f>Tableau2[[#This Row],[GHG (kgCO2eq/GJ)]]*3.6</f>
        <v>42.12</v>
      </c>
      <c r="J153" t="s">
        <v>106</v>
      </c>
      <c r="K153" t="s">
        <v>109</v>
      </c>
    </row>
    <row r="154" spans="1:11" hidden="1" x14ac:dyDescent="0.3">
      <c r="A154" t="s">
        <v>14</v>
      </c>
      <c r="B154" t="s">
        <v>55</v>
      </c>
      <c r="C154" t="s">
        <v>91</v>
      </c>
      <c r="D154">
        <v>0.33069999999999999</v>
      </c>
      <c r="E154">
        <f>Tableau2[[#This Row],[Potential (PJ)]]/3.6</f>
        <v>9.1861111111111102E-2</v>
      </c>
      <c r="F154">
        <v>14.637</v>
      </c>
      <c r="G154">
        <f>Tableau2[[#This Row],[Cost (€/GJ)]]/1000*3600</f>
        <v>52.693200000000004</v>
      </c>
      <c r="H154">
        <v>11.7</v>
      </c>
      <c r="I154">
        <f>Tableau2[[#This Row],[GHG (kgCO2eq/GJ)]]*3.6</f>
        <v>42.12</v>
      </c>
      <c r="J154" t="s">
        <v>106</v>
      </c>
      <c r="K154" t="s">
        <v>109</v>
      </c>
    </row>
    <row r="155" spans="1:11" hidden="1" x14ac:dyDescent="0.3">
      <c r="A155" t="s">
        <v>14</v>
      </c>
      <c r="B155" t="s">
        <v>55</v>
      </c>
      <c r="C155" t="s">
        <v>92</v>
      </c>
      <c r="D155">
        <v>0.87702000000000002</v>
      </c>
      <c r="E155">
        <f>Tableau2[[#This Row],[Potential (PJ)]]/3.6</f>
        <v>0.24361666666666668</v>
      </c>
      <c r="F155">
        <v>14.288</v>
      </c>
      <c r="G155">
        <f>Tableau2[[#This Row],[Cost (€/GJ)]]/1000*3600</f>
        <v>51.436799999999998</v>
      </c>
      <c r="H155">
        <v>11.7</v>
      </c>
      <c r="I155">
        <f>Tableau2[[#This Row],[GHG (kgCO2eq/GJ)]]*3.6</f>
        <v>42.12</v>
      </c>
      <c r="J155" t="s">
        <v>106</v>
      </c>
      <c r="K155" t="s">
        <v>109</v>
      </c>
    </row>
    <row r="156" spans="1:11" hidden="1" x14ac:dyDescent="0.3">
      <c r="A156" t="s">
        <v>14</v>
      </c>
      <c r="B156" t="s">
        <v>56</v>
      </c>
      <c r="C156" t="s">
        <v>93</v>
      </c>
      <c r="D156">
        <v>34.388100000000001</v>
      </c>
      <c r="E156">
        <f>Tableau2[[#This Row],[Potential (PJ)]]/3.6</f>
        <v>9.5522500000000008</v>
      </c>
      <c r="F156">
        <v>2.9493975903614462</v>
      </c>
      <c r="G156">
        <f>Tableau2[[#This Row],[Cost (€/GJ)]]/1000*3600</f>
        <v>10.617831325301207</v>
      </c>
      <c r="H156">
        <v>20.3</v>
      </c>
      <c r="I156">
        <f>Tableau2[[#This Row],[GHG (kgCO2eq/GJ)]]*3.6</f>
        <v>73.08</v>
      </c>
      <c r="J156" t="s">
        <v>106</v>
      </c>
      <c r="K156" t="s">
        <v>109</v>
      </c>
    </row>
    <row r="157" spans="1:11" hidden="1" x14ac:dyDescent="0.3">
      <c r="A157" t="s">
        <v>14</v>
      </c>
      <c r="B157" t="s">
        <v>47</v>
      </c>
      <c r="C157" t="s">
        <v>68</v>
      </c>
      <c r="D157">
        <v>14.3</v>
      </c>
      <c r="E157">
        <f>Tableau2[[#This Row],[Potential (PJ)]]/3.6</f>
        <v>3.9722222222222223</v>
      </c>
      <c r="F157">
        <v>3.0502027972027981</v>
      </c>
      <c r="G157">
        <f>Tableau2[[#This Row],[Cost (€/GJ)]]/1000*3600</f>
        <v>10.980730069930074</v>
      </c>
      <c r="H157">
        <v>18.100000000000001</v>
      </c>
      <c r="I157">
        <f>Tableau2[[#This Row],[GHG (kgCO2eq/GJ)]]*3.6</f>
        <v>65.160000000000011</v>
      </c>
      <c r="J157" t="s">
        <v>104</v>
      </c>
      <c r="K157" t="s">
        <v>109</v>
      </c>
    </row>
    <row r="158" spans="1:11" hidden="1" x14ac:dyDescent="0.3">
      <c r="A158" t="s">
        <v>14</v>
      </c>
      <c r="B158" t="s">
        <v>47</v>
      </c>
      <c r="C158" t="s">
        <v>69</v>
      </c>
      <c r="D158">
        <v>13.8</v>
      </c>
      <c r="E158">
        <f>Tableau2[[#This Row],[Potential (PJ)]]/3.6</f>
        <v>3.8333333333333335</v>
      </c>
      <c r="F158">
        <v>2.685021739130435</v>
      </c>
      <c r="G158">
        <f>Tableau2[[#This Row],[Cost (€/GJ)]]/1000*3600</f>
        <v>9.6660782608695666</v>
      </c>
      <c r="H158">
        <v>18.100000000000001</v>
      </c>
      <c r="I158">
        <f>Tableau2[[#This Row],[GHG (kgCO2eq/GJ)]]*3.6</f>
        <v>65.160000000000011</v>
      </c>
      <c r="J158" t="s">
        <v>104</v>
      </c>
      <c r="K158" t="s">
        <v>109</v>
      </c>
    </row>
    <row r="159" spans="1:11" hidden="1" x14ac:dyDescent="0.3">
      <c r="A159" t="s">
        <v>14</v>
      </c>
      <c r="B159" t="s">
        <v>57</v>
      </c>
      <c r="C159" t="s">
        <v>94</v>
      </c>
      <c r="D159">
        <v>10.3</v>
      </c>
      <c r="E159">
        <f>Tableau2[[#This Row],[Potential (PJ)]]/3.6</f>
        <v>2.8611111111111112</v>
      </c>
      <c r="F159">
        <v>6.3836116504854363</v>
      </c>
      <c r="G159">
        <f>Tableau2[[#This Row],[Cost (€/GJ)]]/1000*3600</f>
        <v>22.981001941747571</v>
      </c>
      <c r="H159">
        <v>14.2</v>
      </c>
      <c r="I159">
        <f>Tableau2[[#This Row],[GHG (kgCO2eq/GJ)]]*3.6</f>
        <v>51.12</v>
      </c>
      <c r="J159" t="s">
        <v>104</v>
      </c>
      <c r="K159" t="s">
        <v>109</v>
      </c>
    </row>
    <row r="160" spans="1:11" x14ac:dyDescent="0.3">
      <c r="A160" t="s">
        <v>14</v>
      </c>
      <c r="B160" t="s">
        <v>49</v>
      </c>
      <c r="C160" t="s">
        <v>71</v>
      </c>
      <c r="D160">
        <v>46.739330000000002</v>
      </c>
      <c r="E160">
        <f>Tableau2[[#This Row],[Potential (PJ)]]/3.6</f>
        <v>12.983147222222222</v>
      </c>
      <c r="F160">
        <v>4.0940699883802374</v>
      </c>
      <c r="G160">
        <f>Tableau2[[#This Row],[Cost (€/GJ)]]/1000*3600</f>
        <v>14.738651958168855</v>
      </c>
      <c r="H160">
        <v>3.86607608129234</v>
      </c>
      <c r="I160">
        <f>Tableau2[[#This Row],[GHG (kgCO2eq/GJ)]]*3.6</f>
        <v>13.917873892652425</v>
      </c>
      <c r="J160" t="s">
        <v>104</v>
      </c>
      <c r="K160" t="s">
        <v>108</v>
      </c>
    </row>
    <row r="161" spans="1:11" x14ac:dyDescent="0.3">
      <c r="A161" t="s">
        <v>14</v>
      </c>
      <c r="B161" t="s">
        <v>49</v>
      </c>
      <c r="C161" t="s">
        <v>72</v>
      </c>
      <c r="D161">
        <v>3.1</v>
      </c>
      <c r="E161">
        <f>Tableau2[[#This Row],[Potential (PJ)]]/3.6</f>
        <v>0.86111111111111116</v>
      </c>
      <c r="F161">
        <v>3.286</v>
      </c>
      <c r="G161">
        <f>Tableau2[[#This Row],[Cost (€/GJ)]]/1000*3600</f>
        <v>11.829599999999999</v>
      </c>
      <c r="H161">
        <v>3.86607608129234</v>
      </c>
      <c r="I161">
        <f>Tableau2[[#This Row],[GHG (kgCO2eq/GJ)]]*3.6</f>
        <v>13.917873892652425</v>
      </c>
      <c r="J161" t="s">
        <v>104</v>
      </c>
      <c r="K161" t="s">
        <v>108</v>
      </c>
    </row>
    <row r="162" spans="1:11" x14ac:dyDescent="0.3">
      <c r="A162" t="s">
        <v>14</v>
      </c>
      <c r="B162" t="s">
        <v>58</v>
      </c>
      <c r="C162" t="s">
        <v>95</v>
      </c>
      <c r="D162">
        <v>7.0968400000000003</v>
      </c>
      <c r="E162">
        <f>Tableau2[[#This Row],[Potential (PJ)]]/3.6</f>
        <v>1.9713444444444446</v>
      </c>
      <c r="F162">
        <v>2.6438038450916181</v>
      </c>
      <c r="G162">
        <f>Tableau2[[#This Row],[Cost (€/GJ)]]/1000*3600</f>
        <v>9.5176938423298267</v>
      </c>
      <c r="H162">
        <v>2.9521711768407801</v>
      </c>
      <c r="I162">
        <f>Tableau2[[#This Row],[GHG (kgCO2eq/GJ)]]*3.6</f>
        <v>10.627816236626808</v>
      </c>
      <c r="J162" t="s">
        <v>104</v>
      </c>
      <c r="K162" t="s">
        <v>108</v>
      </c>
    </row>
    <row r="163" spans="1:11" hidden="1" x14ac:dyDescent="0.3">
      <c r="A163" t="s">
        <v>14</v>
      </c>
      <c r="B163" t="s">
        <v>50</v>
      </c>
      <c r="C163" t="s">
        <v>73</v>
      </c>
      <c r="D163">
        <v>3.8</v>
      </c>
      <c r="E163">
        <f>Tableau2[[#This Row],[Potential (PJ)]]/3.6</f>
        <v>1.0555555555555556</v>
      </c>
      <c r="F163">
        <v>5.0978157894736844</v>
      </c>
      <c r="G163">
        <f>Tableau2[[#This Row],[Cost (€/GJ)]]/1000*3600</f>
        <v>18.352136842105264</v>
      </c>
      <c r="H163">
        <v>20.723404255319149</v>
      </c>
      <c r="I163">
        <f>Tableau2[[#This Row],[GHG (kgCO2eq/GJ)]]*3.6</f>
        <v>74.604255319148933</v>
      </c>
      <c r="J163" t="s">
        <v>105</v>
      </c>
      <c r="K163" t="s">
        <v>108</v>
      </c>
    </row>
    <row r="164" spans="1:11" hidden="1" x14ac:dyDescent="0.3">
      <c r="A164" t="s">
        <v>14</v>
      </c>
      <c r="B164" t="s">
        <v>50</v>
      </c>
      <c r="C164" t="s">
        <v>74</v>
      </c>
      <c r="D164">
        <v>38.299999999999997</v>
      </c>
      <c r="E164">
        <f>Tableau2[[#This Row],[Potential (PJ)]]/3.6</f>
        <v>10.638888888888888</v>
      </c>
      <c r="F164">
        <v>3.511208877284596</v>
      </c>
      <c r="G164">
        <f>Tableau2[[#This Row],[Cost (€/GJ)]]/1000*3600</f>
        <v>12.640351958224546</v>
      </c>
      <c r="H164">
        <v>2.0635593220338988</v>
      </c>
      <c r="I164">
        <f>Tableau2[[#This Row],[GHG (kgCO2eq/GJ)]]*3.6</f>
        <v>7.4288135593220357</v>
      </c>
      <c r="J164" t="s">
        <v>105</v>
      </c>
      <c r="K164" t="s">
        <v>108</v>
      </c>
    </row>
    <row r="165" spans="1:11" hidden="1" x14ac:dyDescent="0.3">
      <c r="A165" t="s">
        <v>14</v>
      </c>
      <c r="B165" t="s">
        <v>59</v>
      </c>
      <c r="C165" t="s">
        <v>96</v>
      </c>
      <c r="D165">
        <v>0.19889999999999999</v>
      </c>
      <c r="E165">
        <f>Tableau2[[#This Row],[Potential (PJ)]]/3.6</f>
        <v>5.5249999999999994E-2</v>
      </c>
      <c r="F165">
        <v>30.024000000000001</v>
      </c>
      <c r="G165">
        <f>Tableau2[[#This Row],[Cost (€/GJ)]]/1000*3600</f>
        <v>108.08640000000001</v>
      </c>
      <c r="H165">
        <v>8.4</v>
      </c>
      <c r="I165">
        <f>Tableau2[[#This Row],[GHG (kgCO2eq/GJ)]]*3.6</f>
        <v>30.240000000000002</v>
      </c>
      <c r="J165" t="s">
        <v>107</v>
      </c>
      <c r="K165" t="s">
        <v>109</v>
      </c>
    </row>
    <row r="166" spans="1:11" hidden="1" x14ac:dyDescent="0.3">
      <c r="A166" t="s">
        <v>14</v>
      </c>
      <c r="B166" t="s">
        <v>59</v>
      </c>
      <c r="C166" t="s">
        <v>97</v>
      </c>
      <c r="D166">
        <v>0.1095</v>
      </c>
      <c r="E166">
        <f>Tableau2[[#This Row],[Potential (PJ)]]/3.6</f>
        <v>3.0416666666666665E-2</v>
      </c>
      <c r="F166">
        <v>14.81280520889853</v>
      </c>
      <c r="G166">
        <f>Tableau2[[#This Row],[Cost (€/GJ)]]/1000*3600</f>
        <v>53.326098752034703</v>
      </c>
      <c r="H166">
        <v>8.4</v>
      </c>
      <c r="I166">
        <f>Tableau2[[#This Row],[GHG (kgCO2eq/GJ)]]*3.6</f>
        <v>30.240000000000002</v>
      </c>
      <c r="J166" t="s">
        <v>107</v>
      </c>
      <c r="K166" t="s">
        <v>109</v>
      </c>
    </row>
    <row r="167" spans="1:11" x14ac:dyDescent="0.3">
      <c r="A167" t="s">
        <v>14</v>
      </c>
      <c r="B167" t="s">
        <v>51</v>
      </c>
      <c r="C167" t="s">
        <v>75</v>
      </c>
      <c r="D167">
        <v>4.040235</v>
      </c>
      <c r="E167">
        <f>Tableau2[[#This Row],[Potential (PJ)]]/3.6</f>
        <v>1.1222874999999999</v>
      </c>
      <c r="F167">
        <v>2.0484447085495201E-4</v>
      </c>
      <c r="G167">
        <f>Tableau2[[#This Row],[Cost (€/GJ)]]/1000*3600</f>
        <v>7.3744009507782724E-4</v>
      </c>
      <c r="H167">
        <v>11.74</v>
      </c>
      <c r="I167">
        <f>Tableau2[[#This Row],[GHG (kgCO2eq/GJ)]]*3.6</f>
        <v>42.264000000000003</v>
      </c>
      <c r="J167" t="s">
        <v>104</v>
      </c>
      <c r="K167" t="s">
        <v>108</v>
      </c>
    </row>
    <row r="168" spans="1:11" hidden="1" x14ac:dyDescent="0.3">
      <c r="A168" t="s">
        <v>14</v>
      </c>
      <c r="B168" t="s">
        <v>60</v>
      </c>
      <c r="C168" t="s">
        <v>98</v>
      </c>
      <c r="D168">
        <v>2.9122499999999998</v>
      </c>
      <c r="E168">
        <f>Tableau2[[#This Row],[Potential (PJ)]]/3.6</f>
        <v>0.80895833333333322</v>
      </c>
      <c r="F168">
        <v>16.380236305048339</v>
      </c>
      <c r="G168">
        <f>Tableau2[[#This Row],[Cost (€/GJ)]]/1000*3600</f>
        <v>58.968850698174023</v>
      </c>
      <c r="H168">
        <v>27.8</v>
      </c>
      <c r="I168">
        <f>Tableau2[[#This Row],[GHG (kgCO2eq/GJ)]]*3.6</f>
        <v>100.08</v>
      </c>
      <c r="J168" t="s">
        <v>107</v>
      </c>
      <c r="K168" t="s">
        <v>109</v>
      </c>
    </row>
    <row r="169" spans="1:11" hidden="1" x14ac:dyDescent="0.3">
      <c r="A169" t="s">
        <v>14</v>
      </c>
      <c r="B169" t="s">
        <v>52</v>
      </c>
      <c r="C169" t="s">
        <v>76</v>
      </c>
      <c r="D169">
        <v>0.67700000000000005</v>
      </c>
      <c r="E169">
        <f>Tableau2[[#This Row],[Potential (PJ)]]/3.6</f>
        <v>0.18805555555555556</v>
      </c>
      <c r="F169">
        <v>5.4702337500000002</v>
      </c>
      <c r="G169">
        <f>Tableau2[[#This Row],[Cost (€/GJ)]]/1000*3600</f>
        <v>19.6928415</v>
      </c>
      <c r="H169">
        <v>12.68872359754714</v>
      </c>
      <c r="I169">
        <f>Tableau2[[#This Row],[GHG (kgCO2eq/GJ)]]*3.6</f>
        <v>45.679404951169708</v>
      </c>
      <c r="J169" t="s">
        <v>105</v>
      </c>
      <c r="K169" t="s">
        <v>108</v>
      </c>
    </row>
    <row r="170" spans="1:11" x14ac:dyDescent="0.3">
      <c r="A170" t="s">
        <v>14</v>
      </c>
      <c r="B170" t="s">
        <v>53</v>
      </c>
      <c r="C170" t="s">
        <v>77</v>
      </c>
      <c r="D170">
        <v>4.9000000000000004</v>
      </c>
      <c r="E170">
        <f>Tableau2[[#This Row],[Potential (PJ)]]/3.6</f>
        <v>1.3611111111111112</v>
      </c>
      <c r="F170">
        <v>3.2858775510204081</v>
      </c>
      <c r="G170">
        <f>Tableau2[[#This Row],[Cost (€/GJ)]]/1000*3600</f>
        <v>11.82915918367347</v>
      </c>
      <c r="H170">
        <v>3.86607608129234</v>
      </c>
      <c r="I170">
        <f>Tableau2[[#This Row],[GHG (kgCO2eq/GJ)]]*3.6</f>
        <v>13.917873892652425</v>
      </c>
      <c r="J170" t="s">
        <v>104</v>
      </c>
      <c r="K170" t="s">
        <v>108</v>
      </c>
    </row>
    <row r="171" spans="1:11" x14ac:dyDescent="0.3">
      <c r="A171" t="s">
        <v>14</v>
      </c>
      <c r="B171" t="s">
        <v>61</v>
      </c>
      <c r="C171" t="s">
        <v>99</v>
      </c>
      <c r="D171">
        <v>14.6</v>
      </c>
      <c r="E171">
        <f>Tableau2[[#This Row],[Potential (PJ)]]/3.6</f>
        <v>4.0555555555555554</v>
      </c>
      <c r="F171">
        <v>1.439520547945206</v>
      </c>
      <c r="G171">
        <f>Tableau2[[#This Row],[Cost (€/GJ)]]/1000*3600</f>
        <v>5.1822739726027418</v>
      </c>
      <c r="H171">
        <v>2.9245635910224439</v>
      </c>
      <c r="I171">
        <f>Tableau2[[#This Row],[GHG (kgCO2eq/GJ)]]*3.6</f>
        <v>10.528428927680798</v>
      </c>
      <c r="J171" t="s">
        <v>104</v>
      </c>
      <c r="K171" t="s">
        <v>108</v>
      </c>
    </row>
    <row r="172" spans="1:11" x14ac:dyDescent="0.3">
      <c r="A172" t="s">
        <v>14</v>
      </c>
      <c r="B172" t="s">
        <v>62</v>
      </c>
      <c r="C172" t="s">
        <v>100</v>
      </c>
      <c r="D172">
        <v>5.2</v>
      </c>
      <c r="E172">
        <f>Tableau2[[#This Row],[Potential (PJ)]]/3.6</f>
        <v>1.4444444444444444</v>
      </c>
      <c r="F172">
        <v>0.41346153846153838</v>
      </c>
      <c r="G172">
        <f>Tableau2[[#This Row],[Cost (€/GJ)]]/1000*3600</f>
        <v>1.4884615384615383</v>
      </c>
      <c r="H172">
        <v>2.6764106050305911</v>
      </c>
      <c r="I172">
        <f>Tableau2[[#This Row],[GHG (kgCO2eq/GJ)]]*3.6</f>
        <v>9.6350781781101276</v>
      </c>
      <c r="J172" t="s">
        <v>104</v>
      </c>
      <c r="K172" t="s">
        <v>108</v>
      </c>
    </row>
    <row r="173" spans="1:11" x14ac:dyDescent="0.3">
      <c r="A173" t="s">
        <v>14</v>
      </c>
      <c r="B173" t="s">
        <v>54</v>
      </c>
      <c r="C173" t="s">
        <v>78</v>
      </c>
      <c r="D173">
        <v>70.5</v>
      </c>
      <c r="E173">
        <f>Tableau2[[#This Row],[Potential (PJ)]]/3.6</f>
        <v>19.583333333333332</v>
      </c>
      <c r="F173">
        <v>6.8473304964539006</v>
      </c>
      <c r="G173">
        <f>Tableau2[[#This Row],[Cost (€/GJ)]]/1000*3600</f>
        <v>24.650389787234044</v>
      </c>
      <c r="H173">
        <v>3.86607608129234</v>
      </c>
      <c r="I173">
        <f>Tableau2[[#This Row],[GHG (kgCO2eq/GJ)]]*3.6</f>
        <v>13.917873892652425</v>
      </c>
      <c r="J173" t="s">
        <v>104</v>
      </c>
      <c r="K173" t="s">
        <v>108</v>
      </c>
    </row>
    <row r="174" spans="1:11" hidden="1" x14ac:dyDescent="0.3">
      <c r="A174" t="s">
        <v>15</v>
      </c>
      <c r="B174" t="s">
        <v>46</v>
      </c>
      <c r="C174" t="s">
        <v>64</v>
      </c>
      <c r="D174">
        <v>0.21625</v>
      </c>
      <c r="E174">
        <f>Tableau2[[#This Row],[Potential (PJ)]]/3.6</f>
        <v>6.0069444444444439E-2</v>
      </c>
      <c r="F174">
        <v>5.311610682080925</v>
      </c>
      <c r="G174">
        <f>Tableau2[[#This Row],[Cost (€/GJ)]]/1000*3600</f>
        <v>19.12179845549133</v>
      </c>
      <c r="H174">
        <v>2.9521711768407801</v>
      </c>
      <c r="I174">
        <f>Tableau2[[#This Row],[GHG (kgCO2eq/GJ)]]*3.6</f>
        <v>10.627816236626808</v>
      </c>
      <c r="J174" t="s">
        <v>104</v>
      </c>
      <c r="K174" t="s">
        <v>108</v>
      </c>
    </row>
    <row r="175" spans="1:11" hidden="1" x14ac:dyDescent="0.3">
      <c r="A175" t="s">
        <v>15</v>
      </c>
      <c r="B175" t="s">
        <v>46</v>
      </c>
      <c r="C175" t="s">
        <v>79</v>
      </c>
      <c r="D175">
        <v>85.8</v>
      </c>
      <c r="E175">
        <f>Tableau2[[#This Row],[Potential (PJ)]]/3.6</f>
        <v>23.833333333333332</v>
      </c>
      <c r="F175">
        <v>4.5702587412587414</v>
      </c>
      <c r="G175">
        <f>Tableau2[[#This Row],[Cost (€/GJ)]]/1000*3600</f>
        <v>16.452931468531471</v>
      </c>
      <c r="H175">
        <v>6.8428961748633883</v>
      </c>
      <c r="I175">
        <f>Tableau2[[#This Row],[GHG (kgCO2eq/GJ)]]*3.6</f>
        <v>24.634426229508197</v>
      </c>
      <c r="J175" t="s">
        <v>104</v>
      </c>
      <c r="K175" t="s">
        <v>108</v>
      </c>
    </row>
    <row r="176" spans="1:11" hidden="1" x14ac:dyDescent="0.3">
      <c r="A176" t="s">
        <v>15</v>
      </c>
      <c r="B176" t="s">
        <v>46</v>
      </c>
      <c r="C176" t="s">
        <v>65</v>
      </c>
      <c r="D176">
        <v>0.1</v>
      </c>
      <c r="E176">
        <f>Tableau2[[#This Row],[Potential (PJ)]]/3.6</f>
        <v>2.777777777777778E-2</v>
      </c>
      <c r="F176">
        <v>5.4180000000000001</v>
      </c>
      <c r="G176">
        <f>Tableau2[[#This Row],[Cost (€/GJ)]]/1000*3600</f>
        <v>19.504799999999999</v>
      </c>
      <c r="H176">
        <v>2.9521711768407801</v>
      </c>
      <c r="I176">
        <f>Tableau2[[#This Row],[GHG (kgCO2eq/GJ)]]*3.6</f>
        <v>10.627816236626808</v>
      </c>
      <c r="J176" t="s">
        <v>104</v>
      </c>
      <c r="K176" t="s">
        <v>108</v>
      </c>
    </row>
    <row r="177" spans="1:11" hidden="1" x14ac:dyDescent="0.3">
      <c r="A177" t="s">
        <v>15</v>
      </c>
      <c r="B177" t="s">
        <v>46</v>
      </c>
      <c r="C177" t="s">
        <v>80</v>
      </c>
      <c r="D177">
        <v>28.793500000000002</v>
      </c>
      <c r="E177">
        <f>Tableau2[[#This Row],[Potential (PJ)]]/3.6</f>
        <v>7.9981944444444446</v>
      </c>
      <c r="F177">
        <v>1.21105866486851</v>
      </c>
      <c r="G177">
        <f>Tableau2[[#This Row],[Cost (€/GJ)]]/1000*3600</f>
        <v>4.3598111935266362</v>
      </c>
      <c r="H177">
        <v>28.139870918023309</v>
      </c>
      <c r="I177">
        <f>Tableau2[[#This Row],[GHG (kgCO2eq/GJ)]]*3.6</f>
        <v>101.30353530488391</v>
      </c>
      <c r="J177" t="s">
        <v>105</v>
      </c>
      <c r="K177" t="s">
        <v>108</v>
      </c>
    </row>
    <row r="178" spans="1:11" hidden="1" x14ac:dyDescent="0.3">
      <c r="A178" t="s">
        <v>15</v>
      </c>
      <c r="B178" t="s">
        <v>46</v>
      </c>
      <c r="C178" t="s">
        <v>81</v>
      </c>
      <c r="D178">
        <v>61.525700000000001</v>
      </c>
      <c r="E178">
        <f>Tableau2[[#This Row],[Potential (PJ)]]/3.6</f>
        <v>17.090472222222221</v>
      </c>
      <c r="F178">
        <v>1.7549941245593419</v>
      </c>
      <c r="G178">
        <f>Tableau2[[#This Row],[Cost (€/GJ)]]/1000*3600</f>
        <v>6.317978848413631</v>
      </c>
      <c r="H178">
        <v>8.9647473560517046</v>
      </c>
      <c r="I178">
        <f>Tableau2[[#This Row],[GHG (kgCO2eq/GJ)]]*3.6</f>
        <v>32.273090481786134</v>
      </c>
      <c r="J178" t="s">
        <v>105</v>
      </c>
      <c r="K178" t="s">
        <v>108</v>
      </c>
    </row>
    <row r="179" spans="1:11" hidden="1" x14ac:dyDescent="0.3">
      <c r="A179" t="s">
        <v>15</v>
      </c>
      <c r="B179" t="s">
        <v>46</v>
      </c>
      <c r="C179" t="s">
        <v>66</v>
      </c>
      <c r="D179">
        <v>7.5</v>
      </c>
      <c r="E179">
        <f>Tableau2[[#This Row],[Potential (PJ)]]/3.6</f>
        <v>2.0833333333333335</v>
      </c>
      <c r="F179">
        <v>4.7517733333333334</v>
      </c>
      <c r="G179">
        <f>Tableau2[[#This Row],[Cost (€/GJ)]]/1000*3600</f>
        <v>17.106383999999998</v>
      </c>
      <c r="H179">
        <v>6.8428961748633883</v>
      </c>
      <c r="I179">
        <f>Tableau2[[#This Row],[GHG (kgCO2eq/GJ)]]*3.6</f>
        <v>24.634426229508197</v>
      </c>
      <c r="J179" t="s">
        <v>104</v>
      </c>
      <c r="K179" t="s">
        <v>108</v>
      </c>
    </row>
    <row r="180" spans="1:11" hidden="1" x14ac:dyDescent="0.3">
      <c r="A180" t="s">
        <v>15</v>
      </c>
      <c r="B180" t="s">
        <v>46</v>
      </c>
      <c r="C180" t="s">
        <v>82</v>
      </c>
      <c r="D180">
        <v>8.5</v>
      </c>
      <c r="E180">
        <f>Tableau2[[#This Row],[Potential (PJ)]]/3.6</f>
        <v>2.3611111111111112</v>
      </c>
      <c r="F180">
        <v>2.8982352941176468</v>
      </c>
      <c r="G180">
        <f>Tableau2[[#This Row],[Cost (€/GJ)]]/1000*3600</f>
        <v>10.433647058823528</v>
      </c>
      <c r="H180">
        <v>6.8428961748633883</v>
      </c>
      <c r="I180">
        <f>Tableau2[[#This Row],[GHG (kgCO2eq/GJ)]]*3.6</f>
        <v>24.634426229508197</v>
      </c>
      <c r="J180" t="s">
        <v>104</v>
      </c>
      <c r="K180" t="s">
        <v>108</v>
      </c>
    </row>
    <row r="181" spans="1:11" hidden="1" x14ac:dyDescent="0.3">
      <c r="A181" t="s">
        <v>15</v>
      </c>
      <c r="B181" t="s">
        <v>46</v>
      </c>
      <c r="C181" t="s">
        <v>84</v>
      </c>
      <c r="D181">
        <v>1.2</v>
      </c>
      <c r="E181">
        <f>Tableau2[[#This Row],[Potential (PJ)]]/3.6</f>
        <v>0.33333333333333331</v>
      </c>
      <c r="F181">
        <v>2.7862499999999999</v>
      </c>
      <c r="G181">
        <f>Tableau2[[#This Row],[Cost (€/GJ)]]/1000*3600</f>
        <v>10.0305</v>
      </c>
      <c r="H181">
        <v>28.139870918023309</v>
      </c>
      <c r="I181">
        <f>Tableau2[[#This Row],[GHG (kgCO2eq/GJ)]]*3.6</f>
        <v>101.30353530488391</v>
      </c>
      <c r="J181" t="s">
        <v>105</v>
      </c>
      <c r="K181" t="s">
        <v>108</v>
      </c>
    </row>
    <row r="182" spans="1:11" hidden="1" x14ac:dyDescent="0.3">
      <c r="A182" t="s">
        <v>15</v>
      </c>
      <c r="B182" t="s">
        <v>46</v>
      </c>
      <c r="C182" t="s">
        <v>85</v>
      </c>
      <c r="D182">
        <v>0.70000000000000007</v>
      </c>
      <c r="E182">
        <f>Tableau2[[#This Row],[Potential (PJ)]]/3.6</f>
        <v>0.19444444444444445</v>
      </c>
      <c r="F182">
        <v>3.7797142857142849</v>
      </c>
      <c r="G182">
        <f>Tableau2[[#This Row],[Cost (€/GJ)]]/1000*3600</f>
        <v>13.606971428571427</v>
      </c>
      <c r="H182">
        <v>2.9521711768407801</v>
      </c>
      <c r="I182">
        <f>Tableau2[[#This Row],[GHG (kgCO2eq/GJ)]]*3.6</f>
        <v>10.627816236626808</v>
      </c>
      <c r="J182" t="s">
        <v>104</v>
      </c>
      <c r="K182" t="s">
        <v>108</v>
      </c>
    </row>
    <row r="183" spans="1:11" hidden="1" x14ac:dyDescent="0.3">
      <c r="A183" t="s">
        <v>15</v>
      </c>
      <c r="B183" t="s">
        <v>55</v>
      </c>
      <c r="C183" t="s">
        <v>86</v>
      </c>
      <c r="D183">
        <v>0.19040000000000001</v>
      </c>
      <c r="E183">
        <f>Tableau2[[#This Row],[Potential (PJ)]]/3.6</f>
        <v>5.2888888888888888E-2</v>
      </c>
      <c r="F183">
        <v>17.73800000000001</v>
      </c>
      <c r="G183">
        <f>Tableau2[[#This Row],[Cost (€/GJ)]]/1000*3600</f>
        <v>63.856800000000035</v>
      </c>
      <c r="H183">
        <v>6.7</v>
      </c>
      <c r="I183">
        <f>Tableau2[[#This Row],[GHG (kgCO2eq/GJ)]]*3.6</f>
        <v>24.12</v>
      </c>
      <c r="J183" t="s">
        <v>106</v>
      </c>
      <c r="K183" t="s">
        <v>109</v>
      </c>
    </row>
    <row r="184" spans="1:11" hidden="1" x14ac:dyDescent="0.3">
      <c r="A184" t="s">
        <v>15</v>
      </c>
      <c r="B184" t="s">
        <v>55</v>
      </c>
      <c r="C184" t="s">
        <v>87</v>
      </c>
      <c r="D184">
        <v>0.1348</v>
      </c>
      <c r="E184">
        <f>Tableau2[[#This Row],[Potential (PJ)]]/3.6</f>
        <v>3.7444444444444447E-2</v>
      </c>
      <c r="F184">
        <v>18.88999999999999</v>
      </c>
      <c r="G184">
        <f>Tableau2[[#This Row],[Cost (€/GJ)]]/1000*3600</f>
        <v>68.003999999999962</v>
      </c>
      <c r="H184">
        <v>6.7</v>
      </c>
      <c r="I184">
        <f>Tableau2[[#This Row],[GHG (kgCO2eq/GJ)]]*3.6</f>
        <v>24.12</v>
      </c>
      <c r="J184" t="s">
        <v>106</v>
      </c>
      <c r="K184" t="s">
        <v>109</v>
      </c>
    </row>
    <row r="185" spans="1:11" hidden="1" x14ac:dyDescent="0.3">
      <c r="A185" t="s">
        <v>15</v>
      </c>
      <c r="B185" t="s">
        <v>55</v>
      </c>
      <c r="C185" t="s">
        <v>88</v>
      </c>
      <c r="D185">
        <v>0.77980000000000005</v>
      </c>
      <c r="E185">
        <f>Tableau2[[#This Row],[Potential (PJ)]]/3.6</f>
        <v>0.21661111111111112</v>
      </c>
      <c r="F185">
        <v>18.000999999999991</v>
      </c>
      <c r="G185">
        <f>Tableau2[[#This Row],[Cost (€/GJ)]]/1000*3600</f>
        <v>64.80359999999996</v>
      </c>
      <c r="H185">
        <v>6.7</v>
      </c>
      <c r="I185">
        <f>Tableau2[[#This Row],[GHG (kgCO2eq/GJ)]]*3.6</f>
        <v>24.12</v>
      </c>
      <c r="J185" t="s">
        <v>106</v>
      </c>
      <c r="K185" t="s">
        <v>109</v>
      </c>
    </row>
    <row r="186" spans="1:11" hidden="1" x14ac:dyDescent="0.3">
      <c r="A186" t="s">
        <v>15</v>
      </c>
      <c r="B186" t="s">
        <v>55</v>
      </c>
      <c r="C186" t="s">
        <v>89</v>
      </c>
      <c r="D186">
        <v>0.24660000000000001</v>
      </c>
      <c r="E186">
        <f>Tableau2[[#This Row],[Potential (PJ)]]/3.6</f>
        <v>6.8500000000000005E-2</v>
      </c>
      <c r="F186">
        <v>0</v>
      </c>
      <c r="G186">
        <f>Tableau2[[#This Row],[Cost (€/GJ)]]/1000*3600</f>
        <v>0</v>
      </c>
      <c r="H186">
        <v>6.7</v>
      </c>
      <c r="I186">
        <f>Tableau2[[#This Row],[GHG (kgCO2eq/GJ)]]*3.6</f>
        <v>24.12</v>
      </c>
      <c r="J186" t="s">
        <v>106</v>
      </c>
      <c r="K186" t="s">
        <v>109</v>
      </c>
    </row>
    <row r="187" spans="1:11" hidden="1" x14ac:dyDescent="0.3">
      <c r="A187" t="s">
        <v>15</v>
      </c>
      <c r="B187" t="s">
        <v>55</v>
      </c>
      <c r="C187" t="s">
        <v>90</v>
      </c>
      <c r="D187">
        <v>0.1022</v>
      </c>
      <c r="E187">
        <f>Tableau2[[#This Row],[Potential (PJ)]]/3.6</f>
        <v>2.8388888888888887E-2</v>
      </c>
      <c r="F187">
        <v>19.126999999999988</v>
      </c>
      <c r="G187">
        <f>Tableau2[[#This Row],[Cost (€/GJ)]]/1000*3600</f>
        <v>68.857199999999949</v>
      </c>
      <c r="H187">
        <v>6.7</v>
      </c>
      <c r="I187">
        <f>Tableau2[[#This Row],[GHG (kgCO2eq/GJ)]]*3.6</f>
        <v>24.12</v>
      </c>
      <c r="J187" t="s">
        <v>106</v>
      </c>
      <c r="K187" t="s">
        <v>109</v>
      </c>
    </row>
    <row r="188" spans="1:11" hidden="1" x14ac:dyDescent="0.3">
      <c r="A188" t="s">
        <v>15</v>
      </c>
      <c r="B188" t="s">
        <v>55</v>
      </c>
      <c r="C188" t="s">
        <v>91</v>
      </c>
      <c r="D188">
        <v>4.5792999999999999</v>
      </c>
      <c r="E188">
        <f>Tableau2[[#This Row],[Potential (PJ)]]/3.6</f>
        <v>1.2720277777777778</v>
      </c>
      <c r="F188">
        <v>16.501999999999999</v>
      </c>
      <c r="G188">
        <f>Tableau2[[#This Row],[Cost (€/GJ)]]/1000*3600</f>
        <v>59.407199999999996</v>
      </c>
      <c r="H188">
        <v>6.7</v>
      </c>
      <c r="I188">
        <f>Tableau2[[#This Row],[GHG (kgCO2eq/GJ)]]*3.6</f>
        <v>24.12</v>
      </c>
      <c r="J188" t="s">
        <v>106</v>
      </c>
      <c r="K188" t="s">
        <v>109</v>
      </c>
    </row>
    <row r="189" spans="1:11" hidden="1" x14ac:dyDescent="0.3">
      <c r="A189" t="s">
        <v>15</v>
      </c>
      <c r="B189" t="s">
        <v>55</v>
      </c>
      <c r="C189" t="s">
        <v>92</v>
      </c>
      <c r="D189">
        <v>2.2654000000000001</v>
      </c>
      <c r="E189">
        <f>Tableau2[[#This Row],[Potential (PJ)]]/3.6</f>
        <v>0.62927777777777782</v>
      </c>
      <c r="F189">
        <v>18.88999999999999</v>
      </c>
      <c r="G189">
        <f>Tableau2[[#This Row],[Cost (€/GJ)]]/1000*3600</f>
        <v>68.003999999999962</v>
      </c>
      <c r="H189">
        <v>6.7</v>
      </c>
      <c r="I189">
        <f>Tableau2[[#This Row],[GHG (kgCO2eq/GJ)]]*3.6</f>
        <v>24.12</v>
      </c>
      <c r="J189" t="s">
        <v>106</v>
      </c>
      <c r="K189" t="s">
        <v>109</v>
      </c>
    </row>
    <row r="190" spans="1:11" hidden="1" x14ac:dyDescent="0.3">
      <c r="A190" t="s">
        <v>15</v>
      </c>
      <c r="B190" t="s">
        <v>56</v>
      </c>
      <c r="C190" t="s">
        <v>93</v>
      </c>
      <c r="D190">
        <v>43.513800000000003</v>
      </c>
      <c r="E190">
        <f>Tableau2[[#This Row],[Potential (PJ)]]/3.6</f>
        <v>12.087166666666667</v>
      </c>
      <c r="F190">
        <v>2.939759036144578</v>
      </c>
      <c r="G190">
        <f>Tableau2[[#This Row],[Cost (€/GJ)]]/1000*3600</f>
        <v>10.58313253012048</v>
      </c>
      <c r="H190">
        <v>22.3</v>
      </c>
      <c r="I190">
        <f>Tableau2[[#This Row],[GHG (kgCO2eq/GJ)]]*3.6</f>
        <v>80.28</v>
      </c>
      <c r="J190" t="s">
        <v>106</v>
      </c>
      <c r="K190" t="s">
        <v>109</v>
      </c>
    </row>
    <row r="191" spans="1:11" hidden="1" x14ac:dyDescent="0.3">
      <c r="A191" t="s">
        <v>15</v>
      </c>
      <c r="B191" t="s">
        <v>47</v>
      </c>
      <c r="C191" t="s">
        <v>68</v>
      </c>
      <c r="D191">
        <v>56.7</v>
      </c>
      <c r="E191">
        <f>Tableau2[[#This Row],[Potential (PJ)]]/3.6</f>
        <v>15.75</v>
      </c>
      <c r="F191">
        <v>5.5945396825396818</v>
      </c>
      <c r="G191">
        <f>Tableau2[[#This Row],[Cost (€/GJ)]]/1000*3600</f>
        <v>20.140342857142855</v>
      </c>
      <c r="H191">
        <v>25.4</v>
      </c>
      <c r="I191">
        <f>Tableau2[[#This Row],[GHG (kgCO2eq/GJ)]]*3.6</f>
        <v>91.44</v>
      </c>
      <c r="J191" t="s">
        <v>104</v>
      </c>
      <c r="K191" t="s">
        <v>109</v>
      </c>
    </row>
    <row r="192" spans="1:11" hidden="1" x14ac:dyDescent="0.3">
      <c r="A192" t="s">
        <v>15</v>
      </c>
      <c r="B192" t="s">
        <v>47</v>
      </c>
      <c r="C192" t="s">
        <v>69</v>
      </c>
      <c r="D192">
        <v>101.2</v>
      </c>
      <c r="E192">
        <f>Tableau2[[#This Row],[Potential (PJ)]]/3.6</f>
        <v>28.111111111111111</v>
      </c>
      <c r="F192">
        <v>4.8317796442687753</v>
      </c>
      <c r="G192">
        <f>Tableau2[[#This Row],[Cost (€/GJ)]]/1000*3600</f>
        <v>17.394406719367591</v>
      </c>
      <c r="H192">
        <v>25.4</v>
      </c>
      <c r="I192">
        <f>Tableau2[[#This Row],[GHG (kgCO2eq/GJ)]]*3.6</f>
        <v>91.44</v>
      </c>
      <c r="J192" t="s">
        <v>104</v>
      </c>
      <c r="K192" t="s">
        <v>109</v>
      </c>
    </row>
    <row r="193" spans="1:11" hidden="1" x14ac:dyDescent="0.3">
      <c r="A193" t="s">
        <v>15</v>
      </c>
      <c r="B193" t="s">
        <v>57</v>
      </c>
      <c r="C193" t="s">
        <v>94</v>
      </c>
      <c r="D193">
        <v>20.100000000000001</v>
      </c>
      <c r="E193">
        <f>Tableau2[[#This Row],[Potential (PJ)]]/3.6</f>
        <v>5.5833333333333339</v>
      </c>
      <c r="F193">
        <v>9.9587960199004986</v>
      </c>
      <c r="G193">
        <f>Tableau2[[#This Row],[Cost (€/GJ)]]/1000*3600</f>
        <v>35.851665671641797</v>
      </c>
      <c r="H193">
        <v>23.7</v>
      </c>
      <c r="I193">
        <f>Tableau2[[#This Row],[GHG (kgCO2eq/GJ)]]*3.6</f>
        <v>85.32</v>
      </c>
      <c r="J193" t="s">
        <v>104</v>
      </c>
      <c r="K193" t="s">
        <v>109</v>
      </c>
    </row>
    <row r="194" spans="1:11" x14ac:dyDescent="0.3">
      <c r="A194" t="s">
        <v>15</v>
      </c>
      <c r="B194" t="s">
        <v>49</v>
      </c>
      <c r="C194" t="s">
        <v>71</v>
      </c>
      <c r="D194">
        <v>285.12554</v>
      </c>
      <c r="E194">
        <f>Tableau2[[#This Row],[Potential (PJ)]]/3.6</f>
        <v>79.201538888888891</v>
      </c>
      <c r="F194">
        <v>4.374971311584364</v>
      </c>
      <c r="G194">
        <f>Tableau2[[#This Row],[Cost (€/GJ)]]/1000*3600</f>
        <v>15.749896721703712</v>
      </c>
      <c r="H194">
        <v>3.86607608129234</v>
      </c>
      <c r="I194">
        <f>Tableau2[[#This Row],[GHG (kgCO2eq/GJ)]]*3.6</f>
        <v>13.917873892652425</v>
      </c>
      <c r="J194" t="s">
        <v>104</v>
      </c>
      <c r="K194" t="s">
        <v>108</v>
      </c>
    </row>
    <row r="195" spans="1:11" x14ac:dyDescent="0.3">
      <c r="A195" t="s">
        <v>15</v>
      </c>
      <c r="B195" t="s">
        <v>49</v>
      </c>
      <c r="C195" t="s">
        <v>72</v>
      </c>
      <c r="D195">
        <v>18.100000000000001</v>
      </c>
      <c r="E195">
        <f>Tableau2[[#This Row],[Potential (PJ)]]/3.6</f>
        <v>5.0277777777777777</v>
      </c>
      <c r="F195">
        <v>3.5077237569060769</v>
      </c>
      <c r="G195">
        <f>Tableau2[[#This Row],[Cost (€/GJ)]]/1000*3600</f>
        <v>12.627805524861877</v>
      </c>
      <c r="H195">
        <v>3.86607608129234</v>
      </c>
      <c r="I195">
        <f>Tableau2[[#This Row],[GHG (kgCO2eq/GJ)]]*3.6</f>
        <v>13.917873892652425</v>
      </c>
      <c r="J195" t="s">
        <v>104</v>
      </c>
      <c r="K195" t="s">
        <v>108</v>
      </c>
    </row>
    <row r="196" spans="1:11" x14ac:dyDescent="0.3">
      <c r="A196" t="s">
        <v>15</v>
      </c>
      <c r="B196" t="s">
        <v>58</v>
      </c>
      <c r="C196" t="s">
        <v>95</v>
      </c>
      <c r="D196">
        <v>13.39207</v>
      </c>
      <c r="E196">
        <f>Tableau2[[#This Row],[Potential (PJ)]]/3.6</f>
        <v>3.7200194444444445</v>
      </c>
      <c r="F196">
        <v>2.4279169493588371</v>
      </c>
      <c r="G196">
        <f>Tableau2[[#This Row],[Cost (€/GJ)]]/1000*3600</f>
        <v>8.7405010176918143</v>
      </c>
      <c r="H196">
        <v>2.9521711768407801</v>
      </c>
      <c r="I196">
        <f>Tableau2[[#This Row],[GHG (kgCO2eq/GJ)]]*3.6</f>
        <v>10.627816236626808</v>
      </c>
      <c r="J196" t="s">
        <v>104</v>
      </c>
      <c r="K196" t="s">
        <v>108</v>
      </c>
    </row>
    <row r="197" spans="1:11" hidden="1" x14ac:dyDescent="0.3">
      <c r="A197" t="s">
        <v>15</v>
      </c>
      <c r="B197" t="s">
        <v>50</v>
      </c>
      <c r="C197" t="s">
        <v>73</v>
      </c>
      <c r="D197">
        <v>50.9</v>
      </c>
      <c r="E197">
        <f>Tableau2[[#This Row],[Potential (PJ)]]/3.6</f>
        <v>14.138888888888888</v>
      </c>
      <c r="F197">
        <v>5.6664165029469542</v>
      </c>
      <c r="G197">
        <f>Tableau2[[#This Row],[Cost (€/GJ)]]/1000*3600</f>
        <v>20.399099410609036</v>
      </c>
      <c r="H197">
        <v>20.723404255319149</v>
      </c>
      <c r="I197">
        <f>Tableau2[[#This Row],[GHG (kgCO2eq/GJ)]]*3.6</f>
        <v>74.604255319148933</v>
      </c>
      <c r="J197" t="s">
        <v>105</v>
      </c>
      <c r="K197" t="s">
        <v>108</v>
      </c>
    </row>
    <row r="198" spans="1:11" hidden="1" x14ac:dyDescent="0.3">
      <c r="A198" t="s">
        <v>15</v>
      </c>
      <c r="B198" t="s">
        <v>50</v>
      </c>
      <c r="C198" t="s">
        <v>74</v>
      </c>
      <c r="D198">
        <v>54.4</v>
      </c>
      <c r="E198">
        <f>Tableau2[[#This Row],[Potential (PJ)]]/3.6</f>
        <v>15.111111111111111</v>
      </c>
      <c r="F198">
        <v>6.3633860294117648</v>
      </c>
      <c r="G198">
        <f>Tableau2[[#This Row],[Cost (€/GJ)]]/1000*3600</f>
        <v>22.908189705882354</v>
      </c>
      <c r="H198">
        <v>2.0635593220338988</v>
      </c>
      <c r="I198">
        <f>Tableau2[[#This Row],[GHG (kgCO2eq/GJ)]]*3.6</f>
        <v>7.4288135593220357</v>
      </c>
      <c r="J198" t="s">
        <v>105</v>
      </c>
      <c r="K198" t="s">
        <v>108</v>
      </c>
    </row>
    <row r="199" spans="1:11" x14ac:dyDescent="0.3">
      <c r="A199" t="s">
        <v>15</v>
      </c>
      <c r="B199" t="s">
        <v>51</v>
      </c>
      <c r="C199" t="s">
        <v>75</v>
      </c>
      <c r="D199">
        <v>131.71129999999999</v>
      </c>
      <c r="E199">
        <f>Tableau2[[#This Row],[Potential (PJ)]]/3.6</f>
        <v>36.58647222222222</v>
      </c>
      <c r="F199">
        <v>5.0245743560679297E-2</v>
      </c>
      <c r="G199">
        <f>Tableau2[[#This Row],[Cost (€/GJ)]]/1000*3600</f>
        <v>0.18088467681844547</v>
      </c>
      <c r="H199">
        <v>11.74</v>
      </c>
      <c r="I199">
        <f>Tableau2[[#This Row],[GHG (kgCO2eq/GJ)]]*3.6</f>
        <v>42.264000000000003</v>
      </c>
      <c r="J199" t="s">
        <v>104</v>
      </c>
      <c r="K199" t="s">
        <v>108</v>
      </c>
    </row>
    <row r="200" spans="1:11" hidden="1" x14ac:dyDescent="0.3">
      <c r="A200" t="s">
        <v>15</v>
      </c>
      <c r="B200" t="s">
        <v>60</v>
      </c>
      <c r="C200" t="s">
        <v>98</v>
      </c>
      <c r="D200">
        <v>93.683350000000004</v>
      </c>
      <c r="E200">
        <f>Tableau2[[#This Row],[Potential (PJ)]]/3.6</f>
        <v>26.023152777777778</v>
      </c>
      <c r="F200">
        <v>18.259935553168631</v>
      </c>
      <c r="G200">
        <f>Tableau2[[#This Row],[Cost (€/GJ)]]/1000*3600</f>
        <v>65.735767991407073</v>
      </c>
      <c r="H200">
        <v>19.399999999999999</v>
      </c>
      <c r="I200">
        <f>Tableau2[[#This Row],[GHG (kgCO2eq/GJ)]]*3.6</f>
        <v>69.84</v>
      </c>
      <c r="J200" t="s">
        <v>107</v>
      </c>
      <c r="K200" t="s">
        <v>109</v>
      </c>
    </row>
    <row r="201" spans="1:11" hidden="1" x14ac:dyDescent="0.3">
      <c r="A201" t="s">
        <v>15</v>
      </c>
      <c r="B201" t="s">
        <v>52</v>
      </c>
      <c r="C201" t="s">
        <v>76</v>
      </c>
      <c r="D201">
        <v>11.234</v>
      </c>
      <c r="E201">
        <f>Tableau2[[#This Row],[Potential (PJ)]]/3.6</f>
        <v>3.1205555555555553</v>
      </c>
      <c r="F201">
        <v>5.4702337500000002</v>
      </c>
      <c r="G201">
        <f>Tableau2[[#This Row],[Cost (€/GJ)]]/1000*3600</f>
        <v>19.6928415</v>
      </c>
      <c r="H201">
        <v>12.68872359754714</v>
      </c>
      <c r="I201">
        <f>Tableau2[[#This Row],[GHG (kgCO2eq/GJ)]]*3.6</f>
        <v>45.679404951169708</v>
      </c>
      <c r="J201" t="s">
        <v>105</v>
      </c>
      <c r="K201" t="s">
        <v>108</v>
      </c>
    </row>
    <row r="202" spans="1:11" x14ac:dyDescent="0.3">
      <c r="A202" t="s">
        <v>15</v>
      </c>
      <c r="B202" t="s">
        <v>53</v>
      </c>
      <c r="C202" t="s">
        <v>77</v>
      </c>
      <c r="D202">
        <v>21.4</v>
      </c>
      <c r="E202">
        <f>Tableau2[[#This Row],[Potential (PJ)]]/3.6</f>
        <v>5.9444444444444438</v>
      </c>
      <c r="F202">
        <v>3.5079018691588781</v>
      </c>
      <c r="G202">
        <f>Tableau2[[#This Row],[Cost (€/GJ)]]/1000*3600</f>
        <v>12.62844672897196</v>
      </c>
      <c r="H202">
        <v>3.86607608129234</v>
      </c>
      <c r="I202">
        <f>Tableau2[[#This Row],[GHG (kgCO2eq/GJ)]]*3.6</f>
        <v>13.917873892652425</v>
      </c>
      <c r="J202" t="s">
        <v>104</v>
      </c>
      <c r="K202" t="s">
        <v>108</v>
      </c>
    </row>
    <row r="203" spans="1:11" x14ac:dyDescent="0.3">
      <c r="A203" t="s">
        <v>15</v>
      </c>
      <c r="B203" t="s">
        <v>61</v>
      </c>
      <c r="C203" t="s">
        <v>99</v>
      </c>
      <c r="D203">
        <v>40.9</v>
      </c>
      <c r="E203">
        <f>Tableau2[[#This Row],[Potential (PJ)]]/3.6</f>
        <v>11.361111111111111</v>
      </c>
      <c r="F203">
        <v>1.8397946210268949</v>
      </c>
      <c r="G203">
        <f>Tableau2[[#This Row],[Cost (€/GJ)]]/1000*3600</f>
        <v>6.6232606356968216</v>
      </c>
      <c r="H203">
        <v>2.9245635910224439</v>
      </c>
      <c r="I203">
        <f>Tableau2[[#This Row],[GHG (kgCO2eq/GJ)]]*3.6</f>
        <v>10.528428927680798</v>
      </c>
      <c r="J203" t="s">
        <v>104</v>
      </c>
      <c r="K203" t="s">
        <v>108</v>
      </c>
    </row>
    <row r="204" spans="1:11" x14ac:dyDescent="0.3">
      <c r="A204" t="s">
        <v>15</v>
      </c>
      <c r="B204" t="s">
        <v>62</v>
      </c>
      <c r="C204" t="s">
        <v>100</v>
      </c>
      <c r="D204">
        <v>11</v>
      </c>
      <c r="E204">
        <f>Tableau2[[#This Row],[Potential (PJ)]]/3.6</f>
        <v>3.0555555555555554</v>
      </c>
      <c r="F204">
        <v>8.0000000000000016E-2</v>
      </c>
      <c r="G204">
        <f>Tableau2[[#This Row],[Cost (€/GJ)]]/1000*3600</f>
        <v>0.28800000000000009</v>
      </c>
      <c r="H204">
        <v>2.6764106050305911</v>
      </c>
      <c r="I204">
        <f>Tableau2[[#This Row],[GHG (kgCO2eq/GJ)]]*3.6</f>
        <v>9.6350781781101276</v>
      </c>
      <c r="J204" t="s">
        <v>104</v>
      </c>
      <c r="K204" t="s">
        <v>108</v>
      </c>
    </row>
    <row r="205" spans="1:11" x14ac:dyDescent="0.3">
      <c r="A205" t="s">
        <v>15</v>
      </c>
      <c r="B205" t="s">
        <v>54</v>
      </c>
      <c r="C205" t="s">
        <v>78</v>
      </c>
      <c r="D205">
        <v>332.6</v>
      </c>
      <c r="E205">
        <f>Tableau2[[#This Row],[Potential (PJ)]]/3.6</f>
        <v>92.3888888888889</v>
      </c>
      <c r="F205">
        <v>6.83255892964522</v>
      </c>
      <c r="G205">
        <f>Tableau2[[#This Row],[Cost (€/GJ)]]/1000*3600</f>
        <v>24.597212146722793</v>
      </c>
      <c r="H205">
        <v>3.86607608129234</v>
      </c>
      <c r="I205">
        <f>Tableau2[[#This Row],[GHG (kgCO2eq/GJ)]]*3.6</f>
        <v>13.917873892652425</v>
      </c>
      <c r="J205" t="s">
        <v>104</v>
      </c>
      <c r="K205" t="s">
        <v>108</v>
      </c>
    </row>
    <row r="206" spans="1:11" hidden="1" x14ac:dyDescent="0.3">
      <c r="A206" t="s">
        <v>16</v>
      </c>
      <c r="B206" t="s">
        <v>46</v>
      </c>
      <c r="C206" t="s">
        <v>64</v>
      </c>
      <c r="D206">
        <v>9.8600000000000007E-3</v>
      </c>
      <c r="E206">
        <f>Tableau2[[#This Row],[Potential (PJ)]]/3.6</f>
        <v>2.7388888888888892E-3</v>
      </c>
      <c r="F206">
        <v>5.1580618661257596</v>
      </c>
      <c r="G206">
        <f>Tableau2[[#This Row],[Cost (€/GJ)]]/1000*3600</f>
        <v>18.569022718052736</v>
      </c>
      <c r="H206">
        <v>2.9521711768407801</v>
      </c>
      <c r="I206">
        <f>Tableau2[[#This Row],[GHG (kgCO2eq/GJ)]]*3.6</f>
        <v>10.627816236626808</v>
      </c>
      <c r="J206" t="s">
        <v>104</v>
      </c>
      <c r="K206" t="s">
        <v>108</v>
      </c>
    </row>
    <row r="207" spans="1:11" hidden="1" x14ac:dyDescent="0.3">
      <c r="A207" t="s">
        <v>16</v>
      </c>
      <c r="B207" t="s">
        <v>46</v>
      </c>
      <c r="C207" t="s">
        <v>79</v>
      </c>
      <c r="D207">
        <v>19.3</v>
      </c>
      <c r="E207">
        <f>Tableau2[[#This Row],[Potential (PJ)]]/3.6</f>
        <v>5.3611111111111116</v>
      </c>
      <c r="F207">
        <v>3.8748911917098452</v>
      </c>
      <c r="G207">
        <f>Tableau2[[#This Row],[Cost (€/GJ)]]/1000*3600</f>
        <v>13.949608290155442</v>
      </c>
      <c r="H207">
        <v>6.8428961748633883</v>
      </c>
      <c r="I207">
        <f>Tableau2[[#This Row],[GHG (kgCO2eq/GJ)]]*3.6</f>
        <v>24.634426229508197</v>
      </c>
      <c r="J207" t="s">
        <v>104</v>
      </c>
      <c r="K207" t="s">
        <v>108</v>
      </c>
    </row>
    <row r="208" spans="1:11" hidden="1" x14ac:dyDescent="0.3">
      <c r="A208" t="s">
        <v>16</v>
      </c>
      <c r="B208" t="s">
        <v>46</v>
      </c>
      <c r="C208" t="s">
        <v>80</v>
      </c>
      <c r="D208">
        <v>0.21099999999999999</v>
      </c>
      <c r="E208">
        <f>Tableau2[[#This Row],[Potential (PJ)]]/3.6</f>
        <v>5.8611111111111107E-2</v>
      </c>
      <c r="F208">
        <v>0.58125421443020897</v>
      </c>
      <c r="G208">
        <f>Tableau2[[#This Row],[Cost (€/GJ)]]/1000*3600</f>
        <v>2.0925151719487523</v>
      </c>
      <c r="H208">
        <v>28.139870918023309</v>
      </c>
      <c r="I208">
        <f>Tableau2[[#This Row],[GHG (kgCO2eq/GJ)]]*3.6</f>
        <v>101.30353530488391</v>
      </c>
      <c r="J208" t="s">
        <v>105</v>
      </c>
      <c r="K208" t="s">
        <v>108</v>
      </c>
    </row>
    <row r="209" spans="1:11" hidden="1" x14ac:dyDescent="0.3">
      <c r="A209" t="s">
        <v>16</v>
      </c>
      <c r="B209" t="s">
        <v>46</v>
      </c>
      <c r="C209" t="s">
        <v>81</v>
      </c>
      <c r="D209">
        <v>2.2494999999999998</v>
      </c>
      <c r="E209">
        <f>Tableau2[[#This Row],[Potential (PJ)]]/3.6</f>
        <v>0.62486111111111109</v>
      </c>
      <c r="F209">
        <v>1.7121034077555819</v>
      </c>
      <c r="G209">
        <f>Tableau2[[#This Row],[Cost (€/GJ)]]/1000*3600</f>
        <v>6.1635722679200944</v>
      </c>
      <c r="H209">
        <v>8.9647473560517046</v>
      </c>
      <c r="I209">
        <f>Tableau2[[#This Row],[GHG (kgCO2eq/GJ)]]*3.6</f>
        <v>32.273090481786134</v>
      </c>
      <c r="J209" t="s">
        <v>105</v>
      </c>
      <c r="K209" t="s">
        <v>108</v>
      </c>
    </row>
    <row r="210" spans="1:11" hidden="1" x14ac:dyDescent="0.3">
      <c r="A210" t="s">
        <v>16</v>
      </c>
      <c r="B210" t="s">
        <v>46</v>
      </c>
      <c r="C210" t="s">
        <v>84</v>
      </c>
      <c r="D210">
        <v>0.2</v>
      </c>
      <c r="E210">
        <f>Tableau2[[#This Row],[Potential (PJ)]]/3.6</f>
        <v>5.5555555555555559E-2</v>
      </c>
      <c r="F210">
        <v>3.2315</v>
      </c>
      <c r="G210">
        <f>Tableau2[[#This Row],[Cost (€/GJ)]]/1000*3600</f>
        <v>11.6334</v>
      </c>
      <c r="H210">
        <v>28.139870918023309</v>
      </c>
      <c r="I210">
        <f>Tableau2[[#This Row],[GHG (kgCO2eq/GJ)]]*3.6</f>
        <v>101.30353530488391</v>
      </c>
      <c r="J210" t="s">
        <v>105</v>
      </c>
      <c r="K210" t="s">
        <v>108</v>
      </c>
    </row>
    <row r="211" spans="1:11" hidden="1" x14ac:dyDescent="0.3">
      <c r="A211" t="s">
        <v>16</v>
      </c>
      <c r="B211" t="s">
        <v>55</v>
      </c>
      <c r="C211" t="s">
        <v>86</v>
      </c>
      <c r="D211">
        <v>1.0725</v>
      </c>
      <c r="E211">
        <f>Tableau2[[#This Row],[Potential (PJ)]]/3.6</f>
        <v>0.29791666666666666</v>
      </c>
      <c r="F211">
        <v>18.36</v>
      </c>
      <c r="G211">
        <f>Tableau2[[#This Row],[Cost (€/GJ)]]/1000*3600</f>
        <v>66.095999999999989</v>
      </c>
      <c r="H211">
        <v>22.2</v>
      </c>
      <c r="I211">
        <f>Tableau2[[#This Row],[GHG (kgCO2eq/GJ)]]*3.6</f>
        <v>79.92</v>
      </c>
      <c r="J211" t="s">
        <v>106</v>
      </c>
      <c r="K211" t="s">
        <v>109</v>
      </c>
    </row>
    <row r="212" spans="1:11" hidden="1" x14ac:dyDescent="0.3">
      <c r="A212" t="s">
        <v>16</v>
      </c>
      <c r="B212" t="s">
        <v>55</v>
      </c>
      <c r="C212" t="s">
        <v>91</v>
      </c>
      <c r="D212">
        <v>3.3999999999999998E-3</v>
      </c>
      <c r="E212">
        <f>Tableau2[[#This Row],[Potential (PJ)]]/3.6</f>
        <v>9.4444444444444437E-4</v>
      </c>
      <c r="F212">
        <v>15.871</v>
      </c>
      <c r="G212">
        <f>Tableau2[[#This Row],[Cost (€/GJ)]]/1000*3600</f>
        <v>57.135599999999997</v>
      </c>
      <c r="H212">
        <v>22.2</v>
      </c>
      <c r="I212">
        <f>Tableau2[[#This Row],[GHG (kgCO2eq/GJ)]]*3.6</f>
        <v>79.92</v>
      </c>
      <c r="J212" t="s">
        <v>106</v>
      </c>
      <c r="K212" t="s">
        <v>109</v>
      </c>
    </row>
    <row r="213" spans="1:11" hidden="1" x14ac:dyDescent="0.3">
      <c r="A213" t="s">
        <v>16</v>
      </c>
      <c r="B213" t="s">
        <v>55</v>
      </c>
      <c r="C213" t="s">
        <v>92</v>
      </c>
      <c r="D213">
        <v>0.64588000000000001</v>
      </c>
      <c r="E213">
        <f>Tableau2[[#This Row],[Potential (PJ)]]/3.6</f>
        <v>0.1794111111111111</v>
      </c>
      <c r="F213">
        <v>17.760000000000002</v>
      </c>
      <c r="G213">
        <f>Tableau2[[#This Row],[Cost (€/GJ)]]/1000*3600</f>
        <v>63.936000000000007</v>
      </c>
      <c r="H213">
        <v>22.2</v>
      </c>
      <c r="I213">
        <f>Tableau2[[#This Row],[GHG (kgCO2eq/GJ)]]*3.6</f>
        <v>79.92</v>
      </c>
      <c r="J213" t="s">
        <v>106</v>
      </c>
      <c r="K213" t="s">
        <v>109</v>
      </c>
    </row>
    <row r="214" spans="1:11" hidden="1" x14ac:dyDescent="0.3">
      <c r="A214" t="s">
        <v>16</v>
      </c>
      <c r="B214" t="s">
        <v>56</v>
      </c>
      <c r="C214" t="s">
        <v>93</v>
      </c>
      <c r="D214">
        <v>2.6991000000000001</v>
      </c>
      <c r="E214">
        <f>Tableau2[[#This Row],[Potential (PJ)]]/3.6</f>
        <v>0.74975000000000003</v>
      </c>
      <c r="F214">
        <v>4.3084337349397588</v>
      </c>
      <c r="G214">
        <f>Tableau2[[#This Row],[Cost (€/GJ)]]/1000*3600</f>
        <v>15.510361445783131</v>
      </c>
      <c r="H214">
        <v>29.8</v>
      </c>
      <c r="I214">
        <f>Tableau2[[#This Row],[GHG (kgCO2eq/GJ)]]*3.6</f>
        <v>107.28</v>
      </c>
      <c r="J214" t="s">
        <v>106</v>
      </c>
      <c r="K214" t="s">
        <v>109</v>
      </c>
    </row>
    <row r="215" spans="1:11" x14ac:dyDescent="0.3">
      <c r="A215" t="s">
        <v>16</v>
      </c>
      <c r="B215" t="s">
        <v>49</v>
      </c>
      <c r="C215" t="s">
        <v>71</v>
      </c>
      <c r="D215">
        <v>14.95726</v>
      </c>
      <c r="E215">
        <f>Tableau2[[#This Row],[Potential (PJ)]]/3.6</f>
        <v>4.1547944444444447</v>
      </c>
      <c r="F215">
        <v>3.8050398809675041</v>
      </c>
      <c r="G215">
        <f>Tableau2[[#This Row],[Cost (€/GJ)]]/1000*3600</f>
        <v>13.698143571483016</v>
      </c>
      <c r="H215">
        <v>3.86607608129234</v>
      </c>
      <c r="I215">
        <f>Tableau2[[#This Row],[GHG (kgCO2eq/GJ)]]*3.6</f>
        <v>13.917873892652425</v>
      </c>
      <c r="J215" t="s">
        <v>104</v>
      </c>
      <c r="K215" t="s">
        <v>108</v>
      </c>
    </row>
    <row r="216" spans="1:11" x14ac:dyDescent="0.3">
      <c r="A216" t="s">
        <v>16</v>
      </c>
      <c r="B216" t="s">
        <v>49</v>
      </c>
      <c r="C216" t="s">
        <v>72</v>
      </c>
      <c r="D216">
        <v>3.9</v>
      </c>
      <c r="E216">
        <f>Tableau2[[#This Row],[Potential (PJ)]]/3.6</f>
        <v>1.0833333333333333</v>
      </c>
      <c r="F216">
        <v>3.062641025641025</v>
      </c>
      <c r="G216">
        <f>Tableau2[[#This Row],[Cost (€/GJ)]]/1000*3600</f>
        <v>11.02550769230769</v>
      </c>
      <c r="H216">
        <v>3.86607608129234</v>
      </c>
      <c r="I216">
        <f>Tableau2[[#This Row],[GHG (kgCO2eq/GJ)]]*3.6</f>
        <v>13.917873892652425</v>
      </c>
      <c r="J216" t="s">
        <v>104</v>
      </c>
      <c r="K216" t="s">
        <v>108</v>
      </c>
    </row>
    <row r="217" spans="1:11" x14ac:dyDescent="0.3">
      <c r="A217" t="s">
        <v>16</v>
      </c>
      <c r="B217" t="s">
        <v>58</v>
      </c>
      <c r="C217" t="s">
        <v>95</v>
      </c>
      <c r="D217">
        <v>2.9653800000000001</v>
      </c>
      <c r="E217">
        <f>Tableau2[[#This Row],[Potential (PJ)]]/3.6</f>
        <v>0.82371666666666665</v>
      </c>
      <c r="F217">
        <v>2.523000000000001</v>
      </c>
      <c r="G217">
        <f>Tableau2[[#This Row],[Cost (€/GJ)]]/1000*3600</f>
        <v>9.0828000000000042</v>
      </c>
      <c r="H217">
        <v>2.9521711768407801</v>
      </c>
      <c r="I217">
        <f>Tableau2[[#This Row],[GHG (kgCO2eq/GJ)]]*3.6</f>
        <v>10.627816236626808</v>
      </c>
      <c r="J217" t="s">
        <v>104</v>
      </c>
      <c r="K217" t="s">
        <v>108</v>
      </c>
    </row>
    <row r="218" spans="1:11" hidden="1" x14ac:dyDescent="0.3">
      <c r="A218" t="s">
        <v>16</v>
      </c>
      <c r="B218" t="s">
        <v>50</v>
      </c>
      <c r="C218" t="s">
        <v>73</v>
      </c>
      <c r="D218">
        <v>17.5</v>
      </c>
      <c r="E218">
        <f>Tableau2[[#This Row],[Potential (PJ)]]/3.6</f>
        <v>4.8611111111111107</v>
      </c>
      <c r="F218">
        <v>6.6303142857142863</v>
      </c>
      <c r="G218">
        <f>Tableau2[[#This Row],[Cost (€/GJ)]]/1000*3600</f>
        <v>23.869131428571432</v>
      </c>
      <c r="H218">
        <v>20.723404255319149</v>
      </c>
      <c r="I218">
        <f>Tableau2[[#This Row],[GHG (kgCO2eq/GJ)]]*3.6</f>
        <v>74.604255319148933</v>
      </c>
      <c r="J218" t="s">
        <v>105</v>
      </c>
      <c r="K218" t="s">
        <v>108</v>
      </c>
    </row>
    <row r="219" spans="1:11" hidden="1" x14ac:dyDescent="0.3">
      <c r="A219" t="s">
        <v>16</v>
      </c>
      <c r="B219" t="s">
        <v>50</v>
      </c>
      <c r="C219" t="s">
        <v>74</v>
      </c>
      <c r="D219">
        <v>25.9</v>
      </c>
      <c r="E219">
        <f>Tableau2[[#This Row],[Potential (PJ)]]/3.6</f>
        <v>7.1944444444444438</v>
      </c>
      <c r="F219">
        <v>7.2431544401544414</v>
      </c>
      <c r="G219">
        <f>Tableau2[[#This Row],[Cost (€/GJ)]]/1000*3600</f>
        <v>26.075355984555991</v>
      </c>
      <c r="H219">
        <v>2.0635593220338988</v>
      </c>
      <c r="I219">
        <f>Tableau2[[#This Row],[GHG (kgCO2eq/GJ)]]*3.6</f>
        <v>7.4288135593220357</v>
      </c>
      <c r="J219" t="s">
        <v>105</v>
      </c>
      <c r="K219" t="s">
        <v>108</v>
      </c>
    </row>
    <row r="220" spans="1:11" x14ac:dyDescent="0.3">
      <c r="A220" t="s">
        <v>16</v>
      </c>
      <c r="B220" t="s">
        <v>51</v>
      </c>
      <c r="C220" t="s">
        <v>75</v>
      </c>
      <c r="D220">
        <v>28.56991</v>
      </c>
      <c r="E220">
        <f>Tableau2[[#This Row],[Potential (PJ)]]/3.6</f>
        <v>7.936086111111111</v>
      </c>
      <c r="F220">
        <v>3.2674197939299701E-3</v>
      </c>
      <c r="G220">
        <f>Tableau2[[#This Row],[Cost (€/GJ)]]/1000*3600</f>
        <v>1.1762711258147892E-2</v>
      </c>
      <c r="H220">
        <v>11.74</v>
      </c>
      <c r="I220">
        <f>Tableau2[[#This Row],[GHG (kgCO2eq/GJ)]]*3.6</f>
        <v>42.264000000000003</v>
      </c>
      <c r="J220" t="s">
        <v>104</v>
      </c>
      <c r="K220" t="s">
        <v>108</v>
      </c>
    </row>
    <row r="221" spans="1:11" hidden="1" x14ac:dyDescent="0.3">
      <c r="A221" t="s">
        <v>16</v>
      </c>
      <c r="B221" t="s">
        <v>60</v>
      </c>
      <c r="C221" t="s">
        <v>98</v>
      </c>
      <c r="D221">
        <v>7.1599999999999997E-3</v>
      </c>
      <c r="E221">
        <f>Tableau2[[#This Row],[Potential (PJ)]]/3.6</f>
        <v>1.9888888888888886E-3</v>
      </c>
      <c r="F221">
        <v>18.421052631578949</v>
      </c>
      <c r="G221">
        <f>Tableau2[[#This Row],[Cost (€/GJ)]]/1000*3600</f>
        <v>66.31578947368422</v>
      </c>
      <c r="H221">
        <v>32.6</v>
      </c>
      <c r="I221">
        <f>Tableau2[[#This Row],[GHG (kgCO2eq/GJ)]]*3.6</f>
        <v>117.36000000000001</v>
      </c>
      <c r="J221" t="s">
        <v>107</v>
      </c>
      <c r="K221" t="s">
        <v>109</v>
      </c>
    </row>
    <row r="222" spans="1:11" hidden="1" x14ac:dyDescent="0.3">
      <c r="A222" t="s">
        <v>16</v>
      </c>
      <c r="B222" t="s">
        <v>52</v>
      </c>
      <c r="C222" t="s">
        <v>76</v>
      </c>
      <c r="D222">
        <v>0.36799999999999999</v>
      </c>
      <c r="E222">
        <f>Tableau2[[#This Row],[Potential (PJ)]]/3.6</f>
        <v>0.10222222222222221</v>
      </c>
      <c r="F222">
        <v>5.4702337500000002</v>
      </c>
      <c r="G222">
        <f>Tableau2[[#This Row],[Cost (€/GJ)]]/1000*3600</f>
        <v>19.6928415</v>
      </c>
      <c r="H222">
        <v>12.68872359754714</v>
      </c>
      <c r="I222">
        <f>Tableau2[[#This Row],[GHG (kgCO2eq/GJ)]]*3.6</f>
        <v>45.679404951169708</v>
      </c>
      <c r="J222" t="s">
        <v>105</v>
      </c>
      <c r="K222" t="s">
        <v>108</v>
      </c>
    </row>
    <row r="223" spans="1:11" x14ac:dyDescent="0.3">
      <c r="A223" t="s">
        <v>16</v>
      </c>
      <c r="B223" t="s">
        <v>53</v>
      </c>
      <c r="C223" t="s">
        <v>77</v>
      </c>
      <c r="D223">
        <v>4</v>
      </c>
      <c r="E223">
        <f>Tableau2[[#This Row],[Potential (PJ)]]/3.6</f>
        <v>1.1111111111111112</v>
      </c>
      <c r="F223">
        <v>3.0628000000000002</v>
      </c>
      <c r="G223">
        <f>Tableau2[[#This Row],[Cost (€/GJ)]]/1000*3600</f>
        <v>11.02608</v>
      </c>
      <c r="H223">
        <v>3.86607608129234</v>
      </c>
      <c r="I223">
        <f>Tableau2[[#This Row],[GHG (kgCO2eq/GJ)]]*3.6</f>
        <v>13.917873892652425</v>
      </c>
      <c r="J223" t="s">
        <v>104</v>
      </c>
      <c r="K223" t="s">
        <v>108</v>
      </c>
    </row>
    <row r="224" spans="1:11" x14ac:dyDescent="0.3">
      <c r="A224" t="s">
        <v>16</v>
      </c>
      <c r="B224" t="s">
        <v>61</v>
      </c>
      <c r="C224" t="s">
        <v>99</v>
      </c>
      <c r="D224">
        <v>0.7</v>
      </c>
      <c r="E224">
        <f>Tableau2[[#This Row],[Potential (PJ)]]/3.6</f>
        <v>0.19444444444444442</v>
      </c>
      <c r="F224">
        <v>1.8819999999999999</v>
      </c>
      <c r="G224">
        <f>Tableau2[[#This Row],[Cost (€/GJ)]]/1000*3600</f>
        <v>6.7751999999999999</v>
      </c>
      <c r="H224">
        <v>2.9245635910224439</v>
      </c>
      <c r="I224">
        <f>Tableau2[[#This Row],[GHG (kgCO2eq/GJ)]]*3.6</f>
        <v>10.528428927680798</v>
      </c>
      <c r="J224" t="s">
        <v>104</v>
      </c>
      <c r="K224" t="s">
        <v>108</v>
      </c>
    </row>
    <row r="225" spans="1:11" x14ac:dyDescent="0.3">
      <c r="A225" t="s">
        <v>16</v>
      </c>
      <c r="B225" t="s">
        <v>62</v>
      </c>
      <c r="C225" t="s">
        <v>100</v>
      </c>
      <c r="D225">
        <v>0.2</v>
      </c>
      <c r="E225">
        <f>Tableau2[[#This Row],[Potential (PJ)]]/3.6</f>
        <v>5.5555555555555559E-2</v>
      </c>
      <c r="F225">
        <v>0.6</v>
      </c>
      <c r="G225">
        <f>Tableau2[[#This Row],[Cost (€/GJ)]]/1000*3600</f>
        <v>2.1599999999999997</v>
      </c>
      <c r="H225">
        <v>2.6764106050305911</v>
      </c>
      <c r="I225">
        <f>Tableau2[[#This Row],[GHG (kgCO2eq/GJ)]]*3.6</f>
        <v>9.6350781781101276</v>
      </c>
      <c r="J225" t="s">
        <v>104</v>
      </c>
      <c r="K225" t="s">
        <v>108</v>
      </c>
    </row>
    <row r="226" spans="1:11" x14ac:dyDescent="0.3">
      <c r="A226" t="s">
        <v>16</v>
      </c>
      <c r="B226" t="s">
        <v>54</v>
      </c>
      <c r="C226" t="s">
        <v>78</v>
      </c>
      <c r="D226">
        <v>14.9</v>
      </c>
      <c r="E226">
        <f>Tableau2[[#This Row],[Potential (PJ)]]/3.6</f>
        <v>4.1388888888888893</v>
      </c>
      <c r="F226">
        <v>5.794570469798658</v>
      </c>
      <c r="G226">
        <f>Tableau2[[#This Row],[Cost (€/GJ)]]/1000*3600</f>
        <v>20.860453691275168</v>
      </c>
      <c r="H226">
        <v>3.86607608129234</v>
      </c>
      <c r="I226">
        <f>Tableau2[[#This Row],[GHG (kgCO2eq/GJ)]]*3.6</f>
        <v>13.917873892652425</v>
      </c>
      <c r="J226" t="s">
        <v>104</v>
      </c>
      <c r="K226" t="s">
        <v>108</v>
      </c>
    </row>
    <row r="227" spans="1:11" hidden="1" x14ac:dyDescent="0.3">
      <c r="A227" t="s">
        <v>17</v>
      </c>
      <c r="B227" t="s">
        <v>46</v>
      </c>
      <c r="C227" t="s">
        <v>64</v>
      </c>
      <c r="D227">
        <v>1.73E-3</v>
      </c>
      <c r="E227">
        <f>Tableau2[[#This Row],[Potential (PJ)]]/3.6</f>
        <v>4.8055555555555552E-4</v>
      </c>
      <c r="F227">
        <v>4.9450000000000003</v>
      </c>
      <c r="G227">
        <f>Tableau2[[#This Row],[Cost (€/GJ)]]/1000*3600</f>
        <v>17.802000000000003</v>
      </c>
      <c r="H227">
        <v>2.9521711768407801</v>
      </c>
      <c r="I227">
        <f>Tableau2[[#This Row],[GHG (kgCO2eq/GJ)]]*3.6</f>
        <v>10.627816236626808</v>
      </c>
      <c r="J227" t="s">
        <v>104</v>
      </c>
      <c r="K227" t="s">
        <v>108</v>
      </c>
    </row>
    <row r="228" spans="1:11" hidden="1" x14ac:dyDescent="0.3">
      <c r="A228" t="s">
        <v>17</v>
      </c>
      <c r="B228" t="s">
        <v>46</v>
      </c>
      <c r="C228" t="s">
        <v>79</v>
      </c>
      <c r="D228">
        <v>5.6</v>
      </c>
      <c r="E228">
        <f>Tableau2[[#This Row],[Potential (PJ)]]/3.6</f>
        <v>1.5555555555555554</v>
      </c>
      <c r="F228">
        <v>2.1760000000000002</v>
      </c>
      <c r="G228">
        <f>Tableau2[[#This Row],[Cost (€/GJ)]]/1000*3600</f>
        <v>7.8335999999999997</v>
      </c>
      <c r="H228">
        <v>6.8428961748633883</v>
      </c>
      <c r="I228">
        <f>Tableau2[[#This Row],[GHG (kgCO2eq/GJ)]]*3.6</f>
        <v>24.634426229508197</v>
      </c>
      <c r="J228" t="s">
        <v>104</v>
      </c>
      <c r="K228" t="s">
        <v>108</v>
      </c>
    </row>
    <row r="229" spans="1:11" hidden="1" x14ac:dyDescent="0.3">
      <c r="A229" t="s">
        <v>17</v>
      </c>
      <c r="B229" t="s">
        <v>46</v>
      </c>
      <c r="C229" t="s">
        <v>80</v>
      </c>
      <c r="D229">
        <v>3.3000000000000002E-2</v>
      </c>
      <c r="E229">
        <f>Tableau2[[#This Row],[Potential (PJ)]]/3.6</f>
        <v>9.1666666666666667E-3</v>
      </c>
      <c r="F229">
        <v>0.28186109238031021</v>
      </c>
      <c r="G229">
        <f>Tableau2[[#This Row],[Cost (€/GJ)]]/1000*3600</f>
        <v>1.0146999325691168</v>
      </c>
      <c r="H229">
        <v>28.139870918023309</v>
      </c>
      <c r="I229">
        <f>Tableau2[[#This Row],[GHG (kgCO2eq/GJ)]]*3.6</f>
        <v>101.30353530488391</v>
      </c>
      <c r="J229" t="s">
        <v>105</v>
      </c>
      <c r="K229" t="s">
        <v>108</v>
      </c>
    </row>
    <row r="230" spans="1:11" hidden="1" x14ac:dyDescent="0.3">
      <c r="A230" t="s">
        <v>17</v>
      </c>
      <c r="B230" t="s">
        <v>46</v>
      </c>
      <c r="C230" t="s">
        <v>81</v>
      </c>
      <c r="D230">
        <v>0.51080000000000003</v>
      </c>
      <c r="E230">
        <f>Tableau2[[#This Row],[Potential (PJ)]]/3.6</f>
        <v>0.1418888888888889</v>
      </c>
      <c r="F230">
        <v>2.0681551116333732</v>
      </c>
      <c r="G230">
        <f>Tableau2[[#This Row],[Cost (€/GJ)]]/1000*3600</f>
        <v>7.4453584018801431</v>
      </c>
      <c r="H230">
        <v>8.9647473560517046</v>
      </c>
      <c r="I230">
        <f>Tableau2[[#This Row],[GHG (kgCO2eq/GJ)]]*3.6</f>
        <v>32.273090481786134</v>
      </c>
      <c r="J230" t="s">
        <v>105</v>
      </c>
      <c r="K230" t="s">
        <v>108</v>
      </c>
    </row>
    <row r="231" spans="1:11" hidden="1" x14ac:dyDescent="0.3">
      <c r="A231" t="s">
        <v>17</v>
      </c>
      <c r="B231" t="s">
        <v>55</v>
      </c>
      <c r="C231" t="s">
        <v>86</v>
      </c>
      <c r="D231">
        <v>4.5873999999999997</v>
      </c>
      <c r="E231">
        <f>Tableau2[[#This Row],[Potential (PJ)]]/3.6</f>
        <v>1.2742777777777776</v>
      </c>
      <c r="F231">
        <v>13.441000000000001</v>
      </c>
      <c r="G231">
        <f>Tableau2[[#This Row],[Cost (€/GJ)]]/1000*3600</f>
        <v>48.387600000000006</v>
      </c>
      <c r="H231">
        <v>27</v>
      </c>
      <c r="I231">
        <f>Tableau2[[#This Row],[GHG (kgCO2eq/GJ)]]*3.6</f>
        <v>97.2</v>
      </c>
      <c r="J231" t="s">
        <v>106</v>
      </c>
      <c r="K231" t="s">
        <v>109</v>
      </c>
    </row>
    <row r="232" spans="1:11" hidden="1" x14ac:dyDescent="0.3">
      <c r="A232" t="s">
        <v>17</v>
      </c>
      <c r="B232" t="s">
        <v>55</v>
      </c>
      <c r="C232" t="s">
        <v>89</v>
      </c>
      <c r="D232">
        <v>1.1900000000000001E-2</v>
      </c>
      <c r="E232">
        <f>Tableau2[[#This Row],[Potential (PJ)]]/3.6</f>
        <v>3.3055555555555555E-3</v>
      </c>
      <c r="F232">
        <v>0</v>
      </c>
      <c r="G232">
        <f>Tableau2[[#This Row],[Cost (€/GJ)]]/1000*3600</f>
        <v>0</v>
      </c>
      <c r="H232">
        <v>27</v>
      </c>
      <c r="I232">
        <f>Tableau2[[#This Row],[GHG (kgCO2eq/GJ)]]*3.6</f>
        <v>97.2</v>
      </c>
      <c r="J232" t="s">
        <v>106</v>
      </c>
      <c r="K232" t="s">
        <v>109</v>
      </c>
    </row>
    <row r="233" spans="1:11" hidden="1" x14ac:dyDescent="0.3">
      <c r="A233" t="s">
        <v>17</v>
      </c>
      <c r="B233" t="s">
        <v>55</v>
      </c>
      <c r="C233" t="s">
        <v>91</v>
      </c>
      <c r="D233">
        <v>4.2643000000000004</v>
      </c>
      <c r="E233">
        <f>Tableau2[[#This Row],[Potential (PJ)]]/3.6</f>
        <v>1.1845277777777778</v>
      </c>
      <c r="F233">
        <v>14.701000000000001</v>
      </c>
      <c r="G233">
        <f>Tableau2[[#This Row],[Cost (€/GJ)]]/1000*3600</f>
        <v>52.9236</v>
      </c>
      <c r="H233">
        <v>27</v>
      </c>
      <c r="I233">
        <f>Tableau2[[#This Row],[GHG (kgCO2eq/GJ)]]*3.6</f>
        <v>97.2</v>
      </c>
      <c r="J233" t="s">
        <v>106</v>
      </c>
      <c r="K233" t="s">
        <v>109</v>
      </c>
    </row>
    <row r="234" spans="1:11" hidden="1" x14ac:dyDescent="0.3">
      <c r="A234" t="s">
        <v>17</v>
      </c>
      <c r="B234" t="s">
        <v>55</v>
      </c>
      <c r="C234" t="s">
        <v>92</v>
      </c>
      <c r="D234">
        <v>5.2555899999999998</v>
      </c>
      <c r="E234">
        <f>Tableau2[[#This Row],[Potential (PJ)]]/3.6</f>
        <v>1.459886111111111</v>
      </c>
      <c r="F234">
        <v>15.894</v>
      </c>
      <c r="G234">
        <f>Tableau2[[#This Row],[Cost (€/GJ)]]/1000*3600</f>
        <v>57.218399999999995</v>
      </c>
      <c r="H234">
        <v>27</v>
      </c>
      <c r="I234">
        <f>Tableau2[[#This Row],[GHG (kgCO2eq/GJ)]]*3.6</f>
        <v>97.2</v>
      </c>
      <c r="J234" t="s">
        <v>106</v>
      </c>
      <c r="K234" t="s">
        <v>109</v>
      </c>
    </row>
    <row r="235" spans="1:11" hidden="1" x14ac:dyDescent="0.3">
      <c r="A235" t="s">
        <v>17</v>
      </c>
      <c r="B235" t="s">
        <v>47</v>
      </c>
      <c r="C235" t="s">
        <v>101</v>
      </c>
      <c r="D235">
        <v>1.9</v>
      </c>
      <c r="E235">
        <f>Tableau2[[#This Row],[Potential (PJ)]]/3.6</f>
        <v>0.52777777777777779</v>
      </c>
      <c r="F235">
        <v>3.2629999999999999</v>
      </c>
      <c r="G235">
        <f>Tableau2[[#This Row],[Cost (€/GJ)]]/1000*3600</f>
        <v>11.746799999999999</v>
      </c>
      <c r="H235">
        <v>44</v>
      </c>
      <c r="I235">
        <f>Tableau2[[#This Row],[GHG (kgCO2eq/GJ)]]*3.6</f>
        <v>158.4</v>
      </c>
      <c r="J235" t="s">
        <v>104</v>
      </c>
      <c r="K235" t="s">
        <v>109</v>
      </c>
    </row>
    <row r="236" spans="1:11" hidden="1" x14ac:dyDescent="0.3">
      <c r="A236" t="s">
        <v>17</v>
      </c>
      <c r="B236" t="s">
        <v>57</v>
      </c>
      <c r="C236" t="s">
        <v>94</v>
      </c>
      <c r="D236">
        <v>1.2</v>
      </c>
      <c r="E236">
        <f>Tableau2[[#This Row],[Potential (PJ)]]/3.6</f>
        <v>0.33333333333333331</v>
      </c>
      <c r="F236">
        <v>8.9309999999999992</v>
      </c>
      <c r="G236">
        <f>Tableau2[[#This Row],[Cost (€/GJ)]]/1000*3600</f>
        <v>32.151600000000002</v>
      </c>
      <c r="H236">
        <v>19.899999999999999</v>
      </c>
      <c r="I236">
        <f>Tableau2[[#This Row],[GHG (kgCO2eq/GJ)]]*3.6</f>
        <v>71.64</v>
      </c>
      <c r="J236" t="s">
        <v>104</v>
      </c>
      <c r="K236" t="s">
        <v>109</v>
      </c>
    </row>
    <row r="237" spans="1:11" x14ac:dyDescent="0.3">
      <c r="A237" t="s">
        <v>17</v>
      </c>
      <c r="B237" t="s">
        <v>49</v>
      </c>
      <c r="C237" t="s">
        <v>71</v>
      </c>
      <c r="D237">
        <v>26.683990000000001</v>
      </c>
      <c r="E237">
        <f>Tableau2[[#This Row],[Potential (PJ)]]/3.6</f>
        <v>7.4122194444444442</v>
      </c>
      <c r="F237">
        <v>2.25</v>
      </c>
      <c r="G237">
        <f>Tableau2[[#This Row],[Cost (€/GJ)]]/1000*3600</f>
        <v>8.1</v>
      </c>
      <c r="H237">
        <v>3.86607608129234</v>
      </c>
      <c r="I237">
        <f>Tableau2[[#This Row],[GHG (kgCO2eq/GJ)]]*3.6</f>
        <v>13.917873892652425</v>
      </c>
      <c r="J237" t="s">
        <v>104</v>
      </c>
      <c r="K237" t="s">
        <v>108</v>
      </c>
    </row>
    <row r="238" spans="1:11" x14ac:dyDescent="0.3">
      <c r="A238" t="s">
        <v>17</v>
      </c>
      <c r="B238" t="s">
        <v>49</v>
      </c>
      <c r="C238" t="s">
        <v>72</v>
      </c>
      <c r="D238">
        <v>3.2</v>
      </c>
      <c r="E238">
        <f>Tableau2[[#This Row],[Potential (PJ)]]/3.6</f>
        <v>0.88888888888888895</v>
      </c>
      <c r="F238">
        <v>2.9980000000000002</v>
      </c>
      <c r="G238">
        <f>Tableau2[[#This Row],[Cost (€/GJ)]]/1000*3600</f>
        <v>10.792800000000002</v>
      </c>
      <c r="H238">
        <v>3.86607608129234</v>
      </c>
      <c r="I238">
        <f>Tableau2[[#This Row],[GHG (kgCO2eq/GJ)]]*3.6</f>
        <v>13.917873892652425</v>
      </c>
      <c r="J238" t="s">
        <v>104</v>
      </c>
      <c r="K238" t="s">
        <v>108</v>
      </c>
    </row>
    <row r="239" spans="1:11" hidden="1" x14ac:dyDescent="0.3">
      <c r="A239" t="s">
        <v>17</v>
      </c>
      <c r="B239" t="s">
        <v>50</v>
      </c>
      <c r="C239" t="s">
        <v>73</v>
      </c>
      <c r="D239">
        <v>1</v>
      </c>
      <c r="E239">
        <f>Tableau2[[#This Row],[Potential (PJ)]]/3.6</f>
        <v>0.27777777777777779</v>
      </c>
      <c r="F239">
        <v>5.0869999999999997</v>
      </c>
      <c r="G239">
        <f>Tableau2[[#This Row],[Cost (€/GJ)]]/1000*3600</f>
        <v>18.313199999999998</v>
      </c>
      <c r="H239">
        <v>20.723404255319149</v>
      </c>
      <c r="I239">
        <f>Tableau2[[#This Row],[GHG (kgCO2eq/GJ)]]*3.6</f>
        <v>74.604255319148933</v>
      </c>
      <c r="J239" t="s">
        <v>105</v>
      </c>
      <c r="K239" t="s">
        <v>108</v>
      </c>
    </row>
    <row r="240" spans="1:11" hidden="1" x14ac:dyDescent="0.3">
      <c r="A240" t="s">
        <v>17</v>
      </c>
      <c r="B240" t="s">
        <v>50</v>
      </c>
      <c r="C240" t="s">
        <v>74</v>
      </c>
      <c r="D240">
        <v>7.4</v>
      </c>
      <c r="E240">
        <f>Tableau2[[#This Row],[Potential (PJ)]]/3.6</f>
        <v>2.0555555555555558</v>
      </c>
      <c r="F240">
        <v>3.6739999999999999</v>
      </c>
      <c r="G240">
        <f>Tableau2[[#This Row],[Cost (€/GJ)]]/1000*3600</f>
        <v>13.2264</v>
      </c>
      <c r="H240">
        <v>2.0635593220338988</v>
      </c>
      <c r="I240">
        <f>Tableau2[[#This Row],[GHG (kgCO2eq/GJ)]]*3.6</f>
        <v>7.4288135593220357</v>
      </c>
      <c r="J240" t="s">
        <v>105</v>
      </c>
      <c r="K240" t="s">
        <v>108</v>
      </c>
    </row>
    <row r="241" spans="1:11" x14ac:dyDescent="0.3">
      <c r="A241" t="s">
        <v>17</v>
      </c>
      <c r="B241" t="s">
        <v>51</v>
      </c>
      <c r="C241" t="s">
        <v>75</v>
      </c>
      <c r="D241">
        <v>3.5624389999999999</v>
      </c>
      <c r="E241">
        <f>Tableau2[[#This Row],[Potential (PJ)]]/3.6</f>
        <v>0.98956638888888881</v>
      </c>
      <c r="F241">
        <v>3.2330836283730301E-3</v>
      </c>
      <c r="G241">
        <f>Tableau2[[#This Row],[Cost (€/GJ)]]/1000*3600</f>
        <v>1.163910106214291E-2</v>
      </c>
      <c r="H241">
        <v>11.74</v>
      </c>
      <c r="I241">
        <f>Tableau2[[#This Row],[GHG (kgCO2eq/GJ)]]*3.6</f>
        <v>42.264000000000003</v>
      </c>
      <c r="J241" t="s">
        <v>104</v>
      </c>
      <c r="K241" t="s">
        <v>108</v>
      </c>
    </row>
    <row r="242" spans="1:11" hidden="1" x14ac:dyDescent="0.3">
      <c r="A242" t="s">
        <v>17</v>
      </c>
      <c r="B242" t="s">
        <v>60</v>
      </c>
      <c r="C242" t="s">
        <v>98</v>
      </c>
      <c r="D242">
        <v>6.4700000000000001E-3</v>
      </c>
      <c r="E242">
        <f>Tableau2[[#This Row],[Potential (PJ)]]/3.6</f>
        <v>1.7972222222222222E-3</v>
      </c>
      <c r="F242">
        <v>18.045112781954892</v>
      </c>
      <c r="G242">
        <f>Tableau2[[#This Row],[Cost (€/GJ)]]/1000*3600</f>
        <v>64.962406015037615</v>
      </c>
      <c r="H242">
        <v>41.8</v>
      </c>
      <c r="I242">
        <f>Tableau2[[#This Row],[GHG (kgCO2eq/GJ)]]*3.6</f>
        <v>150.47999999999999</v>
      </c>
      <c r="J242" t="s">
        <v>107</v>
      </c>
      <c r="K242" t="s">
        <v>109</v>
      </c>
    </row>
    <row r="243" spans="1:11" x14ac:dyDescent="0.3">
      <c r="A243" t="s">
        <v>17</v>
      </c>
      <c r="B243" t="s">
        <v>53</v>
      </c>
      <c r="C243" t="s">
        <v>77</v>
      </c>
      <c r="D243">
        <v>4.4000000000000004</v>
      </c>
      <c r="E243">
        <f>Tableau2[[#This Row],[Potential (PJ)]]/3.6</f>
        <v>1.2222222222222223</v>
      </c>
      <c r="F243">
        <v>2.9980000000000002</v>
      </c>
      <c r="G243">
        <f>Tableau2[[#This Row],[Cost (€/GJ)]]/1000*3600</f>
        <v>10.792800000000002</v>
      </c>
      <c r="H243">
        <v>3.86607608129234</v>
      </c>
      <c r="I243">
        <f>Tableau2[[#This Row],[GHG (kgCO2eq/GJ)]]*3.6</f>
        <v>13.917873892652425</v>
      </c>
      <c r="J243" t="s">
        <v>104</v>
      </c>
      <c r="K243" t="s">
        <v>108</v>
      </c>
    </row>
    <row r="244" spans="1:11" x14ac:dyDescent="0.3">
      <c r="A244" t="s">
        <v>17</v>
      </c>
      <c r="B244" t="s">
        <v>54</v>
      </c>
      <c r="C244" t="s">
        <v>78</v>
      </c>
      <c r="D244">
        <v>37</v>
      </c>
      <c r="E244">
        <f>Tableau2[[#This Row],[Potential (PJ)]]/3.6</f>
        <v>10.277777777777777</v>
      </c>
      <c r="F244">
        <v>2.9809999999999999</v>
      </c>
      <c r="G244">
        <f>Tableau2[[#This Row],[Cost (€/GJ)]]/1000*3600</f>
        <v>10.731599999999998</v>
      </c>
      <c r="H244">
        <v>3.86607608129234</v>
      </c>
      <c r="I244">
        <f>Tableau2[[#This Row],[GHG (kgCO2eq/GJ)]]*3.6</f>
        <v>13.917873892652425</v>
      </c>
      <c r="J244" t="s">
        <v>104</v>
      </c>
      <c r="K244" t="s">
        <v>108</v>
      </c>
    </row>
    <row r="245" spans="1:11" hidden="1" x14ac:dyDescent="0.3">
      <c r="A245" t="s">
        <v>18</v>
      </c>
      <c r="B245" t="s">
        <v>46</v>
      </c>
      <c r="C245" t="s">
        <v>63</v>
      </c>
      <c r="D245">
        <v>2.6808999999999998</v>
      </c>
      <c r="E245">
        <f>Tableau2[[#This Row],[Potential (PJ)]]/3.6</f>
        <v>0.74469444444444444</v>
      </c>
      <c r="F245">
        <v>2.9286474973375931</v>
      </c>
      <c r="G245">
        <f>Tableau2[[#This Row],[Cost (€/GJ)]]/1000*3600</f>
        <v>10.543130990415335</v>
      </c>
      <c r="H245">
        <v>3.950479233226837</v>
      </c>
      <c r="I245">
        <f>Tableau2[[#This Row],[GHG (kgCO2eq/GJ)]]*3.6</f>
        <v>14.221725239616614</v>
      </c>
      <c r="J245" t="s">
        <v>104</v>
      </c>
      <c r="K245" t="s">
        <v>108</v>
      </c>
    </row>
    <row r="246" spans="1:11" hidden="1" x14ac:dyDescent="0.3">
      <c r="A246" t="s">
        <v>18</v>
      </c>
      <c r="B246" t="s">
        <v>46</v>
      </c>
      <c r="C246" t="s">
        <v>64</v>
      </c>
      <c r="D246">
        <v>0.45169999999999999</v>
      </c>
      <c r="E246">
        <f>Tableau2[[#This Row],[Potential (PJ)]]/3.6</f>
        <v>0.12547222222222221</v>
      </c>
      <c r="F246">
        <v>5.083132056674784</v>
      </c>
      <c r="G246">
        <f>Tableau2[[#This Row],[Cost (€/GJ)]]/1000*3600</f>
        <v>18.29927540402922</v>
      </c>
      <c r="H246">
        <v>2.9521711768407801</v>
      </c>
      <c r="I246">
        <f>Tableau2[[#This Row],[GHG (kgCO2eq/GJ)]]*3.6</f>
        <v>10.627816236626808</v>
      </c>
      <c r="J246" t="s">
        <v>104</v>
      </c>
      <c r="K246" t="s">
        <v>108</v>
      </c>
    </row>
    <row r="247" spans="1:11" hidden="1" x14ac:dyDescent="0.3">
      <c r="A247" t="s">
        <v>18</v>
      </c>
      <c r="B247" t="s">
        <v>46</v>
      </c>
      <c r="C247" t="s">
        <v>79</v>
      </c>
      <c r="D247">
        <v>4.3</v>
      </c>
      <c r="E247">
        <f>Tableau2[[#This Row],[Potential (PJ)]]/3.6</f>
        <v>1.1944444444444444</v>
      </c>
      <c r="F247">
        <v>2.973023255813954</v>
      </c>
      <c r="G247">
        <f>Tableau2[[#This Row],[Cost (€/GJ)]]/1000*3600</f>
        <v>10.702883720930235</v>
      </c>
      <c r="H247">
        <v>6.8428961748633883</v>
      </c>
      <c r="I247">
        <f>Tableau2[[#This Row],[GHG (kgCO2eq/GJ)]]*3.6</f>
        <v>24.634426229508197</v>
      </c>
      <c r="J247" t="s">
        <v>104</v>
      </c>
      <c r="K247" t="s">
        <v>108</v>
      </c>
    </row>
    <row r="248" spans="1:11" hidden="1" x14ac:dyDescent="0.3">
      <c r="A248" t="s">
        <v>18</v>
      </c>
      <c r="B248" t="s">
        <v>46</v>
      </c>
      <c r="C248" t="s">
        <v>65</v>
      </c>
      <c r="D248">
        <v>0.60000000000000009</v>
      </c>
      <c r="E248">
        <f>Tableau2[[#This Row],[Potential (PJ)]]/3.6</f>
        <v>0.16666666666666669</v>
      </c>
      <c r="F248">
        <v>4.4824999999999999</v>
      </c>
      <c r="G248">
        <f>Tableau2[[#This Row],[Cost (€/GJ)]]/1000*3600</f>
        <v>16.136999999999997</v>
      </c>
      <c r="H248">
        <v>2.9521711768407801</v>
      </c>
      <c r="I248">
        <f>Tableau2[[#This Row],[GHG (kgCO2eq/GJ)]]*3.6</f>
        <v>10.627816236626808</v>
      </c>
      <c r="J248" t="s">
        <v>104</v>
      </c>
      <c r="K248" t="s">
        <v>108</v>
      </c>
    </row>
    <row r="249" spans="1:11" hidden="1" x14ac:dyDescent="0.3">
      <c r="A249" t="s">
        <v>18</v>
      </c>
      <c r="B249" t="s">
        <v>46</v>
      </c>
      <c r="C249" t="s">
        <v>102</v>
      </c>
      <c r="D249">
        <v>0.3</v>
      </c>
      <c r="E249">
        <f>Tableau2[[#This Row],[Potential (PJ)]]/3.6</f>
        <v>8.3333333333333329E-2</v>
      </c>
      <c r="F249">
        <v>3.9506666666666659</v>
      </c>
      <c r="G249">
        <f>Tableau2[[#This Row],[Cost (€/GJ)]]/1000*3600</f>
        <v>14.222399999999997</v>
      </c>
      <c r="H249">
        <v>2.9521711768407801</v>
      </c>
      <c r="I249">
        <f>Tableau2[[#This Row],[GHG (kgCO2eq/GJ)]]*3.6</f>
        <v>10.627816236626808</v>
      </c>
      <c r="J249" t="s">
        <v>104</v>
      </c>
      <c r="K249" t="s">
        <v>108</v>
      </c>
    </row>
    <row r="250" spans="1:11" hidden="1" x14ac:dyDescent="0.3">
      <c r="A250" t="s">
        <v>18</v>
      </c>
      <c r="B250" t="s">
        <v>46</v>
      </c>
      <c r="C250" t="s">
        <v>80</v>
      </c>
      <c r="D250">
        <v>0.36099999999999999</v>
      </c>
      <c r="E250">
        <f>Tableau2[[#This Row],[Potential (PJ)]]/3.6</f>
        <v>0.10027777777777777</v>
      </c>
      <c r="F250">
        <v>1.2016183412002699</v>
      </c>
      <c r="G250">
        <f>Tableau2[[#This Row],[Cost (€/GJ)]]/1000*3600</f>
        <v>4.3258260283209715</v>
      </c>
      <c r="H250">
        <v>28.139870918023309</v>
      </c>
      <c r="I250">
        <f>Tableau2[[#This Row],[GHG (kgCO2eq/GJ)]]*3.6</f>
        <v>101.30353530488391</v>
      </c>
      <c r="J250" t="s">
        <v>105</v>
      </c>
      <c r="K250" t="s">
        <v>108</v>
      </c>
    </row>
    <row r="251" spans="1:11" hidden="1" x14ac:dyDescent="0.3">
      <c r="A251" t="s">
        <v>18</v>
      </c>
      <c r="B251" t="s">
        <v>46</v>
      </c>
      <c r="C251" t="s">
        <v>81</v>
      </c>
      <c r="D251">
        <v>0.1535</v>
      </c>
      <c r="E251">
        <f>Tableau2[[#This Row],[Potential (PJ)]]/3.6</f>
        <v>4.2638888888888886E-2</v>
      </c>
      <c r="F251">
        <v>2.6686251468860172</v>
      </c>
      <c r="G251">
        <f>Tableau2[[#This Row],[Cost (€/GJ)]]/1000*3600</f>
        <v>9.6070505287896619</v>
      </c>
      <c r="H251">
        <v>8.9647473560517046</v>
      </c>
      <c r="I251">
        <f>Tableau2[[#This Row],[GHG (kgCO2eq/GJ)]]*3.6</f>
        <v>32.273090481786134</v>
      </c>
      <c r="J251" t="s">
        <v>105</v>
      </c>
      <c r="K251" t="s">
        <v>108</v>
      </c>
    </row>
    <row r="252" spans="1:11" hidden="1" x14ac:dyDescent="0.3">
      <c r="A252" t="s">
        <v>18</v>
      </c>
      <c r="B252" t="s">
        <v>46</v>
      </c>
      <c r="C252" t="s">
        <v>66</v>
      </c>
      <c r="D252">
        <v>3.9</v>
      </c>
      <c r="E252">
        <f>Tableau2[[#This Row],[Potential (PJ)]]/3.6</f>
        <v>1.0833333333333333</v>
      </c>
      <c r="F252">
        <v>3.097923076923077</v>
      </c>
      <c r="G252">
        <f>Tableau2[[#This Row],[Cost (€/GJ)]]/1000*3600</f>
        <v>11.152523076923078</v>
      </c>
      <c r="H252">
        <v>6.8428961748633883</v>
      </c>
      <c r="I252">
        <f>Tableau2[[#This Row],[GHG (kgCO2eq/GJ)]]*3.6</f>
        <v>24.634426229508197</v>
      </c>
      <c r="J252" t="s">
        <v>104</v>
      </c>
      <c r="K252" t="s">
        <v>108</v>
      </c>
    </row>
    <row r="253" spans="1:11" hidden="1" x14ac:dyDescent="0.3">
      <c r="A253" t="s">
        <v>18</v>
      </c>
      <c r="B253" t="s">
        <v>46</v>
      </c>
      <c r="C253" t="s">
        <v>67</v>
      </c>
      <c r="D253">
        <v>5.6000000000000014</v>
      </c>
      <c r="E253">
        <f>Tableau2[[#This Row],[Potential (PJ)]]/3.6</f>
        <v>1.5555555555555558</v>
      </c>
      <c r="F253">
        <v>6.1893392857142846</v>
      </c>
      <c r="G253">
        <f>Tableau2[[#This Row],[Cost (€/GJ)]]/1000*3600</f>
        <v>22.281621428571427</v>
      </c>
      <c r="H253">
        <v>2.9521711768407801</v>
      </c>
      <c r="I253">
        <f>Tableau2[[#This Row],[GHG (kgCO2eq/GJ)]]*3.6</f>
        <v>10.627816236626808</v>
      </c>
      <c r="J253" t="s">
        <v>104</v>
      </c>
      <c r="K253" t="s">
        <v>108</v>
      </c>
    </row>
    <row r="254" spans="1:11" hidden="1" x14ac:dyDescent="0.3">
      <c r="A254" t="s">
        <v>18</v>
      </c>
      <c r="B254" t="s">
        <v>46</v>
      </c>
      <c r="C254" t="s">
        <v>82</v>
      </c>
      <c r="D254">
        <v>0.6</v>
      </c>
      <c r="E254">
        <f>Tableau2[[#This Row],[Potential (PJ)]]/3.6</f>
        <v>0.16666666666666666</v>
      </c>
      <c r="F254">
        <v>1.896833333333334</v>
      </c>
      <c r="G254">
        <f>Tableau2[[#This Row],[Cost (€/GJ)]]/1000*3600</f>
        <v>6.8286000000000033</v>
      </c>
      <c r="H254">
        <v>6.8428961748633883</v>
      </c>
      <c r="I254">
        <f>Tableau2[[#This Row],[GHG (kgCO2eq/GJ)]]*3.6</f>
        <v>24.634426229508197</v>
      </c>
      <c r="J254" t="s">
        <v>104</v>
      </c>
      <c r="K254" t="s">
        <v>108</v>
      </c>
    </row>
    <row r="255" spans="1:11" hidden="1" x14ac:dyDescent="0.3">
      <c r="A255" t="s">
        <v>18</v>
      </c>
      <c r="B255" t="s">
        <v>46</v>
      </c>
      <c r="C255" t="s">
        <v>83</v>
      </c>
      <c r="D255">
        <v>0.72114999999999996</v>
      </c>
      <c r="E255">
        <f>Tableau2[[#This Row],[Potential (PJ)]]/3.6</f>
        <v>0.20031944444444444</v>
      </c>
      <c r="F255">
        <v>2.890285363655273</v>
      </c>
      <c r="G255">
        <f>Tableau2[[#This Row],[Cost (€/GJ)]]/1000*3600</f>
        <v>10.405027309158982</v>
      </c>
      <c r="H255">
        <v>6.8428961748633883</v>
      </c>
      <c r="I255">
        <f>Tableau2[[#This Row],[GHG (kgCO2eq/GJ)]]*3.6</f>
        <v>24.634426229508197</v>
      </c>
      <c r="J255" t="s">
        <v>104</v>
      </c>
      <c r="K255" t="s">
        <v>108</v>
      </c>
    </row>
    <row r="256" spans="1:11" hidden="1" x14ac:dyDescent="0.3">
      <c r="A256" t="s">
        <v>18</v>
      </c>
      <c r="B256" t="s">
        <v>46</v>
      </c>
      <c r="C256" t="s">
        <v>84</v>
      </c>
      <c r="D256">
        <v>0.3</v>
      </c>
      <c r="E256">
        <f>Tableau2[[#This Row],[Potential (PJ)]]/3.6</f>
        <v>8.3333333333333329E-2</v>
      </c>
      <c r="F256">
        <v>2.2603333333333331</v>
      </c>
      <c r="G256">
        <f>Tableau2[[#This Row],[Cost (€/GJ)]]/1000*3600</f>
        <v>8.1371999999999982</v>
      </c>
      <c r="H256">
        <v>28.139870918023309</v>
      </c>
      <c r="I256">
        <f>Tableau2[[#This Row],[GHG (kgCO2eq/GJ)]]*3.6</f>
        <v>101.30353530488391</v>
      </c>
      <c r="J256" t="s">
        <v>105</v>
      </c>
      <c r="K256" t="s">
        <v>108</v>
      </c>
    </row>
    <row r="257" spans="1:11" hidden="1" x14ac:dyDescent="0.3">
      <c r="A257" t="s">
        <v>18</v>
      </c>
      <c r="B257" t="s">
        <v>46</v>
      </c>
      <c r="C257" t="s">
        <v>85</v>
      </c>
      <c r="D257">
        <v>0.5</v>
      </c>
      <c r="E257">
        <f>Tableau2[[#This Row],[Potential (PJ)]]/3.6</f>
        <v>0.1388888888888889</v>
      </c>
      <c r="F257">
        <v>3.4296000000000011</v>
      </c>
      <c r="G257">
        <f>Tableau2[[#This Row],[Cost (€/GJ)]]/1000*3600</f>
        <v>12.346560000000004</v>
      </c>
      <c r="H257">
        <v>2.9521711768407801</v>
      </c>
      <c r="I257">
        <f>Tableau2[[#This Row],[GHG (kgCO2eq/GJ)]]*3.6</f>
        <v>10.627816236626808</v>
      </c>
      <c r="J257" t="s">
        <v>104</v>
      </c>
      <c r="K257" t="s">
        <v>108</v>
      </c>
    </row>
    <row r="258" spans="1:11" hidden="1" x14ac:dyDescent="0.3">
      <c r="A258" t="s">
        <v>18</v>
      </c>
      <c r="B258" t="s">
        <v>55</v>
      </c>
      <c r="C258" t="s">
        <v>86</v>
      </c>
      <c r="D258">
        <v>0.21510000000000001</v>
      </c>
      <c r="E258">
        <f>Tableau2[[#This Row],[Potential (PJ)]]/3.6</f>
        <v>5.9750000000000004E-2</v>
      </c>
      <c r="F258">
        <v>21.38900000000001</v>
      </c>
      <c r="G258">
        <f>Tableau2[[#This Row],[Cost (€/GJ)]]/1000*3600</f>
        <v>77.000400000000027</v>
      </c>
      <c r="I258">
        <f>Tableau2[[#This Row],[GHG (kgCO2eq/GJ)]]*3.6</f>
        <v>0</v>
      </c>
      <c r="J258" t="s">
        <v>106</v>
      </c>
      <c r="K258" t="s">
        <v>109</v>
      </c>
    </row>
    <row r="259" spans="1:11" hidden="1" x14ac:dyDescent="0.3">
      <c r="A259" t="s">
        <v>18</v>
      </c>
      <c r="B259" t="s">
        <v>55</v>
      </c>
      <c r="C259" t="s">
        <v>87</v>
      </c>
      <c r="D259">
        <v>6.4614000000000003</v>
      </c>
      <c r="E259">
        <f>Tableau2[[#This Row],[Potential (PJ)]]/3.6</f>
        <v>1.7948333333333333</v>
      </c>
      <c r="F259">
        <v>29.125</v>
      </c>
      <c r="G259">
        <f>Tableau2[[#This Row],[Cost (€/GJ)]]/1000*3600</f>
        <v>104.85000000000001</v>
      </c>
      <c r="I259">
        <f>Tableau2[[#This Row],[GHG (kgCO2eq/GJ)]]*3.6</f>
        <v>0</v>
      </c>
      <c r="J259" t="s">
        <v>106</v>
      </c>
      <c r="K259" t="s">
        <v>109</v>
      </c>
    </row>
    <row r="260" spans="1:11" hidden="1" x14ac:dyDescent="0.3">
      <c r="A260" t="s">
        <v>18</v>
      </c>
      <c r="B260" t="s">
        <v>55</v>
      </c>
      <c r="C260" t="s">
        <v>88</v>
      </c>
      <c r="D260">
        <v>0.214</v>
      </c>
      <c r="E260">
        <f>Tableau2[[#This Row],[Potential (PJ)]]/3.6</f>
        <v>5.9444444444444439E-2</v>
      </c>
      <c r="F260">
        <v>24.968</v>
      </c>
      <c r="G260">
        <f>Tableau2[[#This Row],[Cost (€/GJ)]]/1000*3600</f>
        <v>89.884799999999998</v>
      </c>
      <c r="I260">
        <f>Tableau2[[#This Row],[GHG (kgCO2eq/GJ)]]*3.6</f>
        <v>0</v>
      </c>
      <c r="J260" t="s">
        <v>106</v>
      </c>
      <c r="K260" t="s">
        <v>109</v>
      </c>
    </row>
    <row r="261" spans="1:11" hidden="1" x14ac:dyDescent="0.3">
      <c r="A261" t="s">
        <v>18</v>
      </c>
      <c r="B261" t="s">
        <v>55</v>
      </c>
      <c r="C261" t="s">
        <v>89</v>
      </c>
      <c r="D261">
        <v>1.78E-2</v>
      </c>
      <c r="E261">
        <f>Tableau2[[#This Row],[Potential (PJ)]]/3.6</f>
        <v>4.944444444444444E-3</v>
      </c>
      <c r="F261">
        <v>0</v>
      </c>
      <c r="G261">
        <f>Tableau2[[#This Row],[Cost (€/GJ)]]/1000*3600</f>
        <v>0</v>
      </c>
      <c r="I261">
        <f>Tableau2[[#This Row],[GHG (kgCO2eq/GJ)]]*3.6</f>
        <v>0</v>
      </c>
      <c r="J261" t="s">
        <v>106</v>
      </c>
      <c r="K261" t="s">
        <v>109</v>
      </c>
    </row>
    <row r="262" spans="1:11" hidden="1" x14ac:dyDescent="0.3">
      <c r="A262" t="s">
        <v>18</v>
      </c>
      <c r="B262" t="s">
        <v>56</v>
      </c>
      <c r="C262" t="s">
        <v>93</v>
      </c>
      <c r="D262">
        <v>21.774100000000001</v>
      </c>
      <c r="E262">
        <f>Tableau2[[#This Row],[Potential (PJ)]]/3.6</f>
        <v>6.0483611111111113</v>
      </c>
      <c r="F262">
        <v>2.939759036144578</v>
      </c>
      <c r="G262">
        <f>Tableau2[[#This Row],[Cost (€/GJ)]]/1000*3600</f>
        <v>10.58313253012048</v>
      </c>
      <c r="I262">
        <f>Tableau2[[#This Row],[GHG (kgCO2eq/GJ)]]*3.6</f>
        <v>0</v>
      </c>
      <c r="J262" t="s">
        <v>106</v>
      </c>
      <c r="K262" t="s">
        <v>109</v>
      </c>
    </row>
    <row r="263" spans="1:11" hidden="1" x14ac:dyDescent="0.3">
      <c r="A263" t="s">
        <v>18</v>
      </c>
      <c r="B263" t="s">
        <v>47</v>
      </c>
      <c r="C263" t="s">
        <v>68</v>
      </c>
      <c r="D263">
        <v>10.3</v>
      </c>
      <c r="E263">
        <f>Tableau2[[#This Row],[Potential (PJ)]]/3.6</f>
        <v>2.8611111111111112</v>
      </c>
      <c r="F263">
        <v>6.5407475728155333</v>
      </c>
      <c r="G263">
        <f>Tableau2[[#This Row],[Cost (€/GJ)]]/1000*3600</f>
        <v>23.546691262135919</v>
      </c>
      <c r="I263">
        <f>Tableau2[[#This Row],[GHG (kgCO2eq/GJ)]]*3.6</f>
        <v>0</v>
      </c>
      <c r="J263" t="s">
        <v>104</v>
      </c>
      <c r="K263" t="s">
        <v>109</v>
      </c>
    </row>
    <row r="264" spans="1:11" hidden="1" x14ac:dyDescent="0.3">
      <c r="A264" t="s">
        <v>18</v>
      </c>
      <c r="B264" t="s">
        <v>47</v>
      </c>
      <c r="C264" t="s">
        <v>69</v>
      </c>
      <c r="D264">
        <v>4.8</v>
      </c>
      <c r="E264">
        <f>Tableau2[[#This Row],[Potential (PJ)]]/3.6</f>
        <v>1.3333333333333333</v>
      </c>
      <c r="F264">
        <v>10.630791666666671</v>
      </c>
      <c r="G264">
        <f>Tableau2[[#This Row],[Cost (€/GJ)]]/1000*3600</f>
        <v>38.27085000000001</v>
      </c>
      <c r="I264">
        <f>Tableau2[[#This Row],[GHG (kgCO2eq/GJ)]]*3.6</f>
        <v>0</v>
      </c>
      <c r="J264" t="s">
        <v>104</v>
      </c>
      <c r="K264" t="s">
        <v>109</v>
      </c>
    </row>
    <row r="265" spans="1:11" hidden="1" x14ac:dyDescent="0.3">
      <c r="A265" t="s">
        <v>18</v>
      </c>
      <c r="B265" t="s">
        <v>48</v>
      </c>
      <c r="C265" t="s">
        <v>70</v>
      </c>
      <c r="D265">
        <v>4.4000000000000004</v>
      </c>
      <c r="E265">
        <f>Tableau2[[#This Row],[Potential (PJ)]]/3.6</f>
        <v>1.2222222222222223</v>
      </c>
      <c r="F265">
        <v>15.60929545454545</v>
      </c>
      <c r="G265">
        <f>Tableau2[[#This Row],[Cost (€/GJ)]]/1000*3600</f>
        <v>56.193463636363624</v>
      </c>
      <c r="I265">
        <f>Tableau2[[#This Row],[GHG (kgCO2eq/GJ)]]*3.6</f>
        <v>0</v>
      </c>
      <c r="J265" t="s">
        <v>104</v>
      </c>
      <c r="K265" t="s">
        <v>109</v>
      </c>
    </row>
    <row r="266" spans="1:11" x14ac:dyDescent="0.3">
      <c r="A266" t="s">
        <v>18</v>
      </c>
      <c r="B266" t="s">
        <v>49</v>
      </c>
      <c r="C266" t="s">
        <v>71</v>
      </c>
      <c r="D266">
        <v>6.55497</v>
      </c>
      <c r="E266">
        <f>Tableau2[[#This Row],[Potential (PJ)]]/3.6</f>
        <v>1.8208249999999999</v>
      </c>
      <c r="F266">
        <v>3.9984070651734491</v>
      </c>
      <c r="G266">
        <f>Tableau2[[#This Row],[Cost (€/GJ)]]/1000*3600</f>
        <v>14.394265434624415</v>
      </c>
      <c r="H266">
        <v>3.86607608129234</v>
      </c>
      <c r="I266">
        <f>Tableau2[[#This Row],[GHG (kgCO2eq/GJ)]]*3.6</f>
        <v>13.917873892652425</v>
      </c>
      <c r="J266" t="s">
        <v>104</v>
      </c>
      <c r="K266" t="s">
        <v>108</v>
      </c>
    </row>
    <row r="267" spans="1:11" x14ac:dyDescent="0.3">
      <c r="A267" t="s">
        <v>18</v>
      </c>
      <c r="B267" t="s">
        <v>49</v>
      </c>
      <c r="C267" t="s">
        <v>72</v>
      </c>
      <c r="D267">
        <v>1.5</v>
      </c>
      <c r="E267">
        <f>Tableau2[[#This Row],[Potential (PJ)]]/3.6</f>
        <v>0.41666666666666663</v>
      </c>
      <c r="F267">
        <v>3.2076666666666669</v>
      </c>
      <c r="G267">
        <f>Tableau2[[#This Row],[Cost (€/GJ)]]/1000*3600</f>
        <v>11.547600000000001</v>
      </c>
      <c r="H267">
        <v>3.86607608129234</v>
      </c>
      <c r="I267">
        <f>Tableau2[[#This Row],[GHG (kgCO2eq/GJ)]]*3.6</f>
        <v>13.917873892652425</v>
      </c>
      <c r="J267" t="s">
        <v>104</v>
      </c>
      <c r="K267" t="s">
        <v>108</v>
      </c>
    </row>
    <row r="268" spans="1:11" x14ac:dyDescent="0.3">
      <c r="A268" t="s">
        <v>18</v>
      </c>
      <c r="B268" t="s">
        <v>58</v>
      </c>
      <c r="C268" t="s">
        <v>95</v>
      </c>
      <c r="D268">
        <v>6.2450900000000003</v>
      </c>
      <c r="E268">
        <f>Tableau2[[#This Row],[Potential (PJ)]]/3.6</f>
        <v>1.7347472222222222</v>
      </c>
      <c r="F268">
        <v>2.542235003819</v>
      </c>
      <c r="G268">
        <f>Tableau2[[#This Row],[Cost (€/GJ)]]/1000*3600</f>
        <v>9.1520460137484001</v>
      </c>
      <c r="H268">
        <v>2.9521711768407801</v>
      </c>
      <c r="I268">
        <f>Tableau2[[#This Row],[GHG (kgCO2eq/GJ)]]*3.6</f>
        <v>10.627816236626808</v>
      </c>
      <c r="J268" t="s">
        <v>104</v>
      </c>
      <c r="K268" t="s">
        <v>108</v>
      </c>
    </row>
    <row r="269" spans="1:11" hidden="1" x14ac:dyDescent="0.3">
      <c r="A269" t="s">
        <v>18</v>
      </c>
      <c r="B269" t="s">
        <v>50</v>
      </c>
      <c r="C269" t="s">
        <v>73</v>
      </c>
      <c r="D269">
        <v>0.8</v>
      </c>
      <c r="E269">
        <f>Tableau2[[#This Row],[Potential (PJ)]]/3.6</f>
        <v>0.22222222222222224</v>
      </c>
      <c r="F269">
        <v>5.3463749999999992</v>
      </c>
      <c r="G269">
        <f>Tableau2[[#This Row],[Cost (€/GJ)]]/1000*3600</f>
        <v>19.246949999999998</v>
      </c>
      <c r="H269">
        <v>20.723404255319149</v>
      </c>
      <c r="I269">
        <f>Tableau2[[#This Row],[GHG (kgCO2eq/GJ)]]*3.6</f>
        <v>74.604255319148933</v>
      </c>
      <c r="J269" t="s">
        <v>105</v>
      </c>
      <c r="K269" t="s">
        <v>108</v>
      </c>
    </row>
    <row r="270" spans="1:11" hidden="1" x14ac:dyDescent="0.3">
      <c r="A270" t="s">
        <v>18</v>
      </c>
      <c r="B270" t="s">
        <v>50</v>
      </c>
      <c r="C270" t="s">
        <v>74</v>
      </c>
      <c r="D270">
        <v>6.8999999999999986</v>
      </c>
      <c r="E270">
        <f>Tableau2[[#This Row],[Potential (PJ)]]/3.6</f>
        <v>1.9166666666666663</v>
      </c>
      <c r="F270">
        <v>4.431304347826087</v>
      </c>
      <c r="G270">
        <f>Tableau2[[#This Row],[Cost (€/GJ)]]/1000*3600</f>
        <v>15.952695652173913</v>
      </c>
      <c r="H270">
        <v>2.0635593220338988</v>
      </c>
      <c r="I270">
        <f>Tableau2[[#This Row],[GHG (kgCO2eq/GJ)]]*3.6</f>
        <v>7.4288135593220357</v>
      </c>
      <c r="J270" t="s">
        <v>105</v>
      </c>
      <c r="K270" t="s">
        <v>108</v>
      </c>
    </row>
    <row r="271" spans="1:11" hidden="1" x14ac:dyDescent="0.3">
      <c r="A271" t="s">
        <v>18</v>
      </c>
      <c r="B271" t="s">
        <v>59</v>
      </c>
      <c r="C271" t="s">
        <v>96</v>
      </c>
      <c r="D271">
        <v>1.7846</v>
      </c>
      <c r="E271">
        <f>Tableau2[[#This Row],[Potential (PJ)]]/3.6</f>
        <v>0.49572222222222218</v>
      </c>
      <c r="F271">
        <v>28.3</v>
      </c>
      <c r="G271">
        <f>Tableau2[[#This Row],[Cost (€/GJ)]]/1000*3600</f>
        <v>101.88000000000001</v>
      </c>
      <c r="I271">
        <f>Tableau2[[#This Row],[GHG (kgCO2eq/GJ)]]*3.6</f>
        <v>0</v>
      </c>
      <c r="J271" t="s">
        <v>107</v>
      </c>
      <c r="K271" t="s">
        <v>109</v>
      </c>
    </row>
    <row r="272" spans="1:11" hidden="1" x14ac:dyDescent="0.3">
      <c r="A272" t="s">
        <v>18</v>
      </c>
      <c r="B272" t="s">
        <v>59</v>
      </c>
      <c r="C272" t="s">
        <v>97</v>
      </c>
      <c r="D272">
        <v>1.5201</v>
      </c>
      <c r="E272">
        <f>Tableau2[[#This Row],[Potential (PJ)]]/3.6</f>
        <v>0.42225000000000001</v>
      </c>
      <c r="F272">
        <v>19.96744438415627</v>
      </c>
      <c r="G272">
        <f>Tableau2[[#This Row],[Cost (€/GJ)]]/1000*3600</f>
        <v>71.882799782962579</v>
      </c>
      <c r="I272">
        <f>Tableau2[[#This Row],[GHG (kgCO2eq/GJ)]]*3.6</f>
        <v>0</v>
      </c>
      <c r="J272" t="s">
        <v>107</v>
      </c>
      <c r="K272" t="s">
        <v>109</v>
      </c>
    </row>
    <row r="273" spans="1:11" x14ac:dyDescent="0.3">
      <c r="A273" t="s">
        <v>18</v>
      </c>
      <c r="B273" t="s">
        <v>51</v>
      </c>
      <c r="C273" t="s">
        <v>75</v>
      </c>
      <c r="D273">
        <v>3.4327589999999999</v>
      </c>
      <c r="E273">
        <f>Tableau2[[#This Row],[Potential (PJ)]]/3.6</f>
        <v>0.95354416666666664</v>
      </c>
      <c r="F273">
        <v>6.1258684567996803E-2</v>
      </c>
      <c r="G273">
        <f>Tableau2[[#This Row],[Cost (€/GJ)]]/1000*3600</f>
        <v>0.22053126444478849</v>
      </c>
      <c r="H273">
        <v>11.74</v>
      </c>
      <c r="I273">
        <f>Tableau2[[#This Row],[GHG (kgCO2eq/GJ)]]*3.6</f>
        <v>42.264000000000003</v>
      </c>
      <c r="J273" t="s">
        <v>104</v>
      </c>
      <c r="K273" t="s">
        <v>108</v>
      </c>
    </row>
    <row r="274" spans="1:11" hidden="1" x14ac:dyDescent="0.3">
      <c r="A274" t="s">
        <v>18</v>
      </c>
      <c r="B274" t="s">
        <v>52</v>
      </c>
      <c r="C274" t="s">
        <v>76</v>
      </c>
      <c r="D274">
        <v>0.71599999999999997</v>
      </c>
      <c r="E274">
        <f>Tableau2[[#This Row],[Potential (PJ)]]/3.6</f>
        <v>0.19888888888888887</v>
      </c>
      <c r="F274">
        <v>0</v>
      </c>
      <c r="G274">
        <f>Tableau2[[#This Row],[Cost (€/GJ)]]/1000*3600</f>
        <v>0</v>
      </c>
      <c r="H274">
        <v>12.68872359754714</v>
      </c>
      <c r="I274">
        <f>Tableau2[[#This Row],[GHG (kgCO2eq/GJ)]]*3.6</f>
        <v>45.679404951169708</v>
      </c>
      <c r="J274" t="s">
        <v>105</v>
      </c>
      <c r="K274" t="s">
        <v>108</v>
      </c>
    </row>
    <row r="275" spans="1:11" x14ac:dyDescent="0.3">
      <c r="A275" t="s">
        <v>18</v>
      </c>
      <c r="B275" t="s">
        <v>53</v>
      </c>
      <c r="C275" t="s">
        <v>77</v>
      </c>
      <c r="D275">
        <v>2.8</v>
      </c>
      <c r="E275">
        <f>Tableau2[[#This Row],[Potential (PJ)]]/3.6</f>
        <v>0.77777777777777768</v>
      </c>
      <c r="F275">
        <v>3.206928571428572</v>
      </c>
      <c r="G275">
        <f>Tableau2[[#This Row],[Cost (€/GJ)]]/1000*3600</f>
        <v>11.544942857142859</v>
      </c>
      <c r="H275">
        <v>3.86607608129234</v>
      </c>
      <c r="I275">
        <f>Tableau2[[#This Row],[GHG (kgCO2eq/GJ)]]*3.6</f>
        <v>13.917873892652425</v>
      </c>
      <c r="J275" t="s">
        <v>104</v>
      </c>
      <c r="K275" t="s">
        <v>108</v>
      </c>
    </row>
    <row r="276" spans="1:11" x14ac:dyDescent="0.3">
      <c r="A276" t="s">
        <v>18</v>
      </c>
      <c r="B276" t="s">
        <v>61</v>
      </c>
      <c r="C276" t="s">
        <v>99</v>
      </c>
      <c r="D276">
        <v>1.3</v>
      </c>
      <c r="E276">
        <f>Tableau2[[#This Row],[Potential (PJ)]]/3.6</f>
        <v>0.3611111111111111</v>
      </c>
      <c r="F276">
        <v>1.5910769230769231</v>
      </c>
      <c r="G276">
        <f>Tableau2[[#This Row],[Cost (€/GJ)]]/1000*3600</f>
        <v>5.7278769230769235</v>
      </c>
      <c r="H276">
        <v>2.9245635910224439</v>
      </c>
      <c r="I276">
        <f>Tableau2[[#This Row],[GHG (kgCO2eq/GJ)]]*3.6</f>
        <v>10.528428927680798</v>
      </c>
      <c r="J276" t="s">
        <v>104</v>
      </c>
      <c r="K276" t="s">
        <v>108</v>
      </c>
    </row>
    <row r="277" spans="1:11" x14ac:dyDescent="0.3">
      <c r="A277" t="s">
        <v>18</v>
      </c>
      <c r="B277" t="s">
        <v>54</v>
      </c>
      <c r="C277" t="s">
        <v>78</v>
      </c>
      <c r="D277">
        <v>12.1</v>
      </c>
      <c r="E277">
        <f>Tableau2[[#This Row],[Potential (PJ)]]/3.6</f>
        <v>3.3611111111111107</v>
      </c>
      <c r="F277">
        <v>6.6279917355371891</v>
      </c>
      <c r="G277">
        <f>Tableau2[[#This Row],[Cost (€/GJ)]]/1000*3600</f>
        <v>23.860770247933882</v>
      </c>
      <c r="H277">
        <v>3.86607608129234</v>
      </c>
      <c r="I277">
        <f>Tableau2[[#This Row],[GHG (kgCO2eq/GJ)]]*3.6</f>
        <v>13.917873892652425</v>
      </c>
      <c r="J277" t="s">
        <v>104</v>
      </c>
      <c r="K277" t="s">
        <v>108</v>
      </c>
    </row>
    <row r="278" spans="1:11" hidden="1" x14ac:dyDescent="0.3">
      <c r="A278" t="s">
        <v>19</v>
      </c>
      <c r="B278" t="s">
        <v>46</v>
      </c>
      <c r="C278" t="s">
        <v>63</v>
      </c>
      <c r="D278">
        <v>6.5713999999999997</v>
      </c>
      <c r="E278">
        <f>Tableau2[[#This Row],[Potential (PJ)]]/3.6</f>
        <v>1.8253888888888887</v>
      </c>
      <c r="F278">
        <v>2.9286474973375931</v>
      </c>
      <c r="G278">
        <f>Tableau2[[#This Row],[Cost (€/GJ)]]/1000*3600</f>
        <v>10.543130990415335</v>
      </c>
      <c r="H278">
        <v>3.950479233226837</v>
      </c>
      <c r="I278">
        <f>Tableau2[[#This Row],[GHG (kgCO2eq/GJ)]]*3.6</f>
        <v>14.221725239616614</v>
      </c>
      <c r="J278" t="s">
        <v>104</v>
      </c>
      <c r="K278" t="s">
        <v>108</v>
      </c>
    </row>
    <row r="279" spans="1:11" hidden="1" x14ac:dyDescent="0.3">
      <c r="A279" t="s">
        <v>19</v>
      </c>
      <c r="B279" t="s">
        <v>46</v>
      </c>
      <c r="C279" t="s">
        <v>64</v>
      </c>
      <c r="D279">
        <v>0.55589999999999995</v>
      </c>
      <c r="E279">
        <f>Tableau2[[#This Row],[Potential (PJ)]]/3.6</f>
        <v>0.15441666666666665</v>
      </c>
      <c r="F279">
        <v>3.4051543263176831</v>
      </c>
      <c r="G279">
        <f>Tableau2[[#This Row],[Cost (€/GJ)]]/1000*3600</f>
        <v>12.258555574743658</v>
      </c>
      <c r="H279">
        <v>2.9521711768407801</v>
      </c>
      <c r="I279">
        <f>Tableau2[[#This Row],[GHG (kgCO2eq/GJ)]]*3.6</f>
        <v>10.627816236626808</v>
      </c>
      <c r="J279" t="s">
        <v>104</v>
      </c>
      <c r="K279" t="s">
        <v>108</v>
      </c>
    </row>
    <row r="280" spans="1:11" hidden="1" x14ac:dyDescent="0.3">
      <c r="A280" t="s">
        <v>19</v>
      </c>
      <c r="B280" t="s">
        <v>46</v>
      </c>
      <c r="C280" t="s">
        <v>79</v>
      </c>
      <c r="D280">
        <v>37</v>
      </c>
      <c r="E280">
        <f>Tableau2[[#This Row],[Potential (PJ)]]/3.6</f>
        <v>10.277777777777777</v>
      </c>
      <c r="F280">
        <v>2.0252189189189189</v>
      </c>
      <c r="G280">
        <f>Tableau2[[#This Row],[Cost (€/GJ)]]/1000*3600</f>
        <v>7.2907881081081083</v>
      </c>
      <c r="H280">
        <v>6.8428961748633883</v>
      </c>
      <c r="I280">
        <f>Tableau2[[#This Row],[GHG (kgCO2eq/GJ)]]*3.6</f>
        <v>24.634426229508197</v>
      </c>
      <c r="J280" t="s">
        <v>104</v>
      </c>
      <c r="K280" t="s">
        <v>108</v>
      </c>
    </row>
    <row r="281" spans="1:11" hidden="1" x14ac:dyDescent="0.3">
      <c r="A281" t="s">
        <v>19</v>
      </c>
      <c r="B281" t="s">
        <v>46</v>
      </c>
      <c r="C281" t="s">
        <v>65</v>
      </c>
      <c r="D281">
        <v>6.8</v>
      </c>
      <c r="E281">
        <f>Tableau2[[#This Row],[Potential (PJ)]]/3.6</f>
        <v>1.8888888888888888</v>
      </c>
      <c r="F281">
        <v>4.9517205882352942</v>
      </c>
      <c r="G281">
        <f>Tableau2[[#This Row],[Cost (€/GJ)]]/1000*3600</f>
        <v>17.826194117647059</v>
      </c>
      <c r="H281">
        <v>2.9521711768407801</v>
      </c>
      <c r="I281">
        <f>Tableau2[[#This Row],[GHG (kgCO2eq/GJ)]]*3.6</f>
        <v>10.627816236626808</v>
      </c>
      <c r="J281" t="s">
        <v>104</v>
      </c>
      <c r="K281" t="s">
        <v>108</v>
      </c>
    </row>
    <row r="282" spans="1:11" hidden="1" x14ac:dyDescent="0.3">
      <c r="A282" t="s">
        <v>19</v>
      </c>
      <c r="B282" t="s">
        <v>46</v>
      </c>
      <c r="C282" t="s">
        <v>102</v>
      </c>
      <c r="D282">
        <v>3.5</v>
      </c>
      <c r="E282">
        <f>Tableau2[[#This Row],[Potential (PJ)]]/3.6</f>
        <v>0.97222222222222221</v>
      </c>
      <c r="F282">
        <v>4.273428571428572</v>
      </c>
      <c r="G282">
        <f>Tableau2[[#This Row],[Cost (€/GJ)]]/1000*3600</f>
        <v>15.38434285714286</v>
      </c>
      <c r="H282">
        <v>2.9521711768407801</v>
      </c>
      <c r="I282">
        <f>Tableau2[[#This Row],[GHG (kgCO2eq/GJ)]]*3.6</f>
        <v>10.627816236626808</v>
      </c>
      <c r="J282" t="s">
        <v>104</v>
      </c>
      <c r="K282" t="s">
        <v>108</v>
      </c>
    </row>
    <row r="283" spans="1:11" hidden="1" x14ac:dyDescent="0.3">
      <c r="A283" t="s">
        <v>19</v>
      </c>
      <c r="B283" t="s">
        <v>46</v>
      </c>
      <c r="C283" t="s">
        <v>80</v>
      </c>
      <c r="D283">
        <v>3.0796000000000001</v>
      </c>
      <c r="E283">
        <f>Tableau2[[#This Row],[Potential (PJ)]]/3.6</f>
        <v>0.85544444444444445</v>
      </c>
      <c r="F283">
        <v>0.53674983142279165</v>
      </c>
      <c r="G283">
        <f>Tableau2[[#This Row],[Cost (€/GJ)]]/1000*3600</f>
        <v>1.9322993931220498</v>
      </c>
      <c r="H283">
        <v>28.139870918023309</v>
      </c>
      <c r="I283">
        <f>Tableau2[[#This Row],[GHG (kgCO2eq/GJ)]]*3.6</f>
        <v>101.30353530488391</v>
      </c>
      <c r="J283" t="s">
        <v>105</v>
      </c>
      <c r="K283" t="s">
        <v>108</v>
      </c>
    </row>
    <row r="284" spans="1:11" hidden="1" x14ac:dyDescent="0.3">
      <c r="A284" t="s">
        <v>19</v>
      </c>
      <c r="B284" t="s">
        <v>46</v>
      </c>
      <c r="C284" t="s">
        <v>81</v>
      </c>
      <c r="D284">
        <v>0.67249999999999999</v>
      </c>
      <c r="E284">
        <f>Tableau2[[#This Row],[Potential (PJ)]]/3.6</f>
        <v>0.18680555555555556</v>
      </c>
      <c r="F284">
        <v>1.0987074030552291</v>
      </c>
      <c r="G284">
        <f>Tableau2[[#This Row],[Cost (€/GJ)]]/1000*3600</f>
        <v>3.9553466509988251</v>
      </c>
      <c r="H284">
        <v>8.9647473560517046</v>
      </c>
      <c r="I284">
        <f>Tableau2[[#This Row],[GHG (kgCO2eq/GJ)]]*3.6</f>
        <v>32.273090481786134</v>
      </c>
      <c r="J284" t="s">
        <v>105</v>
      </c>
      <c r="K284" t="s">
        <v>108</v>
      </c>
    </row>
    <row r="285" spans="1:11" hidden="1" x14ac:dyDescent="0.3">
      <c r="A285" t="s">
        <v>19</v>
      </c>
      <c r="B285" t="s">
        <v>46</v>
      </c>
      <c r="C285" t="s">
        <v>66</v>
      </c>
      <c r="D285">
        <v>4.5</v>
      </c>
      <c r="E285">
        <f>Tableau2[[#This Row],[Potential (PJ)]]/3.6</f>
        <v>1.25</v>
      </c>
      <c r="F285">
        <v>2.097088888888889</v>
      </c>
      <c r="G285">
        <f>Tableau2[[#This Row],[Cost (€/GJ)]]/1000*3600</f>
        <v>7.5495200000000011</v>
      </c>
      <c r="H285">
        <v>6.8428961748633883</v>
      </c>
      <c r="I285">
        <f>Tableau2[[#This Row],[GHG (kgCO2eq/GJ)]]*3.6</f>
        <v>24.634426229508197</v>
      </c>
      <c r="J285" t="s">
        <v>104</v>
      </c>
      <c r="K285" t="s">
        <v>108</v>
      </c>
    </row>
    <row r="286" spans="1:11" hidden="1" x14ac:dyDescent="0.3">
      <c r="A286" t="s">
        <v>19</v>
      </c>
      <c r="B286" t="s">
        <v>46</v>
      </c>
      <c r="C286" t="s">
        <v>67</v>
      </c>
      <c r="D286">
        <v>14.5</v>
      </c>
      <c r="E286">
        <f>Tableau2[[#This Row],[Potential (PJ)]]/3.6</f>
        <v>4.0277777777777777</v>
      </c>
      <c r="F286">
        <v>7.2129448275862078</v>
      </c>
      <c r="G286">
        <f>Tableau2[[#This Row],[Cost (€/GJ)]]/1000*3600</f>
        <v>25.966601379310347</v>
      </c>
      <c r="H286">
        <v>2.9521711768407801</v>
      </c>
      <c r="I286">
        <f>Tableau2[[#This Row],[GHG (kgCO2eq/GJ)]]*3.6</f>
        <v>10.627816236626808</v>
      </c>
      <c r="J286" t="s">
        <v>104</v>
      </c>
      <c r="K286" t="s">
        <v>108</v>
      </c>
    </row>
    <row r="287" spans="1:11" hidden="1" x14ac:dyDescent="0.3">
      <c r="A287" t="s">
        <v>19</v>
      </c>
      <c r="B287" t="s">
        <v>46</v>
      </c>
      <c r="C287" t="s">
        <v>82</v>
      </c>
      <c r="D287">
        <v>3.1</v>
      </c>
      <c r="E287">
        <f>Tableau2[[#This Row],[Potential (PJ)]]/3.6</f>
        <v>0.86111111111111116</v>
      </c>
      <c r="F287">
        <v>1.431258064516129</v>
      </c>
      <c r="G287">
        <f>Tableau2[[#This Row],[Cost (€/GJ)]]/1000*3600</f>
        <v>5.152529032258065</v>
      </c>
      <c r="H287">
        <v>6.8428961748633883</v>
      </c>
      <c r="I287">
        <f>Tableau2[[#This Row],[GHG (kgCO2eq/GJ)]]*3.6</f>
        <v>24.634426229508197</v>
      </c>
      <c r="J287" t="s">
        <v>104</v>
      </c>
      <c r="K287" t="s">
        <v>108</v>
      </c>
    </row>
    <row r="288" spans="1:11" hidden="1" x14ac:dyDescent="0.3">
      <c r="A288" t="s">
        <v>19</v>
      </c>
      <c r="B288" t="s">
        <v>46</v>
      </c>
      <c r="C288" t="s">
        <v>83</v>
      </c>
      <c r="D288">
        <v>2.0282499999999999</v>
      </c>
      <c r="E288">
        <f>Tableau2[[#This Row],[Potential (PJ)]]/3.6</f>
        <v>0.5634027777777777</v>
      </c>
      <c r="F288">
        <v>1.994635365462837</v>
      </c>
      <c r="G288">
        <f>Tableau2[[#This Row],[Cost (€/GJ)]]/1000*3600</f>
        <v>7.180687315666213</v>
      </c>
      <c r="H288">
        <v>6.8428961748633883</v>
      </c>
      <c r="I288">
        <f>Tableau2[[#This Row],[GHG (kgCO2eq/GJ)]]*3.6</f>
        <v>24.634426229508197</v>
      </c>
      <c r="J288" t="s">
        <v>104</v>
      </c>
      <c r="K288" t="s">
        <v>108</v>
      </c>
    </row>
    <row r="289" spans="1:11" hidden="1" x14ac:dyDescent="0.3">
      <c r="A289" t="s">
        <v>19</v>
      </c>
      <c r="B289" t="s">
        <v>46</v>
      </c>
      <c r="C289" t="s">
        <v>84</v>
      </c>
      <c r="D289">
        <v>1.1000000000000001</v>
      </c>
      <c r="E289">
        <f>Tableau2[[#This Row],[Potential (PJ)]]/3.6</f>
        <v>0.30555555555555558</v>
      </c>
      <c r="F289">
        <v>1.6547272727272719</v>
      </c>
      <c r="G289">
        <f>Tableau2[[#This Row],[Cost (€/GJ)]]/1000*3600</f>
        <v>5.9570181818181789</v>
      </c>
      <c r="H289">
        <v>28.139870918023309</v>
      </c>
      <c r="I289">
        <f>Tableau2[[#This Row],[GHG (kgCO2eq/GJ)]]*3.6</f>
        <v>101.30353530488391</v>
      </c>
      <c r="J289" t="s">
        <v>105</v>
      </c>
      <c r="K289" t="s">
        <v>108</v>
      </c>
    </row>
    <row r="290" spans="1:11" hidden="1" x14ac:dyDescent="0.3">
      <c r="A290" t="s">
        <v>19</v>
      </c>
      <c r="B290" t="s">
        <v>46</v>
      </c>
      <c r="C290" t="s">
        <v>85</v>
      </c>
      <c r="D290">
        <v>5.9</v>
      </c>
      <c r="E290">
        <f>Tableau2[[#This Row],[Potential (PJ)]]/3.6</f>
        <v>1.6388888888888888</v>
      </c>
      <c r="F290">
        <v>3.7019830508474572</v>
      </c>
      <c r="G290">
        <f>Tableau2[[#This Row],[Cost (€/GJ)]]/1000*3600</f>
        <v>13.327138983050846</v>
      </c>
      <c r="H290">
        <v>2.9521711768407801</v>
      </c>
      <c r="I290">
        <f>Tableau2[[#This Row],[GHG (kgCO2eq/GJ)]]*3.6</f>
        <v>10.627816236626808</v>
      </c>
      <c r="J290" t="s">
        <v>104</v>
      </c>
      <c r="K290" t="s">
        <v>108</v>
      </c>
    </row>
    <row r="291" spans="1:11" hidden="1" x14ac:dyDescent="0.3">
      <c r="A291" t="s">
        <v>19</v>
      </c>
      <c r="B291" t="s">
        <v>55</v>
      </c>
      <c r="C291" t="s">
        <v>86</v>
      </c>
      <c r="D291">
        <v>13.4678</v>
      </c>
      <c r="E291">
        <f>Tableau2[[#This Row],[Potential (PJ)]]/3.6</f>
        <v>3.7410555555555556</v>
      </c>
      <c r="F291">
        <v>18.76499999999999</v>
      </c>
      <c r="G291">
        <f>Tableau2[[#This Row],[Cost (€/GJ)]]/1000*3600</f>
        <v>67.553999999999959</v>
      </c>
      <c r="H291">
        <v>13.1</v>
      </c>
      <c r="I291">
        <f>Tableau2[[#This Row],[GHG (kgCO2eq/GJ)]]*3.6</f>
        <v>47.16</v>
      </c>
      <c r="J291" t="s">
        <v>106</v>
      </c>
      <c r="K291" t="s">
        <v>109</v>
      </c>
    </row>
    <row r="292" spans="1:11" hidden="1" x14ac:dyDescent="0.3">
      <c r="A292" t="s">
        <v>19</v>
      </c>
      <c r="B292" t="s">
        <v>55</v>
      </c>
      <c r="C292" t="s">
        <v>87</v>
      </c>
      <c r="D292">
        <v>9.1806999999999999</v>
      </c>
      <c r="E292">
        <f>Tableau2[[#This Row],[Potential (PJ)]]/3.6</f>
        <v>2.5501944444444442</v>
      </c>
      <c r="F292">
        <v>22.024000000000001</v>
      </c>
      <c r="G292">
        <f>Tableau2[[#This Row],[Cost (€/GJ)]]/1000*3600</f>
        <v>79.2864</v>
      </c>
      <c r="H292">
        <v>13.1</v>
      </c>
      <c r="I292">
        <f>Tableau2[[#This Row],[GHG (kgCO2eq/GJ)]]*3.6</f>
        <v>47.16</v>
      </c>
      <c r="J292" t="s">
        <v>106</v>
      </c>
      <c r="K292" t="s">
        <v>109</v>
      </c>
    </row>
    <row r="293" spans="1:11" hidden="1" x14ac:dyDescent="0.3">
      <c r="A293" t="s">
        <v>19</v>
      </c>
      <c r="B293" t="s">
        <v>55</v>
      </c>
      <c r="C293" t="s">
        <v>88</v>
      </c>
      <c r="D293">
        <v>4.1059000000000001</v>
      </c>
      <c r="E293">
        <f>Tableau2[[#This Row],[Potential (PJ)]]/3.6</f>
        <v>1.1405277777777778</v>
      </c>
      <c r="F293">
        <v>21.882999999999999</v>
      </c>
      <c r="G293">
        <f>Tableau2[[#This Row],[Cost (€/GJ)]]/1000*3600</f>
        <v>78.778800000000004</v>
      </c>
      <c r="H293">
        <v>13.1</v>
      </c>
      <c r="I293">
        <f>Tableau2[[#This Row],[GHG (kgCO2eq/GJ)]]*3.6</f>
        <v>47.16</v>
      </c>
      <c r="J293" t="s">
        <v>106</v>
      </c>
      <c r="K293" t="s">
        <v>109</v>
      </c>
    </row>
    <row r="294" spans="1:11" hidden="1" x14ac:dyDescent="0.3">
      <c r="A294" t="s">
        <v>19</v>
      </c>
      <c r="B294" t="s">
        <v>55</v>
      </c>
      <c r="C294" t="s">
        <v>89</v>
      </c>
      <c r="D294">
        <v>3.0594000000000001</v>
      </c>
      <c r="E294">
        <f>Tableau2[[#This Row],[Potential (PJ)]]/3.6</f>
        <v>0.84983333333333333</v>
      </c>
      <c r="F294">
        <v>0</v>
      </c>
      <c r="G294">
        <f>Tableau2[[#This Row],[Cost (€/GJ)]]/1000*3600</f>
        <v>0</v>
      </c>
      <c r="H294">
        <v>13.1</v>
      </c>
      <c r="I294">
        <f>Tableau2[[#This Row],[GHG (kgCO2eq/GJ)]]*3.6</f>
        <v>47.16</v>
      </c>
      <c r="J294" t="s">
        <v>106</v>
      </c>
      <c r="K294" t="s">
        <v>109</v>
      </c>
    </row>
    <row r="295" spans="1:11" hidden="1" x14ac:dyDescent="0.3">
      <c r="A295" t="s">
        <v>19</v>
      </c>
      <c r="B295" t="s">
        <v>55</v>
      </c>
      <c r="C295" t="s">
        <v>90</v>
      </c>
      <c r="D295">
        <v>0.13569999999999999</v>
      </c>
      <c r="E295">
        <f>Tableau2[[#This Row],[Potential (PJ)]]/3.6</f>
        <v>3.769444444444444E-2</v>
      </c>
      <c r="F295">
        <v>22.61099999999999</v>
      </c>
      <c r="G295">
        <f>Tableau2[[#This Row],[Cost (€/GJ)]]/1000*3600</f>
        <v>81.399599999999964</v>
      </c>
      <c r="H295">
        <v>13.1</v>
      </c>
      <c r="I295">
        <f>Tableau2[[#This Row],[GHG (kgCO2eq/GJ)]]*3.6</f>
        <v>47.16</v>
      </c>
      <c r="J295" t="s">
        <v>106</v>
      </c>
      <c r="K295" t="s">
        <v>109</v>
      </c>
    </row>
    <row r="296" spans="1:11" hidden="1" x14ac:dyDescent="0.3">
      <c r="A296" t="s">
        <v>19</v>
      </c>
      <c r="B296" t="s">
        <v>55</v>
      </c>
      <c r="C296" t="s">
        <v>91</v>
      </c>
      <c r="D296">
        <v>2.0087000000000002</v>
      </c>
      <c r="E296">
        <f>Tableau2[[#This Row],[Potential (PJ)]]/3.6</f>
        <v>0.5579722222222222</v>
      </c>
      <c r="F296">
        <v>18.987000000000009</v>
      </c>
      <c r="G296">
        <f>Tableau2[[#This Row],[Cost (€/GJ)]]/1000*3600</f>
        <v>68.353200000000029</v>
      </c>
      <c r="H296">
        <v>13.1</v>
      </c>
      <c r="I296">
        <f>Tableau2[[#This Row],[GHG (kgCO2eq/GJ)]]*3.6</f>
        <v>47.16</v>
      </c>
      <c r="J296" t="s">
        <v>106</v>
      </c>
      <c r="K296" t="s">
        <v>109</v>
      </c>
    </row>
    <row r="297" spans="1:11" hidden="1" x14ac:dyDescent="0.3">
      <c r="A297" t="s">
        <v>19</v>
      </c>
      <c r="B297" t="s">
        <v>55</v>
      </c>
      <c r="C297" t="s">
        <v>92</v>
      </c>
      <c r="D297">
        <v>1.2316400000000001</v>
      </c>
      <c r="E297">
        <f>Tableau2[[#This Row],[Potential (PJ)]]/3.6</f>
        <v>0.34212222222222222</v>
      </c>
      <c r="F297">
        <v>22.024000000000001</v>
      </c>
      <c r="G297">
        <f>Tableau2[[#This Row],[Cost (€/GJ)]]/1000*3600</f>
        <v>79.2864</v>
      </c>
      <c r="H297">
        <v>13.1</v>
      </c>
      <c r="I297">
        <f>Tableau2[[#This Row],[GHG (kgCO2eq/GJ)]]*3.6</f>
        <v>47.16</v>
      </c>
      <c r="J297" t="s">
        <v>106</v>
      </c>
      <c r="K297" t="s">
        <v>109</v>
      </c>
    </row>
    <row r="298" spans="1:11" hidden="1" x14ac:dyDescent="0.3">
      <c r="A298" t="s">
        <v>19</v>
      </c>
      <c r="B298" t="s">
        <v>56</v>
      </c>
      <c r="C298" t="s">
        <v>93</v>
      </c>
      <c r="D298">
        <v>170.00479999999999</v>
      </c>
      <c r="E298">
        <f>Tableau2[[#This Row],[Potential (PJ)]]/3.6</f>
        <v>47.223555555555549</v>
      </c>
      <c r="F298">
        <v>2.939759036144578</v>
      </c>
      <c r="G298">
        <f>Tableau2[[#This Row],[Cost (€/GJ)]]/1000*3600</f>
        <v>10.58313253012048</v>
      </c>
      <c r="H298">
        <v>23.6</v>
      </c>
      <c r="I298">
        <f>Tableau2[[#This Row],[GHG (kgCO2eq/GJ)]]*3.6</f>
        <v>84.960000000000008</v>
      </c>
      <c r="J298" t="s">
        <v>106</v>
      </c>
      <c r="K298" t="s">
        <v>109</v>
      </c>
    </row>
    <row r="299" spans="1:11" hidden="1" x14ac:dyDescent="0.3">
      <c r="A299" t="s">
        <v>19</v>
      </c>
      <c r="B299" t="s">
        <v>47</v>
      </c>
      <c r="C299" t="s">
        <v>68</v>
      </c>
      <c r="D299">
        <v>195.1</v>
      </c>
      <c r="E299">
        <f>Tableau2[[#This Row],[Potential (PJ)]]/3.6</f>
        <v>54.194444444444443</v>
      </c>
      <c r="F299">
        <v>5.5244572014351609</v>
      </c>
      <c r="G299">
        <f>Tableau2[[#This Row],[Cost (€/GJ)]]/1000*3600</f>
        <v>19.88804592516658</v>
      </c>
      <c r="H299">
        <v>15</v>
      </c>
      <c r="I299">
        <f>Tableau2[[#This Row],[GHG (kgCO2eq/GJ)]]*3.6</f>
        <v>54</v>
      </c>
      <c r="J299" t="s">
        <v>104</v>
      </c>
      <c r="K299" t="s">
        <v>109</v>
      </c>
    </row>
    <row r="300" spans="1:11" hidden="1" x14ac:dyDescent="0.3">
      <c r="A300" t="s">
        <v>19</v>
      </c>
      <c r="B300" t="s">
        <v>47</v>
      </c>
      <c r="C300" t="s">
        <v>69</v>
      </c>
      <c r="D300">
        <v>72.400000000000006</v>
      </c>
      <c r="E300">
        <f>Tableau2[[#This Row],[Potential (PJ)]]/3.6</f>
        <v>20.111111111111111</v>
      </c>
      <c r="F300">
        <v>9.2375662983425411</v>
      </c>
      <c r="G300">
        <f>Tableau2[[#This Row],[Cost (€/GJ)]]/1000*3600</f>
        <v>33.255238674033144</v>
      </c>
      <c r="H300">
        <v>15</v>
      </c>
      <c r="I300">
        <f>Tableau2[[#This Row],[GHG (kgCO2eq/GJ)]]*3.6</f>
        <v>54</v>
      </c>
      <c r="J300" t="s">
        <v>104</v>
      </c>
      <c r="K300" t="s">
        <v>109</v>
      </c>
    </row>
    <row r="301" spans="1:11" hidden="1" x14ac:dyDescent="0.3">
      <c r="A301" t="s">
        <v>19</v>
      </c>
      <c r="B301" t="s">
        <v>48</v>
      </c>
      <c r="C301" t="s">
        <v>70</v>
      </c>
      <c r="D301">
        <v>54.1</v>
      </c>
      <c r="E301">
        <f>Tableau2[[#This Row],[Potential (PJ)]]/3.6</f>
        <v>15.027777777777779</v>
      </c>
      <c r="F301">
        <v>14.787192236598891</v>
      </c>
      <c r="G301">
        <f>Tableau2[[#This Row],[Cost (€/GJ)]]/1000*3600</f>
        <v>53.233892051756008</v>
      </c>
      <c r="H301">
        <v>16.8</v>
      </c>
      <c r="I301">
        <f>Tableau2[[#This Row],[GHG (kgCO2eq/GJ)]]*3.6</f>
        <v>60.480000000000004</v>
      </c>
      <c r="J301" t="s">
        <v>104</v>
      </c>
      <c r="K301" t="s">
        <v>109</v>
      </c>
    </row>
    <row r="302" spans="1:11" x14ac:dyDescent="0.3">
      <c r="A302" t="s">
        <v>19</v>
      </c>
      <c r="B302" t="s">
        <v>49</v>
      </c>
      <c r="C302" t="s">
        <v>71</v>
      </c>
      <c r="D302">
        <v>85.711200000000005</v>
      </c>
      <c r="E302">
        <f>Tableau2[[#This Row],[Potential (PJ)]]/3.6</f>
        <v>23.808666666666667</v>
      </c>
      <c r="F302">
        <v>4.5719184717983179</v>
      </c>
      <c r="G302">
        <f>Tableau2[[#This Row],[Cost (€/GJ)]]/1000*3600</f>
        <v>16.458906498473944</v>
      </c>
      <c r="H302">
        <v>3.86607608129234</v>
      </c>
      <c r="I302">
        <f>Tableau2[[#This Row],[GHG (kgCO2eq/GJ)]]*3.6</f>
        <v>13.917873892652425</v>
      </c>
      <c r="J302" t="s">
        <v>104</v>
      </c>
      <c r="K302" t="s">
        <v>108</v>
      </c>
    </row>
    <row r="303" spans="1:11" x14ac:dyDescent="0.3">
      <c r="A303" t="s">
        <v>19</v>
      </c>
      <c r="B303" t="s">
        <v>49</v>
      </c>
      <c r="C303" t="s">
        <v>72</v>
      </c>
      <c r="D303">
        <v>10.199999999999999</v>
      </c>
      <c r="E303">
        <f>Tableau2[[#This Row],[Potential (PJ)]]/3.6</f>
        <v>2.833333333333333</v>
      </c>
      <c r="F303">
        <v>3.670343137254902</v>
      </c>
      <c r="G303">
        <f>Tableau2[[#This Row],[Cost (€/GJ)]]/1000*3600</f>
        <v>13.213235294117647</v>
      </c>
      <c r="H303">
        <v>3.86607608129234</v>
      </c>
      <c r="I303">
        <f>Tableau2[[#This Row],[GHG (kgCO2eq/GJ)]]*3.6</f>
        <v>13.917873892652425</v>
      </c>
      <c r="J303" t="s">
        <v>104</v>
      </c>
      <c r="K303" t="s">
        <v>108</v>
      </c>
    </row>
    <row r="304" spans="1:11" x14ac:dyDescent="0.3">
      <c r="A304" t="s">
        <v>19</v>
      </c>
      <c r="B304" t="s">
        <v>58</v>
      </c>
      <c r="C304" t="s">
        <v>95</v>
      </c>
      <c r="D304">
        <v>25.398520000000001</v>
      </c>
      <c r="E304">
        <f>Tableau2[[#This Row],[Potential (PJ)]]/3.6</f>
        <v>7.0551444444444442</v>
      </c>
      <c r="F304">
        <v>2.686724634348773</v>
      </c>
      <c r="G304">
        <f>Tableau2[[#This Row],[Cost (€/GJ)]]/1000*3600</f>
        <v>9.6722086836555832</v>
      </c>
      <c r="H304">
        <v>2.9521711768407801</v>
      </c>
      <c r="I304">
        <f>Tableau2[[#This Row],[GHG (kgCO2eq/GJ)]]*3.6</f>
        <v>10.627816236626808</v>
      </c>
      <c r="J304" t="s">
        <v>104</v>
      </c>
      <c r="K304" t="s">
        <v>108</v>
      </c>
    </row>
    <row r="305" spans="1:11" hidden="1" x14ac:dyDescent="0.3">
      <c r="A305" t="s">
        <v>19</v>
      </c>
      <c r="B305" t="s">
        <v>50</v>
      </c>
      <c r="C305" t="s">
        <v>73</v>
      </c>
      <c r="D305">
        <v>32.6</v>
      </c>
      <c r="E305">
        <f>Tableau2[[#This Row],[Potential (PJ)]]/3.6</f>
        <v>9.0555555555555554</v>
      </c>
      <c r="F305">
        <v>5.4901901840490792</v>
      </c>
      <c r="G305">
        <f>Tableau2[[#This Row],[Cost (€/GJ)]]/1000*3600</f>
        <v>19.764684662576688</v>
      </c>
      <c r="H305">
        <v>20.723404255319149</v>
      </c>
      <c r="I305">
        <f>Tableau2[[#This Row],[GHG (kgCO2eq/GJ)]]*3.6</f>
        <v>74.604255319148933</v>
      </c>
      <c r="J305" t="s">
        <v>105</v>
      </c>
      <c r="K305" t="s">
        <v>108</v>
      </c>
    </row>
    <row r="306" spans="1:11" hidden="1" x14ac:dyDescent="0.3">
      <c r="A306" t="s">
        <v>19</v>
      </c>
      <c r="B306" t="s">
        <v>50</v>
      </c>
      <c r="C306" t="s">
        <v>74</v>
      </c>
      <c r="D306">
        <v>76.900000000000006</v>
      </c>
      <c r="E306">
        <f>Tableau2[[#This Row],[Potential (PJ)]]/3.6</f>
        <v>21.361111111111111</v>
      </c>
      <c r="F306">
        <v>4.3343055916775031</v>
      </c>
      <c r="G306">
        <f>Tableau2[[#This Row],[Cost (€/GJ)]]/1000*3600</f>
        <v>15.603500130039011</v>
      </c>
      <c r="H306">
        <v>2.0635593220338988</v>
      </c>
      <c r="I306">
        <f>Tableau2[[#This Row],[GHG (kgCO2eq/GJ)]]*3.6</f>
        <v>7.4288135593220357</v>
      </c>
      <c r="J306" t="s">
        <v>105</v>
      </c>
      <c r="K306" t="s">
        <v>108</v>
      </c>
    </row>
    <row r="307" spans="1:11" hidden="1" x14ac:dyDescent="0.3">
      <c r="A307" t="s">
        <v>19</v>
      </c>
      <c r="B307" t="s">
        <v>59</v>
      </c>
      <c r="C307" t="s">
        <v>97</v>
      </c>
      <c r="D307">
        <v>2.6153</v>
      </c>
      <c r="E307">
        <f>Tableau2[[#This Row],[Potential (PJ)]]/3.6</f>
        <v>0.72647222222222219</v>
      </c>
      <c r="F307">
        <v>20.835594139989151</v>
      </c>
      <c r="G307">
        <f>Tableau2[[#This Row],[Cost (€/GJ)]]/1000*3600</f>
        <v>75.008138903960941</v>
      </c>
      <c r="H307">
        <v>33.700000000000003</v>
      </c>
      <c r="I307">
        <f>Tableau2[[#This Row],[GHG (kgCO2eq/GJ)]]*3.6</f>
        <v>121.32000000000001</v>
      </c>
      <c r="J307" t="s">
        <v>107</v>
      </c>
      <c r="K307" t="s">
        <v>109</v>
      </c>
    </row>
    <row r="308" spans="1:11" x14ac:dyDescent="0.3">
      <c r="A308" t="s">
        <v>19</v>
      </c>
      <c r="B308" t="s">
        <v>51</v>
      </c>
      <c r="C308" t="s">
        <v>75</v>
      </c>
      <c r="D308">
        <v>38.068689999999997</v>
      </c>
      <c r="E308">
        <f>Tableau2[[#This Row],[Potential (PJ)]]/3.6</f>
        <v>10.57463611111111</v>
      </c>
      <c r="F308">
        <v>1.5912702026195001E-4</v>
      </c>
      <c r="G308">
        <f>Tableau2[[#This Row],[Cost (€/GJ)]]/1000*3600</f>
        <v>5.7285727294302004E-4</v>
      </c>
      <c r="H308">
        <v>11.74</v>
      </c>
      <c r="I308">
        <f>Tableau2[[#This Row],[GHG (kgCO2eq/GJ)]]*3.6</f>
        <v>42.264000000000003</v>
      </c>
      <c r="J308" t="s">
        <v>104</v>
      </c>
      <c r="K308" t="s">
        <v>108</v>
      </c>
    </row>
    <row r="309" spans="1:11" hidden="1" x14ac:dyDescent="0.3">
      <c r="A309" t="s">
        <v>19</v>
      </c>
      <c r="B309" t="s">
        <v>60</v>
      </c>
      <c r="C309" t="s">
        <v>98</v>
      </c>
      <c r="D309">
        <v>0.67646000000000006</v>
      </c>
      <c r="E309">
        <f>Tableau2[[#This Row],[Potential (PJ)]]/3.6</f>
        <v>0.18790555555555558</v>
      </c>
      <c r="F309">
        <v>25.563909774436091</v>
      </c>
      <c r="G309">
        <f>Tableau2[[#This Row],[Cost (€/GJ)]]/1000*3600</f>
        <v>92.030075187969928</v>
      </c>
      <c r="H309">
        <v>19.899999999999999</v>
      </c>
      <c r="I309">
        <f>Tableau2[[#This Row],[GHG (kgCO2eq/GJ)]]*3.6</f>
        <v>71.64</v>
      </c>
      <c r="J309" t="s">
        <v>107</v>
      </c>
      <c r="K309" t="s">
        <v>109</v>
      </c>
    </row>
    <row r="310" spans="1:11" hidden="1" x14ac:dyDescent="0.3">
      <c r="A310" t="s">
        <v>19</v>
      </c>
      <c r="B310" t="s">
        <v>52</v>
      </c>
      <c r="C310" t="s">
        <v>76</v>
      </c>
      <c r="D310">
        <v>2.0619999999999998</v>
      </c>
      <c r="E310">
        <f>Tableau2[[#This Row],[Potential (PJ)]]/3.6</f>
        <v>0.57277777777777772</v>
      </c>
      <c r="F310">
        <v>5.4702337500000002</v>
      </c>
      <c r="G310">
        <f>Tableau2[[#This Row],[Cost (€/GJ)]]/1000*3600</f>
        <v>19.6928415</v>
      </c>
      <c r="H310">
        <v>12.68872359754714</v>
      </c>
      <c r="I310">
        <f>Tableau2[[#This Row],[GHG (kgCO2eq/GJ)]]*3.6</f>
        <v>45.679404951169708</v>
      </c>
      <c r="J310" t="s">
        <v>105</v>
      </c>
      <c r="K310" t="s">
        <v>108</v>
      </c>
    </row>
    <row r="311" spans="1:11" x14ac:dyDescent="0.3">
      <c r="A311" t="s">
        <v>19</v>
      </c>
      <c r="B311" t="s">
        <v>53</v>
      </c>
      <c r="C311" t="s">
        <v>77</v>
      </c>
      <c r="D311">
        <v>10.1</v>
      </c>
      <c r="E311">
        <f>Tableau2[[#This Row],[Potential (PJ)]]/3.6</f>
        <v>2.8055555555555554</v>
      </c>
      <c r="F311">
        <v>3.6704455445544562</v>
      </c>
      <c r="G311">
        <f>Tableau2[[#This Row],[Cost (€/GJ)]]/1000*3600</f>
        <v>13.213603960396043</v>
      </c>
      <c r="H311">
        <v>3.86607608129234</v>
      </c>
      <c r="I311">
        <f>Tableau2[[#This Row],[GHG (kgCO2eq/GJ)]]*3.6</f>
        <v>13.917873892652425</v>
      </c>
      <c r="J311" t="s">
        <v>104</v>
      </c>
      <c r="K311" t="s">
        <v>108</v>
      </c>
    </row>
    <row r="312" spans="1:11" x14ac:dyDescent="0.3">
      <c r="A312" t="s">
        <v>19</v>
      </c>
      <c r="B312" t="s">
        <v>61</v>
      </c>
      <c r="C312" t="s">
        <v>99</v>
      </c>
      <c r="D312">
        <v>12.4</v>
      </c>
      <c r="E312">
        <f>Tableau2[[#This Row],[Potential (PJ)]]/3.6</f>
        <v>3.4444444444444446</v>
      </c>
      <c r="F312">
        <v>1.9432338709677419</v>
      </c>
      <c r="G312">
        <f>Tableau2[[#This Row],[Cost (€/GJ)]]/1000*3600</f>
        <v>6.9956419354838708</v>
      </c>
      <c r="H312">
        <v>2.9245635910224439</v>
      </c>
      <c r="I312">
        <f>Tableau2[[#This Row],[GHG (kgCO2eq/GJ)]]*3.6</f>
        <v>10.528428927680798</v>
      </c>
      <c r="J312" t="s">
        <v>104</v>
      </c>
      <c r="K312" t="s">
        <v>108</v>
      </c>
    </row>
    <row r="313" spans="1:11" x14ac:dyDescent="0.3">
      <c r="A313" t="s">
        <v>19</v>
      </c>
      <c r="B313" t="s">
        <v>62</v>
      </c>
      <c r="C313" t="s">
        <v>100</v>
      </c>
      <c r="D313">
        <v>2.5</v>
      </c>
      <c r="E313">
        <f>Tableau2[[#This Row],[Potential (PJ)]]/3.6</f>
        <v>0.69444444444444442</v>
      </c>
      <c r="F313">
        <v>0.20399999999999999</v>
      </c>
      <c r="G313">
        <f>Tableau2[[#This Row],[Cost (€/GJ)]]/1000*3600</f>
        <v>0.73439999999999994</v>
      </c>
      <c r="H313">
        <v>2.6764106050305911</v>
      </c>
      <c r="I313">
        <f>Tableau2[[#This Row],[GHG (kgCO2eq/GJ)]]*3.6</f>
        <v>9.6350781781101276</v>
      </c>
      <c r="J313" t="s">
        <v>104</v>
      </c>
      <c r="K313" t="s">
        <v>108</v>
      </c>
    </row>
    <row r="314" spans="1:11" x14ac:dyDescent="0.3">
      <c r="A314" t="s">
        <v>19</v>
      </c>
      <c r="B314" t="s">
        <v>54</v>
      </c>
      <c r="C314" t="s">
        <v>78</v>
      </c>
      <c r="D314">
        <v>85.7</v>
      </c>
      <c r="E314">
        <f>Tableau2[[#This Row],[Potential (PJ)]]/3.6</f>
        <v>23.805555555555557</v>
      </c>
      <c r="F314">
        <v>7.6101353558926483</v>
      </c>
      <c r="G314">
        <f>Tableau2[[#This Row],[Cost (€/GJ)]]/1000*3600</f>
        <v>27.396487281213535</v>
      </c>
      <c r="H314">
        <v>3.86607608129234</v>
      </c>
      <c r="I314">
        <f>Tableau2[[#This Row],[GHG (kgCO2eq/GJ)]]*3.6</f>
        <v>13.917873892652425</v>
      </c>
      <c r="J314" t="s">
        <v>104</v>
      </c>
      <c r="K314" t="s">
        <v>108</v>
      </c>
    </row>
    <row r="315" spans="1:11" hidden="1" x14ac:dyDescent="0.3">
      <c r="A315" t="s">
        <v>20</v>
      </c>
      <c r="B315" t="s">
        <v>46</v>
      </c>
      <c r="C315" t="s">
        <v>64</v>
      </c>
      <c r="D315">
        <v>1.5610000000000001E-2</v>
      </c>
      <c r="E315">
        <f>Tableau2[[#This Row],[Potential (PJ)]]/3.6</f>
        <v>4.3361111111111109E-3</v>
      </c>
      <c r="F315">
        <v>2.4841031390134529</v>
      </c>
      <c r="G315">
        <f>Tableau2[[#This Row],[Cost (€/GJ)]]/1000*3600</f>
        <v>8.9427713004484293</v>
      </c>
      <c r="H315">
        <v>2.9521711768407801</v>
      </c>
      <c r="I315">
        <f>Tableau2[[#This Row],[GHG (kgCO2eq/GJ)]]*3.6</f>
        <v>10.627816236626808</v>
      </c>
      <c r="J315" t="s">
        <v>104</v>
      </c>
      <c r="K315" t="s">
        <v>108</v>
      </c>
    </row>
    <row r="316" spans="1:11" hidden="1" x14ac:dyDescent="0.3">
      <c r="A316" t="s">
        <v>20</v>
      </c>
      <c r="B316" t="s">
        <v>46</v>
      </c>
      <c r="C316" t="s">
        <v>79</v>
      </c>
      <c r="D316">
        <v>17.600000000000001</v>
      </c>
      <c r="E316">
        <f>Tableau2[[#This Row],[Potential (PJ)]]/3.6</f>
        <v>4.8888888888888893</v>
      </c>
      <c r="F316">
        <v>3.6597329545454542</v>
      </c>
      <c r="G316">
        <f>Tableau2[[#This Row],[Cost (€/GJ)]]/1000*3600</f>
        <v>13.175038636363634</v>
      </c>
      <c r="H316">
        <v>6.8428961748633883</v>
      </c>
      <c r="I316">
        <f>Tableau2[[#This Row],[GHG (kgCO2eq/GJ)]]*3.6</f>
        <v>24.634426229508197</v>
      </c>
      <c r="J316" t="s">
        <v>104</v>
      </c>
      <c r="K316" t="s">
        <v>108</v>
      </c>
    </row>
    <row r="317" spans="1:11" hidden="1" x14ac:dyDescent="0.3">
      <c r="A317" t="s">
        <v>20</v>
      </c>
      <c r="B317" t="s">
        <v>46</v>
      </c>
      <c r="C317" t="s">
        <v>82</v>
      </c>
      <c r="D317">
        <v>0.1</v>
      </c>
      <c r="E317">
        <f>Tableau2[[#This Row],[Potential (PJ)]]/3.6</f>
        <v>2.777777777777778E-2</v>
      </c>
      <c r="F317">
        <v>2.5129999999999999</v>
      </c>
      <c r="G317">
        <f>Tableau2[[#This Row],[Cost (€/GJ)]]/1000*3600</f>
        <v>9.0467999999999993</v>
      </c>
      <c r="H317">
        <v>6.8428961748633883</v>
      </c>
      <c r="I317">
        <f>Tableau2[[#This Row],[GHG (kgCO2eq/GJ)]]*3.6</f>
        <v>24.634426229508197</v>
      </c>
      <c r="J317" t="s">
        <v>104</v>
      </c>
      <c r="K317" t="s">
        <v>108</v>
      </c>
    </row>
    <row r="318" spans="1:11" hidden="1" x14ac:dyDescent="0.3">
      <c r="A318" t="s">
        <v>20</v>
      </c>
      <c r="B318" t="s">
        <v>55</v>
      </c>
      <c r="C318" t="s">
        <v>86</v>
      </c>
      <c r="D318">
        <v>0.84650000000000003</v>
      </c>
      <c r="E318">
        <f>Tableau2[[#This Row],[Potential (PJ)]]/3.6</f>
        <v>0.2351388888888889</v>
      </c>
      <c r="F318">
        <v>16.652000000000001</v>
      </c>
      <c r="G318">
        <f>Tableau2[[#This Row],[Cost (€/GJ)]]/1000*3600</f>
        <v>59.947200000000002</v>
      </c>
      <c r="H318">
        <v>43.2</v>
      </c>
      <c r="I318">
        <f>Tableau2[[#This Row],[GHG (kgCO2eq/GJ)]]*3.6</f>
        <v>155.52000000000001</v>
      </c>
      <c r="J318" t="s">
        <v>106</v>
      </c>
      <c r="K318" t="s">
        <v>109</v>
      </c>
    </row>
    <row r="319" spans="1:11" hidden="1" x14ac:dyDescent="0.3">
      <c r="A319" t="s">
        <v>20</v>
      </c>
      <c r="B319" t="s">
        <v>55</v>
      </c>
      <c r="C319" t="s">
        <v>89</v>
      </c>
      <c r="D319">
        <v>7.7899999999999997E-2</v>
      </c>
      <c r="E319">
        <f>Tableau2[[#This Row],[Potential (PJ)]]/3.6</f>
        <v>2.1638888888888888E-2</v>
      </c>
      <c r="F319">
        <v>0</v>
      </c>
      <c r="G319">
        <f>Tableau2[[#This Row],[Cost (€/GJ)]]/1000*3600</f>
        <v>0</v>
      </c>
      <c r="H319">
        <v>43.2</v>
      </c>
      <c r="I319">
        <f>Tableau2[[#This Row],[GHG (kgCO2eq/GJ)]]*3.6</f>
        <v>155.52000000000001</v>
      </c>
      <c r="J319" t="s">
        <v>106</v>
      </c>
      <c r="K319" t="s">
        <v>109</v>
      </c>
    </row>
    <row r="320" spans="1:11" hidden="1" x14ac:dyDescent="0.3">
      <c r="A320" t="s">
        <v>20</v>
      </c>
      <c r="B320" t="s">
        <v>55</v>
      </c>
      <c r="C320" t="s">
        <v>91</v>
      </c>
      <c r="D320">
        <v>5.0000000000000001E-4</v>
      </c>
      <c r="E320">
        <f>Tableau2[[#This Row],[Potential (PJ)]]/3.6</f>
        <v>1.3888888888888889E-4</v>
      </c>
      <c r="F320">
        <v>20.088000000000001</v>
      </c>
      <c r="G320">
        <f>Tableau2[[#This Row],[Cost (€/GJ)]]/1000*3600</f>
        <v>72.316800000000001</v>
      </c>
      <c r="H320">
        <v>43.2</v>
      </c>
      <c r="I320">
        <f>Tableau2[[#This Row],[GHG (kgCO2eq/GJ)]]*3.6</f>
        <v>155.52000000000001</v>
      </c>
      <c r="J320" t="s">
        <v>106</v>
      </c>
      <c r="K320" t="s">
        <v>109</v>
      </c>
    </row>
    <row r="321" spans="1:11" hidden="1" x14ac:dyDescent="0.3">
      <c r="A321" t="s">
        <v>20</v>
      </c>
      <c r="B321" t="s">
        <v>55</v>
      </c>
      <c r="C321" t="s">
        <v>92</v>
      </c>
      <c r="D321">
        <v>0.40116000000000002</v>
      </c>
      <c r="E321">
        <f>Tableau2[[#This Row],[Potential (PJ)]]/3.6</f>
        <v>0.11143333333333333</v>
      </c>
      <c r="F321">
        <v>16.559000000000001</v>
      </c>
      <c r="G321">
        <f>Tableau2[[#This Row],[Cost (€/GJ)]]/1000*3600</f>
        <v>59.612400000000001</v>
      </c>
      <c r="H321">
        <v>43.2</v>
      </c>
      <c r="I321">
        <f>Tableau2[[#This Row],[GHG (kgCO2eq/GJ)]]*3.6</f>
        <v>155.52000000000001</v>
      </c>
      <c r="J321" t="s">
        <v>106</v>
      </c>
      <c r="K321" t="s">
        <v>109</v>
      </c>
    </row>
    <row r="322" spans="1:11" hidden="1" x14ac:dyDescent="0.3">
      <c r="A322" t="s">
        <v>20</v>
      </c>
      <c r="B322" t="s">
        <v>47</v>
      </c>
      <c r="C322" t="s">
        <v>101</v>
      </c>
      <c r="D322">
        <v>20.6</v>
      </c>
      <c r="E322">
        <f>Tableau2[[#This Row],[Potential (PJ)]]/3.6</f>
        <v>5.7222222222222223</v>
      </c>
      <c r="F322">
        <v>4.6403155339805826</v>
      </c>
      <c r="G322">
        <f>Tableau2[[#This Row],[Cost (€/GJ)]]/1000*3600</f>
        <v>16.705135922330097</v>
      </c>
      <c r="H322">
        <v>43.1</v>
      </c>
      <c r="I322">
        <f>Tableau2[[#This Row],[GHG (kgCO2eq/GJ)]]*3.6</f>
        <v>155.16</v>
      </c>
      <c r="J322" t="s">
        <v>104</v>
      </c>
      <c r="K322" t="s">
        <v>109</v>
      </c>
    </row>
    <row r="323" spans="1:11" hidden="1" x14ac:dyDescent="0.3">
      <c r="A323" t="s">
        <v>20</v>
      </c>
      <c r="B323" t="s">
        <v>57</v>
      </c>
      <c r="C323" t="s">
        <v>94</v>
      </c>
      <c r="D323">
        <v>7.4</v>
      </c>
      <c r="E323">
        <f>Tableau2[[#This Row],[Potential (PJ)]]/3.6</f>
        <v>2.0555555555555558</v>
      </c>
      <c r="F323">
        <v>11.766202702702699</v>
      </c>
      <c r="G323">
        <f>Tableau2[[#This Row],[Cost (€/GJ)]]/1000*3600</f>
        <v>42.358329729729718</v>
      </c>
      <c r="H323">
        <v>24.4</v>
      </c>
      <c r="I323">
        <f>Tableau2[[#This Row],[GHG (kgCO2eq/GJ)]]*3.6</f>
        <v>87.84</v>
      </c>
      <c r="J323" t="s">
        <v>104</v>
      </c>
      <c r="K323" t="s">
        <v>109</v>
      </c>
    </row>
    <row r="324" spans="1:11" x14ac:dyDescent="0.3">
      <c r="A324" t="s">
        <v>20</v>
      </c>
      <c r="B324" t="s">
        <v>49</v>
      </c>
      <c r="C324" t="s">
        <v>71</v>
      </c>
      <c r="D324">
        <v>130.00230999999999</v>
      </c>
      <c r="E324">
        <f>Tableau2[[#This Row],[Potential (PJ)]]/3.6</f>
        <v>36.111752777777774</v>
      </c>
      <c r="F324">
        <v>4.998043064773233</v>
      </c>
      <c r="G324">
        <f>Tableau2[[#This Row],[Cost (€/GJ)]]/1000*3600</f>
        <v>17.992955033183641</v>
      </c>
      <c r="H324">
        <v>3.86607608129234</v>
      </c>
      <c r="I324">
        <f>Tableau2[[#This Row],[GHG (kgCO2eq/GJ)]]*3.6</f>
        <v>13.917873892652425</v>
      </c>
      <c r="J324" t="s">
        <v>104</v>
      </c>
      <c r="K324" t="s">
        <v>108</v>
      </c>
    </row>
    <row r="325" spans="1:11" x14ac:dyDescent="0.3">
      <c r="A325" t="s">
        <v>20</v>
      </c>
      <c r="B325" t="s">
        <v>49</v>
      </c>
      <c r="C325" t="s">
        <v>72</v>
      </c>
      <c r="D325">
        <v>8.6000000000000014</v>
      </c>
      <c r="E325">
        <f>Tableau2[[#This Row],[Potential (PJ)]]/3.6</f>
        <v>2.3888888888888893</v>
      </c>
      <c r="F325">
        <v>3.9877093023255821</v>
      </c>
      <c r="G325">
        <f>Tableau2[[#This Row],[Cost (€/GJ)]]/1000*3600</f>
        <v>14.355753488372095</v>
      </c>
      <c r="H325">
        <v>3.86607608129234</v>
      </c>
      <c r="I325">
        <f>Tableau2[[#This Row],[GHG (kgCO2eq/GJ)]]*3.6</f>
        <v>13.917873892652425</v>
      </c>
      <c r="J325" t="s">
        <v>104</v>
      </c>
      <c r="K325" t="s">
        <v>108</v>
      </c>
    </row>
    <row r="326" spans="1:11" x14ac:dyDescent="0.3">
      <c r="A326" t="s">
        <v>20</v>
      </c>
      <c r="B326" t="s">
        <v>58</v>
      </c>
      <c r="C326" t="s">
        <v>95</v>
      </c>
      <c r="D326">
        <v>8.6365300000000005</v>
      </c>
      <c r="E326">
        <f>Tableau2[[#This Row],[Potential (PJ)]]/3.6</f>
        <v>2.3990361111111111</v>
      </c>
      <c r="F326">
        <v>2.468</v>
      </c>
      <c r="G326">
        <f>Tableau2[[#This Row],[Cost (€/GJ)]]/1000*3600</f>
        <v>8.8848000000000003</v>
      </c>
      <c r="H326">
        <v>2.9521711768407801</v>
      </c>
      <c r="I326">
        <f>Tableau2[[#This Row],[GHG (kgCO2eq/GJ)]]*3.6</f>
        <v>10.627816236626808</v>
      </c>
      <c r="J326" t="s">
        <v>104</v>
      </c>
      <c r="K326" t="s">
        <v>108</v>
      </c>
    </row>
    <row r="327" spans="1:11" hidden="1" x14ac:dyDescent="0.3">
      <c r="A327" t="s">
        <v>20</v>
      </c>
      <c r="B327" t="s">
        <v>50</v>
      </c>
      <c r="C327" t="s">
        <v>73</v>
      </c>
      <c r="D327">
        <v>1.4</v>
      </c>
      <c r="E327">
        <f>Tableau2[[#This Row],[Potential (PJ)]]/3.6</f>
        <v>0.38888888888888884</v>
      </c>
      <c r="F327">
        <v>5.6757857142857144</v>
      </c>
      <c r="G327">
        <f>Tableau2[[#This Row],[Cost (€/GJ)]]/1000*3600</f>
        <v>20.432828571428573</v>
      </c>
      <c r="H327">
        <v>20.723404255319149</v>
      </c>
      <c r="I327">
        <f>Tableau2[[#This Row],[GHG (kgCO2eq/GJ)]]*3.6</f>
        <v>74.604255319148933</v>
      </c>
      <c r="J327" t="s">
        <v>105</v>
      </c>
      <c r="K327" t="s">
        <v>108</v>
      </c>
    </row>
    <row r="328" spans="1:11" hidden="1" x14ac:dyDescent="0.3">
      <c r="A328" t="s">
        <v>20</v>
      </c>
      <c r="B328" t="s">
        <v>50</v>
      </c>
      <c r="C328" t="s">
        <v>74</v>
      </c>
      <c r="D328">
        <v>2.7</v>
      </c>
      <c r="E328">
        <f>Tableau2[[#This Row],[Potential (PJ)]]/3.6</f>
        <v>0.75</v>
      </c>
      <c r="F328">
        <v>6.8039629629629621</v>
      </c>
      <c r="G328">
        <f>Tableau2[[#This Row],[Cost (€/GJ)]]/1000*3600</f>
        <v>24.494266666666665</v>
      </c>
      <c r="H328">
        <v>2.0635593220338988</v>
      </c>
      <c r="I328">
        <f>Tableau2[[#This Row],[GHG (kgCO2eq/GJ)]]*3.6</f>
        <v>7.4288135593220357</v>
      </c>
      <c r="J328" t="s">
        <v>105</v>
      </c>
      <c r="K328" t="s">
        <v>108</v>
      </c>
    </row>
    <row r="329" spans="1:11" x14ac:dyDescent="0.3">
      <c r="A329" t="s">
        <v>20</v>
      </c>
      <c r="B329" t="s">
        <v>51</v>
      </c>
      <c r="C329" t="s">
        <v>75</v>
      </c>
      <c r="D329">
        <v>16.9954</v>
      </c>
      <c r="E329">
        <f>Tableau2[[#This Row],[Potential (PJ)]]/3.6</f>
        <v>4.7209444444444442</v>
      </c>
      <c r="F329">
        <v>3.1137670875011601E-2</v>
      </c>
      <c r="G329">
        <f>Tableau2[[#This Row],[Cost (€/GJ)]]/1000*3600</f>
        <v>0.11209561515004177</v>
      </c>
      <c r="H329">
        <v>11.74</v>
      </c>
      <c r="I329">
        <f>Tableau2[[#This Row],[GHG (kgCO2eq/GJ)]]*3.6</f>
        <v>42.264000000000003</v>
      </c>
      <c r="J329" t="s">
        <v>104</v>
      </c>
      <c r="K329" t="s">
        <v>108</v>
      </c>
    </row>
    <row r="330" spans="1:11" hidden="1" x14ac:dyDescent="0.3">
      <c r="A330" t="s">
        <v>20</v>
      </c>
      <c r="B330" t="s">
        <v>60</v>
      </c>
      <c r="C330" t="s">
        <v>98</v>
      </c>
      <c r="D330">
        <v>0.15962000000000001</v>
      </c>
      <c r="E330">
        <f>Tableau2[[#This Row],[Potential (PJ)]]/3.6</f>
        <v>4.4338888888888893E-2</v>
      </c>
      <c r="F330">
        <v>19.01181525241676</v>
      </c>
      <c r="G330">
        <f>Tableau2[[#This Row],[Cost (€/GJ)]]/1000*3600</f>
        <v>68.442534908700338</v>
      </c>
      <c r="H330">
        <v>98.1</v>
      </c>
      <c r="I330">
        <f>Tableau2[[#This Row],[GHG (kgCO2eq/GJ)]]*3.6</f>
        <v>353.15999999999997</v>
      </c>
      <c r="J330" t="s">
        <v>107</v>
      </c>
      <c r="K330" t="s">
        <v>109</v>
      </c>
    </row>
    <row r="331" spans="1:11" hidden="1" x14ac:dyDescent="0.3">
      <c r="A331" t="s">
        <v>20</v>
      </c>
      <c r="B331" t="s">
        <v>52</v>
      </c>
      <c r="C331" t="s">
        <v>76</v>
      </c>
      <c r="D331">
        <v>4.0650000000000004</v>
      </c>
      <c r="E331">
        <f>Tableau2[[#This Row],[Potential (PJ)]]/3.6</f>
        <v>1.1291666666666667</v>
      </c>
      <c r="F331">
        <v>5.4702337500000002</v>
      </c>
      <c r="G331">
        <f>Tableau2[[#This Row],[Cost (€/GJ)]]/1000*3600</f>
        <v>19.6928415</v>
      </c>
      <c r="H331">
        <v>12.68872359754714</v>
      </c>
      <c r="I331">
        <f>Tableau2[[#This Row],[GHG (kgCO2eq/GJ)]]*3.6</f>
        <v>45.679404951169708</v>
      </c>
      <c r="J331" t="s">
        <v>105</v>
      </c>
      <c r="K331" t="s">
        <v>108</v>
      </c>
    </row>
    <row r="332" spans="1:11" x14ac:dyDescent="0.3">
      <c r="A332" t="s">
        <v>20</v>
      </c>
      <c r="B332" t="s">
        <v>53</v>
      </c>
      <c r="C332" t="s">
        <v>77</v>
      </c>
      <c r="D332">
        <v>12.8</v>
      </c>
      <c r="E332">
        <f>Tableau2[[#This Row],[Potential (PJ)]]/3.6</f>
        <v>3.5555555555555558</v>
      </c>
      <c r="F332">
        <v>3.9881718749999999</v>
      </c>
      <c r="G332">
        <f>Tableau2[[#This Row],[Cost (€/GJ)]]/1000*3600</f>
        <v>14.357418749999999</v>
      </c>
      <c r="H332">
        <v>3.86607608129234</v>
      </c>
      <c r="I332">
        <f>Tableau2[[#This Row],[GHG (kgCO2eq/GJ)]]*3.6</f>
        <v>13.917873892652425</v>
      </c>
      <c r="J332" t="s">
        <v>104</v>
      </c>
      <c r="K332" t="s">
        <v>108</v>
      </c>
    </row>
    <row r="333" spans="1:11" x14ac:dyDescent="0.3">
      <c r="A333" t="s">
        <v>20</v>
      </c>
      <c r="B333" t="s">
        <v>61</v>
      </c>
      <c r="C333" t="s">
        <v>99</v>
      </c>
      <c r="D333">
        <v>31.9</v>
      </c>
      <c r="E333">
        <f>Tableau2[[#This Row],[Potential (PJ)]]/3.6</f>
        <v>8.8611111111111107</v>
      </c>
      <c r="F333">
        <v>1.5120094043887149</v>
      </c>
      <c r="G333">
        <f>Tableau2[[#This Row],[Cost (€/GJ)]]/1000*3600</f>
        <v>5.4432338557993738</v>
      </c>
      <c r="H333">
        <v>2.9245635910224439</v>
      </c>
      <c r="I333">
        <f>Tableau2[[#This Row],[GHG (kgCO2eq/GJ)]]*3.6</f>
        <v>10.528428927680798</v>
      </c>
      <c r="J333" t="s">
        <v>104</v>
      </c>
      <c r="K333" t="s">
        <v>108</v>
      </c>
    </row>
    <row r="334" spans="1:11" x14ac:dyDescent="0.3">
      <c r="A334" t="s">
        <v>20</v>
      </c>
      <c r="B334" t="s">
        <v>62</v>
      </c>
      <c r="C334" t="s">
        <v>100</v>
      </c>
      <c r="D334">
        <v>13.2</v>
      </c>
      <c r="E334">
        <f>Tableau2[[#This Row],[Potential (PJ)]]/3.6</f>
        <v>3.6666666666666665</v>
      </c>
      <c r="F334">
        <v>0.57424242424242433</v>
      </c>
      <c r="G334">
        <f>Tableau2[[#This Row],[Cost (€/GJ)]]/1000*3600</f>
        <v>2.0672727272727278</v>
      </c>
      <c r="H334">
        <v>2.6764106050305911</v>
      </c>
      <c r="I334">
        <f>Tableau2[[#This Row],[GHG (kgCO2eq/GJ)]]*3.6</f>
        <v>9.6350781781101276</v>
      </c>
      <c r="J334" t="s">
        <v>104</v>
      </c>
      <c r="K334" t="s">
        <v>108</v>
      </c>
    </row>
    <row r="335" spans="1:11" x14ac:dyDescent="0.3">
      <c r="A335" t="s">
        <v>20</v>
      </c>
      <c r="B335" t="s">
        <v>54</v>
      </c>
      <c r="C335" t="s">
        <v>78</v>
      </c>
      <c r="D335">
        <v>193.6</v>
      </c>
      <c r="E335">
        <f>Tableau2[[#This Row],[Potential (PJ)]]/3.6</f>
        <v>53.777777777777771</v>
      </c>
      <c r="F335">
        <v>8.2810242768595028</v>
      </c>
      <c r="G335">
        <f>Tableau2[[#This Row],[Cost (€/GJ)]]/1000*3600</f>
        <v>29.811687396694207</v>
      </c>
      <c r="H335">
        <v>3.86607608129234</v>
      </c>
      <c r="I335">
        <f>Tableau2[[#This Row],[GHG (kgCO2eq/GJ)]]*3.6</f>
        <v>13.917873892652425</v>
      </c>
      <c r="J335" t="s">
        <v>104</v>
      </c>
      <c r="K335" t="s">
        <v>108</v>
      </c>
    </row>
    <row r="336" spans="1:11" hidden="1" x14ac:dyDescent="0.3">
      <c r="A336" t="s">
        <v>21</v>
      </c>
      <c r="B336" t="s">
        <v>48</v>
      </c>
      <c r="C336" t="s">
        <v>70</v>
      </c>
      <c r="D336">
        <v>3.2</v>
      </c>
      <c r="E336">
        <f>Tableau2[[#This Row],[Potential (PJ)]]/3.6</f>
        <v>0.88888888888888895</v>
      </c>
      <c r="F336">
        <v>11.0550625</v>
      </c>
      <c r="G336">
        <f>Tableau2[[#This Row],[Cost (€/GJ)]]/1000*3600</f>
        <v>39.798225000000002</v>
      </c>
      <c r="H336">
        <v>15.2</v>
      </c>
      <c r="I336">
        <f>Tableau2[[#This Row],[GHG (kgCO2eq/GJ)]]*3.6</f>
        <v>54.72</v>
      </c>
      <c r="J336" t="s">
        <v>104</v>
      </c>
      <c r="K336" t="s">
        <v>109</v>
      </c>
    </row>
    <row r="337" spans="1:11" hidden="1" x14ac:dyDescent="0.3">
      <c r="A337" t="s">
        <v>21</v>
      </c>
      <c r="B337" t="s">
        <v>57</v>
      </c>
      <c r="C337" t="s">
        <v>94</v>
      </c>
      <c r="D337">
        <v>29.8</v>
      </c>
      <c r="E337">
        <f>Tableau2[[#This Row],[Potential (PJ)]]/3.6</f>
        <v>8.2777777777777786</v>
      </c>
      <c r="F337">
        <v>8.8323154362416094</v>
      </c>
      <c r="G337">
        <f>Tableau2[[#This Row],[Cost (€/GJ)]]/1000*3600</f>
        <v>31.796335570469793</v>
      </c>
      <c r="H337">
        <v>15.2</v>
      </c>
      <c r="I337">
        <f>Tableau2[[#This Row],[GHG (kgCO2eq/GJ)]]*3.6</f>
        <v>54.72</v>
      </c>
      <c r="J337" t="s">
        <v>104</v>
      </c>
      <c r="K337" t="s">
        <v>109</v>
      </c>
    </row>
    <row r="338" spans="1:11" hidden="1" x14ac:dyDescent="0.3">
      <c r="A338" t="s">
        <v>21</v>
      </c>
      <c r="B338" t="s">
        <v>46</v>
      </c>
      <c r="C338" t="s">
        <v>67</v>
      </c>
      <c r="D338">
        <v>0.2</v>
      </c>
      <c r="E338">
        <f>Tableau2[[#This Row],[Potential (PJ)]]/3.6</f>
        <v>5.5555555555555559E-2</v>
      </c>
      <c r="F338">
        <v>8.1940000000000008</v>
      </c>
      <c r="G338">
        <f>Tableau2[[#This Row],[Cost (€/GJ)]]/1000*3600</f>
        <v>29.498400000000007</v>
      </c>
      <c r="H338">
        <v>2.9521711768407801</v>
      </c>
      <c r="I338">
        <f>Tableau2[[#This Row],[GHG (kgCO2eq/GJ)]]*3.6</f>
        <v>10.627816236626808</v>
      </c>
      <c r="J338" t="s">
        <v>104</v>
      </c>
      <c r="K338" t="s">
        <v>108</v>
      </c>
    </row>
    <row r="339" spans="1:11" x14ac:dyDescent="0.3">
      <c r="A339" t="s">
        <v>21</v>
      </c>
      <c r="B339" t="s">
        <v>54</v>
      </c>
      <c r="C339" t="s">
        <v>78</v>
      </c>
      <c r="D339">
        <v>278.10000000000002</v>
      </c>
      <c r="E339">
        <f>Tableau2[[#This Row],[Potential (PJ)]]/3.6</f>
        <v>77.25</v>
      </c>
      <c r="F339">
        <v>6.8091636102121544</v>
      </c>
      <c r="G339">
        <f>Tableau2[[#This Row],[Cost (€/GJ)]]/1000*3600</f>
        <v>24.512988996763756</v>
      </c>
      <c r="H339">
        <v>3.86607608129234</v>
      </c>
      <c r="I339">
        <f>Tableau2[[#This Row],[GHG (kgCO2eq/GJ)]]*3.6</f>
        <v>13.917873892652425</v>
      </c>
      <c r="J339" t="s">
        <v>104</v>
      </c>
      <c r="K339" t="s">
        <v>108</v>
      </c>
    </row>
    <row r="340" spans="1:11" hidden="1" x14ac:dyDescent="0.3">
      <c r="A340" t="s">
        <v>21</v>
      </c>
      <c r="B340" t="s">
        <v>46</v>
      </c>
      <c r="C340" t="s">
        <v>65</v>
      </c>
      <c r="D340">
        <v>0.70000000000000007</v>
      </c>
      <c r="E340">
        <f>Tableau2[[#This Row],[Potential (PJ)]]/3.6</f>
        <v>0.19444444444444445</v>
      </c>
      <c r="F340">
        <v>5.7412857142857154</v>
      </c>
      <c r="G340">
        <f>Tableau2[[#This Row],[Cost (€/GJ)]]/1000*3600</f>
        <v>20.668628571428574</v>
      </c>
      <c r="H340">
        <v>2.9521711768407801</v>
      </c>
      <c r="I340">
        <f>Tableau2[[#This Row],[GHG (kgCO2eq/GJ)]]*3.6</f>
        <v>10.627816236626808</v>
      </c>
      <c r="J340" t="s">
        <v>104</v>
      </c>
      <c r="K340" t="s">
        <v>108</v>
      </c>
    </row>
    <row r="341" spans="1:11" hidden="1" x14ac:dyDescent="0.3">
      <c r="A341" t="s">
        <v>21</v>
      </c>
      <c r="B341" t="s">
        <v>47</v>
      </c>
      <c r="C341" t="s">
        <v>68</v>
      </c>
      <c r="D341">
        <v>110.3</v>
      </c>
      <c r="E341">
        <f>Tableau2[[#This Row],[Potential (PJ)]]/3.6</f>
        <v>30.638888888888886</v>
      </c>
      <c r="F341">
        <v>4.8822774252039904</v>
      </c>
      <c r="G341">
        <f>Tableau2[[#This Row],[Cost (€/GJ)]]/1000*3600</f>
        <v>17.576198730734365</v>
      </c>
      <c r="H341">
        <v>18.600000000000001</v>
      </c>
      <c r="I341">
        <f>Tableau2[[#This Row],[GHG (kgCO2eq/GJ)]]*3.6</f>
        <v>66.960000000000008</v>
      </c>
      <c r="J341" t="s">
        <v>104</v>
      </c>
      <c r="K341" t="s">
        <v>109</v>
      </c>
    </row>
    <row r="342" spans="1:11" hidden="1" x14ac:dyDescent="0.3">
      <c r="A342" t="s">
        <v>21</v>
      </c>
      <c r="B342" t="s">
        <v>47</v>
      </c>
      <c r="C342" t="s">
        <v>69</v>
      </c>
      <c r="D342">
        <v>115.6</v>
      </c>
      <c r="E342">
        <f>Tableau2[[#This Row],[Potential (PJ)]]/3.6</f>
        <v>32.111111111111107</v>
      </c>
      <c r="F342">
        <v>4.6286790657439436</v>
      </c>
      <c r="G342">
        <f>Tableau2[[#This Row],[Cost (€/GJ)]]/1000*3600</f>
        <v>16.663244636678197</v>
      </c>
      <c r="H342">
        <v>18.600000000000001</v>
      </c>
      <c r="I342">
        <f>Tableau2[[#This Row],[GHG (kgCO2eq/GJ)]]*3.6</f>
        <v>66.960000000000008</v>
      </c>
      <c r="J342" t="s">
        <v>104</v>
      </c>
      <c r="K342" t="s">
        <v>109</v>
      </c>
    </row>
    <row r="343" spans="1:11" hidden="1" x14ac:dyDescent="0.3">
      <c r="A343" t="s">
        <v>21</v>
      </c>
      <c r="B343" t="s">
        <v>46</v>
      </c>
      <c r="C343" t="s">
        <v>64</v>
      </c>
      <c r="D343">
        <v>0.19794999999999999</v>
      </c>
      <c r="E343">
        <f>Tableau2[[#This Row],[Potential (PJ)]]/3.6</f>
        <v>5.4986111111111104E-2</v>
      </c>
      <c r="F343">
        <v>4.3118456680980053</v>
      </c>
      <c r="G343">
        <f>Tableau2[[#This Row],[Cost (€/GJ)]]/1000*3600</f>
        <v>15.522644405152821</v>
      </c>
      <c r="H343">
        <v>2.9521711768407801</v>
      </c>
      <c r="I343">
        <f>Tableau2[[#This Row],[GHG (kgCO2eq/GJ)]]*3.6</f>
        <v>10.627816236626808</v>
      </c>
      <c r="J343" t="s">
        <v>104</v>
      </c>
      <c r="K343" t="s">
        <v>108</v>
      </c>
    </row>
    <row r="344" spans="1:11" x14ac:dyDescent="0.3">
      <c r="A344" t="s">
        <v>21</v>
      </c>
      <c r="B344" t="s">
        <v>49</v>
      </c>
      <c r="C344" t="s">
        <v>71</v>
      </c>
      <c r="D344">
        <v>122.89854</v>
      </c>
      <c r="E344">
        <f>Tableau2[[#This Row],[Potential (PJ)]]/3.6</f>
        <v>34.138483333333333</v>
      </c>
      <c r="F344">
        <v>4.1322418684550692</v>
      </c>
      <c r="G344">
        <f>Tableau2[[#This Row],[Cost (€/GJ)]]/1000*3600</f>
        <v>14.876070726438249</v>
      </c>
      <c r="H344">
        <v>3.86607608129234</v>
      </c>
      <c r="I344">
        <f>Tableau2[[#This Row],[GHG (kgCO2eq/GJ)]]*3.6</f>
        <v>13.917873892652425</v>
      </c>
      <c r="J344" t="s">
        <v>104</v>
      </c>
      <c r="K344" t="s">
        <v>108</v>
      </c>
    </row>
    <row r="345" spans="1:11" hidden="1" x14ac:dyDescent="0.3">
      <c r="A345" t="s">
        <v>21</v>
      </c>
      <c r="B345" t="s">
        <v>46</v>
      </c>
      <c r="C345" t="s">
        <v>85</v>
      </c>
      <c r="D345">
        <v>5.4</v>
      </c>
      <c r="E345">
        <f>Tableau2[[#This Row],[Potential (PJ)]]/3.6</f>
        <v>1.5</v>
      </c>
      <c r="F345">
        <v>4.0921111111111106</v>
      </c>
      <c r="G345">
        <f>Tableau2[[#This Row],[Cost (€/GJ)]]/1000*3600</f>
        <v>14.731599999999998</v>
      </c>
      <c r="H345">
        <v>2.9521711768407801</v>
      </c>
      <c r="I345">
        <f>Tableau2[[#This Row],[GHG (kgCO2eq/GJ)]]*3.6</f>
        <v>10.627816236626808</v>
      </c>
      <c r="J345" t="s">
        <v>104</v>
      </c>
      <c r="K345" t="s">
        <v>108</v>
      </c>
    </row>
    <row r="346" spans="1:11" x14ac:dyDescent="0.3">
      <c r="A346" t="s">
        <v>21</v>
      </c>
      <c r="B346" t="s">
        <v>49</v>
      </c>
      <c r="C346" t="s">
        <v>72</v>
      </c>
      <c r="D346">
        <v>45.2</v>
      </c>
      <c r="E346">
        <f>Tableau2[[#This Row],[Potential (PJ)]]/3.6</f>
        <v>12.555555555555555</v>
      </c>
      <c r="F346">
        <v>3.3090929203539821</v>
      </c>
      <c r="G346">
        <f>Tableau2[[#This Row],[Cost (€/GJ)]]/1000*3600</f>
        <v>11.912734513274335</v>
      </c>
      <c r="H346">
        <v>3.86607608129234</v>
      </c>
      <c r="I346">
        <f>Tableau2[[#This Row],[GHG (kgCO2eq/GJ)]]*3.6</f>
        <v>13.917873892652425</v>
      </c>
      <c r="J346" t="s">
        <v>104</v>
      </c>
      <c r="K346" t="s">
        <v>108</v>
      </c>
    </row>
    <row r="347" spans="1:11" x14ac:dyDescent="0.3">
      <c r="A347" t="s">
        <v>21</v>
      </c>
      <c r="B347" t="s">
        <v>53</v>
      </c>
      <c r="C347" t="s">
        <v>77</v>
      </c>
      <c r="D347">
        <v>102.1</v>
      </c>
      <c r="E347">
        <f>Tableau2[[#This Row],[Potential (PJ)]]/3.6</f>
        <v>28.361111111111107</v>
      </c>
      <c r="F347">
        <v>3.308892262487757</v>
      </c>
      <c r="G347">
        <f>Tableau2[[#This Row],[Cost (€/GJ)]]/1000*3600</f>
        <v>11.912012144955925</v>
      </c>
      <c r="H347">
        <v>3.86607608129234</v>
      </c>
      <c r="I347">
        <f>Tableau2[[#This Row],[GHG (kgCO2eq/GJ)]]*3.6</f>
        <v>13.917873892652425</v>
      </c>
      <c r="J347" t="s">
        <v>104</v>
      </c>
      <c r="K347" t="s">
        <v>108</v>
      </c>
    </row>
    <row r="348" spans="1:11" hidden="1" x14ac:dyDescent="0.3">
      <c r="A348" t="s">
        <v>21</v>
      </c>
      <c r="B348" t="s">
        <v>55</v>
      </c>
      <c r="C348" t="s">
        <v>86</v>
      </c>
      <c r="D348">
        <v>2.0167000000000002</v>
      </c>
      <c r="E348">
        <f>Tableau2[[#This Row],[Potential (PJ)]]/3.6</f>
        <v>0.56019444444444444</v>
      </c>
      <c r="F348">
        <v>16.649999999999991</v>
      </c>
      <c r="G348">
        <f>Tableau2[[#This Row],[Cost (€/GJ)]]/1000*3600</f>
        <v>59.939999999999969</v>
      </c>
      <c r="H348">
        <v>18.100000000000001</v>
      </c>
      <c r="I348">
        <f>Tableau2[[#This Row],[GHG (kgCO2eq/GJ)]]*3.6</f>
        <v>65.160000000000011</v>
      </c>
      <c r="J348" t="s">
        <v>106</v>
      </c>
      <c r="K348" t="s">
        <v>109</v>
      </c>
    </row>
    <row r="349" spans="1:11" hidden="1" x14ac:dyDescent="0.3">
      <c r="A349" t="s">
        <v>21</v>
      </c>
      <c r="B349" t="s">
        <v>55</v>
      </c>
      <c r="C349" t="s">
        <v>87</v>
      </c>
      <c r="D349">
        <v>10.718</v>
      </c>
      <c r="E349">
        <f>Tableau2[[#This Row],[Potential (PJ)]]/3.6</f>
        <v>2.9772222222222222</v>
      </c>
      <c r="F349">
        <v>18.841000000000001</v>
      </c>
      <c r="G349">
        <f>Tableau2[[#This Row],[Cost (€/GJ)]]/1000*3600</f>
        <v>67.827600000000004</v>
      </c>
      <c r="H349">
        <v>18.100000000000001</v>
      </c>
      <c r="I349">
        <f>Tableau2[[#This Row],[GHG (kgCO2eq/GJ)]]*3.6</f>
        <v>65.160000000000011</v>
      </c>
      <c r="J349" t="s">
        <v>106</v>
      </c>
      <c r="K349" t="s">
        <v>109</v>
      </c>
    </row>
    <row r="350" spans="1:11" hidden="1" x14ac:dyDescent="0.3">
      <c r="A350" t="s">
        <v>21</v>
      </c>
      <c r="B350" t="s">
        <v>55</v>
      </c>
      <c r="C350" t="s">
        <v>88</v>
      </c>
      <c r="D350">
        <v>11.6503</v>
      </c>
      <c r="E350">
        <f>Tableau2[[#This Row],[Potential (PJ)]]/3.6</f>
        <v>3.2361944444444442</v>
      </c>
      <c r="F350">
        <v>18.274000000000001</v>
      </c>
      <c r="G350">
        <f>Tableau2[[#This Row],[Cost (€/GJ)]]/1000*3600</f>
        <v>65.7864</v>
      </c>
      <c r="H350">
        <v>18.100000000000001</v>
      </c>
      <c r="I350">
        <f>Tableau2[[#This Row],[GHG (kgCO2eq/GJ)]]*3.6</f>
        <v>65.160000000000011</v>
      </c>
      <c r="J350" t="s">
        <v>106</v>
      </c>
      <c r="K350" t="s">
        <v>109</v>
      </c>
    </row>
    <row r="351" spans="1:11" hidden="1" x14ac:dyDescent="0.3">
      <c r="A351" t="s">
        <v>21</v>
      </c>
      <c r="B351" t="s">
        <v>55</v>
      </c>
      <c r="C351" t="s">
        <v>92</v>
      </c>
      <c r="D351">
        <v>2.2203400000000002</v>
      </c>
      <c r="E351">
        <f>Tableau2[[#This Row],[Potential (PJ)]]/3.6</f>
        <v>0.6167611111111112</v>
      </c>
      <c r="F351">
        <v>18.841000000000001</v>
      </c>
      <c r="G351">
        <f>Tableau2[[#This Row],[Cost (€/GJ)]]/1000*3600</f>
        <v>67.827600000000004</v>
      </c>
      <c r="H351">
        <v>18.100000000000001</v>
      </c>
      <c r="I351">
        <f>Tableau2[[#This Row],[GHG (kgCO2eq/GJ)]]*3.6</f>
        <v>65.160000000000011</v>
      </c>
      <c r="J351" t="s">
        <v>106</v>
      </c>
      <c r="K351" t="s">
        <v>109</v>
      </c>
    </row>
    <row r="352" spans="1:11" hidden="1" x14ac:dyDescent="0.3">
      <c r="A352" t="s">
        <v>21</v>
      </c>
      <c r="B352" t="s">
        <v>56</v>
      </c>
      <c r="C352" t="s">
        <v>93</v>
      </c>
      <c r="D352">
        <v>231.88140000000001</v>
      </c>
      <c r="E352">
        <f>Tableau2[[#This Row],[Potential (PJ)]]/3.6</f>
        <v>64.411500000000004</v>
      </c>
      <c r="F352">
        <v>2.939759036144578</v>
      </c>
      <c r="G352">
        <f>Tableau2[[#This Row],[Cost (€/GJ)]]/1000*3600</f>
        <v>10.58313253012048</v>
      </c>
      <c r="H352">
        <v>25.9</v>
      </c>
      <c r="I352">
        <f>Tableau2[[#This Row],[GHG (kgCO2eq/GJ)]]*3.6</f>
        <v>93.24</v>
      </c>
      <c r="J352" t="s">
        <v>106</v>
      </c>
      <c r="K352" t="s">
        <v>109</v>
      </c>
    </row>
    <row r="353" spans="1:11" hidden="1" x14ac:dyDescent="0.3">
      <c r="A353" t="s">
        <v>21</v>
      </c>
      <c r="B353" t="s">
        <v>46</v>
      </c>
      <c r="C353" t="s">
        <v>63</v>
      </c>
      <c r="D353">
        <v>0.15989999999999999</v>
      </c>
      <c r="E353">
        <f>Tableau2[[#This Row],[Potential (PJ)]]/3.6</f>
        <v>4.441666666666666E-2</v>
      </c>
      <c r="F353">
        <v>2.9286474973375931</v>
      </c>
      <c r="G353">
        <f>Tableau2[[#This Row],[Cost (€/GJ)]]/1000*3600</f>
        <v>10.543130990415335</v>
      </c>
      <c r="H353">
        <v>3.950479233226837</v>
      </c>
      <c r="I353">
        <f>Tableau2[[#This Row],[GHG (kgCO2eq/GJ)]]*3.6</f>
        <v>14.221725239616614</v>
      </c>
      <c r="J353" t="s">
        <v>104</v>
      </c>
      <c r="K353" t="s">
        <v>108</v>
      </c>
    </row>
    <row r="354" spans="1:11" x14ac:dyDescent="0.3">
      <c r="A354" t="s">
        <v>21</v>
      </c>
      <c r="B354" t="s">
        <v>58</v>
      </c>
      <c r="C354" t="s">
        <v>95</v>
      </c>
      <c r="D354">
        <v>51.021160000000002</v>
      </c>
      <c r="E354">
        <f>Tableau2[[#This Row],[Potential (PJ)]]/3.6</f>
        <v>14.172544444444444</v>
      </c>
      <c r="F354">
        <v>2.526831207875321</v>
      </c>
      <c r="G354">
        <f>Tableau2[[#This Row],[Cost (€/GJ)]]/1000*3600</f>
        <v>9.0965923483511553</v>
      </c>
      <c r="H354">
        <v>2.9521711768407801</v>
      </c>
      <c r="I354">
        <f>Tableau2[[#This Row],[GHG (kgCO2eq/GJ)]]*3.6</f>
        <v>10.627816236626808</v>
      </c>
      <c r="J354" t="s">
        <v>104</v>
      </c>
      <c r="K354" t="s">
        <v>108</v>
      </c>
    </row>
    <row r="355" spans="1:11" hidden="1" x14ac:dyDescent="0.3">
      <c r="A355" t="s">
        <v>21</v>
      </c>
      <c r="B355" t="s">
        <v>46</v>
      </c>
      <c r="C355" t="s">
        <v>66</v>
      </c>
      <c r="D355">
        <v>23</v>
      </c>
      <c r="E355">
        <f>Tableau2[[#This Row],[Potential (PJ)]]/3.6</f>
        <v>6.3888888888888884</v>
      </c>
      <c r="F355">
        <v>2.2672869565217399</v>
      </c>
      <c r="G355">
        <f>Tableau2[[#This Row],[Cost (€/GJ)]]/1000*3600</f>
        <v>8.1622330434782651</v>
      </c>
      <c r="H355">
        <v>6.8428961748633883</v>
      </c>
      <c r="I355">
        <f>Tableau2[[#This Row],[GHG (kgCO2eq/GJ)]]*3.6</f>
        <v>24.634426229508197</v>
      </c>
      <c r="J355" t="s">
        <v>104</v>
      </c>
      <c r="K355" t="s">
        <v>108</v>
      </c>
    </row>
    <row r="356" spans="1:11" hidden="1" x14ac:dyDescent="0.3">
      <c r="A356" t="s">
        <v>21</v>
      </c>
      <c r="B356" t="s">
        <v>46</v>
      </c>
      <c r="C356" t="s">
        <v>79</v>
      </c>
      <c r="D356">
        <v>131.6</v>
      </c>
      <c r="E356">
        <f>Tableau2[[#This Row],[Potential (PJ)]]/3.6</f>
        <v>36.55555555555555</v>
      </c>
      <c r="F356">
        <v>2.2470417933130702</v>
      </c>
      <c r="G356">
        <f>Tableau2[[#This Row],[Cost (€/GJ)]]/1000*3600</f>
        <v>8.0893504559270522</v>
      </c>
      <c r="H356">
        <v>6.8428961748633883</v>
      </c>
      <c r="I356">
        <f>Tableau2[[#This Row],[GHG (kgCO2eq/GJ)]]*3.6</f>
        <v>24.634426229508197</v>
      </c>
      <c r="J356" t="s">
        <v>104</v>
      </c>
      <c r="K356" t="s">
        <v>108</v>
      </c>
    </row>
    <row r="357" spans="1:11" hidden="1" x14ac:dyDescent="0.3">
      <c r="A357" t="s">
        <v>21</v>
      </c>
      <c r="B357" t="s">
        <v>46</v>
      </c>
      <c r="C357" t="s">
        <v>83</v>
      </c>
      <c r="D357">
        <v>0.96795999999999993</v>
      </c>
      <c r="E357">
        <f>Tableau2[[#This Row],[Potential (PJ)]]/3.6</f>
        <v>0.26887777777777777</v>
      </c>
      <c r="F357">
        <v>2.0973846233315432</v>
      </c>
      <c r="G357">
        <f>Tableau2[[#This Row],[Cost (€/GJ)]]/1000*3600</f>
        <v>7.550584643993556</v>
      </c>
      <c r="H357">
        <v>6.8428961748633883</v>
      </c>
      <c r="I357">
        <f>Tableau2[[#This Row],[GHG (kgCO2eq/GJ)]]*3.6</f>
        <v>24.634426229508197</v>
      </c>
      <c r="J357" t="s">
        <v>104</v>
      </c>
      <c r="K357" t="s">
        <v>108</v>
      </c>
    </row>
    <row r="358" spans="1:11" x14ac:dyDescent="0.3">
      <c r="A358" t="s">
        <v>21</v>
      </c>
      <c r="B358" t="s">
        <v>61</v>
      </c>
      <c r="C358" t="s">
        <v>99</v>
      </c>
      <c r="D358">
        <v>21.8</v>
      </c>
      <c r="E358">
        <f>Tableau2[[#This Row],[Potential (PJ)]]/3.6</f>
        <v>6.0555555555555554</v>
      </c>
      <c r="F358">
        <v>1.740389908256881</v>
      </c>
      <c r="G358">
        <f>Tableau2[[#This Row],[Cost (€/GJ)]]/1000*3600</f>
        <v>6.2654036697247708</v>
      </c>
      <c r="H358">
        <v>2.9245635910224439</v>
      </c>
      <c r="I358">
        <f>Tableau2[[#This Row],[GHG (kgCO2eq/GJ)]]*3.6</f>
        <v>10.528428927680798</v>
      </c>
      <c r="J358" t="s">
        <v>104</v>
      </c>
      <c r="K358" t="s">
        <v>108</v>
      </c>
    </row>
    <row r="359" spans="1:11" hidden="1" x14ac:dyDescent="0.3">
      <c r="A359" t="s">
        <v>21</v>
      </c>
      <c r="B359" t="s">
        <v>46</v>
      </c>
      <c r="C359" t="s">
        <v>82</v>
      </c>
      <c r="D359">
        <v>15.2</v>
      </c>
      <c r="E359">
        <f>Tableau2[[#This Row],[Potential (PJ)]]/3.6</f>
        <v>4.2222222222222223</v>
      </c>
      <c r="F359">
        <v>1.5171710526315789</v>
      </c>
      <c r="G359">
        <f>Tableau2[[#This Row],[Cost (€/GJ)]]/1000*3600</f>
        <v>5.4618157894736843</v>
      </c>
      <c r="H359">
        <v>6.8428961748633883</v>
      </c>
      <c r="I359">
        <f>Tableau2[[#This Row],[GHG (kgCO2eq/GJ)]]*3.6</f>
        <v>24.634426229508197</v>
      </c>
      <c r="J359" t="s">
        <v>104</v>
      </c>
      <c r="K359" t="s">
        <v>108</v>
      </c>
    </row>
    <row r="360" spans="1:11" x14ac:dyDescent="0.3">
      <c r="A360" t="s">
        <v>21</v>
      </c>
      <c r="B360" t="s">
        <v>62</v>
      </c>
      <c r="C360" t="s">
        <v>100</v>
      </c>
      <c r="D360">
        <v>6.2</v>
      </c>
      <c r="E360">
        <f>Tableau2[[#This Row],[Potential (PJ)]]/3.6</f>
        <v>1.7222222222222223</v>
      </c>
      <c r="F360">
        <v>0.1064516129032258</v>
      </c>
      <c r="G360">
        <f>Tableau2[[#This Row],[Cost (€/GJ)]]/1000*3600</f>
        <v>0.38322580645161286</v>
      </c>
      <c r="H360">
        <v>2.6764106050305911</v>
      </c>
      <c r="I360">
        <f>Tableau2[[#This Row],[GHG (kgCO2eq/GJ)]]*3.6</f>
        <v>9.6350781781101276</v>
      </c>
      <c r="J360" t="s">
        <v>104</v>
      </c>
      <c r="K360" t="s">
        <v>108</v>
      </c>
    </row>
    <row r="361" spans="1:11" x14ac:dyDescent="0.3">
      <c r="A361" t="s">
        <v>21</v>
      </c>
      <c r="B361" t="s">
        <v>51</v>
      </c>
      <c r="C361" t="s">
        <v>75</v>
      </c>
      <c r="D361">
        <v>113.45529999999999</v>
      </c>
      <c r="E361">
        <f>Tableau2[[#This Row],[Potential (PJ)]]/3.6</f>
        <v>31.515361111111108</v>
      </c>
      <c r="F361">
        <v>5.5433655427400502E-2</v>
      </c>
      <c r="G361">
        <f>Tableau2[[#This Row],[Cost (€/GJ)]]/1000*3600</f>
        <v>0.19956115953864181</v>
      </c>
      <c r="H361">
        <v>11.74</v>
      </c>
      <c r="I361">
        <f>Tableau2[[#This Row],[GHG (kgCO2eq/GJ)]]*3.6</f>
        <v>42.264000000000003</v>
      </c>
      <c r="J361" t="s">
        <v>104</v>
      </c>
      <c r="K361" t="s">
        <v>108</v>
      </c>
    </row>
    <row r="362" spans="1:11" hidden="1" x14ac:dyDescent="0.3">
      <c r="A362" t="s">
        <v>21</v>
      </c>
      <c r="B362" t="s">
        <v>59</v>
      </c>
      <c r="C362" t="s">
        <v>96</v>
      </c>
      <c r="D362">
        <v>0.45229999999999998</v>
      </c>
      <c r="E362">
        <f>Tableau2[[#This Row],[Potential (PJ)]]/3.6</f>
        <v>0.12563888888888888</v>
      </c>
      <c r="F362">
        <v>28.434000000000001</v>
      </c>
      <c r="G362">
        <f>Tableau2[[#This Row],[Cost (€/GJ)]]/1000*3600</f>
        <v>102.36240000000001</v>
      </c>
      <c r="H362">
        <v>24.2</v>
      </c>
      <c r="I362">
        <f>Tableau2[[#This Row],[GHG (kgCO2eq/GJ)]]*3.6</f>
        <v>87.12</v>
      </c>
      <c r="J362" t="s">
        <v>107</v>
      </c>
      <c r="K362" t="s">
        <v>109</v>
      </c>
    </row>
    <row r="363" spans="1:11" hidden="1" x14ac:dyDescent="0.3">
      <c r="A363" t="s">
        <v>21</v>
      </c>
      <c r="B363" t="s">
        <v>59</v>
      </c>
      <c r="C363" t="s">
        <v>97</v>
      </c>
      <c r="D363">
        <v>7.2530000000000001</v>
      </c>
      <c r="E363">
        <f>Tableau2[[#This Row],[Potential (PJ)]]/3.6</f>
        <v>2.0147222222222223</v>
      </c>
      <c r="F363">
        <v>18.393922951709168</v>
      </c>
      <c r="G363">
        <f>Tableau2[[#This Row],[Cost (€/GJ)]]/1000*3600</f>
        <v>66.218122626153018</v>
      </c>
      <c r="H363">
        <v>24.2</v>
      </c>
      <c r="I363">
        <f>Tableau2[[#This Row],[GHG (kgCO2eq/GJ)]]*3.6</f>
        <v>87.12</v>
      </c>
      <c r="J363" t="s">
        <v>107</v>
      </c>
      <c r="K363" t="s">
        <v>109</v>
      </c>
    </row>
    <row r="364" spans="1:11" hidden="1" x14ac:dyDescent="0.3">
      <c r="A364" t="s">
        <v>21</v>
      </c>
      <c r="B364" t="s">
        <v>46</v>
      </c>
      <c r="C364" t="s">
        <v>80</v>
      </c>
      <c r="D364">
        <v>2.8149999999999999</v>
      </c>
      <c r="E364">
        <f>Tableau2[[#This Row],[Potential (PJ)]]/3.6</f>
        <v>0.78194444444444444</v>
      </c>
      <c r="F364">
        <v>0.72016183412002699</v>
      </c>
      <c r="G364">
        <f>Tableau2[[#This Row],[Cost (€/GJ)]]/1000*3600</f>
        <v>2.5925826028320973</v>
      </c>
      <c r="H364">
        <v>28.139870918023309</v>
      </c>
      <c r="I364">
        <f>Tableau2[[#This Row],[GHG (kgCO2eq/GJ)]]*3.6</f>
        <v>101.30353530488391</v>
      </c>
      <c r="J364" t="s">
        <v>105</v>
      </c>
      <c r="K364" t="s">
        <v>108</v>
      </c>
    </row>
    <row r="365" spans="1:11" hidden="1" x14ac:dyDescent="0.3">
      <c r="A365" t="s">
        <v>21</v>
      </c>
      <c r="B365" t="s">
        <v>60</v>
      </c>
      <c r="C365" t="s">
        <v>98</v>
      </c>
      <c r="D365">
        <v>57.40598</v>
      </c>
      <c r="E365">
        <f>Tableau2[[#This Row],[Potential (PJ)]]/3.6</f>
        <v>15.946105555555555</v>
      </c>
      <c r="F365">
        <v>17.3469387755102</v>
      </c>
      <c r="G365">
        <f>Tableau2[[#This Row],[Cost (€/GJ)]]/1000*3600</f>
        <v>62.448979591836725</v>
      </c>
      <c r="H365">
        <v>26.3</v>
      </c>
      <c r="I365">
        <f>Tableau2[[#This Row],[GHG (kgCO2eq/GJ)]]*3.6</f>
        <v>94.68</v>
      </c>
      <c r="J365" t="s">
        <v>107</v>
      </c>
      <c r="K365" t="s">
        <v>109</v>
      </c>
    </row>
    <row r="366" spans="1:11" hidden="1" x14ac:dyDescent="0.3">
      <c r="A366" t="s">
        <v>21</v>
      </c>
      <c r="B366" t="s">
        <v>46</v>
      </c>
      <c r="C366" t="s">
        <v>81</v>
      </c>
      <c r="D366">
        <v>8.1351999999999993</v>
      </c>
      <c r="E366">
        <f>Tableau2[[#This Row],[Potential (PJ)]]/3.6</f>
        <v>2.2597777777777774</v>
      </c>
      <c r="F366">
        <v>0.98883666274970616</v>
      </c>
      <c r="G366">
        <f>Tableau2[[#This Row],[Cost (€/GJ)]]/1000*3600</f>
        <v>3.5598119858989419</v>
      </c>
      <c r="H366">
        <v>8.9647473560517046</v>
      </c>
      <c r="I366">
        <f>Tableau2[[#This Row],[GHG (kgCO2eq/GJ)]]*3.6</f>
        <v>32.273090481786134</v>
      </c>
      <c r="J366" t="s">
        <v>105</v>
      </c>
      <c r="K366" t="s">
        <v>108</v>
      </c>
    </row>
    <row r="367" spans="1:11" hidden="1" x14ac:dyDescent="0.3">
      <c r="A367" t="s">
        <v>21</v>
      </c>
      <c r="B367" t="s">
        <v>46</v>
      </c>
      <c r="C367" t="s">
        <v>84</v>
      </c>
      <c r="D367">
        <v>2.1</v>
      </c>
      <c r="E367">
        <f>Tableau2[[#This Row],[Potential (PJ)]]/3.6</f>
        <v>0.58333333333333337</v>
      </c>
      <c r="F367">
        <v>2.023428571428572</v>
      </c>
      <c r="G367">
        <f>Tableau2[[#This Row],[Cost (€/GJ)]]/1000*3600</f>
        <v>7.2843428571428586</v>
      </c>
      <c r="H367">
        <v>28.139870918023309</v>
      </c>
      <c r="I367">
        <f>Tableau2[[#This Row],[GHG (kgCO2eq/GJ)]]*3.6</f>
        <v>101.30353530488391</v>
      </c>
      <c r="J367" t="s">
        <v>105</v>
      </c>
      <c r="K367" t="s">
        <v>108</v>
      </c>
    </row>
    <row r="368" spans="1:11" hidden="1" x14ac:dyDescent="0.3">
      <c r="A368" t="s">
        <v>21</v>
      </c>
      <c r="B368" t="s">
        <v>50</v>
      </c>
      <c r="C368" t="s">
        <v>73</v>
      </c>
      <c r="D368">
        <v>23.5</v>
      </c>
      <c r="E368">
        <f>Tableau2[[#This Row],[Potential (PJ)]]/3.6</f>
        <v>6.5277777777777777</v>
      </c>
      <c r="F368">
        <v>5.566727659574469</v>
      </c>
      <c r="G368">
        <f>Tableau2[[#This Row],[Cost (€/GJ)]]/1000*3600</f>
        <v>20.04021957446809</v>
      </c>
      <c r="H368">
        <v>20.723404255319149</v>
      </c>
      <c r="I368">
        <f>Tableau2[[#This Row],[GHG (kgCO2eq/GJ)]]*3.6</f>
        <v>74.604255319148933</v>
      </c>
      <c r="J368" t="s">
        <v>105</v>
      </c>
      <c r="K368" t="s">
        <v>108</v>
      </c>
    </row>
    <row r="369" spans="1:11" hidden="1" x14ac:dyDescent="0.3">
      <c r="A369" t="s">
        <v>21</v>
      </c>
      <c r="B369" t="s">
        <v>50</v>
      </c>
      <c r="C369" t="s">
        <v>74</v>
      </c>
      <c r="D369">
        <v>234.5</v>
      </c>
      <c r="E369">
        <f>Tableau2[[#This Row],[Potential (PJ)]]/3.6</f>
        <v>65.138888888888886</v>
      </c>
      <c r="F369">
        <v>6.3619445628997866</v>
      </c>
      <c r="G369">
        <f>Tableau2[[#This Row],[Cost (€/GJ)]]/1000*3600</f>
        <v>22.903000426439231</v>
      </c>
      <c r="H369">
        <v>2.0635593220338988</v>
      </c>
      <c r="I369">
        <f>Tableau2[[#This Row],[GHG (kgCO2eq/GJ)]]*3.6</f>
        <v>7.4288135593220357</v>
      </c>
      <c r="J369" t="s">
        <v>105</v>
      </c>
      <c r="K369" t="s">
        <v>108</v>
      </c>
    </row>
    <row r="370" spans="1:11" hidden="1" x14ac:dyDescent="0.3">
      <c r="A370" t="s">
        <v>21</v>
      </c>
      <c r="B370" t="s">
        <v>52</v>
      </c>
      <c r="C370" t="s">
        <v>76</v>
      </c>
      <c r="D370">
        <v>1.0999999999999999E-2</v>
      </c>
      <c r="E370">
        <f>Tableau2[[#This Row],[Potential (PJ)]]/3.6</f>
        <v>3.0555555555555553E-3</v>
      </c>
      <c r="F370">
        <v>5.4702337500000002</v>
      </c>
      <c r="G370">
        <f>Tableau2[[#This Row],[Cost (€/GJ)]]/1000*3600</f>
        <v>19.6928415</v>
      </c>
      <c r="H370">
        <v>12.68872359754714</v>
      </c>
      <c r="I370">
        <f>Tableau2[[#This Row],[GHG (kgCO2eq/GJ)]]*3.6</f>
        <v>45.679404951169708</v>
      </c>
      <c r="J370" t="s">
        <v>105</v>
      </c>
      <c r="K370" t="s">
        <v>108</v>
      </c>
    </row>
    <row r="371" spans="1:11" hidden="1" x14ac:dyDescent="0.3">
      <c r="A371" t="s">
        <v>22</v>
      </c>
      <c r="B371" t="s">
        <v>46</v>
      </c>
      <c r="C371" t="s">
        <v>103</v>
      </c>
      <c r="D371">
        <v>7.5014609999999999</v>
      </c>
      <c r="E371">
        <f>Tableau2[[#This Row],[Potential (PJ)]]/3.6</f>
        <v>2.0837391666666667</v>
      </c>
      <c r="F371">
        <v>0</v>
      </c>
      <c r="G371">
        <f>Tableau2[[#This Row],[Cost (€/GJ)]]/1000*3600</f>
        <v>0</v>
      </c>
      <c r="I371">
        <f>Tableau2[[#This Row],[GHG (kgCO2eq/GJ)]]*3.6</f>
        <v>0</v>
      </c>
    </row>
    <row r="372" spans="1:11" hidden="1" x14ac:dyDescent="0.3">
      <c r="A372" t="s">
        <v>22</v>
      </c>
      <c r="B372" t="s">
        <v>46</v>
      </c>
      <c r="C372" t="s">
        <v>63</v>
      </c>
      <c r="D372">
        <v>5.28E-2</v>
      </c>
      <c r="E372">
        <f>Tableau2[[#This Row],[Potential (PJ)]]/3.6</f>
        <v>1.4666666666666666E-2</v>
      </c>
      <c r="F372">
        <v>2.9286474973375931</v>
      </c>
      <c r="G372">
        <f>Tableau2[[#This Row],[Cost (€/GJ)]]/1000*3600</f>
        <v>10.543130990415335</v>
      </c>
      <c r="H372">
        <v>3.950479233226837</v>
      </c>
      <c r="I372">
        <f>Tableau2[[#This Row],[GHG (kgCO2eq/GJ)]]*3.6</f>
        <v>14.221725239616614</v>
      </c>
      <c r="J372" t="s">
        <v>104</v>
      </c>
      <c r="K372" t="s">
        <v>108</v>
      </c>
    </row>
    <row r="373" spans="1:11" hidden="1" x14ac:dyDescent="0.3">
      <c r="A373" t="s">
        <v>22</v>
      </c>
      <c r="B373" t="s">
        <v>46</v>
      </c>
      <c r="C373" t="s">
        <v>80</v>
      </c>
      <c r="D373">
        <v>0.57840000000000003</v>
      </c>
      <c r="E373">
        <f>Tableau2[[#This Row],[Potential (PJ)]]/3.6</f>
        <v>0.16066666666666668</v>
      </c>
      <c r="F373">
        <v>0.91773432231962238</v>
      </c>
      <c r="G373">
        <f>Tableau2[[#This Row],[Cost (€/GJ)]]/1000*3600</f>
        <v>3.3038435603506406</v>
      </c>
      <c r="H373">
        <v>28.139870918023309</v>
      </c>
      <c r="I373">
        <f>Tableau2[[#This Row],[GHG (kgCO2eq/GJ)]]*3.6</f>
        <v>101.30353530488391</v>
      </c>
      <c r="J373" t="s">
        <v>105</v>
      </c>
      <c r="K373" t="s">
        <v>108</v>
      </c>
    </row>
    <row r="374" spans="1:11" hidden="1" x14ac:dyDescent="0.3">
      <c r="A374" t="s">
        <v>22</v>
      </c>
      <c r="B374" t="s">
        <v>46</v>
      </c>
      <c r="C374" t="s">
        <v>81</v>
      </c>
      <c r="D374">
        <v>0.44009999999999999</v>
      </c>
      <c r="E374">
        <f>Tableau2[[#This Row],[Potential (PJ)]]/3.6</f>
        <v>0.12225</v>
      </c>
      <c r="F374">
        <v>3.6856639247943601</v>
      </c>
      <c r="G374">
        <f>Tableau2[[#This Row],[Cost (€/GJ)]]/1000*3600</f>
        <v>13.268390129259696</v>
      </c>
      <c r="H374">
        <v>8.9647473560517046</v>
      </c>
      <c r="I374">
        <f>Tableau2[[#This Row],[GHG (kgCO2eq/GJ)]]*3.6</f>
        <v>32.273090481786134</v>
      </c>
      <c r="J374" t="s">
        <v>105</v>
      </c>
      <c r="K374" t="s">
        <v>108</v>
      </c>
    </row>
    <row r="375" spans="1:11" hidden="1" x14ac:dyDescent="0.3">
      <c r="A375" t="s">
        <v>22</v>
      </c>
      <c r="B375" t="s">
        <v>55</v>
      </c>
      <c r="C375" t="s">
        <v>87</v>
      </c>
      <c r="D375">
        <v>40.159799999999997</v>
      </c>
      <c r="E375">
        <f>Tableau2[[#This Row],[Potential (PJ)]]/3.6</f>
        <v>11.155499999999998</v>
      </c>
      <c r="F375">
        <v>11.885999999999999</v>
      </c>
      <c r="G375">
        <f>Tableau2[[#This Row],[Cost (€/GJ)]]/1000*3600</f>
        <v>42.789599999999993</v>
      </c>
      <c r="H375">
        <v>11.5</v>
      </c>
      <c r="I375">
        <f>Tableau2[[#This Row],[GHG (kgCO2eq/GJ)]]*3.6</f>
        <v>41.4</v>
      </c>
      <c r="J375" t="s">
        <v>106</v>
      </c>
      <c r="K375" t="s">
        <v>109</v>
      </c>
    </row>
    <row r="376" spans="1:11" hidden="1" x14ac:dyDescent="0.3">
      <c r="A376" t="s">
        <v>22</v>
      </c>
      <c r="B376" t="s">
        <v>55</v>
      </c>
      <c r="C376" t="s">
        <v>88</v>
      </c>
      <c r="D376">
        <v>1.1352</v>
      </c>
      <c r="E376">
        <f>Tableau2[[#This Row],[Potential (PJ)]]/3.6</f>
        <v>0.3153333333333333</v>
      </c>
      <c r="F376">
        <v>12.923999999999999</v>
      </c>
      <c r="G376">
        <f>Tableau2[[#This Row],[Cost (€/GJ)]]/1000*3600</f>
        <v>46.526400000000002</v>
      </c>
      <c r="H376">
        <v>11.5</v>
      </c>
      <c r="I376">
        <f>Tableau2[[#This Row],[GHG (kgCO2eq/GJ)]]*3.6</f>
        <v>41.4</v>
      </c>
      <c r="J376" t="s">
        <v>106</v>
      </c>
      <c r="K376" t="s">
        <v>109</v>
      </c>
    </row>
    <row r="377" spans="1:11" hidden="1" x14ac:dyDescent="0.3">
      <c r="A377" t="s">
        <v>22</v>
      </c>
      <c r="B377" t="s">
        <v>55</v>
      </c>
      <c r="C377" t="s">
        <v>89</v>
      </c>
      <c r="D377">
        <v>5.0000000000000001E-4</v>
      </c>
      <c r="E377">
        <f>Tableau2[[#This Row],[Potential (PJ)]]/3.6</f>
        <v>1.3888888888888889E-4</v>
      </c>
      <c r="F377">
        <v>0</v>
      </c>
      <c r="G377">
        <f>Tableau2[[#This Row],[Cost (€/GJ)]]/1000*3600</f>
        <v>0</v>
      </c>
      <c r="H377">
        <v>11.5</v>
      </c>
      <c r="I377">
        <f>Tableau2[[#This Row],[GHG (kgCO2eq/GJ)]]*3.6</f>
        <v>41.4</v>
      </c>
      <c r="J377" t="s">
        <v>106</v>
      </c>
      <c r="K377" t="s">
        <v>109</v>
      </c>
    </row>
    <row r="378" spans="1:11" x14ac:dyDescent="0.3">
      <c r="A378" t="s">
        <v>22</v>
      </c>
      <c r="B378" t="s">
        <v>49</v>
      </c>
      <c r="C378" t="s">
        <v>71</v>
      </c>
      <c r="D378">
        <v>13.329929999999999</v>
      </c>
      <c r="E378">
        <f>Tableau2[[#This Row],[Potential (PJ)]]/3.6</f>
        <v>3.7027583333333332</v>
      </c>
      <c r="F378">
        <v>2.2410000000000001</v>
      </c>
      <c r="G378">
        <f>Tableau2[[#This Row],[Cost (€/GJ)]]/1000*3600</f>
        <v>8.0676000000000005</v>
      </c>
      <c r="H378">
        <v>3.86607608129234</v>
      </c>
      <c r="I378">
        <f>Tableau2[[#This Row],[GHG (kgCO2eq/GJ)]]*3.6</f>
        <v>13.917873892652425</v>
      </c>
      <c r="J378" t="s">
        <v>104</v>
      </c>
      <c r="K378" t="s">
        <v>108</v>
      </c>
    </row>
    <row r="379" spans="1:11" x14ac:dyDescent="0.3">
      <c r="A379" t="s">
        <v>22</v>
      </c>
      <c r="B379" t="s">
        <v>49</v>
      </c>
      <c r="C379" t="s">
        <v>72</v>
      </c>
      <c r="D379">
        <v>2.4</v>
      </c>
      <c r="E379">
        <f>Tableau2[[#This Row],[Potential (PJ)]]/3.6</f>
        <v>0.66666666666666663</v>
      </c>
      <c r="F379">
        <v>1.5425</v>
      </c>
      <c r="G379">
        <f>Tableau2[[#This Row],[Cost (€/GJ)]]/1000*3600</f>
        <v>5.5529999999999999</v>
      </c>
      <c r="H379">
        <v>3.86607608129234</v>
      </c>
      <c r="I379">
        <f>Tableau2[[#This Row],[GHG (kgCO2eq/GJ)]]*3.6</f>
        <v>13.917873892652425</v>
      </c>
      <c r="J379" t="s">
        <v>104</v>
      </c>
      <c r="K379" t="s">
        <v>108</v>
      </c>
    </row>
    <row r="380" spans="1:11" hidden="1" x14ac:dyDescent="0.3">
      <c r="A380" t="s">
        <v>22</v>
      </c>
      <c r="B380" t="s">
        <v>58</v>
      </c>
      <c r="C380" t="s">
        <v>103</v>
      </c>
      <c r="D380">
        <v>1.9731989999999999</v>
      </c>
      <c r="E380">
        <f>Tableau2[[#This Row],[Potential (PJ)]]/3.6</f>
        <v>0.54811083333333332</v>
      </c>
      <c r="F380">
        <v>0</v>
      </c>
      <c r="G380">
        <f>Tableau2[[#This Row],[Cost (€/GJ)]]/1000*3600</f>
        <v>0</v>
      </c>
      <c r="I380">
        <f>Tableau2[[#This Row],[GHG (kgCO2eq/GJ)]]*3.6</f>
        <v>0</v>
      </c>
    </row>
    <row r="381" spans="1:11" hidden="1" x14ac:dyDescent="0.3">
      <c r="A381" t="s">
        <v>22</v>
      </c>
      <c r="B381" t="s">
        <v>50</v>
      </c>
      <c r="C381" t="s">
        <v>103</v>
      </c>
      <c r="D381">
        <v>3.2519339999999999</v>
      </c>
      <c r="E381">
        <f>Tableau2[[#This Row],[Potential (PJ)]]/3.6</f>
        <v>0.90331499999999998</v>
      </c>
      <c r="F381">
        <v>0</v>
      </c>
      <c r="G381">
        <f>Tableau2[[#This Row],[Cost (€/GJ)]]/1000*3600</f>
        <v>0</v>
      </c>
      <c r="I381">
        <f>Tableau2[[#This Row],[GHG (kgCO2eq/GJ)]]*3.6</f>
        <v>0</v>
      </c>
    </row>
    <row r="382" spans="1:11" x14ac:dyDescent="0.3">
      <c r="A382" t="s">
        <v>22</v>
      </c>
      <c r="B382" t="s">
        <v>51</v>
      </c>
      <c r="C382" t="s">
        <v>75</v>
      </c>
      <c r="D382">
        <v>0.12574299999999999</v>
      </c>
      <c r="E382">
        <f>Tableau2[[#This Row],[Potential (PJ)]]/3.6</f>
        <v>3.4928611111111112E-2</v>
      </c>
      <c r="F382">
        <v>2.4586252410931798E-2</v>
      </c>
      <c r="G382">
        <f>Tableau2[[#This Row],[Cost (€/GJ)]]/1000*3600</f>
        <v>8.8510508679354477E-2</v>
      </c>
      <c r="H382">
        <v>11.74</v>
      </c>
      <c r="I382">
        <f>Tableau2[[#This Row],[GHG (kgCO2eq/GJ)]]*3.6</f>
        <v>42.264000000000003</v>
      </c>
      <c r="J382" t="s">
        <v>104</v>
      </c>
      <c r="K382" t="s">
        <v>108</v>
      </c>
    </row>
    <row r="383" spans="1:11" hidden="1" x14ac:dyDescent="0.3">
      <c r="A383" t="s">
        <v>22</v>
      </c>
      <c r="B383" t="s">
        <v>52</v>
      </c>
      <c r="C383" t="s">
        <v>76</v>
      </c>
      <c r="D383">
        <v>5.2999999999999999E-2</v>
      </c>
      <c r="E383">
        <f>Tableau2[[#This Row],[Potential (PJ)]]/3.6</f>
        <v>1.4722222222222222E-2</v>
      </c>
      <c r="F383">
        <v>5.4702337500000002</v>
      </c>
      <c r="G383">
        <f>Tableau2[[#This Row],[Cost (€/GJ)]]/1000*3600</f>
        <v>19.6928415</v>
      </c>
      <c r="H383">
        <v>12.68872359754714</v>
      </c>
      <c r="I383">
        <f>Tableau2[[#This Row],[GHG (kgCO2eq/GJ)]]*3.6</f>
        <v>45.679404951169708</v>
      </c>
      <c r="J383" t="s">
        <v>105</v>
      </c>
      <c r="K383" t="s">
        <v>108</v>
      </c>
    </row>
    <row r="384" spans="1:11" x14ac:dyDescent="0.3">
      <c r="A384" t="s">
        <v>22</v>
      </c>
      <c r="B384" t="s">
        <v>53</v>
      </c>
      <c r="C384" t="s">
        <v>77</v>
      </c>
      <c r="D384">
        <v>3.8</v>
      </c>
      <c r="E384">
        <f>Tableau2[[#This Row],[Potential (PJ)]]/3.6</f>
        <v>1.0555555555555556</v>
      </c>
      <c r="F384">
        <v>1.542473684210526</v>
      </c>
      <c r="G384">
        <f>Tableau2[[#This Row],[Cost (€/GJ)]]/1000*3600</f>
        <v>5.5529052631578937</v>
      </c>
      <c r="H384">
        <v>3.86607608129234</v>
      </c>
      <c r="I384">
        <f>Tableau2[[#This Row],[GHG (kgCO2eq/GJ)]]*3.6</f>
        <v>13.917873892652425</v>
      </c>
      <c r="J384" t="s">
        <v>104</v>
      </c>
      <c r="K384" t="s">
        <v>108</v>
      </c>
    </row>
    <row r="385" spans="1:11" hidden="1" x14ac:dyDescent="0.3">
      <c r="A385" t="s">
        <v>22</v>
      </c>
      <c r="B385" t="s">
        <v>61</v>
      </c>
      <c r="C385" t="s">
        <v>103</v>
      </c>
      <c r="D385">
        <v>0.51078800000000002</v>
      </c>
      <c r="E385">
        <f>Tableau2[[#This Row],[Potential (PJ)]]/3.6</f>
        <v>0.14188555555555557</v>
      </c>
      <c r="F385">
        <v>0</v>
      </c>
      <c r="G385">
        <f>Tableau2[[#This Row],[Cost (€/GJ)]]/1000*3600</f>
        <v>0</v>
      </c>
      <c r="I385">
        <f>Tableau2[[#This Row],[GHG (kgCO2eq/GJ)]]*3.6</f>
        <v>0</v>
      </c>
    </row>
    <row r="386" spans="1:11" hidden="1" x14ac:dyDescent="0.3">
      <c r="A386" t="s">
        <v>22</v>
      </c>
      <c r="B386" t="s">
        <v>62</v>
      </c>
      <c r="C386" t="s">
        <v>103</v>
      </c>
      <c r="D386">
        <v>0.15754000000000001</v>
      </c>
      <c r="E386">
        <f>Tableau2[[#This Row],[Potential (PJ)]]/3.6</f>
        <v>4.3761111111111112E-2</v>
      </c>
      <c r="F386">
        <v>0</v>
      </c>
      <c r="G386">
        <f>Tableau2[[#This Row],[Cost (€/GJ)]]/1000*3600</f>
        <v>0</v>
      </c>
      <c r="I386">
        <f>Tableau2[[#This Row],[GHG (kgCO2eq/GJ)]]*3.6</f>
        <v>0</v>
      </c>
    </row>
    <row r="387" spans="1:11" x14ac:dyDescent="0.3">
      <c r="A387" t="s">
        <v>22</v>
      </c>
      <c r="B387" t="s">
        <v>54</v>
      </c>
      <c r="C387" t="s">
        <v>78</v>
      </c>
      <c r="D387">
        <v>21.2</v>
      </c>
      <c r="E387">
        <f>Tableau2[[#This Row],[Potential (PJ)]]/3.6</f>
        <v>5.8888888888888884</v>
      </c>
      <c r="F387">
        <v>2.774</v>
      </c>
      <c r="G387">
        <f>Tableau2[[#This Row],[Cost (€/GJ)]]/1000*3600</f>
        <v>9.9863999999999997</v>
      </c>
      <c r="H387">
        <v>3.86607608129234</v>
      </c>
      <c r="I387">
        <f>Tableau2[[#This Row],[GHG (kgCO2eq/GJ)]]*3.6</f>
        <v>13.917873892652425</v>
      </c>
      <c r="J387" t="s">
        <v>104</v>
      </c>
      <c r="K387" t="s">
        <v>108</v>
      </c>
    </row>
    <row r="388" spans="1:11" hidden="1" x14ac:dyDescent="0.3">
      <c r="A388" t="s">
        <v>23</v>
      </c>
      <c r="B388" t="s">
        <v>46</v>
      </c>
      <c r="C388" t="s">
        <v>64</v>
      </c>
      <c r="D388">
        <v>0.4844</v>
      </c>
      <c r="E388">
        <f>Tableau2[[#This Row],[Potential (PJ)]]/3.6</f>
        <v>0.13455555555555554</v>
      </c>
      <c r="F388">
        <v>6.3096818538398018</v>
      </c>
      <c r="G388">
        <f>Tableau2[[#This Row],[Cost (€/GJ)]]/1000*3600</f>
        <v>22.714854673823286</v>
      </c>
      <c r="H388">
        <v>2.9521711768407801</v>
      </c>
      <c r="I388">
        <f>Tableau2[[#This Row],[GHG (kgCO2eq/GJ)]]*3.6</f>
        <v>10.627816236626808</v>
      </c>
      <c r="J388" t="s">
        <v>104</v>
      </c>
      <c r="K388" t="s">
        <v>108</v>
      </c>
    </row>
    <row r="389" spans="1:11" hidden="1" x14ac:dyDescent="0.3">
      <c r="A389" t="s">
        <v>23</v>
      </c>
      <c r="B389" t="s">
        <v>46</v>
      </c>
      <c r="C389" t="s">
        <v>79</v>
      </c>
      <c r="D389">
        <v>21.3</v>
      </c>
      <c r="E389">
        <f>Tableau2[[#This Row],[Potential (PJ)]]/3.6</f>
        <v>5.916666666666667</v>
      </c>
      <c r="F389">
        <v>2.866460093896714</v>
      </c>
      <c r="G389">
        <f>Tableau2[[#This Row],[Cost (€/GJ)]]/1000*3600</f>
        <v>10.31925633802817</v>
      </c>
      <c r="H389">
        <v>6.8428961748633883</v>
      </c>
      <c r="I389">
        <f>Tableau2[[#This Row],[GHG (kgCO2eq/GJ)]]*3.6</f>
        <v>24.634426229508197</v>
      </c>
      <c r="J389" t="s">
        <v>104</v>
      </c>
      <c r="K389" t="s">
        <v>108</v>
      </c>
    </row>
    <row r="390" spans="1:11" hidden="1" x14ac:dyDescent="0.3">
      <c r="A390" t="s">
        <v>23</v>
      </c>
      <c r="B390" t="s">
        <v>46</v>
      </c>
      <c r="C390" t="s">
        <v>65</v>
      </c>
      <c r="D390">
        <v>0.2</v>
      </c>
      <c r="E390">
        <f>Tableau2[[#This Row],[Potential (PJ)]]/3.6</f>
        <v>5.5555555555555559E-2</v>
      </c>
      <c r="F390">
        <v>3.4874999999999998</v>
      </c>
      <c r="G390">
        <f>Tableau2[[#This Row],[Cost (€/GJ)]]/1000*3600</f>
        <v>12.555</v>
      </c>
      <c r="H390">
        <v>2.9521711768407801</v>
      </c>
      <c r="I390">
        <f>Tableau2[[#This Row],[GHG (kgCO2eq/GJ)]]*3.6</f>
        <v>10.627816236626808</v>
      </c>
      <c r="J390" t="s">
        <v>104</v>
      </c>
      <c r="K390" t="s">
        <v>108</v>
      </c>
    </row>
    <row r="391" spans="1:11" hidden="1" x14ac:dyDescent="0.3">
      <c r="A391" t="s">
        <v>23</v>
      </c>
      <c r="B391" t="s">
        <v>46</v>
      </c>
      <c r="C391" t="s">
        <v>80</v>
      </c>
      <c r="D391">
        <v>0.80920000000000003</v>
      </c>
      <c r="E391">
        <f>Tableau2[[#This Row],[Potential (PJ)]]/3.6</f>
        <v>0.22477777777777777</v>
      </c>
      <c r="F391">
        <v>0.26432906271072149</v>
      </c>
      <c r="G391">
        <f>Tableau2[[#This Row],[Cost (€/GJ)]]/1000*3600</f>
        <v>0.95158462575859737</v>
      </c>
      <c r="H391">
        <v>28.139870918023309</v>
      </c>
      <c r="I391">
        <f>Tableau2[[#This Row],[GHG (kgCO2eq/GJ)]]*3.6</f>
        <v>101.30353530488391</v>
      </c>
      <c r="J391" t="s">
        <v>105</v>
      </c>
      <c r="K391" t="s">
        <v>108</v>
      </c>
    </row>
    <row r="392" spans="1:11" hidden="1" x14ac:dyDescent="0.3">
      <c r="A392" t="s">
        <v>23</v>
      </c>
      <c r="B392" t="s">
        <v>46</v>
      </c>
      <c r="C392" t="s">
        <v>81</v>
      </c>
      <c r="D392">
        <v>0.56609999999999994</v>
      </c>
      <c r="E392">
        <f>Tableau2[[#This Row],[Potential (PJ)]]/3.6</f>
        <v>0.15724999999999997</v>
      </c>
      <c r="F392">
        <v>1.533490011750881</v>
      </c>
      <c r="G392">
        <f>Tableau2[[#This Row],[Cost (€/GJ)]]/1000*3600</f>
        <v>5.520564042303171</v>
      </c>
      <c r="H392">
        <v>8.9647473560517046</v>
      </c>
      <c r="I392">
        <f>Tableau2[[#This Row],[GHG (kgCO2eq/GJ)]]*3.6</f>
        <v>32.273090481786134</v>
      </c>
      <c r="J392" t="s">
        <v>105</v>
      </c>
      <c r="K392" t="s">
        <v>108</v>
      </c>
    </row>
    <row r="393" spans="1:11" hidden="1" x14ac:dyDescent="0.3">
      <c r="A393" t="s">
        <v>23</v>
      </c>
      <c r="B393" t="s">
        <v>46</v>
      </c>
      <c r="C393" t="s">
        <v>66</v>
      </c>
      <c r="D393">
        <v>16</v>
      </c>
      <c r="E393">
        <f>Tableau2[[#This Row],[Potential (PJ)]]/3.6</f>
        <v>4.4444444444444446</v>
      </c>
      <c r="F393">
        <v>2.9558312500000001</v>
      </c>
      <c r="G393">
        <f>Tableau2[[#This Row],[Cost (€/GJ)]]/1000*3600</f>
        <v>10.640992500000001</v>
      </c>
      <c r="H393">
        <v>6.8428961748633883</v>
      </c>
      <c r="I393">
        <f>Tableau2[[#This Row],[GHG (kgCO2eq/GJ)]]*3.6</f>
        <v>24.634426229508197</v>
      </c>
      <c r="J393" t="s">
        <v>104</v>
      </c>
      <c r="K393" t="s">
        <v>108</v>
      </c>
    </row>
    <row r="394" spans="1:11" hidden="1" x14ac:dyDescent="0.3">
      <c r="A394" t="s">
        <v>23</v>
      </c>
      <c r="B394" t="s">
        <v>46</v>
      </c>
      <c r="C394" t="s">
        <v>82</v>
      </c>
      <c r="D394">
        <v>6.6000000000000014</v>
      </c>
      <c r="E394">
        <f>Tableau2[[#This Row],[Potential (PJ)]]/3.6</f>
        <v>1.8333333333333337</v>
      </c>
      <c r="F394">
        <v>1.8273787878787879</v>
      </c>
      <c r="G394">
        <f>Tableau2[[#This Row],[Cost (€/GJ)]]/1000*3600</f>
        <v>6.5785636363636364</v>
      </c>
      <c r="H394">
        <v>6.8428961748633883</v>
      </c>
      <c r="I394">
        <f>Tableau2[[#This Row],[GHG (kgCO2eq/GJ)]]*3.6</f>
        <v>24.634426229508197</v>
      </c>
      <c r="J394" t="s">
        <v>104</v>
      </c>
      <c r="K394" t="s">
        <v>108</v>
      </c>
    </row>
    <row r="395" spans="1:11" hidden="1" x14ac:dyDescent="0.3">
      <c r="A395" t="s">
        <v>23</v>
      </c>
      <c r="B395" t="s">
        <v>46</v>
      </c>
      <c r="C395" t="s">
        <v>83</v>
      </c>
      <c r="D395">
        <v>3.832E-2</v>
      </c>
      <c r="E395">
        <f>Tableau2[[#This Row],[Potential (PJ)]]/3.6</f>
        <v>1.0644444444444444E-2</v>
      </c>
      <c r="F395">
        <v>0</v>
      </c>
      <c r="G395">
        <f>Tableau2[[#This Row],[Cost (€/GJ)]]/1000*3600</f>
        <v>0</v>
      </c>
      <c r="H395">
        <v>6.8428961748633883</v>
      </c>
      <c r="I395">
        <f>Tableau2[[#This Row],[GHG (kgCO2eq/GJ)]]*3.6</f>
        <v>24.634426229508197</v>
      </c>
      <c r="J395" t="s">
        <v>104</v>
      </c>
      <c r="K395" t="s">
        <v>108</v>
      </c>
    </row>
    <row r="396" spans="1:11" hidden="1" x14ac:dyDescent="0.3">
      <c r="A396" t="s">
        <v>23</v>
      </c>
      <c r="B396" t="s">
        <v>46</v>
      </c>
      <c r="C396" t="s">
        <v>84</v>
      </c>
      <c r="D396">
        <v>0.2</v>
      </c>
      <c r="E396">
        <f>Tableau2[[#This Row],[Potential (PJ)]]/3.6</f>
        <v>5.5555555555555559E-2</v>
      </c>
      <c r="F396">
        <v>1.621</v>
      </c>
      <c r="G396">
        <f>Tableau2[[#This Row],[Cost (€/GJ)]]/1000*3600</f>
        <v>5.8356000000000003</v>
      </c>
      <c r="H396">
        <v>28.139870918023309</v>
      </c>
      <c r="I396">
        <f>Tableau2[[#This Row],[GHG (kgCO2eq/GJ)]]*3.6</f>
        <v>101.30353530488391</v>
      </c>
      <c r="J396" t="s">
        <v>105</v>
      </c>
      <c r="K396" t="s">
        <v>108</v>
      </c>
    </row>
    <row r="397" spans="1:11" hidden="1" x14ac:dyDescent="0.3">
      <c r="A397" t="s">
        <v>23</v>
      </c>
      <c r="B397" t="s">
        <v>46</v>
      </c>
      <c r="C397" t="s">
        <v>85</v>
      </c>
      <c r="D397">
        <v>0.2</v>
      </c>
      <c r="E397">
        <f>Tableau2[[#This Row],[Potential (PJ)]]/3.6</f>
        <v>5.5555555555555559E-2</v>
      </c>
      <c r="F397">
        <v>3.7174999999999998</v>
      </c>
      <c r="G397">
        <f>Tableau2[[#This Row],[Cost (€/GJ)]]/1000*3600</f>
        <v>13.382999999999999</v>
      </c>
      <c r="H397">
        <v>2.9521711768407801</v>
      </c>
      <c r="I397">
        <f>Tableau2[[#This Row],[GHG (kgCO2eq/GJ)]]*3.6</f>
        <v>10.627816236626808</v>
      </c>
      <c r="J397" t="s">
        <v>104</v>
      </c>
      <c r="K397" t="s">
        <v>108</v>
      </c>
    </row>
    <row r="398" spans="1:11" hidden="1" x14ac:dyDescent="0.3">
      <c r="A398" t="s">
        <v>23</v>
      </c>
      <c r="B398" t="s">
        <v>55</v>
      </c>
      <c r="C398" t="s">
        <v>86</v>
      </c>
      <c r="D398">
        <v>1.4192</v>
      </c>
      <c r="E398">
        <f>Tableau2[[#This Row],[Potential (PJ)]]/3.6</f>
        <v>0.3942222222222222</v>
      </c>
      <c r="F398">
        <v>16.266999999999999</v>
      </c>
      <c r="G398">
        <f>Tableau2[[#This Row],[Cost (€/GJ)]]/1000*3600</f>
        <v>58.561199999999999</v>
      </c>
      <c r="H398">
        <v>22.1</v>
      </c>
      <c r="I398">
        <f>Tableau2[[#This Row],[GHG (kgCO2eq/GJ)]]*3.6</f>
        <v>79.56</v>
      </c>
      <c r="J398" t="s">
        <v>106</v>
      </c>
      <c r="K398" t="s">
        <v>109</v>
      </c>
    </row>
    <row r="399" spans="1:11" hidden="1" x14ac:dyDescent="0.3">
      <c r="A399" t="s">
        <v>23</v>
      </c>
      <c r="B399" t="s">
        <v>55</v>
      </c>
      <c r="C399" t="s">
        <v>87</v>
      </c>
      <c r="D399">
        <v>0.64419999999999999</v>
      </c>
      <c r="E399">
        <f>Tableau2[[#This Row],[Potential (PJ)]]/3.6</f>
        <v>0.17894444444444443</v>
      </c>
      <c r="F399">
        <v>17.521999999999991</v>
      </c>
      <c r="G399">
        <f>Tableau2[[#This Row],[Cost (€/GJ)]]/1000*3600</f>
        <v>63.079199999999972</v>
      </c>
      <c r="H399">
        <v>22.1</v>
      </c>
      <c r="I399">
        <f>Tableau2[[#This Row],[GHG (kgCO2eq/GJ)]]*3.6</f>
        <v>79.56</v>
      </c>
      <c r="J399" t="s">
        <v>106</v>
      </c>
      <c r="K399" t="s">
        <v>109</v>
      </c>
    </row>
    <row r="400" spans="1:11" hidden="1" x14ac:dyDescent="0.3">
      <c r="A400" t="s">
        <v>23</v>
      </c>
      <c r="B400" t="s">
        <v>55</v>
      </c>
      <c r="C400" t="s">
        <v>88</v>
      </c>
      <c r="D400">
        <v>18.388100000000001</v>
      </c>
      <c r="E400">
        <f>Tableau2[[#This Row],[Potential (PJ)]]/3.6</f>
        <v>5.1078055555555562</v>
      </c>
      <c r="F400">
        <v>15.975</v>
      </c>
      <c r="G400">
        <f>Tableau2[[#This Row],[Cost (€/GJ)]]/1000*3600</f>
        <v>57.51</v>
      </c>
      <c r="H400">
        <v>22.1</v>
      </c>
      <c r="I400">
        <f>Tableau2[[#This Row],[GHG (kgCO2eq/GJ)]]*3.6</f>
        <v>79.56</v>
      </c>
      <c r="J400" t="s">
        <v>106</v>
      </c>
      <c r="K400" t="s">
        <v>109</v>
      </c>
    </row>
    <row r="401" spans="1:11" hidden="1" x14ac:dyDescent="0.3">
      <c r="A401" t="s">
        <v>23</v>
      </c>
      <c r="B401" t="s">
        <v>55</v>
      </c>
      <c r="C401" t="s">
        <v>89</v>
      </c>
      <c r="D401">
        <v>6.8999999999999999E-3</v>
      </c>
      <c r="E401">
        <f>Tableau2[[#This Row],[Potential (PJ)]]/3.6</f>
        <v>1.9166666666666666E-3</v>
      </c>
      <c r="F401">
        <v>0</v>
      </c>
      <c r="G401">
        <f>Tableau2[[#This Row],[Cost (€/GJ)]]/1000*3600</f>
        <v>0</v>
      </c>
      <c r="H401">
        <v>22.1</v>
      </c>
      <c r="I401">
        <f>Tableau2[[#This Row],[GHG (kgCO2eq/GJ)]]*3.6</f>
        <v>79.56</v>
      </c>
      <c r="J401" t="s">
        <v>106</v>
      </c>
      <c r="K401" t="s">
        <v>109</v>
      </c>
    </row>
    <row r="402" spans="1:11" hidden="1" x14ac:dyDescent="0.3">
      <c r="A402" t="s">
        <v>23</v>
      </c>
      <c r="B402" t="s">
        <v>55</v>
      </c>
      <c r="C402" t="s">
        <v>90</v>
      </c>
      <c r="D402">
        <v>0.52790000000000004</v>
      </c>
      <c r="E402">
        <f>Tableau2[[#This Row],[Potential (PJ)]]/3.6</f>
        <v>0.1466388888888889</v>
      </c>
      <c r="F402">
        <v>17.138000000000002</v>
      </c>
      <c r="G402">
        <f>Tableau2[[#This Row],[Cost (€/GJ)]]/1000*3600</f>
        <v>61.696800000000003</v>
      </c>
      <c r="H402">
        <v>22.1</v>
      </c>
      <c r="I402">
        <f>Tableau2[[#This Row],[GHG (kgCO2eq/GJ)]]*3.6</f>
        <v>79.56</v>
      </c>
      <c r="J402" t="s">
        <v>106</v>
      </c>
      <c r="K402" t="s">
        <v>109</v>
      </c>
    </row>
    <row r="403" spans="1:11" hidden="1" x14ac:dyDescent="0.3">
      <c r="A403" t="s">
        <v>23</v>
      </c>
      <c r="B403" t="s">
        <v>55</v>
      </c>
      <c r="C403" t="s">
        <v>92</v>
      </c>
      <c r="D403">
        <v>1.36683</v>
      </c>
      <c r="E403">
        <f>Tableau2[[#This Row],[Potential (PJ)]]/3.6</f>
        <v>0.37967499999999998</v>
      </c>
      <c r="F403">
        <v>17.521999999999991</v>
      </c>
      <c r="G403">
        <f>Tableau2[[#This Row],[Cost (€/GJ)]]/1000*3600</f>
        <v>63.079199999999972</v>
      </c>
      <c r="H403">
        <v>22.1</v>
      </c>
      <c r="I403">
        <f>Tableau2[[#This Row],[GHG (kgCO2eq/GJ)]]*3.6</f>
        <v>79.56</v>
      </c>
      <c r="J403" t="s">
        <v>106</v>
      </c>
      <c r="K403" t="s">
        <v>109</v>
      </c>
    </row>
    <row r="404" spans="1:11" hidden="1" x14ac:dyDescent="0.3">
      <c r="A404" t="s">
        <v>23</v>
      </c>
      <c r="B404" t="s">
        <v>56</v>
      </c>
      <c r="C404" t="s">
        <v>93</v>
      </c>
      <c r="D404">
        <v>16.997599999999998</v>
      </c>
      <c r="E404">
        <f>Tableau2[[#This Row],[Potential (PJ)]]/3.6</f>
        <v>4.7215555555555548</v>
      </c>
      <c r="F404">
        <v>2.9493975903614462</v>
      </c>
      <c r="G404">
        <f>Tableau2[[#This Row],[Cost (€/GJ)]]/1000*3600</f>
        <v>10.617831325301207</v>
      </c>
      <c r="H404">
        <v>26.1</v>
      </c>
      <c r="I404">
        <f>Tableau2[[#This Row],[GHG (kgCO2eq/GJ)]]*3.6</f>
        <v>93.960000000000008</v>
      </c>
      <c r="J404" t="s">
        <v>106</v>
      </c>
      <c r="K404" t="s">
        <v>109</v>
      </c>
    </row>
    <row r="405" spans="1:11" hidden="1" x14ac:dyDescent="0.3">
      <c r="A405" t="s">
        <v>23</v>
      </c>
      <c r="B405" t="s">
        <v>47</v>
      </c>
      <c r="C405" t="s">
        <v>68</v>
      </c>
      <c r="D405">
        <v>51</v>
      </c>
      <c r="E405">
        <f>Tableau2[[#This Row],[Potential (PJ)]]/3.6</f>
        <v>14.166666666666666</v>
      </c>
      <c r="F405">
        <v>2.8343450980392162</v>
      </c>
      <c r="G405">
        <f>Tableau2[[#This Row],[Cost (€/GJ)]]/1000*3600</f>
        <v>10.203642352941179</v>
      </c>
      <c r="H405">
        <v>43</v>
      </c>
      <c r="I405">
        <f>Tableau2[[#This Row],[GHG (kgCO2eq/GJ)]]*3.6</f>
        <v>154.80000000000001</v>
      </c>
      <c r="J405" t="s">
        <v>104</v>
      </c>
      <c r="K405" t="s">
        <v>109</v>
      </c>
    </row>
    <row r="406" spans="1:11" hidden="1" x14ac:dyDescent="0.3">
      <c r="A406" t="s">
        <v>23</v>
      </c>
      <c r="B406" t="s">
        <v>47</v>
      </c>
      <c r="C406" t="s">
        <v>69</v>
      </c>
      <c r="D406">
        <v>45.5</v>
      </c>
      <c r="E406">
        <f>Tableau2[[#This Row],[Potential (PJ)]]/3.6</f>
        <v>12.638888888888889</v>
      </c>
      <c r="F406">
        <v>2.6731648351648349</v>
      </c>
      <c r="G406">
        <f>Tableau2[[#This Row],[Cost (€/GJ)]]/1000*3600</f>
        <v>9.6233934065934061</v>
      </c>
      <c r="H406">
        <v>43</v>
      </c>
      <c r="I406">
        <f>Tableau2[[#This Row],[GHG (kgCO2eq/GJ)]]*3.6</f>
        <v>154.80000000000001</v>
      </c>
      <c r="J406" t="s">
        <v>104</v>
      </c>
      <c r="K406" t="s">
        <v>109</v>
      </c>
    </row>
    <row r="407" spans="1:11" hidden="1" x14ac:dyDescent="0.3">
      <c r="A407" t="s">
        <v>23</v>
      </c>
      <c r="B407" t="s">
        <v>57</v>
      </c>
      <c r="C407" t="s">
        <v>94</v>
      </c>
      <c r="D407">
        <v>19.600000000000001</v>
      </c>
      <c r="E407">
        <f>Tableau2[[#This Row],[Potential (PJ)]]/3.6</f>
        <v>5.4444444444444446</v>
      </c>
      <c r="F407">
        <v>6.9556071428571427</v>
      </c>
      <c r="G407">
        <f>Tableau2[[#This Row],[Cost (€/GJ)]]/1000*3600</f>
        <v>25.040185714285712</v>
      </c>
      <c r="H407">
        <v>52.3</v>
      </c>
      <c r="I407">
        <f>Tableau2[[#This Row],[GHG (kgCO2eq/GJ)]]*3.6</f>
        <v>188.28</v>
      </c>
      <c r="J407" t="s">
        <v>104</v>
      </c>
      <c r="K407" t="s">
        <v>109</v>
      </c>
    </row>
    <row r="408" spans="1:11" x14ac:dyDescent="0.3">
      <c r="A408" t="s">
        <v>23</v>
      </c>
      <c r="B408" t="s">
        <v>49</v>
      </c>
      <c r="C408" t="s">
        <v>71</v>
      </c>
      <c r="D408">
        <v>41.469819999999999</v>
      </c>
      <c r="E408">
        <f>Tableau2[[#This Row],[Potential (PJ)]]/3.6</f>
        <v>11.519394444444444</v>
      </c>
      <c r="F408">
        <v>1.896330696636735</v>
      </c>
      <c r="G408">
        <f>Tableau2[[#This Row],[Cost (€/GJ)]]/1000*3600</f>
        <v>6.8267905078922455</v>
      </c>
      <c r="H408">
        <v>3.86607608129234</v>
      </c>
      <c r="I408">
        <f>Tableau2[[#This Row],[GHG (kgCO2eq/GJ)]]*3.6</f>
        <v>13.917873892652425</v>
      </c>
      <c r="J408" t="s">
        <v>104</v>
      </c>
      <c r="K408" t="s">
        <v>108</v>
      </c>
    </row>
    <row r="409" spans="1:11" x14ac:dyDescent="0.3">
      <c r="A409" t="s">
        <v>23</v>
      </c>
      <c r="B409" t="s">
        <v>49</v>
      </c>
      <c r="C409" t="s">
        <v>72</v>
      </c>
      <c r="D409">
        <v>9.8000000000000007</v>
      </c>
      <c r="E409">
        <f>Tableau2[[#This Row],[Potential (PJ)]]/3.6</f>
        <v>2.7222222222222223</v>
      </c>
      <c r="F409">
        <v>2.5126122448979591</v>
      </c>
      <c r="G409">
        <f>Tableau2[[#This Row],[Cost (€/GJ)]]/1000*3600</f>
        <v>9.0454040816326522</v>
      </c>
      <c r="H409">
        <v>3.86607608129234</v>
      </c>
      <c r="I409">
        <f>Tableau2[[#This Row],[GHG (kgCO2eq/GJ)]]*3.6</f>
        <v>13.917873892652425</v>
      </c>
      <c r="J409" t="s">
        <v>104</v>
      </c>
      <c r="K409" t="s">
        <v>108</v>
      </c>
    </row>
    <row r="410" spans="1:11" x14ac:dyDescent="0.3">
      <c r="A410" t="s">
        <v>23</v>
      </c>
      <c r="B410" t="s">
        <v>58</v>
      </c>
      <c r="C410" t="s">
        <v>95</v>
      </c>
      <c r="D410">
        <v>5.7558699999999998</v>
      </c>
      <c r="E410">
        <f>Tableau2[[#This Row],[Potential (PJ)]]/3.6</f>
        <v>1.5988527777777777</v>
      </c>
      <c r="F410">
        <v>2.5384091232081341</v>
      </c>
      <c r="G410">
        <f>Tableau2[[#This Row],[Cost (€/GJ)]]/1000*3600</f>
        <v>9.1382728435492826</v>
      </c>
      <c r="H410">
        <v>2.9521711768407801</v>
      </c>
      <c r="I410">
        <f>Tableau2[[#This Row],[GHG (kgCO2eq/GJ)]]*3.6</f>
        <v>10.627816236626808</v>
      </c>
      <c r="J410" t="s">
        <v>104</v>
      </c>
      <c r="K410" t="s">
        <v>108</v>
      </c>
    </row>
    <row r="411" spans="1:11" hidden="1" x14ac:dyDescent="0.3">
      <c r="A411" t="s">
        <v>23</v>
      </c>
      <c r="B411" t="s">
        <v>50</v>
      </c>
      <c r="C411" t="s">
        <v>73</v>
      </c>
      <c r="D411">
        <v>1.9</v>
      </c>
      <c r="E411">
        <f>Tableau2[[#This Row],[Potential (PJ)]]/3.6</f>
        <v>0.52777777777777779</v>
      </c>
      <c r="F411">
        <v>5.1365263157894736</v>
      </c>
      <c r="G411">
        <f>Tableau2[[#This Row],[Cost (€/GJ)]]/1000*3600</f>
        <v>18.491494736842103</v>
      </c>
      <c r="H411">
        <v>20.723404255319149</v>
      </c>
      <c r="I411">
        <f>Tableau2[[#This Row],[GHG (kgCO2eq/GJ)]]*3.6</f>
        <v>74.604255319148933</v>
      </c>
      <c r="J411" t="s">
        <v>105</v>
      </c>
      <c r="K411" t="s">
        <v>108</v>
      </c>
    </row>
    <row r="412" spans="1:11" hidden="1" x14ac:dyDescent="0.3">
      <c r="A412" t="s">
        <v>23</v>
      </c>
      <c r="B412" t="s">
        <v>50</v>
      </c>
      <c r="C412" t="s">
        <v>74</v>
      </c>
      <c r="D412">
        <v>61.7</v>
      </c>
      <c r="E412">
        <f>Tableau2[[#This Row],[Potential (PJ)]]/3.6</f>
        <v>17.138888888888889</v>
      </c>
      <c r="F412">
        <v>3.5499837925445701</v>
      </c>
      <c r="G412">
        <f>Tableau2[[#This Row],[Cost (€/GJ)]]/1000*3600</f>
        <v>12.779941653160451</v>
      </c>
      <c r="H412">
        <v>2.0635593220338988</v>
      </c>
      <c r="I412">
        <f>Tableau2[[#This Row],[GHG (kgCO2eq/GJ)]]*3.6</f>
        <v>7.4288135593220357</v>
      </c>
      <c r="J412" t="s">
        <v>105</v>
      </c>
      <c r="K412" t="s">
        <v>108</v>
      </c>
    </row>
    <row r="413" spans="1:11" hidden="1" x14ac:dyDescent="0.3">
      <c r="A413" t="s">
        <v>23</v>
      </c>
      <c r="B413" t="s">
        <v>59</v>
      </c>
      <c r="C413" t="s">
        <v>96</v>
      </c>
      <c r="D413">
        <v>1.609</v>
      </c>
      <c r="E413">
        <f>Tableau2[[#This Row],[Potential (PJ)]]/3.6</f>
        <v>0.44694444444444442</v>
      </c>
      <c r="F413">
        <v>29.956</v>
      </c>
      <c r="G413">
        <f>Tableau2[[#This Row],[Cost (€/GJ)]]/1000*3600</f>
        <v>107.8416</v>
      </c>
      <c r="H413">
        <v>29.4</v>
      </c>
      <c r="I413">
        <f>Tableau2[[#This Row],[GHG (kgCO2eq/GJ)]]*3.6</f>
        <v>105.84</v>
      </c>
      <c r="J413" t="s">
        <v>107</v>
      </c>
      <c r="K413" t="s">
        <v>109</v>
      </c>
    </row>
    <row r="414" spans="1:11" hidden="1" x14ac:dyDescent="0.3">
      <c r="A414" t="s">
        <v>23</v>
      </c>
      <c r="B414" t="s">
        <v>59</v>
      </c>
      <c r="C414" t="s">
        <v>97</v>
      </c>
      <c r="D414">
        <v>5.5587</v>
      </c>
      <c r="E414">
        <f>Tableau2[[#This Row],[Potential (PJ)]]/3.6</f>
        <v>1.5440833333333333</v>
      </c>
      <c r="F414">
        <v>18.55670103092784</v>
      </c>
      <c r="G414">
        <f>Tableau2[[#This Row],[Cost (€/GJ)]]/1000*3600</f>
        <v>66.804123711340225</v>
      </c>
      <c r="H414">
        <v>29.4</v>
      </c>
      <c r="I414">
        <f>Tableau2[[#This Row],[GHG (kgCO2eq/GJ)]]*3.6</f>
        <v>105.84</v>
      </c>
      <c r="J414" t="s">
        <v>107</v>
      </c>
      <c r="K414" t="s">
        <v>109</v>
      </c>
    </row>
    <row r="415" spans="1:11" x14ac:dyDescent="0.3">
      <c r="A415" t="s">
        <v>23</v>
      </c>
      <c r="B415" t="s">
        <v>51</v>
      </c>
      <c r="C415" t="s">
        <v>75</v>
      </c>
      <c r="D415">
        <v>12.121130000000001</v>
      </c>
      <c r="E415">
        <f>Tableau2[[#This Row],[Potential (PJ)]]/3.6</f>
        <v>3.3669805555555556</v>
      </c>
      <c r="F415">
        <v>2.9665819599817402E-3</v>
      </c>
      <c r="G415">
        <f>Tableau2[[#This Row],[Cost (€/GJ)]]/1000*3600</f>
        <v>1.0679695055934264E-2</v>
      </c>
      <c r="H415">
        <v>11.74</v>
      </c>
      <c r="I415">
        <f>Tableau2[[#This Row],[GHG (kgCO2eq/GJ)]]*3.6</f>
        <v>42.264000000000003</v>
      </c>
      <c r="J415" t="s">
        <v>104</v>
      </c>
      <c r="K415" t="s">
        <v>108</v>
      </c>
    </row>
    <row r="416" spans="1:11" hidden="1" x14ac:dyDescent="0.3">
      <c r="A416" t="s">
        <v>23</v>
      </c>
      <c r="B416" t="s">
        <v>60</v>
      </c>
      <c r="C416" t="s">
        <v>98</v>
      </c>
      <c r="D416">
        <v>2.8841700000000001</v>
      </c>
      <c r="E416">
        <f>Tableau2[[#This Row],[Potential (PJ)]]/3.6</f>
        <v>0.80115833333333331</v>
      </c>
      <c r="F416">
        <v>18.582169709989259</v>
      </c>
      <c r="G416">
        <f>Tableau2[[#This Row],[Cost (€/GJ)]]/1000*3600</f>
        <v>66.895810955961323</v>
      </c>
      <c r="H416">
        <v>47.4</v>
      </c>
      <c r="I416">
        <f>Tableau2[[#This Row],[GHG (kgCO2eq/GJ)]]*3.6</f>
        <v>170.64</v>
      </c>
      <c r="J416" t="s">
        <v>107</v>
      </c>
      <c r="K416" t="s">
        <v>109</v>
      </c>
    </row>
    <row r="417" spans="1:11" hidden="1" x14ac:dyDescent="0.3">
      <c r="A417" t="s">
        <v>23</v>
      </c>
      <c r="B417" t="s">
        <v>52</v>
      </c>
      <c r="C417" t="s">
        <v>76</v>
      </c>
      <c r="D417">
        <v>0.40899999999999997</v>
      </c>
      <c r="E417">
        <f>Tableau2[[#This Row],[Potential (PJ)]]/3.6</f>
        <v>0.11361111111111111</v>
      </c>
      <c r="F417">
        <v>5.4702337500000002</v>
      </c>
      <c r="G417">
        <f>Tableau2[[#This Row],[Cost (€/GJ)]]/1000*3600</f>
        <v>19.6928415</v>
      </c>
      <c r="H417">
        <v>12.68872359754714</v>
      </c>
      <c r="I417">
        <f>Tableau2[[#This Row],[GHG (kgCO2eq/GJ)]]*3.6</f>
        <v>45.679404951169708</v>
      </c>
      <c r="J417" t="s">
        <v>105</v>
      </c>
      <c r="K417" t="s">
        <v>108</v>
      </c>
    </row>
    <row r="418" spans="1:11" x14ac:dyDescent="0.3">
      <c r="A418" t="s">
        <v>23</v>
      </c>
      <c r="B418" t="s">
        <v>53</v>
      </c>
      <c r="C418" t="s">
        <v>77</v>
      </c>
      <c r="D418">
        <v>9.3000000000000007</v>
      </c>
      <c r="E418">
        <f>Tableau2[[#This Row],[Potential (PJ)]]/3.6</f>
        <v>2.5833333333333335</v>
      </c>
      <c r="F418">
        <v>2.512612903225806</v>
      </c>
      <c r="G418">
        <f>Tableau2[[#This Row],[Cost (€/GJ)]]/1000*3600</f>
        <v>9.0454064516129016</v>
      </c>
      <c r="H418">
        <v>3.86607608129234</v>
      </c>
      <c r="I418">
        <f>Tableau2[[#This Row],[GHG (kgCO2eq/GJ)]]*3.6</f>
        <v>13.917873892652425</v>
      </c>
      <c r="J418" t="s">
        <v>104</v>
      </c>
      <c r="K418" t="s">
        <v>108</v>
      </c>
    </row>
    <row r="419" spans="1:11" x14ac:dyDescent="0.3">
      <c r="A419" t="s">
        <v>23</v>
      </c>
      <c r="B419" t="s">
        <v>61</v>
      </c>
      <c r="C419" t="s">
        <v>99</v>
      </c>
      <c r="D419">
        <v>1.7</v>
      </c>
      <c r="E419">
        <f>Tableau2[[#This Row],[Potential (PJ)]]/3.6</f>
        <v>0.47222222222222221</v>
      </c>
      <c r="F419">
        <v>1.754294117647059</v>
      </c>
      <c r="G419">
        <f>Tableau2[[#This Row],[Cost (€/GJ)]]/1000*3600</f>
        <v>6.3154588235294122</v>
      </c>
      <c r="H419">
        <v>2.9245635910224439</v>
      </c>
      <c r="I419">
        <f>Tableau2[[#This Row],[GHG (kgCO2eq/GJ)]]*3.6</f>
        <v>10.528428927680798</v>
      </c>
      <c r="J419" t="s">
        <v>104</v>
      </c>
      <c r="K419" t="s">
        <v>108</v>
      </c>
    </row>
    <row r="420" spans="1:11" x14ac:dyDescent="0.3">
      <c r="A420" t="s">
        <v>23</v>
      </c>
      <c r="B420" t="s">
        <v>62</v>
      </c>
      <c r="C420" t="s">
        <v>100</v>
      </c>
      <c r="D420">
        <v>0.3</v>
      </c>
      <c r="E420">
        <f>Tableau2[[#This Row],[Potential (PJ)]]/3.6</f>
        <v>8.3333333333333329E-2</v>
      </c>
      <c r="F420">
        <v>0.33333333333333331</v>
      </c>
      <c r="G420">
        <f>Tableau2[[#This Row],[Cost (€/GJ)]]/1000*3600</f>
        <v>1.2</v>
      </c>
      <c r="H420">
        <v>2.6764106050305911</v>
      </c>
      <c r="I420">
        <f>Tableau2[[#This Row],[GHG (kgCO2eq/GJ)]]*3.6</f>
        <v>9.6350781781101276</v>
      </c>
      <c r="J420" t="s">
        <v>104</v>
      </c>
      <c r="K420" t="s">
        <v>108</v>
      </c>
    </row>
    <row r="421" spans="1:11" x14ac:dyDescent="0.3">
      <c r="A421" t="s">
        <v>23</v>
      </c>
      <c r="B421" t="s">
        <v>54</v>
      </c>
      <c r="C421" t="s">
        <v>78</v>
      </c>
      <c r="D421">
        <v>39</v>
      </c>
      <c r="E421">
        <f>Tableau2[[#This Row],[Potential (PJ)]]/3.6</f>
        <v>10.833333333333334</v>
      </c>
      <c r="F421">
        <v>2.496610256410257</v>
      </c>
      <c r="G421">
        <f>Tableau2[[#This Row],[Cost (€/GJ)]]/1000*3600</f>
        <v>8.9877969230769246</v>
      </c>
      <c r="H421">
        <v>3.86607608129234</v>
      </c>
      <c r="I421">
        <f>Tableau2[[#This Row],[GHG (kgCO2eq/GJ)]]*3.6</f>
        <v>13.917873892652425</v>
      </c>
      <c r="J421" t="s">
        <v>104</v>
      </c>
      <c r="K421" t="s">
        <v>108</v>
      </c>
    </row>
    <row r="422" spans="1:11" hidden="1" x14ac:dyDescent="0.3">
      <c r="A422" t="s">
        <v>24</v>
      </c>
      <c r="B422" t="s">
        <v>46</v>
      </c>
      <c r="C422" t="s">
        <v>80</v>
      </c>
      <c r="D422">
        <v>7.0000000000000007E-2</v>
      </c>
      <c r="E422">
        <f>Tableau2[[#This Row],[Potential (PJ)]]/3.6</f>
        <v>1.9444444444444445E-2</v>
      </c>
      <c r="F422">
        <v>0.33378287255563049</v>
      </c>
      <c r="G422">
        <f>Tableau2[[#This Row],[Cost (€/GJ)]]/1000*3600</f>
        <v>1.2016183412002697</v>
      </c>
      <c r="H422">
        <v>28.139870918023309</v>
      </c>
      <c r="I422">
        <f>Tableau2[[#This Row],[GHG (kgCO2eq/GJ)]]*3.6</f>
        <v>101.30353530488391</v>
      </c>
      <c r="J422" t="s">
        <v>105</v>
      </c>
      <c r="K422" t="s">
        <v>108</v>
      </c>
    </row>
    <row r="423" spans="1:11" hidden="1" x14ac:dyDescent="0.3">
      <c r="A423" t="s">
        <v>24</v>
      </c>
      <c r="B423" t="s">
        <v>46</v>
      </c>
      <c r="C423" t="s">
        <v>81</v>
      </c>
      <c r="D423">
        <v>4.2599999999999999E-2</v>
      </c>
      <c r="E423">
        <f>Tableau2[[#This Row],[Potential (PJ)]]/3.6</f>
        <v>1.1833333333333333E-2</v>
      </c>
      <c r="F423">
        <v>2.6022326674500591</v>
      </c>
      <c r="G423">
        <f>Tableau2[[#This Row],[Cost (€/GJ)]]/1000*3600</f>
        <v>9.3680376028202126</v>
      </c>
      <c r="H423">
        <v>8.9647473560517046</v>
      </c>
      <c r="I423">
        <f>Tableau2[[#This Row],[GHG (kgCO2eq/GJ)]]*3.6</f>
        <v>32.273090481786134</v>
      </c>
      <c r="J423" t="s">
        <v>105</v>
      </c>
      <c r="K423" t="s">
        <v>108</v>
      </c>
    </row>
    <row r="424" spans="1:11" hidden="1" x14ac:dyDescent="0.3">
      <c r="A424" t="s">
        <v>24</v>
      </c>
      <c r="B424" t="s">
        <v>55</v>
      </c>
      <c r="C424" t="s">
        <v>86</v>
      </c>
      <c r="D424">
        <v>6.5600000000000006E-2</v>
      </c>
      <c r="E424">
        <f>Tableau2[[#This Row],[Potential (PJ)]]/3.6</f>
        <v>1.8222222222222223E-2</v>
      </c>
      <c r="F424">
        <v>15.132999999999999</v>
      </c>
      <c r="G424">
        <f>Tableau2[[#This Row],[Cost (€/GJ)]]/1000*3600</f>
        <v>54.478799999999993</v>
      </c>
      <c r="H424">
        <v>9.8000000000000007</v>
      </c>
      <c r="I424">
        <f>Tableau2[[#This Row],[GHG (kgCO2eq/GJ)]]*3.6</f>
        <v>35.28</v>
      </c>
      <c r="J424" t="s">
        <v>106</v>
      </c>
      <c r="K424" t="s">
        <v>109</v>
      </c>
    </row>
    <row r="425" spans="1:11" hidden="1" x14ac:dyDescent="0.3">
      <c r="A425" t="s">
        <v>24</v>
      </c>
      <c r="B425" t="s">
        <v>55</v>
      </c>
      <c r="C425" t="s">
        <v>89</v>
      </c>
      <c r="D425">
        <v>7.4700000000000003E-2</v>
      </c>
      <c r="E425">
        <f>Tableau2[[#This Row],[Potential (PJ)]]/3.6</f>
        <v>2.0750000000000001E-2</v>
      </c>
      <c r="F425">
        <v>0</v>
      </c>
      <c r="G425">
        <f>Tableau2[[#This Row],[Cost (€/GJ)]]/1000*3600</f>
        <v>0</v>
      </c>
      <c r="H425">
        <v>9.8000000000000007</v>
      </c>
      <c r="I425">
        <f>Tableau2[[#This Row],[GHG (kgCO2eq/GJ)]]*3.6</f>
        <v>35.28</v>
      </c>
      <c r="J425" t="s">
        <v>106</v>
      </c>
      <c r="K425" t="s">
        <v>109</v>
      </c>
    </row>
    <row r="426" spans="1:11" hidden="1" x14ac:dyDescent="0.3">
      <c r="A426" t="s">
        <v>24</v>
      </c>
      <c r="B426" t="s">
        <v>55</v>
      </c>
      <c r="C426" t="s">
        <v>92</v>
      </c>
      <c r="D426">
        <v>7.6840000000000006E-2</v>
      </c>
      <c r="E426">
        <f>Tableau2[[#This Row],[Potential (PJ)]]/3.6</f>
        <v>2.1344444444444447E-2</v>
      </c>
      <c r="F426">
        <v>13.994</v>
      </c>
      <c r="G426">
        <f>Tableau2[[#This Row],[Cost (€/GJ)]]/1000*3600</f>
        <v>50.378399999999999</v>
      </c>
      <c r="H426">
        <v>9.8000000000000007</v>
      </c>
      <c r="I426">
        <f>Tableau2[[#This Row],[GHG (kgCO2eq/GJ)]]*3.6</f>
        <v>35.28</v>
      </c>
      <c r="J426" t="s">
        <v>106</v>
      </c>
      <c r="K426" t="s">
        <v>109</v>
      </c>
    </row>
    <row r="427" spans="1:11" hidden="1" x14ac:dyDescent="0.3">
      <c r="A427" t="s">
        <v>24</v>
      </c>
      <c r="B427" t="s">
        <v>47</v>
      </c>
      <c r="C427" t="s">
        <v>101</v>
      </c>
      <c r="D427">
        <v>4.8</v>
      </c>
      <c r="E427">
        <f>Tableau2[[#This Row],[Potential (PJ)]]/3.6</f>
        <v>1.3333333333333333</v>
      </c>
      <c r="F427">
        <v>5.0772499999999994</v>
      </c>
      <c r="G427">
        <f>Tableau2[[#This Row],[Cost (€/GJ)]]/1000*3600</f>
        <v>18.278099999999998</v>
      </c>
      <c r="H427">
        <v>61.2</v>
      </c>
      <c r="I427">
        <f>Tableau2[[#This Row],[GHG (kgCO2eq/GJ)]]*3.6</f>
        <v>220.32000000000002</v>
      </c>
      <c r="J427" t="s">
        <v>104</v>
      </c>
      <c r="K427" t="s">
        <v>109</v>
      </c>
    </row>
    <row r="428" spans="1:11" hidden="1" x14ac:dyDescent="0.3">
      <c r="A428" t="s">
        <v>24</v>
      </c>
      <c r="B428" t="s">
        <v>57</v>
      </c>
      <c r="C428" t="s">
        <v>94</v>
      </c>
      <c r="D428">
        <v>2.5</v>
      </c>
      <c r="E428">
        <f>Tableau2[[#This Row],[Potential (PJ)]]/3.6</f>
        <v>0.69444444444444442</v>
      </c>
      <c r="F428">
        <v>10.788</v>
      </c>
      <c r="G428">
        <f>Tableau2[[#This Row],[Cost (€/GJ)]]/1000*3600</f>
        <v>38.836800000000004</v>
      </c>
      <c r="H428">
        <v>24.4</v>
      </c>
      <c r="I428">
        <f>Tableau2[[#This Row],[GHG (kgCO2eq/GJ)]]*3.6</f>
        <v>87.84</v>
      </c>
      <c r="J428" t="s">
        <v>104</v>
      </c>
      <c r="K428" t="s">
        <v>109</v>
      </c>
    </row>
    <row r="429" spans="1:11" x14ac:dyDescent="0.3">
      <c r="A429" t="s">
        <v>24</v>
      </c>
      <c r="B429" t="s">
        <v>49</v>
      </c>
      <c r="C429" t="s">
        <v>71</v>
      </c>
      <c r="D429">
        <v>14.04454</v>
      </c>
      <c r="E429">
        <f>Tableau2[[#This Row],[Potential (PJ)]]/3.6</f>
        <v>3.9012611111111108</v>
      </c>
      <c r="F429">
        <v>4.0090000000000003</v>
      </c>
      <c r="G429">
        <f>Tableau2[[#This Row],[Cost (€/GJ)]]/1000*3600</f>
        <v>14.432400000000001</v>
      </c>
      <c r="H429">
        <v>3.86607608129234</v>
      </c>
      <c r="I429">
        <f>Tableau2[[#This Row],[GHG (kgCO2eq/GJ)]]*3.6</f>
        <v>13.917873892652425</v>
      </c>
      <c r="J429" t="s">
        <v>104</v>
      </c>
      <c r="K429" t="s">
        <v>108</v>
      </c>
    </row>
    <row r="430" spans="1:11" x14ac:dyDescent="0.3">
      <c r="A430" t="s">
        <v>24</v>
      </c>
      <c r="B430" t="s">
        <v>49</v>
      </c>
      <c r="C430" t="s">
        <v>72</v>
      </c>
      <c r="D430">
        <v>0.5</v>
      </c>
      <c r="E430">
        <f>Tableau2[[#This Row],[Potential (PJ)]]/3.6</f>
        <v>0.1388888888888889</v>
      </c>
      <c r="F430">
        <v>3.2109999999999999</v>
      </c>
      <c r="G430">
        <f>Tableau2[[#This Row],[Cost (€/GJ)]]/1000*3600</f>
        <v>11.5596</v>
      </c>
      <c r="H430">
        <v>3.86607608129234</v>
      </c>
      <c r="I430">
        <f>Tableau2[[#This Row],[GHG (kgCO2eq/GJ)]]*3.6</f>
        <v>13.917873892652425</v>
      </c>
      <c r="J430" t="s">
        <v>104</v>
      </c>
      <c r="K430" t="s">
        <v>108</v>
      </c>
    </row>
    <row r="431" spans="1:11" x14ac:dyDescent="0.3">
      <c r="A431" t="s">
        <v>24</v>
      </c>
      <c r="B431" t="s">
        <v>58</v>
      </c>
      <c r="C431" t="s">
        <v>95</v>
      </c>
      <c r="D431">
        <v>4.3838600000000003</v>
      </c>
      <c r="E431">
        <f>Tableau2[[#This Row],[Potential (PJ)]]/3.6</f>
        <v>1.2177388888888889</v>
      </c>
      <c r="F431">
        <v>2.181</v>
      </c>
      <c r="G431">
        <f>Tableau2[[#This Row],[Cost (€/GJ)]]/1000*3600</f>
        <v>7.8516000000000004</v>
      </c>
      <c r="H431">
        <v>2.9521711768407801</v>
      </c>
      <c r="I431">
        <f>Tableau2[[#This Row],[GHG (kgCO2eq/GJ)]]*3.6</f>
        <v>10.627816236626808</v>
      </c>
      <c r="J431" t="s">
        <v>104</v>
      </c>
      <c r="K431" t="s">
        <v>108</v>
      </c>
    </row>
    <row r="432" spans="1:11" hidden="1" x14ac:dyDescent="0.3">
      <c r="A432" t="s">
        <v>24</v>
      </c>
      <c r="B432" t="s">
        <v>50</v>
      </c>
      <c r="C432" t="s">
        <v>73</v>
      </c>
      <c r="D432">
        <v>6.8000000000000007</v>
      </c>
      <c r="E432">
        <f>Tableau2[[#This Row],[Potential (PJ)]]/3.6</f>
        <v>1.8888888888888891</v>
      </c>
      <c r="F432">
        <v>5.6319999999999988</v>
      </c>
      <c r="G432">
        <f>Tableau2[[#This Row],[Cost (€/GJ)]]/1000*3600</f>
        <v>20.275199999999998</v>
      </c>
      <c r="H432">
        <v>20.723404255319149</v>
      </c>
      <c r="I432">
        <f>Tableau2[[#This Row],[GHG (kgCO2eq/GJ)]]*3.6</f>
        <v>74.604255319148933</v>
      </c>
      <c r="J432" t="s">
        <v>105</v>
      </c>
      <c r="K432" t="s">
        <v>108</v>
      </c>
    </row>
    <row r="433" spans="1:11" hidden="1" x14ac:dyDescent="0.3">
      <c r="A433" t="s">
        <v>24</v>
      </c>
      <c r="B433" t="s">
        <v>50</v>
      </c>
      <c r="C433" t="s">
        <v>74</v>
      </c>
      <c r="D433">
        <v>11.7</v>
      </c>
      <c r="E433">
        <f>Tableau2[[#This Row],[Potential (PJ)]]/3.6</f>
        <v>3.2499999999999996</v>
      </c>
      <c r="F433">
        <v>6.2313504273504279</v>
      </c>
      <c r="G433">
        <f>Tableau2[[#This Row],[Cost (€/GJ)]]/1000*3600</f>
        <v>22.432861538461541</v>
      </c>
      <c r="H433">
        <v>2.0635593220338988</v>
      </c>
      <c r="I433">
        <f>Tableau2[[#This Row],[GHG (kgCO2eq/GJ)]]*3.6</f>
        <v>7.4288135593220357</v>
      </c>
      <c r="J433" t="s">
        <v>105</v>
      </c>
      <c r="K433" t="s">
        <v>108</v>
      </c>
    </row>
    <row r="434" spans="1:11" x14ac:dyDescent="0.3">
      <c r="A434" t="s">
        <v>24</v>
      </c>
      <c r="B434" t="s">
        <v>51</v>
      </c>
      <c r="C434" t="s">
        <v>75</v>
      </c>
      <c r="D434">
        <v>2.6413920000000002</v>
      </c>
      <c r="E434">
        <f>Tableau2[[#This Row],[Potential (PJ)]]/3.6</f>
        <v>0.73372000000000004</v>
      </c>
      <c r="F434">
        <v>2.6801967037624299E-2</v>
      </c>
      <c r="G434">
        <f>Tableau2[[#This Row],[Cost (€/GJ)]]/1000*3600</f>
        <v>9.6487081335447478E-2</v>
      </c>
      <c r="H434">
        <v>11.74</v>
      </c>
      <c r="I434">
        <f>Tableau2[[#This Row],[GHG (kgCO2eq/GJ)]]*3.6</f>
        <v>42.264000000000003</v>
      </c>
      <c r="J434" t="s">
        <v>104</v>
      </c>
      <c r="K434" t="s">
        <v>108</v>
      </c>
    </row>
    <row r="435" spans="1:11" hidden="1" x14ac:dyDescent="0.3">
      <c r="A435" t="s">
        <v>24</v>
      </c>
      <c r="B435" t="s">
        <v>60</v>
      </c>
      <c r="C435" t="s">
        <v>98</v>
      </c>
      <c r="D435">
        <v>0.46355000000000002</v>
      </c>
      <c r="E435">
        <f>Tableau2[[#This Row],[Potential (PJ)]]/3.6</f>
        <v>0.1287638888888889</v>
      </c>
      <c r="F435">
        <v>26.262083780880769</v>
      </c>
      <c r="G435">
        <f>Tableau2[[#This Row],[Cost (€/GJ)]]/1000*3600</f>
        <v>94.543501611170768</v>
      </c>
      <c r="H435">
        <v>33.200000000000003</v>
      </c>
      <c r="I435">
        <f>Tableau2[[#This Row],[GHG (kgCO2eq/GJ)]]*3.6</f>
        <v>119.52000000000001</v>
      </c>
      <c r="J435" t="s">
        <v>107</v>
      </c>
      <c r="K435" t="s">
        <v>109</v>
      </c>
    </row>
    <row r="436" spans="1:11" hidden="1" x14ac:dyDescent="0.3">
      <c r="A436" t="s">
        <v>24</v>
      </c>
      <c r="B436" t="s">
        <v>52</v>
      </c>
      <c r="C436" t="s">
        <v>76</v>
      </c>
      <c r="D436">
        <v>3.0000000000000001E-3</v>
      </c>
      <c r="E436">
        <f>Tableau2[[#This Row],[Potential (PJ)]]/3.6</f>
        <v>8.3333333333333328E-4</v>
      </c>
      <c r="F436">
        <v>5.4702337500000002</v>
      </c>
      <c r="G436">
        <f>Tableau2[[#This Row],[Cost (€/GJ)]]/1000*3600</f>
        <v>19.6928415</v>
      </c>
      <c r="H436">
        <v>12.68872359754714</v>
      </c>
      <c r="I436">
        <f>Tableau2[[#This Row],[GHG (kgCO2eq/GJ)]]*3.6</f>
        <v>45.679404951169708</v>
      </c>
      <c r="J436" t="s">
        <v>105</v>
      </c>
      <c r="K436" t="s">
        <v>108</v>
      </c>
    </row>
    <row r="437" spans="1:11" x14ac:dyDescent="0.3">
      <c r="A437" t="s">
        <v>24</v>
      </c>
      <c r="B437" t="s">
        <v>53</v>
      </c>
      <c r="C437" t="s">
        <v>77</v>
      </c>
      <c r="D437">
        <v>1</v>
      </c>
      <c r="E437">
        <f>Tableau2[[#This Row],[Potential (PJ)]]/3.6</f>
        <v>0.27777777777777779</v>
      </c>
      <c r="F437">
        <v>3.2109999999999999</v>
      </c>
      <c r="G437">
        <f>Tableau2[[#This Row],[Cost (€/GJ)]]/1000*3600</f>
        <v>11.5596</v>
      </c>
      <c r="H437">
        <v>3.86607608129234</v>
      </c>
      <c r="I437">
        <f>Tableau2[[#This Row],[GHG (kgCO2eq/GJ)]]*3.6</f>
        <v>13.917873892652425</v>
      </c>
      <c r="J437" t="s">
        <v>104</v>
      </c>
      <c r="K437" t="s">
        <v>108</v>
      </c>
    </row>
    <row r="438" spans="1:11" x14ac:dyDescent="0.3">
      <c r="A438" t="s">
        <v>24</v>
      </c>
      <c r="B438" t="s">
        <v>61</v>
      </c>
      <c r="C438" t="s">
        <v>99</v>
      </c>
      <c r="D438">
        <v>3.3</v>
      </c>
      <c r="E438">
        <f>Tableau2[[#This Row],[Potential (PJ)]]/3.6</f>
        <v>0.91666666666666663</v>
      </c>
      <c r="F438">
        <v>1.9390000000000001</v>
      </c>
      <c r="G438">
        <f>Tableau2[[#This Row],[Cost (€/GJ)]]/1000*3600</f>
        <v>6.9803999999999995</v>
      </c>
      <c r="H438">
        <v>2.9245635910224439</v>
      </c>
      <c r="I438">
        <f>Tableau2[[#This Row],[GHG (kgCO2eq/GJ)]]*3.6</f>
        <v>10.528428927680798</v>
      </c>
      <c r="J438" t="s">
        <v>104</v>
      </c>
      <c r="K438" t="s">
        <v>108</v>
      </c>
    </row>
    <row r="439" spans="1:11" x14ac:dyDescent="0.3">
      <c r="A439" t="s">
        <v>24</v>
      </c>
      <c r="B439" t="s">
        <v>62</v>
      </c>
      <c r="C439" t="s">
        <v>100</v>
      </c>
      <c r="D439">
        <v>1.1000000000000001</v>
      </c>
      <c r="E439">
        <f>Tableau2[[#This Row],[Potential (PJ)]]/3.6</f>
        <v>0.30555555555555558</v>
      </c>
      <c r="F439">
        <v>1.0545454545454549</v>
      </c>
      <c r="G439">
        <f>Tableau2[[#This Row],[Cost (€/GJ)]]/1000*3600</f>
        <v>3.7963636363636377</v>
      </c>
      <c r="H439">
        <v>2.6764106050305911</v>
      </c>
      <c r="I439">
        <f>Tableau2[[#This Row],[GHG (kgCO2eq/GJ)]]*3.6</f>
        <v>9.6350781781101276</v>
      </c>
      <c r="J439" t="s">
        <v>104</v>
      </c>
      <c r="K439" t="s">
        <v>108</v>
      </c>
    </row>
    <row r="440" spans="1:11" x14ac:dyDescent="0.3">
      <c r="A440" t="s">
        <v>24</v>
      </c>
      <c r="B440" t="s">
        <v>54</v>
      </c>
      <c r="C440" t="s">
        <v>78</v>
      </c>
      <c r="D440">
        <v>23</v>
      </c>
      <c r="E440">
        <f>Tableau2[[#This Row],[Potential (PJ)]]/3.6</f>
        <v>6.3888888888888884</v>
      </c>
      <c r="F440">
        <v>6.7969999999999997</v>
      </c>
      <c r="G440">
        <f>Tableau2[[#This Row],[Cost (€/GJ)]]/1000*3600</f>
        <v>24.469200000000001</v>
      </c>
      <c r="H440">
        <v>3.86607608129234</v>
      </c>
      <c r="I440">
        <f>Tableau2[[#This Row],[GHG (kgCO2eq/GJ)]]*3.6</f>
        <v>13.917873892652425</v>
      </c>
      <c r="J440" t="s">
        <v>104</v>
      </c>
      <c r="K440" t="s">
        <v>108</v>
      </c>
    </row>
    <row r="441" spans="1:11" x14ac:dyDescent="0.3">
      <c r="A441" t="s">
        <v>25</v>
      </c>
      <c r="B441" t="s">
        <v>51</v>
      </c>
      <c r="C441" t="s">
        <v>75</v>
      </c>
      <c r="D441">
        <v>1.206183</v>
      </c>
      <c r="E441">
        <f>Tableau2[[#This Row],[Potential (PJ)]]/3.6</f>
        <v>0.33505083333333335</v>
      </c>
      <c r="F441">
        <v>3.4017708500826598E-3</v>
      </c>
      <c r="G441">
        <f>Tableau2[[#This Row],[Cost (€/GJ)]]/1000*3600</f>
        <v>1.2246375060297576E-2</v>
      </c>
      <c r="H441">
        <v>11.74</v>
      </c>
      <c r="I441">
        <f>Tableau2[[#This Row],[GHG (kgCO2eq/GJ)]]*3.6</f>
        <v>42.264000000000003</v>
      </c>
      <c r="J441" t="s">
        <v>104</v>
      </c>
      <c r="K441" t="s">
        <v>108</v>
      </c>
    </row>
    <row r="442" spans="1:11" hidden="1" x14ac:dyDescent="0.3">
      <c r="A442" t="s">
        <v>26</v>
      </c>
      <c r="B442" t="s">
        <v>46</v>
      </c>
      <c r="C442" t="s">
        <v>63</v>
      </c>
      <c r="D442">
        <v>3.4773999999999998</v>
      </c>
      <c r="E442">
        <f>Tableau2[[#This Row],[Potential (PJ)]]/3.6</f>
        <v>0.96594444444444438</v>
      </c>
      <c r="F442">
        <v>2.9286474973375931</v>
      </c>
      <c r="G442">
        <f>Tableau2[[#This Row],[Cost (€/GJ)]]/1000*3600</f>
        <v>10.543130990415335</v>
      </c>
      <c r="H442">
        <v>3.950479233226837</v>
      </c>
      <c r="I442">
        <f>Tableau2[[#This Row],[GHG (kgCO2eq/GJ)]]*3.6</f>
        <v>14.221725239616614</v>
      </c>
      <c r="J442" t="s">
        <v>104</v>
      </c>
      <c r="K442" t="s">
        <v>108</v>
      </c>
    </row>
    <row r="443" spans="1:11" hidden="1" x14ac:dyDescent="0.3">
      <c r="A443" t="s">
        <v>26</v>
      </c>
      <c r="B443" t="s">
        <v>46</v>
      </c>
      <c r="C443" t="s">
        <v>64</v>
      </c>
      <c r="D443">
        <v>0.43584000000000001</v>
      </c>
      <c r="E443">
        <f>Tableau2[[#This Row],[Potential (PJ)]]/3.6</f>
        <v>0.12106666666666667</v>
      </c>
      <c r="F443">
        <v>6.7022088151615256</v>
      </c>
      <c r="G443">
        <f>Tableau2[[#This Row],[Cost (€/GJ)]]/1000*3600</f>
        <v>24.12795173458149</v>
      </c>
      <c r="H443">
        <v>2.9521711768407801</v>
      </c>
      <c r="I443">
        <f>Tableau2[[#This Row],[GHG (kgCO2eq/GJ)]]*3.6</f>
        <v>10.627816236626808</v>
      </c>
      <c r="J443" t="s">
        <v>104</v>
      </c>
      <c r="K443" t="s">
        <v>108</v>
      </c>
    </row>
    <row r="444" spans="1:11" hidden="1" x14ac:dyDescent="0.3">
      <c r="A444" t="s">
        <v>26</v>
      </c>
      <c r="B444" t="s">
        <v>46</v>
      </c>
      <c r="C444" t="s">
        <v>79</v>
      </c>
      <c r="D444">
        <v>16.5</v>
      </c>
      <c r="E444">
        <f>Tableau2[[#This Row],[Potential (PJ)]]/3.6</f>
        <v>4.583333333333333</v>
      </c>
      <c r="F444">
        <v>2.4402363636363642</v>
      </c>
      <c r="G444">
        <f>Tableau2[[#This Row],[Cost (€/GJ)]]/1000*3600</f>
        <v>8.7848509090909115</v>
      </c>
      <c r="H444">
        <v>6.8428961748633883</v>
      </c>
      <c r="I444">
        <f>Tableau2[[#This Row],[GHG (kgCO2eq/GJ)]]*3.6</f>
        <v>24.634426229508197</v>
      </c>
      <c r="J444" t="s">
        <v>104</v>
      </c>
      <c r="K444" t="s">
        <v>108</v>
      </c>
    </row>
    <row r="445" spans="1:11" hidden="1" x14ac:dyDescent="0.3">
      <c r="A445" t="s">
        <v>26</v>
      </c>
      <c r="B445" t="s">
        <v>46</v>
      </c>
      <c r="C445" t="s">
        <v>65</v>
      </c>
      <c r="D445">
        <v>1.4</v>
      </c>
      <c r="E445">
        <f>Tableau2[[#This Row],[Potential (PJ)]]/3.6</f>
        <v>0.38888888888888884</v>
      </c>
      <c r="F445">
        <v>5.6235714285714282</v>
      </c>
      <c r="G445">
        <f>Tableau2[[#This Row],[Cost (€/GJ)]]/1000*3600</f>
        <v>20.244857142857143</v>
      </c>
      <c r="H445">
        <v>2.9521711768407801</v>
      </c>
      <c r="I445">
        <f>Tableau2[[#This Row],[GHG (kgCO2eq/GJ)]]*3.6</f>
        <v>10.627816236626808</v>
      </c>
      <c r="J445" t="s">
        <v>104</v>
      </c>
      <c r="K445" t="s">
        <v>108</v>
      </c>
    </row>
    <row r="446" spans="1:11" hidden="1" x14ac:dyDescent="0.3">
      <c r="A446" t="s">
        <v>26</v>
      </c>
      <c r="B446" t="s">
        <v>46</v>
      </c>
      <c r="C446" t="s">
        <v>102</v>
      </c>
      <c r="D446">
        <v>1.4</v>
      </c>
      <c r="E446">
        <f>Tableau2[[#This Row],[Potential (PJ)]]/3.6</f>
        <v>0.38888888888888884</v>
      </c>
      <c r="F446">
        <v>4.7616428571428573</v>
      </c>
      <c r="G446">
        <f>Tableau2[[#This Row],[Cost (€/GJ)]]/1000*3600</f>
        <v>17.141914285714286</v>
      </c>
      <c r="H446">
        <v>2.9521711768407801</v>
      </c>
      <c r="I446">
        <f>Tableau2[[#This Row],[GHG (kgCO2eq/GJ)]]*3.6</f>
        <v>10.627816236626808</v>
      </c>
      <c r="J446" t="s">
        <v>104</v>
      </c>
      <c r="K446" t="s">
        <v>108</v>
      </c>
    </row>
    <row r="447" spans="1:11" hidden="1" x14ac:dyDescent="0.3">
      <c r="A447" t="s">
        <v>26</v>
      </c>
      <c r="B447" t="s">
        <v>46</v>
      </c>
      <c r="C447" t="s">
        <v>80</v>
      </c>
      <c r="D447">
        <v>4.4893999999999998</v>
      </c>
      <c r="E447">
        <f>Tableau2[[#This Row],[Potential (PJ)]]/3.6</f>
        <v>1.2470555555555556</v>
      </c>
      <c r="F447">
        <v>0.7329737019554956</v>
      </c>
      <c r="G447">
        <f>Tableau2[[#This Row],[Cost (€/GJ)]]/1000*3600</f>
        <v>2.6387053270397844</v>
      </c>
      <c r="H447">
        <v>28.139870918023309</v>
      </c>
      <c r="I447">
        <f>Tableau2[[#This Row],[GHG (kgCO2eq/GJ)]]*3.6</f>
        <v>101.30353530488391</v>
      </c>
      <c r="J447" t="s">
        <v>105</v>
      </c>
      <c r="K447" t="s">
        <v>108</v>
      </c>
    </row>
    <row r="448" spans="1:11" hidden="1" x14ac:dyDescent="0.3">
      <c r="A448" t="s">
        <v>26</v>
      </c>
      <c r="B448" t="s">
        <v>46</v>
      </c>
      <c r="C448" t="s">
        <v>81</v>
      </c>
      <c r="D448">
        <v>0.99570000000000003</v>
      </c>
      <c r="E448">
        <f>Tableau2[[#This Row],[Potential (PJ)]]/3.6</f>
        <v>0.27658333333333335</v>
      </c>
      <c r="F448">
        <v>1.2708578143360749</v>
      </c>
      <c r="G448">
        <f>Tableau2[[#This Row],[Cost (€/GJ)]]/1000*3600</f>
        <v>4.5750881316098697</v>
      </c>
      <c r="H448">
        <v>8.9647473560517046</v>
      </c>
      <c r="I448">
        <f>Tableau2[[#This Row],[GHG (kgCO2eq/GJ)]]*3.6</f>
        <v>32.273090481786134</v>
      </c>
      <c r="J448" t="s">
        <v>105</v>
      </c>
      <c r="K448" t="s">
        <v>108</v>
      </c>
    </row>
    <row r="449" spans="1:11" hidden="1" x14ac:dyDescent="0.3">
      <c r="A449" t="s">
        <v>26</v>
      </c>
      <c r="B449" t="s">
        <v>46</v>
      </c>
      <c r="C449" t="s">
        <v>66</v>
      </c>
      <c r="D449">
        <v>14.5</v>
      </c>
      <c r="E449">
        <f>Tableau2[[#This Row],[Potential (PJ)]]/3.6</f>
        <v>4.0277777777777777</v>
      </c>
      <c r="F449">
        <v>2.5007379310344828</v>
      </c>
      <c r="G449">
        <f>Tableau2[[#This Row],[Cost (€/GJ)]]/1000*3600</f>
        <v>9.0026565517241384</v>
      </c>
      <c r="H449">
        <v>6.8428961748633883</v>
      </c>
      <c r="I449">
        <f>Tableau2[[#This Row],[GHG (kgCO2eq/GJ)]]*3.6</f>
        <v>24.634426229508197</v>
      </c>
      <c r="J449" t="s">
        <v>104</v>
      </c>
      <c r="K449" t="s">
        <v>108</v>
      </c>
    </row>
    <row r="450" spans="1:11" hidden="1" x14ac:dyDescent="0.3">
      <c r="A450" t="s">
        <v>26</v>
      </c>
      <c r="B450" t="s">
        <v>46</v>
      </c>
      <c r="C450" t="s">
        <v>67</v>
      </c>
      <c r="D450">
        <v>7.4</v>
      </c>
      <c r="E450">
        <f>Tableau2[[#This Row],[Potential (PJ)]]/3.6</f>
        <v>2.0555555555555558</v>
      </c>
      <c r="F450">
        <v>8.0770540540540541</v>
      </c>
      <c r="G450">
        <f>Tableau2[[#This Row],[Cost (€/GJ)]]/1000*3600</f>
        <v>29.077394594594598</v>
      </c>
      <c r="H450">
        <v>2.9521711768407801</v>
      </c>
      <c r="I450">
        <f>Tableau2[[#This Row],[GHG (kgCO2eq/GJ)]]*3.6</f>
        <v>10.627816236626808</v>
      </c>
      <c r="J450" t="s">
        <v>104</v>
      </c>
      <c r="K450" t="s">
        <v>108</v>
      </c>
    </row>
    <row r="451" spans="1:11" hidden="1" x14ac:dyDescent="0.3">
      <c r="A451" t="s">
        <v>26</v>
      </c>
      <c r="B451" t="s">
        <v>46</v>
      </c>
      <c r="C451" t="s">
        <v>82</v>
      </c>
      <c r="D451">
        <v>0.8</v>
      </c>
      <c r="E451">
        <f>Tableau2[[#This Row],[Potential (PJ)]]/3.6</f>
        <v>0.22222222222222224</v>
      </c>
      <c r="F451">
        <v>1.632125</v>
      </c>
      <c r="G451">
        <f>Tableau2[[#This Row],[Cost (€/GJ)]]/1000*3600</f>
        <v>5.8756500000000003</v>
      </c>
      <c r="H451">
        <v>6.8428961748633883</v>
      </c>
      <c r="I451">
        <f>Tableau2[[#This Row],[GHG (kgCO2eq/GJ)]]*3.6</f>
        <v>24.634426229508197</v>
      </c>
      <c r="J451" t="s">
        <v>104</v>
      </c>
      <c r="K451" t="s">
        <v>108</v>
      </c>
    </row>
    <row r="452" spans="1:11" hidden="1" x14ac:dyDescent="0.3">
      <c r="A452" t="s">
        <v>26</v>
      </c>
      <c r="B452" t="s">
        <v>46</v>
      </c>
      <c r="C452" t="s">
        <v>83</v>
      </c>
      <c r="D452">
        <v>3.6929500000000002</v>
      </c>
      <c r="E452">
        <f>Tableau2[[#This Row],[Potential (PJ)]]/3.6</f>
        <v>1.0258194444444444</v>
      </c>
      <c r="F452">
        <v>2.4080090090577988</v>
      </c>
      <c r="G452">
        <f>Tableau2[[#This Row],[Cost (€/GJ)]]/1000*3600</f>
        <v>8.6688324326080757</v>
      </c>
      <c r="H452">
        <v>6.8428961748633883</v>
      </c>
      <c r="I452">
        <f>Tableau2[[#This Row],[GHG (kgCO2eq/GJ)]]*3.6</f>
        <v>24.634426229508197</v>
      </c>
      <c r="J452" t="s">
        <v>104</v>
      </c>
      <c r="K452" t="s">
        <v>108</v>
      </c>
    </row>
    <row r="453" spans="1:11" hidden="1" x14ac:dyDescent="0.3">
      <c r="A453" t="s">
        <v>26</v>
      </c>
      <c r="B453" t="s">
        <v>46</v>
      </c>
      <c r="C453" t="s">
        <v>84</v>
      </c>
      <c r="D453">
        <v>1</v>
      </c>
      <c r="E453">
        <f>Tableau2[[#This Row],[Potential (PJ)]]/3.6</f>
        <v>0.27777777777777779</v>
      </c>
      <c r="F453">
        <v>1.9664999999999999</v>
      </c>
      <c r="G453">
        <f>Tableau2[[#This Row],[Cost (€/GJ)]]/1000*3600</f>
        <v>7.0793999999999997</v>
      </c>
      <c r="H453">
        <v>28.139870918023309</v>
      </c>
      <c r="I453">
        <f>Tableau2[[#This Row],[GHG (kgCO2eq/GJ)]]*3.6</f>
        <v>101.30353530488391</v>
      </c>
      <c r="J453" t="s">
        <v>105</v>
      </c>
      <c r="K453" t="s">
        <v>108</v>
      </c>
    </row>
    <row r="454" spans="1:11" hidden="1" x14ac:dyDescent="0.3">
      <c r="A454" t="s">
        <v>26</v>
      </c>
      <c r="B454" t="s">
        <v>46</v>
      </c>
      <c r="C454" t="s">
        <v>85</v>
      </c>
      <c r="D454">
        <v>4.0999999999999996</v>
      </c>
      <c r="E454">
        <f>Tableau2[[#This Row],[Potential (PJ)]]/3.6</f>
        <v>1.1388888888888888</v>
      </c>
      <c r="F454">
        <v>4.0257073170731719</v>
      </c>
      <c r="G454">
        <f>Tableau2[[#This Row],[Cost (€/GJ)]]/1000*3600</f>
        <v>14.492546341463417</v>
      </c>
      <c r="H454">
        <v>2.9521711768407801</v>
      </c>
      <c r="I454">
        <f>Tableau2[[#This Row],[GHG (kgCO2eq/GJ)]]*3.6</f>
        <v>10.627816236626808</v>
      </c>
      <c r="J454" t="s">
        <v>104</v>
      </c>
      <c r="K454" t="s">
        <v>108</v>
      </c>
    </row>
    <row r="455" spans="1:11" hidden="1" x14ac:dyDescent="0.3">
      <c r="A455" t="s">
        <v>26</v>
      </c>
      <c r="B455" t="s">
        <v>55</v>
      </c>
      <c r="C455" t="s">
        <v>86</v>
      </c>
      <c r="D455">
        <v>0.4708</v>
      </c>
      <c r="E455">
        <f>Tableau2[[#This Row],[Potential (PJ)]]/3.6</f>
        <v>0.13077777777777777</v>
      </c>
      <c r="F455">
        <v>20.170999999999999</v>
      </c>
      <c r="G455">
        <f>Tableau2[[#This Row],[Cost (€/GJ)]]/1000*3600</f>
        <v>72.615599999999986</v>
      </c>
      <c r="H455">
        <v>16.3</v>
      </c>
      <c r="I455">
        <f>Tableau2[[#This Row],[GHG (kgCO2eq/GJ)]]*3.6</f>
        <v>58.680000000000007</v>
      </c>
      <c r="J455" t="s">
        <v>106</v>
      </c>
      <c r="K455" t="s">
        <v>109</v>
      </c>
    </row>
    <row r="456" spans="1:11" hidden="1" x14ac:dyDescent="0.3">
      <c r="A456" t="s">
        <v>26</v>
      </c>
      <c r="B456" t="s">
        <v>55</v>
      </c>
      <c r="C456" t="s">
        <v>87</v>
      </c>
      <c r="D456">
        <v>9.0221999999999998</v>
      </c>
      <c r="E456">
        <f>Tableau2[[#This Row],[Potential (PJ)]]/3.6</f>
        <v>2.5061666666666667</v>
      </c>
      <c r="F456">
        <v>27.187999999999999</v>
      </c>
      <c r="G456">
        <f>Tableau2[[#This Row],[Cost (€/GJ)]]/1000*3600</f>
        <v>97.876800000000003</v>
      </c>
      <c r="H456">
        <v>16.3</v>
      </c>
      <c r="I456">
        <f>Tableau2[[#This Row],[GHG (kgCO2eq/GJ)]]*3.6</f>
        <v>58.680000000000007</v>
      </c>
      <c r="J456" t="s">
        <v>106</v>
      </c>
      <c r="K456" t="s">
        <v>109</v>
      </c>
    </row>
    <row r="457" spans="1:11" hidden="1" x14ac:dyDescent="0.3">
      <c r="A457" t="s">
        <v>26</v>
      </c>
      <c r="B457" t="s">
        <v>55</v>
      </c>
      <c r="C457" t="s">
        <v>88</v>
      </c>
      <c r="D457">
        <v>5.4279999999999999</v>
      </c>
      <c r="E457">
        <f>Tableau2[[#This Row],[Potential (PJ)]]/3.6</f>
        <v>1.5077777777777777</v>
      </c>
      <c r="F457">
        <v>21.413999999999991</v>
      </c>
      <c r="G457">
        <f>Tableau2[[#This Row],[Cost (€/GJ)]]/1000*3600</f>
        <v>77.090399999999974</v>
      </c>
      <c r="H457">
        <v>16.3</v>
      </c>
      <c r="I457">
        <f>Tableau2[[#This Row],[GHG (kgCO2eq/GJ)]]*3.6</f>
        <v>58.680000000000007</v>
      </c>
      <c r="J457" t="s">
        <v>106</v>
      </c>
      <c r="K457" t="s">
        <v>109</v>
      </c>
    </row>
    <row r="458" spans="1:11" hidden="1" x14ac:dyDescent="0.3">
      <c r="A458" t="s">
        <v>26</v>
      </c>
      <c r="B458" t="s">
        <v>55</v>
      </c>
      <c r="C458" t="s">
        <v>92</v>
      </c>
      <c r="D458">
        <v>1.31185</v>
      </c>
      <c r="E458">
        <f>Tableau2[[#This Row],[Potential (PJ)]]/3.6</f>
        <v>0.36440277777777774</v>
      </c>
      <c r="F458">
        <v>27.187999999999999</v>
      </c>
      <c r="G458">
        <f>Tableau2[[#This Row],[Cost (€/GJ)]]/1000*3600</f>
        <v>97.876800000000003</v>
      </c>
      <c r="H458">
        <v>16.3</v>
      </c>
      <c r="I458">
        <f>Tableau2[[#This Row],[GHG (kgCO2eq/GJ)]]*3.6</f>
        <v>58.680000000000007</v>
      </c>
      <c r="J458" t="s">
        <v>106</v>
      </c>
      <c r="K458" t="s">
        <v>109</v>
      </c>
    </row>
    <row r="459" spans="1:11" hidden="1" x14ac:dyDescent="0.3">
      <c r="A459" t="s">
        <v>26</v>
      </c>
      <c r="B459" t="s">
        <v>56</v>
      </c>
      <c r="C459" t="s">
        <v>93</v>
      </c>
      <c r="D459">
        <v>130.29820000000001</v>
      </c>
      <c r="E459">
        <f>Tableau2[[#This Row],[Potential (PJ)]]/3.6</f>
        <v>36.193944444444448</v>
      </c>
      <c r="F459">
        <v>2.939759036144578</v>
      </c>
      <c r="G459">
        <f>Tableau2[[#This Row],[Cost (€/GJ)]]/1000*3600</f>
        <v>10.58313253012048</v>
      </c>
      <c r="H459">
        <v>23.4</v>
      </c>
      <c r="I459">
        <f>Tableau2[[#This Row],[GHG (kgCO2eq/GJ)]]*3.6</f>
        <v>84.24</v>
      </c>
      <c r="J459" t="s">
        <v>106</v>
      </c>
      <c r="K459" t="s">
        <v>109</v>
      </c>
    </row>
    <row r="460" spans="1:11" hidden="1" x14ac:dyDescent="0.3">
      <c r="A460" t="s">
        <v>26</v>
      </c>
      <c r="B460" t="s">
        <v>47</v>
      </c>
      <c r="C460" t="s">
        <v>68</v>
      </c>
      <c r="D460">
        <v>80</v>
      </c>
      <c r="E460">
        <f>Tableau2[[#This Row],[Potential (PJ)]]/3.6</f>
        <v>22.222222222222221</v>
      </c>
      <c r="F460">
        <v>6.59929875</v>
      </c>
      <c r="G460">
        <f>Tableau2[[#This Row],[Cost (€/GJ)]]/1000*3600</f>
        <v>23.757475499999998</v>
      </c>
      <c r="H460">
        <v>20.7</v>
      </c>
      <c r="I460">
        <f>Tableau2[[#This Row],[GHG (kgCO2eq/GJ)]]*3.6</f>
        <v>74.52</v>
      </c>
      <c r="J460" t="s">
        <v>104</v>
      </c>
      <c r="K460" t="s">
        <v>109</v>
      </c>
    </row>
    <row r="461" spans="1:11" hidden="1" x14ac:dyDescent="0.3">
      <c r="A461" t="s">
        <v>26</v>
      </c>
      <c r="B461" t="s">
        <v>47</v>
      </c>
      <c r="C461" t="s">
        <v>69</v>
      </c>
      <c r="D461">
        <v>42.7</v>
      </c>
      <c r="E461">
        <f>Tableau2[[#This Row],[Potential (PJ)]]/3.6</f>
        <v>11.861111111111112</v>
      </c>
      <c r="F461">
        <v>8.8541264637002346</v>
      </c>
      <c r="G461">
        <f>Tableau2[[#This Row],[Cost (€/GJ)]]/1000*3600</f>
        <v>31.874855269320847</v>
      </c>
      <c r="H461">
        <v>20.7</v>
      </c>
      <c r="I461">
        <f>Tableau2[[#This Row],[GHG (kgCO2eq/GJ)]]*3.6</f>
        <v>74.52</v>
      </c>
      <c r="J461" t="s">
        <v>104</v>
      </c>
      <c r="K461" t="s">
        <v>109</v>
      </c>
    </row>
    <row r="462" spans="1:11" hidden="1" x14ac:dyDescent="0.3">
      <c r="A462" t="s">
        <v>26</v>
      </c>
      <c r="B462" t="s">
        <v>48</v>
      </c>
      <c r="C462" t="s">
        <v>70</v>
      </c>
      <c r="D462">
        <v>10.8</v>
      </c>
      <c r="E462">
        <f>Tableau2[[#This Row],[Potential (PJ)]]/3.6</f>
        <v>3</v>
      </c>
      <c r="F462">
        <v>17.687509259259262</v>
      </c>
      <c r="G462">
        <f>Tableau2[[#This Row],[Cost (€/GJ)]]/1000*3600</f>
        <v>63.675033333333339</v>
      </c>
      <c r="H462">
        <v>0</v>
      </c>
      <c r="I462">
        <f>Tableau2[[#This Row],[GHG (kgCO2eq/GJ)]]*3.6</f>
        <v>0</v>
      </c>
      <c r="J462" t="s">
        <v>104</v>
      </c>
      <c r="K462" t="s">
        <v>109</v>
      </c>
    </row>
    <row r="463" spans="1:11" x14ac:dyDescent="0.3">
      <c r="A463" t="s">
        <v>26</v>
      </c>
      <c r="B463" t="s">
        <v>49</v>
      </c>
      <c r="C463" t="s">
        <v>71</v>
      </c>
      <c r="D463">
        <v>106.17650999999999</v>
      </c>
      <c r="E463">
        <f>Tableau2[[#This Row],[Potential (PJ)]]/3.6</f>
        <v>29.493474999999997</v>
      </c>
      <c r="F463">
        <v>4.1267466745704864</v>
      </c>
      <c r="G463">
        <f>Tableau2[[#This Row],[Cost (€/GJ)]]/1000*3600</f>
        <v>14.856288028453749</v>
      </c>
      <c r="H463">
        <v>3.86607608129234</v>
      </c>
      <c r="I463">
        <f>Tableau2[[#This Row],[GHG (kgCO2eq/GJ)]]*3.6</f>
        <v>13.917873892652425</v>
      </c>
      <c r="J463" t="s">
        <v>104</v>
      </c>
      <c r="K463" t="s">
        <v>108</v>
      </c>
    </row>
    <row r="464" spans="1:11" x14ac:dyDescent="0.3">
      <c r="A464" t="s">
        <v>26</v>
      </c>
      <c r="B464" t="s">
        <v>49</v>
      </c>
      <c r="C464" t="s">
        <v>72</v>
      </c>
      <c r="D464">
        <v>18</v>
      </c>
      <c r="E464">
        <f>Tableau2[[#This Row],[Potential (PJ)]]/3.6</f>
        <v>5</v>
      </c>
      <c r="F464">
        <v>3.3198777777777781</v>
      </c>
      <c r="G464">
        <f>Tableau2[[#This Row],[Cost (€/GJ)]]/1000*3600</f>
        <v>11.951560000000001</v>
      </c>
      <c r="H464">
        <v>3.86607608129234</v>
      </c>
      <c r="I464">
        <f>Tableau2[[#This Row],[GHG (kgCO2eq/GJ)]]*3.6</f>
        <v>13.917873892652425</v>
      </c>
      <c r="J464" t="s">
        <v>104</v>
      </c>
      <c r="K464" t="s">
        <v>108</v>
      </c>
    </row>
    <row r="465" spans="1:11" x14ac:dyDescent="0.3">
      <c r="A465" t="s">
        <v>26</v>
      </c>
      <c r="B465" t="s">
        <v>58</v>
      </c>
      <c r="C465" t="s">
        <v>95</v>
      </c>
      <c r="D465">
        <v>13.65175</v>
      </c>
      <c r="E465">
        <f>Tableau2[[#This Row],[Potential (PJ)]]/3.6</f>
        <v>3.7921527777777775</v>
      </c>
      <c r="F465">
        <v>2.4039999999999999</v>
      </c>
      <c r="G465">
        <f>Tableau2[[#This Row],[Cost (€/GJ)]]/1000*3600</f>
        <v>8.654399999999999</v>
      </c>
      <c r="H465">
        <v>2.9521711768407801</v>
      </c>
      <c r="I465">
        <f>Tableau2[[#This Row],[GHG (kgCO2eq/GJ)]]*3.6</f>
        <v>10.627816236626808</v>
      </c>
      <c r="J465" t="s">
        <v>104</v>
      </c>
      <c r="K465" t="s">
        <v>108</v>
      </c>
    </row>
    <row r="466" spans="1:11" hidden="1" x14ac:dyDescent="0.3">
      <c r="A466" t="s">
        <v>26</v>
      </c>
      <c r="B466" t="s">
        <v>50</v>
      </c>
      <c r="C466" t="s">
        <v>73</v>
      </c>
      <c r="D466">
        <v>22.8</v>
      </c>
      <c r="E466">
        <f>Tableau2[[#This Row],[Potential (PJ)]]/3.6</f>
        <v>6.333333333333333</v>
      </c>
      <c r="F466">
        <v>5.8950131578947378</v>
      </c>
      <c r="G466">
        <f>Tableau2[[#This Row],[Cost (€/GJ)]]/1000*3600</f>
        <v>21.222047368421055</v>
      </c>
      <c r="H466">
        <v>20.723404255319149</v>
      </c>
      <c r="I466">
        <f>Tableau2[[#This Row],[GHG (kgCO2eq/GJ)]]*3.6</f>
        <v>74.604255319148933</v>
      </c>
      <c r="J466" t="s">
        <v>105</v>
      </c>
      <c r="K466" t="s">
        <v>108</v>
      </c>
    </row>
    <row r="467" spans="1:11" hidden="1" x14ac:dyDescent="0.3">
      <c r="A467" t="s">
        <v>26</v>
      </c>
      <c r="B467" t="s">
        <v>50</v>
      </c>
      <c r="C467" t="s">
        <v>74</v>
      </c>
      <c r="D467">
        <v>92.699999999999989</v>
      </c>
      <c r="E467">
        <f>Tableau2[[#This Row],[Potential (PJ)]]/3.6</f>
        <v>25.749999999999996</v>
      </c>
      <c r="F467">
        <v>4.6173117583603016</v>
      </c>
      <c r="G467">
        <f>Tableau2[[#This Row],[Cost (€/GJ)]]/1000*3600</f>
        <v>16.622322330097084</v>
      </c>
      <c r="H467">
        <v>2.0635593220338988</v>
      </c>
      <c r="I467">
        <f>Tableau2[[#This Row],[GHG (kgCO2eq/GJ)]]*3.6</f>
        <v>7.4288135593220357</v>
      </c>
      <c r="J467" t="s">
        <v>105</v>
      </c>
      <c r="K467" t="s">
        <v>108</v>
      </c>
    </row>
    <row r="468" spans="1:11" hidden="1" x14ac:dyDescent="0.3">
      <c r="A468" t="s">
        <v>26</v>
      </c>
      <c r="B468" t="s">
        <v>59</v>
      </c>
      <c r="C468" t="s">
        <v>96</v>
      </c>
      <c r="D468">
        <v>1.0176000000000001</v>
      </c>
      <c r="E468">
        <f>Tableau2[[#This Row],[Potential (PJ)]]/3.6</f>
        <v>0.28266666666666668</v>
      </c>
      <c r="F468">
        <v>28.385000000000002</v>
      </c>
      <c r="G468">
        <f>Tableau2[[#This Row],[Cost (€/GJ)]]/1000*3600</f>
        <v>102.18600000000001</v>
      </c>
      <c r="H468">
        <v>17.7</v>
      </c>
      <c r="I468">
        <f>Tableau2[[#This Row],[GHG (kgCO2eq/GJ)]]*3.6</f>
        <v>63.72</v>
      </c>
      <c r="J468" t="s">
        <v>107</v>
      </c>
      <c r="K468" t="s">
        <v>109</v>
      </c>
    </row>
    <row r="469" spans="1:11" hidden="1" x14ac:dyDescent="0.3">
      <c r="A469" t="s">
        <v>26</v>
      </c>
      <c r="B469" t="s">
        <v>59</v>
      </c>
      <c r="C469" t="s">
        <v>97</v>
      </c>
      <c r="D469">
        <v>1.5349999999999999</v>
      </c>
      <c r="E469">
        <f>Tableau2[[#This Row],[Potential (PJ)]]/3.6</f>
        <v>0.42638888888888887</v>
      </c>
      <c r="F469">
        <v>13.94465545306565</v>
      </c>
      <c r="G469">
        <f>Tableau2[[#This Row],[Cost (€/GJ)]]/1000*3600</f>
        <v>50.200759631036341</v>
      </c>
      <c r="H469">
        <v>17.7</v>
      </c>
      <c r="I469">
        <f>Tableau2[[#This Row],[GHG (kgCO2eq/GJ)]]*3.6</f>
        <v>63.72</v>
      </c>
      <c r="J469" t="s">
        <v>107</v>
      </c>
      <c r="K469" t="s">
        <v>109</v>
      </c>
    </row>
    <row r="470" spans="1:11" x14ac:dyDescent="0.3">
      <c r="A470" t="s">
        <v>26</v>
      </c>
      <c r="B470" t="s">
        <v>51</v>
      </c>
      <c r="C470" t="s">
        <v>75</v>
      </c>
      <c r="D470">
        <v>42.757190000000001</v>
      </c>
      <c r="E470">
        <f>Tableau2[[#This Row],[Potential (PJ)]]/3.6</f>
        <v>11.876997222222222</v>
      </c>
      <c r="F470">
        <v>6.1258684567996803E-2</v>
      </c>
      <c r="G470">
        <f>Tableau2[[#This Row],[Cost (€/GJ)]]/1000*3600</f>
        <v>0.22053126444478849</v>
      </c>
      <c r="H470">
        <v>11.74</v>
      </c>
      <c r="I470">
        <f>Tableau2[[#This Row],[GHG (kgCO2eq/GJ)]]*3.6</f>
        <v>42.264000000000003</v>
      </c>
      <c r="J470" t="s">
        <v>104</v>
      </c>
      <c r="K470" t="s">
        <v>108</v>
      </c>
    </row>
    <row r="471" spans="1:11" hidden="1" x14ac:dyDescent="0.3">
      <c r="A471" t="s">
        <v>26</v>
      </c>
      <c r="B471" t="s">
        <v>60</v>
      </c>
      <c r="C471" t="s">
        <v>98</v>
      </c>
      <c r="D471">
        <v>0.11586</v>
      </c>
      <c r="E471">
        <f>Tableau2[[#This Row],[Potential (PJ)]]/3.6</f>
        <v>3.2183333333333335E-2</v>
      </c>
      <c r="F471">
        <v>10.79484425349087</v>
      </c>
      <c r="G471">
        <f>Tableau2[[#This Row],[Cost (€/GJ)]]/1000*3600</f>
        <v>38.861439312567136</v>
      </c>
      <c r="H471">
        <v>39</v>
      </c>
      <c r="I471">
        <f>Tableau2[[#This Row],[GHG (kgCO2eq/GJ)]]*3.6</f>
        <v>140.4</v>
      </c>
      <c r="J471" t="s">
        <v>107</v>
      </c>
      <c r="K471" t="s">
        <v>109</v>
      </c>
    </row>
    <row r="472" spans="1:11" hidden="1" x14ac:dyDescent="0.3">
      <c r="A472" t="s">
        <v>26</v>
      </c>
      <c r="B472" t="s">
        <v>52</v>
      </c>
      <c r="C472" t="s">
        <v>76</v>
      </c>
      <c r="D472">
        <v>0.371</v>
      </c>
      <c r="E472">
        <f>Tableau2[[#This Row],[Potential (PJ)]]/3.6</f>
        <v>0.10305555555555555</v>
      </c>
      <c r="F472">
        <v>5.4702337500000002</v>
      </c>
      <c r="G472">
        <f>Tableau2[[#This Row],[Cost (€/GJ)]]/1000*3600</f>
        <v>19.6928415</v>
      </c>
      <c r="H472">
        <v>12.68872359754714</v>
      </c>
      <c r="I472">
        <f>Tableau2[[#This Row],[GHG (kgCO2eq/GJ)]]*3.6</f>
        <v>45.679404951169708</v>
      </c>
      <c r="J472" t="s">
        <v>105</v>
      </c>
      <c r="K472" t="s">
        <v>108</v>
      </c>
    </row>
    <row r="473" spans="1:11" x14ac:dyDescent="0.3">
      <c r="A473" t="s">
        <v>26</v>
      </c>
      <c r="B473" t="s">
        <v>53</v>
      </c>
      <c r="C473" t="s">
        <v>77</v>
      </c>
      <c r="D473">
        <v>16.7</v>
      </c>
      <c r="E473">
        <f>Tableau2[[#This Row],[Potential (PJ)]]/3.6</f>
        <v>4.6388888888888884</v>
      </c>
      <c r="F473">
        <v>3.3214191616766469</v>
      </c>
      <c r="G473">
        <f>Tableau2[[#This Row],[Cost (€/GJ)]]/1000*3600</f>
        <v>11.957108982035928</v>
      </c>
      <c r="H473">
        <v>3.86607608129234</v>
      </c>
      <c r="I473">
        <f>Tableau2[[#This Row],[GHG (kgCO2eq/GJ)]]*3.6</f>
        <v>13.917873892652425</v>
      </c>
      <c r="J473" t="s">
        <v>104</v>
      </c>
      <c r="K473" t="s">
        <v>108</v>
      </c>
    </row>
    <row r="474" spans="1:11" x14ac:dyDescent="0.3">
      <c r="A474" t="s">
        <v>26</v>
      </c>
      <c r="B474" t="s">
        <v>61</v>
      </c>
      <c r="C474" t="s">
        <v>99</v>
      </c>
      <c r="D474">
        <v>9.5</v>
      </c>
      <c r="E474">
        <f>Tableau2[[#This Row],[Potential (PJ)]]/3.6</f>
        <v>2.6388888888888888</v>
      </c>
      <c r="F474">
        <v>2.0747052631578948</v>
      </c>
      <c r="G474">
        <f>Tableau2[[#This Row],[Cost (€/GJ)]]/1000*3600</f>
        <v>7.4689389473684216</v>
      </c>
      <c r="H474">
        <v>2.9245635910224439</v>
      </c>
      <c r="I474">
        <f>Tableau2[[#This Row],[GHG (kgCO2eq/GJ)]]*3.6</f>
        <v>10.528428927680798</v>
      </c>
      <c r="J474" t="s">
        <v>104</v>
      </c>
      <c r="K474" t="s">
        <v>108</v>
      </c>
    </row>
    <row r="475" spans="1:11" x14ac:dyDescent="0.3">
      <c r="A475" t="s">
        <v>26</v>
      </c>
      <c r="B475" t="s">
        <v>62</v>
      </c>
      <c r="C475" t="s">
        <v>100</v>
      </c>
      <c r="D475">
        <v>1</v>
      </c>
      <c r="E475">
        <f>Tableau2[[#This Row],[Potential (PJ)]]/3.6</f>
        <v>0.27777777777777779</v>
      </c>
      <c r="F475">
        <v>0.15</v>
      </c>
      <c r="G475">
        <f>Tableau2[[#This Row],[Cost (€/GJ)]]/1000*3600</f>
        <v>0.53999999999999992</v>
      </c>
      <c r="H475">
        <v>2.6764106050305911</v>
      </c>
      <c r="I475">
        <f>Tableau2[[#This Row],[GHG (kgCO2eq/GJ)]]*3.6</f>
        <v>9.6350781781101276</v>
      </c>
      <c r="J475" t="s">
        <v>104</v>
      </c>
      <c r="K475" t="s">
        <v>108</v>
      </c>
    </row>
    <row r="476" spans="1:11" x14ac:dyDescent="0.3">
      <c r="A476" t="s">
        <v>26</v>
      </c>
      <c r="B476" t="s">
        <v>54</v>
      </c>
      <c r="C476" t="s">
        <v>78</v>
      </c>
      <c r="D476">
        <v>98.100000000000009</v>
      </c>
      <c r="E476">
        <f>Tableau2[[#This Row],[Potential (PJ)]]/3.6</f>
        <v>27.25</v>
      </c>
      <c r="F476">
        <v>6.77508868501529</v>
      </c>
      <c r="G476">
        <f>Tableau2[[#This Row],[Cost (€/GJ)]]/1000*3600</f>
        <v>24.390319266055045</v>
      </c>
      <c r="H476">
        <v>3.86607608129234</v>
      </c>
      <c r="I476">
        <f>Tableau2[[#This Row],[GHG (kgCO2eq/GJ)]]*3.6</f>
        <v>13.917873892652425</v>
      </c>
      <c r="J476" t="s">
        <v>104</v>
      </c>
      <c r="K476" t="s">
        <v>108</v>
      </c>
    </row>
    <row r="477" spans="1:11" hidden="1" x14ac:dyDescent="0.3">
      <c r="A477" t="s">
        <v>27</v>
      </c>
      <c r="B477" t="s">
        <v>46</v>
      </c>
      <c r="C477" t="s">
        <v>64</v>
      </c>
      <c r="D477">
        <v>1.6500000000000001E-2</v>
      </c>
      <c r="E477">
        <f>Tableau2[[#This Row],[Potential (PJ)]]/3.6</f>
        <v>4.5833333333333334E-3</v>
      </c>
      <c r="F477">
        <v>0</v>
      </c>
      <c r="G477">
        <f>Tableau2[[#This Row],[Cost (€/GJ)]]/1000*3600</f>
        <v>0</v>
      </c>
      <c r="H477">
        <v>2.9521711768407801</v>
      </c>
      <c r="I477">
        <f>Tableau2[[#This Row],[GHG (kgCO2eq/GJ)]]*3.6</f>
        <v>10.627816236626808</v>
      </c>
      <c r="J477" t="s">
        <v>104</v>
      </c>
      <c r="K477" t="s">
        <v>108</v>
      </c>
    </row>
    <row r="478" spans="1:11" hidden="1" x14ac:dyDescent="0.3">
      <c r="A478" t="s">
        <v>27</v>
      </c>
      <c r="B478" t="s">
        <v>46</v>
      </c>
      <c r="C478" t="s">
        <v>79</v>
      </c>
      <c r="D478">
        <v>16.5</v>
      </c>
      <c r="E478">
        <f>Tableau2[[#This Row],[Potential (PJ)]]/3.6</f>
        <v>4.583333333333333</v>
      </c>
      <c r="F478">
        <v>0</v>
      </c>
      <c r="G478">
        <f>Tableau2[[#This Row],[Cost (€/GJ)]]/1000*3600</f>
        <v>0</v>
      </c>
      <c r="H478">
        <v>6.8428961748633883</v>
      </c>
      <c r="I478">
        <f>Tableau2[[#This Row],[GHG (kgCO2eq/GJ)]]*3.6</f>
        <v>24.634426229508197</v>
      </c>
      <c r="J478" t="s">
        <v>104</v>
      </c>
      <c r="K478" t="s">
        <v>108</v>
      </c>
    </row>
    <row r="479" spans="1:11" hidden="1" x14ac:dyDescent="0.3">
      <c r="A479" t="s">
        <v>27</v>
      </c>
      <c r="B479" t="s">
        <v>46</v>
      </c>
      <c r="C479" t="s">
        <v>65</v>
      </c>
      <c r="D479">
        <v>0.1</v>
      </c>
      <c r="E479">
        <f>Tableau2[[#This Row],[Potential (PJ)]]/3.6</f>
        <v>2.777777777777778E-2</v>
      </c>
      <c r="F479">
        <v>0</v>
      </c>
      <c r="G479">
        <f>Tableau2[[#This Row],[Cost (€/GJ)]]/1000*3600</f>
        <v>0</v>
      </c>
      <c r="H479">
        <v>2.9521711768407801</v>
      </c>
      <c r="I479">
        <f>Tableau2[[#This Row],[GHG (kgCO2eq/GJ)]]*3.6</f>
        <v>10.627816236626808</v>
      </c>
      <c r="J479" t="s">
        <v>104</v>
      </c>
      <c r="K479" t="s">
        <v>108</v>
      </c>
    </row>
    <row r="480" spans="1:11" hidden="1" x14ac:dyDescent="0.3">
      <c r="A480" t="s">
        <v>27</v>
      </c>
      <c r="B480" t="s">
        <v>46</v>
      </c>
      <c r="C480" t="s">
        <v>80</v>
      </c>
      <c r="D480">
        <v>1.49E-2</v>
      </c>
      <c r="E480">
        <f>Tableau2[[#This Row],[Potential (PJ)]]/3.6</f>
        <v>4.138888888888889E-3</v>
      </c>
      <c r="F480">
        <v>0.25084288604180721</v>
      </c>
      <c r="G480">
        <f>Tableau2[[#This Row],[Cost (€/GJ)]]/1000*3600</f>
        <v>0.90303438975050609</v>
      </c>
      <c r="H480">
        <v>28.139870918023309</v>
      </c>
      <c r="I480">
        <f>Tableau2[[#This Row],[GHG (kgCO2eq/GJ)]]*3.6</f>
        <v>101.30353530488391</v>
      </c>
      <c r="J480" t="s">
        <v>105</v>
      </c>
      <c r="K480" t="s">
        <v>108</v>
      </c>
    </row>
    <row r="481" spans="1:11" hidden="1" x14ac:dyDescent="0.3">
      <c r="A481" t="s">
        <v>27</v>
      </c>
      <c r="B481" t="s">
        <v>46</v>
      </c>
      <c r="C481" t="s">
        <v>81</v>
      </c>
      <c r="D481">
        <v>1.1999999999999999E-3</v>
      </c>
      <c r="E481">
        <f>Tableau2[[#This Row],[Potential (PJ)]]/3.6</f>
        <v>3.3333333333333332E-4</v>
      </c>
      <c r="F481">
        <v>1.663924794359577</v>
      </c>
      <c r="G481">
        <f>Tableau2[[#This Row],[Cost (€/GJ)]]/1000*3600</f>
        <v>5.9901292596944771</v>
      </c>
      <c r="H481">
        <v>8.9647473560517046</v>
      </c>
      <c r="I481">
        <f>Tableau2[[#This Row],[GHG (kgCO2eq/GJ)]]*3.6</f>
        <v>32.273090481786134</v>
      </c>
      <c r="J481" t="s">
        <v>105</v>
      </c>
      <c r="K481" t="s">
        <v>108</v>
      </c>
    </row>
    <row r="482" spans="1:11" hidden="1" x14ac:dyDescent="0.3">
      <c r="A482" t="s">
        <v>27</v>
      </c>
      <c r="B482" t="s">
        <v>46</v>
      </c>
      <c r="C482" t="s">
        <v>66</v>
      </c>
      <c r="D482">
        <v>0.3</v>
      </c>
      <c r="E482">
        <f>Tableau2[[#This Row],[Potential (PJ)]]/3.6</f>
        <v>8.3333333333333329E-2</v>
      </c>
      <c r="F482">
        <v>2.274</v>
      </c>
      <c r="G482">
        <f>Tableau2[[#This Row],[Cost (€/GJ)]]/1000*3600</f>
        <v>8.1864000000000008</v>
      </c>
      <c r="H482">
        <v>6.8428961748633883</v>
      </c>
      <c r="I482">
        <f>Tableau2[[#This Row],[GHG (kgCO2eq/GJ)]]*3.6</f>
        <v>24.634426229508197</v>
      </c>
      <c r="J482" t="s">
        <v>104</v>
      </c>
      <c r="K482" t="s">
        <v>108</v>
      </c>
    </row>
    <row r="483" spans="1:11" hidden="1" x14ac:dyDescent="0.3">
      <c r="A483" t="s">
        <v>27</v>
      </c>
      <c r="B483" t="s">
        <v>46</v>
      </c>
      <c r="C483" t="s">
        <v>82</v>
      </c>
      <c r="D483">
        <v>0.5</v>
      </c>
      <c r="E483">
        <f>Tableau2[[#This Row],[Potential (PJ)]]/3.6</f>
        <v>0.1388888888888889</v>
      </c>
      <c r="F483">
        <v>1.5229999999999999</v>
      </c>
      <c r="G483">
        <f>Tableau2[[#This Row],[Cost (€/GJ)]]/1000*3600</f>
        <v>5.4827999999999992</v>
      </c>
      <c r="H483">
        <v>6.8428961748633883</v>
      </c>
      <c r="I483">
        <f>Tableau2[[#This Row],[GHG (kgCO2eq/GJ)]]*3.6</f>
        <v>24.634426229508197</v>
      </c>
      <c r="J483" t="s">
        <v>104</v>
      </c>
      <c r="K483" t="s">
        <v>108</v>
      </c>
    </row>
    <row r="484" spans="1:11" hidden="1" x14ac:dyDescent="0.3">
      <c r="A484" t="s">
        <v>27</v>
      </c>
      <c r="B484" t="s">
        <v>46</v>
      </c>
      <c r="C484" t="s">
        <v>84</v>
      </c>
      <c r="D484">
        <v>0.4</v>
      </c>
      <c r="E484">
        <f>Tableau2[[#This Row],[Potential (PJ)]]/3.6</f>
        <v>0.11111111111111112</v>
      </c>
      <c r="F484">
        <v>1.3819999999999999</v>
      </c>
      <c r="G484">
        <f>Tableau2[[#This Row],[Cost (€/GJ)]]/1000*3600</f>
        <v>4.9752000000000001</v>
      </c>
      <c r="H484">
        <v>28.139870918023309</v>
      </c>
      <c r="I484">
        <f>Tableau2[[#This Row],[GHG (kgCO2eq/GJ)]]*3.6</f>
        <v>101.30353530488391</v>
      </c>
      <c r="J484" t="s">
        <v>105</v>
      </c>
      <c r="K484" t="s">
        <v>108</v>
      </c>
    </row>
    <row r="485" spans="1:11" hidden="1" x14ac:dyDescent="0.3">
      <c r="A485" t="s">
        <v>27</v>
      </c>
      <c r="B485" t="s">
        <v>55</v>
      </c>
      <c r="C485" t="s">
        <v>86</v>
      </c>
      <c r="D485">
        <v>3.3428</v>
      </c>
      <c r="E485">
        <f>Tableau2[[#This Row],[Potential (PJ)]]/3.6</f>
        <v>0.92855555555555558</v>
      </c>
      <c r="F485">
        <v>15.141</v>
      </c>
      <c r="G485">
        <f>Tableau2[[#This Row],[Cost (€/GJ)]]/1000*3600</f>
        <v>54.507599999999996</v>
      </c>
      <c r="H485">
        <v>6.5</v>
      </c>
      <c r="I485">
        <f>Tableau2[[#This Row],[GHG (kgCO2eq/GJ)]]*3.6</f>
        <v>23.400000000000002</v>
      </c>
      <c r="J485" t="s">
        <v>106</v>
      </c>
      <c r="K485" t="s">
        <v>109</v>
      </c>
    </row>
    <row r="486" spans="1:11" hidden="1" x14ac:dyDescent="0.3">
      <c r="A486" t="s">
        <v>27</v>
      </c>
      <c r="B486" t="s">
        <v>55</v>
      </c>
      <c r="C486" t="s">
        <v>88</v>
      </c>
      <c r="D486">
        <v>1.4414</v>
      </c>
      <c r="E486">
        <f>Tableau2[[#This Row],[Potential (PJ)]]/3.6</f>
        <v>0.40038888888888891</v>
      </c>
      <c r="F486">
        <v>19.756</v>
      </c>
      <c r="G486">
        <f>Tableau2[[#This Row],[Cost (€/GJ)]]/1000*3600</f>
        <v>71.121600000000001</v>
      </c>
      <c r="H486">
        <v>6.5</v>
      </c>
      <c r="I486">
        <f>Tableau2[[#This Row],[GHG (kgCO2eq/GJ)]]*3.6</f>
        <v>23.400000000000002</v>
      </c>
      <c r="J486" t="s">
        <v>106</v>
      </c>
      <c r="K486" t="s">
        <v>109</v>
      </c>
    </row>
    <row r="487" spans="1:11" hidden="1" x14ac:dyDescent="0.3">
      <c r="A487" t="s">
        <v>27</v>
      </c>
      <c r="B487" t="s">
        <v>55</v>
      </c>
      <c r="C487" t="s">
        <v>89</v>
      </c>
      <c r="D487">
        <v>2.41E-2</v>
      </c>
      <c r="E487">
        <f>Tableau2[[#This Row],[Potential (PJ)]]/3.6</f>
        <v>6.6944444444444438E-3</v>
      </c>
      <c r="F487">
        <v>0</v>
      </c>
      <c r="G487">
        <f>Tableau2[[#This Row],[Cost (€/GJ)]]/1000*3600</f>
        <v>0</v>
      </c>
      <c r="H487">
        <v>6.5</v>
      </c>
      <c r="I487">
        <f>Tableau2[[#This Row],[GHG (kgCO2eq/GJ)]]*3.6</f>
        <v>23.400000000000002</v>
      </c>
      <c r="J487" t="s">
        <v>106</v>
      </c>
      <c r="K487" t="s">
        <v>109</v>
      </c>
    </row>
    <row r="488" spans="1:11" hidden="1" x14ac:dyDescent="0.3">
      <c r="A488" t="s">
        <v>27</v>
      </c>
      <c r="B488" t="s">
        <v>55</v>
      </c>
      <c r="C488" t="s">
        <v>90</v>
      </c>
      <c r="D488">
        <v>4.9474999999999998</v>
      </c>
      <c r="E488">
        <f>Tableau2[[#This Row],[Potential (PJ)]]/3.6</f>
        <v>1.3743055555555554</v>
      </c>
      <c r="F488">
        <v>12.864000000000001</v>
      </c>
      <c r="G488">
        <f>Tableau2[[#This Row],[Cost (€/GJ)]]/1000*3600</f>
        <v>46.310400000000001</v>
      </c>
      <c r="H488">
        <v>6.5</v>
      </c>
      <c r="I488">
        <f>Tableau2[[#This Row],[GHG (kgCO2eq/GJ)]]*3.6</f>
        <v>23.400000000000002</v>
      </c>
      <c r="J488" t="s">
        <v>106</v>
      </c>
      <c r="K488" t="s">
        <v>109</v>
      </c>
    </row>
    <row r="489" spans="1:11" hidden="1" x14ac:dyDescent="0.3">
      <c r="A489" t="s">
        <v>27</v>
      </c>
      <c r="B489" t="s">
        <v>55</v>
      </c>
      <c r="C489" t="s">
        <v>91</v>
      </c>
      <c r="D489">
        <v>1.2281</v>
      </c>
      <c r="E489">
        <f>Tableau2[[#This Row],[Potential (PJ)]]/3.6</f>
        <v>0.34113888888888888</v>
      </c>
      <c r="F489">
        <v>12.228</v>
      </c>
      <c r="G489">
        <f>Tableau2[[#This Row],[Cost (€/GJ)]]/1000*3600</f>
        <v>44.020799999999994</v>
      </c>
      <c r="H489">
        <v>6.5</v>
      </c>
      <c r="I489">
        <f>Tableau2[[#This Row],[GHG (kgCO2eq/GJ)]]*3.6</f>
        <v>23.400000000000002</v>
      </c>
      <c r="J489" t="s">
        <v>106</v>
      </c>
      <c r="K489" t="s">
        <v>109</v>
      </c>
    </row>
    <row r="490" spans="1:11" hidden="1" x14ac:dyDescent="0.3">
      <c r="A490" t="s">
        <v>27</v>
      </c>
      <c r="B490" t="s">
        <v>55</v>
      </c>
      <c r="C490" t="s">
        <v>92</v>
      </c>
      <c r="D490">
        <v>1.4375199999999999</v>
      </c>
      <c r="E490">
        <f>Tableau2[[#This Row],[Potential (PJ)]]/3.6</f>
        <v>0.39931111111111106</v>
      </c>
      <c r="F490">
        <v>16.170000000000002</v>
      </c>
      <c r="G490">
        <f>Tableau2[[#This Row],[Cost (€/GJ)]]/1000*3600</f>
        <v>58.212000000000003</v>
      </c>
      <c r="H490">
        <v>6.5</v>
      </c>
      <c r="I490">
        <f>Tableau2[[#This Row],[GHG (kgCO2eq/GJ)]]*3.6</f>
        <v>23.400000000000002</v>
      </c>
      <c r="J490" t="s">
        <v>106</v>
      </c>
      <c r="K490" t="s">
        <v>109</v>
      </c>
    </row>
    <row r="491" spans="1:11" hidden="1" x14ac:dyDescent="0.3">
      <c r="A491" t="s">
        <v>27</v>
      </c>
      <c r="B491" t="s">
        <v>56</v>
      </c>
      <c r="C491" t="s">
        <v>93</v>
      </c>
      <c r="D491">
        <v>41.634799999999998</v>
      </c>
      <c r="E491">
        <f>Tableau2[[#This Row],[Potential (PJ)]]/3.6</f>
        <v>11.565222222222221</v>
      </c>
      <c r="F491">
        <v>2.9493975903614462</v>
      </c>
      <c r="G491">
        <f>Tableau2[[#This Row],[Cost (€/GJ)]]/1000*3600</f>
        <v>10.617831325301207</v>
      </c>
      <c r="H491">
        <v>18.3</v>
      </c>
      <c r="I491">
        <f>Tableau2[[#This Row],[GHG (kgCO2eq/GJ)]]*3.6</f>
        <v>65.88000000000001</v>
      </c>
      <c r="J491" t="s">
        <v>106</v>
      </c>
      <c r="K491" t="s">
        <v>109</v>
      </c>
    </row>
    <row r="492" spans="1:11" hidden="1" x14ac:dyDescent="0.3">
      <c r="A492" t="s">
        <v>27</v>
      </c>
      <c r="B492" t="s">
        <v>47</v>
      </c>
      <c r="C492" t="s">
        <v>101</v>
      </c>
      <c r="D492">
        <v>12.9</v>
      </c>
      <c r="E492">
        <f>Tableau2[[#This Row],[Potential (PJ)]]/3.6</f>
        <v>3.5833333333333335</v>
      </c>
      <c r="F492">
        <v>2.67</v>
      </c>
      <c r="G492">
        <f>Tableau2[[#This Row],[Cost (€/GJ)]]/1000*3600</f>
        <v>9.6120000000000001</v>
      </c>
      <c r="H492">
        <v>44</v>
      </c>
      <c r="I492">
        <f>Tableau2[[#This Row],[GHG (kgCO2eq/GJ)]]*3.6</f>
        <v>158.4</v>
      </c>
      <c r="J492" t="s">
        <v>104</v>
      </c>
      <c r="K492" t="s">
        <v>109</v>
      </c>
    </row>
    <row r="493" spans="1:11" hidden="1" x14ac:dyDescent="0.3">
      <c r="A493" t="s">
        <v>27</v>
      </c>
      <c r="B493" t="s">
        <v>57</v>
      </c>
      <c r="C493" t="s">
        <v>94</v>
      </c>
      <c r="D493">
        <v>7.6</v>
      </c>
      <c r="E493">
        <f>Tableau2[[#This Row],[Potential (PJ)]]/3.6</f>
        <v>2.1111111111111112</v>
      </c>
      <c r="F493">
        <v>7.97</v>
      </c>
      <c r="G493">
        <f>Tableau2[[#This Row],[Cost (€/GJ)]]/1000*3600</f>
        <v>28.692</v>
      </c>
      <c r="H493">
        <v>19.899999999999999</v>
      </c>
      <c r="I493">
        <f>Tableau2[[#This Row],[GHG (kgCO2eq/GJ)]]*3.6</f>
        <v>71.64</v>
      </c>
      <c r="J493" t="s">
        <v>104</v>
      </c>
      <c r="K493" t="s">
        <v>109</v>
      </c>
    </row>
    <row r="494" spans="1:11" x14ac:dyDescent="0.3">
      <c r="A494" t="s">
        <v>27</v>
      </c>
      <c r="B494" t="s">
        <v>49</v>
      </c>
      <c r="C494" t="s">
        <v>71</v>
      </c>
      <c r="D494">
        <v>24.66751</v>
      </c>
      <c r="E494">
        <f>Tableau2[[#This Row],[Potential (PJ)]]/3.6</f>
        <v>6.8520861111111113</v>
      </c>
      <c r="F494">
        <v>0</v>
      </c>
      <c r="G494">
        <f>Tableau2[[#This Row],[Cost (€/GJ)]]/1000*3600</f>
        <v>0</v>
      </c>
      <c r="H494">
        <v>3.86607608129234</v>
      </c>
      <c r="I494">
        <f>Tableau2[[#This Row],[GHG (kgCO2eq/GJ)]]*3.6</f>
        <v>13.917873892652425</v>
      </c>
      <c r="J494" t="s">
        <v>104</v>
      </c>
      <c r="K494" t="s">
        <v>108</v>
      </c>
    </row>
    <row r="495" spans="1:11" x14ac:dyDescent="0.3">
      <c r="A495" t="s">
        <v>27</v>
      </c>
      <c r="B495" t="s">
        <v>49</v>
      </c>
      <c r="C495" t="s">
        <v>72</v>
      </c>
      <c r="D495">
        <v>3.8</v>
      </c>
      <c r="E495">
        <f>Tableau2[[#This Row],[Potential (PJ)]]/3.6</f>
        <v>1.0555555555555556</v>
      </c>
      <c r="F495">
        <v>0</v>
      </c>
      <c r="G495">
        <f>Tableau2[[#This Row],[Cost (€/GJ)]]/1000*3600</f>
        <v>0</v>
      </c>
      <c r="H495">
        <v>3.86607608129234</v>
      </c>
      <c r="I495">
        <f>Tableau2[[#This Row],[GHG (kgCO2eq/GJ)]]*3.6</f>
        <v>13.917873892652425</v>
      </c>
      <c r="J495" t="s">
        <v>104</v>
      </c>
      <c r="K495" t="s">
        <v>108</v>
      </c>
    </row>
    <row r="496" spans="1:11" x14ac:dyDescent="0.3">
      <c r="A496" t="s">
        <v>27</v>
      </c>
      <c r="B496" t="s">
        <v>58</v>
      </c>
      <c r="C496" t="s">
        <v>95</v>
      </c>
      <c r="D496">
        <v>3.88862</v>
      </c>
      <c r="E496">
        <f>Tableau2[[#This Row],[Potential (PJ)]]/3.6</f>
        <v>1.0801722222222221</v>
      </c>
      <c r="F496">
        <v>2.4039999999999999</v>
      </c>
      <c r="G496">
        <f>Tableau2[[#This Row],[Cost (€/GJ)]]/1000*3600</f>
        <v>8.654399999999999</v>
      </c>
      <c r="H496">
        <v>2.9521711768407801</v>
      </c>
      <c r="I496">
        <f>Tableau2[[#This Row],[GHG (kgCO2eq/GJ)]]*3.6</f>
        <v>10.627816236626808</v>
      </c>
      <c r="J496" t="s">
        <v>104</v>
      </c>
      <c r="K496" t="s">
        <v>108</v>
      </c>
    </row>
    <row r="497" spans="1:11" hidden="1" x14ac:dyDescent="0.3">
      <c r="A497" t="s">
        <v>27</v>
      </c>
      <c r="B497" t="s">
        <v>50</v>
      </c>
      <c r="C497" t="s">
        <v>73</v>
      </c>
      <c r="D497">
        <v>2</v>
      </c>
      <c r="E497">
        <f>Tableau2[[#This Row],[Potential (PJ)]]/3.6</f>
        <v>0.55555555555555558</v>
      </c>
      <c r="F497">
        <v>4.976</v>
      </c>
      <c r="G497">
        <f>Tableau2[[#This Row],[Cost (€/GJ)]]/1000*3600</f>
        <v>17.913600000000002</v>
      </c>
      <c r="H497">
        <v>20.723404255319149</v>
      </c>
      <c r="I497">
        <f>Tableau2[[#This Row],[GHG (kgCO2eq/GJ)]]*3.6</f>
        <v>74.604255319148933</v>
      </c>
      <c r="J497" t="s">
        <v>105</v>
      </c>
      <c r="K497" t="s">
        <v>108</v>
      </c>
    </row>
    <row r="498" spans="1:11" hidden="1" x14ac:dyDescent="0.3">
      <c r="A498" t="s">
        <v>27</v>
      </c>
      <c r="B498" t="s">
        <v>50</v>
      </c>
      <c r="C498" t="s">
        <v>74</v>
      </c>
      <c r="D498">
        <v>14.9</v>
      </c>
      <c r="E498">
        <f>Tableau2[[#This Row],[Potential (PJ)]]/3.6</f>
        <v>4.1388888888888893</v>
      </c>
      <c r="F498">
        <v>3.8050000000000002</v>
      </c>
      <c r="G498">
        <f>Tableau2[[#This Row],[Cost (€/GJ)]]/1000*3600</f>
        <v>13.698</v>
      </c>
      <c r="H498">
        <v>2.0635593220338988</v>
      </c>
      <c r="I498">
        <f>Tableau2[[#This Row],[GHG (kgCO2eq/GJ)]]*3.6</f>
        <v>7.4288135593220357</v>
      </c>
      <c r="J498" t="s">
        <v>105</v>
      </c>
      <c r="K498" t="s">
        <v>108</v>
      </c>
    </row>
    <row r="499" spans="1:11" x14ac:dyDescent="0.3">
      <c r="A499" t="s">
        <v>27</v>
      </c>
      <c r="B499" t="s">
        <v>51</v>
      </c>
      <c r="C499" t="s">
        <v>75</v>
      </c>
      <c r="D499">
        <v>1.6711720000000001</v>
      </c>
      <c r="E499">
        <f>Tableau2[[#This Row],[Potential (PJ)]]/3.6</f>
        <v>0.46421444444444449</v>
      </c>
      <c r="F499">
        <v>2.88821975943825E-2</v>
      </c>
      <c r="G499">
        <f>Tableau2[[#This Row],[Cost (€/GJ)]]/1000*3600</f>
        <v>0.10397591133977699</v>
      </c>
      <c r="H499">
        <v>11.74</v>
      </c>
      <c r="I499">
        <f>Tableau2[[#This Row],[GHG (kgCO2eq/GJ)]]*3.6</f>
        <v>42.264000000000003</v>
      </c>
      <c r="J499" t="s">
        <v>104</v>
      </c>
      <c r="K499" t="s">
        <v>108</v>
      </c>
    </row>
    <row r="500" spans="1:11" hidden="1" x14ac:dyDescent="0.3">
      <c r="A500" t="s">
        <v>27</v>
      </c>
      <c r="B500" t="s">
        <v>60</v>
      </c>
      <c r="C500" t="s">
        <v>98</v>
      </c>
      <c r="D500">
        <v>0.66973000000000005</v>
      </c>
      <c r="E500">
        <f>Tableau2[[#This Row],[Potential (PJ)]]/3.6</f>
        <v>0.18603611111111112</v>
      </c>
      <c r="F500">
        <v>16.809881847475829</v>
      </c>
      <c r="G500">
        <f>Tableau2[[#This Row],[Cost (€/GJ)]]/1000*3600</f>
        <v>60.515574650912981</v>
      </c>
      <c r="H500">
        <v>26.9</v>
      </c>
      <c r="I500">
        <f>Tableau2[[#This Row],[GHG (kgCO2eq/GJ)]]*3.6</f>
        <v>96.84</v>
      </c>
      <c r="J500" t="s">
        <v>107</v>
      </c>
      <c r="K500" t="s">
        <v>109</v>
      </c>
    </row>
    <row r="501" spans="1:11" x14ac:dyDescent="0.3">
      <c r="A501" t="s">
        <v>27</v>
      </c>
      <c r="B501" t="s">
        <v>53</v>
      </c>
      <c r="C501" t="s">
        <v>77</v>
      </c>
      <c r="D501">
        <v>4.5999999999999996</v>
      </c>
      <c r="E501">
        <f>Tableau2[[#This Row],[Potential (PJ)]]/3.6</f>
        <v>1.2777777777777777</v>
      </c>
      <c r="F501">
        <v>0</v>
      </c>
      <c r="G501">
        <f>Tableau2[[#This Row],[Cost (€/GJ)]]/1000*3600</f>
        <v>0</v>
      </c>
      <c r="H501">
        <v>3.86607608129234</v>
      </c>
      <c r="I501">
        <f>Tableau2[[#This Row],[GHG (kgCO2eq/GJ)]]*3.6</f>
        <v>13.917873892652425</v>
      </c>
      <c r="J501" t="s">
        <v>104</v>
      </c>
      <c r="K501" t="s">
        <v>108</v>
      </c>
    </row>
    <row r="502" spans="1:11" x14ac:dyDescent="0.3">
      <c r="A502" t="s">
        <v>27</v>
      </c>
      <c r="B502" t="s">
        <v>61</v>
      </c>
      <c r="C502" t="s">
        <v>99</v>
      </c>
      <c r="D502">
        <v>3.8</v>
      </c>
      <c r="E502">
        <f>Tableau2[[#This Row],[Potential (PJ)]]/3.6</f>
        <v>1.0555555555555556</v>
      </c>
      <c r="F502">
        <v>0</v>
      </c>
      <c r="G502">
        <f>Tableau2[[#This Row],[Cost (€/GJ)]]/1000*3600</f>
        <v>0</v>
      </c>
      <c r="H502">
        <v>2.9245635910224439</v>
      </c>
      <c r="I502">
        <f>Tableau2[[#This Row],[GHG (kgCO2eq/GJ)]]*3.6</f>
        <v>10.528428927680798</v>
      </c>
      <c r="J502" t="s">
        <v>104</v>
      </c>
      <c r="K502" t="s">
        <v>108</v>
      </c>
    </row>
    <row r="503" spans="1:11" x14ac:dyDescent="0.3">
      <c r="A503" t="s">
        <v>27</v>
      </c>
      <c r="B503" t="s">
        <v>62</v>
      </c>
      <c r="C503" t="s">
        <v>100</v>
      </c>
      <c r="D503">
        <v>1.5</v>
      </c>
      <c r="E503">
        <f>Tableau2[[#This Row],[Potential (PJ)]]/3.6</f>
        <v>0.41666666666666663</v>
      </c>
      <c r="F503">
        <v>1.4</v>
      </c>
      <c r="G503">
        <f>Tableau2[[#This Row],[Cost (€/GJ)]]/1000*3600</f>
        <v>5.04</v>
      </c>
      <c r="H503">
        <v>2.6764106050305911</v>
      </c>
      <c r="I503">
        <f>Tableau2[[#This Row],[GHG (kgCO2eq/GJ)]]*3.6</f>
        <v>9.6350781781101276</v>
      </c>
      <c r="J503" t="s">
        <v>104</v>
      </c>
      <c r="K503" t="s">
        <v>108</v>
      </c>
    </row>
    <row r="504" spans="1:11" x14ac:dyDescent="0.3">
      <c r="A504" t="s">
        <v>27</v>
      </c>
      <c r="B504" t="s">
        <v>54</v>
      </c>
      <c r="C504" t="s">
        <v>78</v>
      </c>
      <c r="D504">
        <v>30.4</v>
      </c>
      <c r="E504">
        <f>Tableau2[[#This Row],[Potential (PJ)]]/3.6</f>
        <v>8.4444444444444446</v>
      </c>
      <c r="F504">
        <v>0</v>
      </c>
      <c r="G504">
        <f>Tableau2[[#This Row],[Cost (€/GJ)]]/1000*3600</f>
        <v>0</v>
      </c>
      <c r="H504">
        <v>3.86607608129234</v>
      </c>
      <c r="I504">
        <f>Tableau2[[#This Row],[GHG (kgCO2eq/GJ)]]*3.6</f>
        <v>13.917873892652425</v>
      </c>
      <c r="J504" t="s">
        <v>104</v>
      </c>
      <c r="K504" t="s">
        <v>108</v>
      </c>
    </row>
    <row r="505" spans="1:11" hidden="1" x14ac:dyDescent="0.3">
      <c r="A505" t="s">
        <v>28</v>
      </c>
      <c r="B505" t="s">
        <v>46</v>
      </c>
      <c r="C505" t="s">
        <v>103</v>
      </c>
      <c r="D505">
        <v>0.41205199999999997</v>
      </c>
      <c r="E505">
        <f>Tableau2[[#This Row],[Potential (PJ)]]/3.6</f>
        <v>0.11445888888888887</v>
      </c>
      <c r="F505">
        <v>0</v>
      </c>
      <c r="G505">
        <f>Tableau2[[#This Row],[Cost (€/GJ)]]/1000*3600</f>
        <v>0</v>
      </c>
      <c r="I505">
        <f>Tableau2[[#This Row],[GHG (kgCO2eq/GJ)]]*3.6</f>
        <v>0</v>
      </c>
    </row>
    <row r="506" spans="1:11" hidden="1" x14ac:dyDescent="0.3">
      <c r="A506" t="s">
        <v>28</v>
      </c>
      <c r="B506" t="s">
        <v>46</v>
      </c>
      <c r="C506" t="s">
        <v>80</v>
      </c>
      <c r="D506">
        <v>8.8999999999999999E-3</v>
      </c>
      <c r="E506">
        <f>Tableau2[[#This Row],[Potential (PJ)]]/3.6</f>
        <v>2.472222222222222E-3</v>
      </c>
      <c r="F506">
        <v>0</v>
      </c>
      <c r="G506">
        <f>Tableau2[[#This Row],[Cost (€/GJ)]]/1000*3600</f>
        <v>0</v>
      </c>
      <c r="H506">
        <v>28.139870918023309</v>
      </c>
      <c r="I506">
        <f>Tableau2[[#This Row],[GHG (kgCO2eq/GJ)]]*3.6</f>
        <v>101.30353530488391</v>
      </c>
      <c r="J506" t="s">
        <v>105</v>
      </c>
      <c r="K506" t="s">
        <v>108</v>
      </c>
    </row>
    <row r="507" spans="1:11" hidden="1" x14ac:dyDescent="0.3">
      <c r="A507" t="s">
        <v>28</v>
      </c>
      <c r="B507" t="s">
        <v>46</v>
      </c>
      <c r="C507" t="s">
        <v>81</v>
      </c>
      <c r="D507">
        <v>2.5999999999999999E-2</v>
      </c>
      <c r="E507">
        <f>Tableau2[[#This Row],[Potential (PJ)]]/3.6</f>
        <v>7.2222222222222219E-3</v>
      </c>
      <c r="F507">
        <v>0</v>
      </c>
      <c r="G507">
        <f>Tableau2[[#This Row],[Cost (€/GJ)]]/1000*3600</f>
        <v>0</v>
      </c>
      <c r="H507">
        <v>8.9647473560517046</v>
      </c>
      <c r="I507">
        <f>Tableau2[[#This Row],[GHG (kgCO2eq/GJ)]]*3.6</f>
        <v>32.273090481786134</v>
      </c>
      <c r="J507" t="s">
        <v>105</v>
      </c>
      <c r="K507" t="s">
        <v>108</v>
      </c>
    </row>
    <row r="508" spans="1:11" hidden="1" x14ac:dyDescent="0.3">
      <c r="A508" t="s">
        <v>28</v>
      </c>
      <c r="B508" t="s">
        <v>55</v>
      </c>
      <c r="C508" t="s">
        <v>86</v>
      </c>
      <c r="D508">
        <v>0.21329999999999999</v>
      </c>
      <c r="E508">
        <f>Tableau2[[#This Row],[Potential (PJ)]]/3.6</f>
        <v>5.9249999999999997E-2</v>
      </c>
      <c r="F508">
        <v>8.2059999999999995</v>
      </c>
      <c r="G508">
        <f>Tableau2[[#This Row],[Cost (€/GJ)]]/1000*3600</f>
        <v>29.541599999999999</v>
      </c>
      <c r="H508">
        <v>26.3</v>
      </c>
      <c r="I508">
        <f>Tableau2[[#This Row],[GHG (kgCO2eq/GJ)]]*3.6</f>
        <v>94.68</v>
      </c>
      <c r="J508" t="s">
        <v>106</v>
      </c>
      <c r="K508" t="s">
        <v>109</v>
      </c>
    </row>
    <row r="509" spans="1:11" hidden="1" x14ac:dyDescent="0.3">
      <c r="A509" t="s">
        <v>28</v>
      </c>
      <c r="B509" t="s">
        <v>55</v>
      </c>
      <c r="C509" t="s">
        <v>88</v>
      </c>
      <c r="D509">
        <v>6.7999999999999996E-3</v>
      </c>
      <c r="E509">
        <f>Tableau2[[#This Row],[Potential (PJ)]]/3.6</f>
        <v>1.8888888888888887E-3</v>
      </c>
      <c r="F509">
        <v>5.0555000000000003</v>
      </c>
      <c r="G509">
        <f>Tableau2[[#This Row],[Cost (€/GJ)]]/1000*3600</f>
        <v>18.1998</v>
      </c>
      <c r="H509">
        <v>26.3</v>
      </c>
      <c r="I509">
        <f>Tableau2[[#This Row],[GHG (kgCO2eq/GJ)]]*3.6</f>
        <v>94.68</v>
      </c>
      <c r="J509" t="s">
        <v>106</v>
      </c>
      <c r="K509" t="s">
        <v>109</v>
      </c>
    </row>
    <row r="510" spans="1:11" hidden="1" x14ac:dyDescent="0.3">
      <c r="A510" t="s">
        <v>28</v>
      </c>
      <c r="B510" t="s">
        <v>55</v>
      </c>
      <c r="C510" t="s">
        <v>92</v>
      </c>
      <c r="D510">
        <v>0.2104</v>
      </c>
      <c r="E510">
        <f>Tableau2[[#This Row],[Potential (PJ)]]/3.6</f>
        <v>5.8444444444444445E-2</v>
      </c>
      <c r="F510">
        <v>8.9079999999999995</v>
      </c>
      <c r="G510">
        <f>Tableau2[[#This Row],[Cost (€/GJ)]]/1000*3600</f>
        <v>32.068799999999996</v>
      </c>
      <c r="H510">
        <v>26.3</v>
      </c>
      <c r="I510">
        <f>Tableau2[[#This Row],[GHG (kgCO2eq/GJ)]]*3.6</f>
        <v>94.68</v>
      </c>
      <c r="J510" t="s">
        <v>106</v>
      </c>
      <c r="K510" t="s">
        <v>109</v>
      </c>
    </row>
    <row r="511" spans="1:11" x14ac:dyDescent="0.3">
      <c r="A511" t="s">
        <v>28</v>
      </c>
      <c r="B511" t="s">
        <v>49</v>
      </c>
      <c r="C511" t="s">
        <v>71</v>
      </c>
      <c r="D511">
        <v>1.84229</v>
      </c>
      <c r="E511">
        <f>Tableau2[[#This Row],[Potential (PJ)]]/3.6</f>
        <v>0.51174722222222224</v>
      </c>
      <c r="F511">
        <v>0</v>
      </c>
      <c r="G511">
        <f>Tableau2[[#This Row],[Cost (€/GJ)]]/1000*3600</f>
        <v>0</v>
      </c>
      <c r="H511">
        <v>3.86607608129234</v>
      </c>
      <c r="I511">
        <f>Tableau2[[#This Row],[GHG (kgCO2eq/GJ)]]*3.6</f>
        <v>13.917873892652425</v>
      </c>
      <c r="J511" t="s">
        <v>104</v>
      </c>
      <c r="K511" t="s">
        <v>108</v>
      </c>
    </row>
    <row r="512" spans="1:11" hidden="1" x14ac:dyDescent="0.3">
      <c r="A512" t="s">
        <v>28</v>
      </c>
      <c r="B512" t="s">
        <v>58</v>
      </c>
      <c r="C512" t="s">
        <v>103</v>
      </c>
      <c r="D512">
        <v>0.106836</v>
      </c>
      <c r="E512">
        <f>Tableau2[[#This Row],[Potential (PJ)]]/3.6</f>
        <v>2.9676666666666667E-2</v>
      </c>
      <c r="F512">
        <v>0</v>
      </c>
      <c r="G512">
        <f>Tableau2[[#This Row],[Cost (€/GJ)]]/1000*3600</f>
        <v>0</v>
      </c>
      <c r="I512">
        <f>Tableau2[[#This Row],[GHG (kgCO2eq/GJ)]]*3.6</f>
        <v>0</v>
      </c>
    </row>
    <row r="513" spans="1:11" hidden="1" x14ac:dyDescent="0.3">
      <c r="A513" t="s">
        <v>28</v>
      </c>
      <c r="B513" t="s">
        <v>50</v>
      </c>
      <c r="C513" t="s">
        <v>103</v>
      </c>
      <c r="D513">
        <v>1.521922</v>
      </c>
      <c r="E513">
        <f>Tableau2[[#This Row],[Potential (PJ)]]/3.6</f>
        <v>0.42275611111111111</v>
      </c>
      <c r="F513">
        <v>0</v>
      </c>
      <c r="G513">
        <f>Tableau2[[#This Row],[Cost (€/GJ)]]/1000*3600</f>
        <v>0</v>
      </c>
      <c r="I513">
        <f>Tableau2[[#This Row],[GHG (kgCO2eq/GJ)]]*3.6</f>
        <v>0</v>
      </c>
    </row>
    <row r="514" spans="1:11" x14ac:dyDescent="0.3">
      <c r="A514" t="s">
        <v>28</v>
      </c>
      <c r="B514" t="s">
        <v>51</v>
      </c>
      <c r="C514" t="s">
        <v>75</v>
      </c>
      <c r="D514">
        <v>0.16686899999999999</v>
      </c>
      <c r="E514">
        <f>Tableau2[[#This Row],[Potential (PJ)]]/3.6</f>
        <v>4.6352499999999998E-2</v>
      </c>
      <c r="F514">
        <v>5.43947486787992E-4</v>
      </c>
      <c r="G514">
        <f>Tableau2[[#This Row],[Cost (€/GJ)]]/1000*3600</f>
        <v>1.9582109524367711E-3</v>
      </c>
      <c r="H514">
        <v>11.74</v>
      </c>
      <c r="I514">
        <f>Tableau2[[#This Row],[GHG (kgCO2eq/GJ)]]*3.6</f>
        <v>42.264000000000003</v>
      </c>
      <c r="J514" t="s">
        <v>104</v>
      </c>
      <c r="K514" t="s">
        <v>108</v>
      </c>
    </row>
    <row r="515" spans="1:11" hidden="1" x14ac:dyDescent="0.3">
      <c r="A515" t="s">
        <v>28</v>
      </c>
      <c r="B515" t="s">
        <v>60</v>
      </c>
      <c r="C515" t="s">
        <v>98</v>
      </c>
      <c r="D515">
        <v>3.5560000000000001E-2</v>
      </c>
      <c r="E515">
        <f>Tableau2[[#This Row],[Potential (PJ)]]/3.6</f>
        <v>9.8777777777777787E-3</v>
      </c>
      <c r="F515">
        <v>0</v>
      </c>
      <c r="G515">
        <f>Tableau2[[#This Row],[Cost (€/GJ)]]/1000*3600</f>
        <v>0</v>
      </c>
      <c r="H515">
        <v>37.799999999999997</v>
      </c>
      <c r="I515">
        <f>Tableau2[[#This Row],[GHG (kgCO2eq/GJ)]]*3.6</f>
        <v>136.07999999999998</v>
      </c>
      <c r="J515" t="s">
        <v>107</v>
      </c>
      <c r="K515" t="s">
        <v>109</v>
      </c>
    </row>
    <row r="516" spans="1:11" hidden="1" x14ac:dyDescent="0.3">
      <c r="A516" t="s">
        <v>28</v>
      </c>
      <c r="B516" t="s">
        <v>61</v>
      </c>
      <c r="C516" t="s">
        <v>103</v>
      </c>
      <c r="D516">
        <v>0.63879699999999995</v>
      </c>
      <c r="E516">
        <f>Tableau2[[#This Row],[Potential (PJ)]]/3.6</f>
        <v>0.17744361111111109</v>
      </c>
      <c r="F516">
        <v>0</v>
      </c>
      <c r="G516">
        <f>Tableau2[[#This Row],[Cost (€/GJ)]]/1000*3600</f>
        <v>0</v>
      </c>
      <c r="I516">
        <f>Tableau2[[#This Row],[GHG (kgCO2eq/GJ)]]*3.6</f>
        <v>0</v>
      </c>
    </row>
    <row r="517" spans="1:11" hidden="1" x14ac:dyDescent="0.3">
      <c r="A517" t="s">
        <v>28</v>
      </c>
      <c r="B517" t="s">
        <v>62</v>
      </c>
      <c r="C517" t="s">
        <v>103</v>
      </c>
      <c r="D517">
        <v>8.1073000000000006E-2</v>
      </c>
      <c r="E517">
        <f>Tableau2[[#This Row],[Potential (PJ)]]/3.6</f>
        <v>2.2520277777777778E-2</v>
      </c>
      <c r="F517">
        <v>0</v>
      </c>
      <c r="G517">
        <f>Tableau2[[#This Row],[Cost (€/GJ)]]/1000*3600</f>
        <v>0</v>
      </c>
      <c r="I517">
        <f>Tableau2[[#This Row],[GHG (kgCO2eq/GJ)]]*3.6</f>
        <v>0</v>
      </c>
    </row>
    <row r="518" spans="1:11" x14ac:dyDescent="0.3">
      <c r="A518" t="s">
        <v>28</v>
      </c>
      <c r="B518" t="s">
        <v>54</v>
      </c>
      <c r="C518" t="s">
        <v>78</v>
      </c>
      <c r="D518">
        <v>3</v>
      </c>
      <c r="E518">
        <f>Tableau2[[#This Row],[Potential (PJ)]]/3.6</f>
        <v>0.83333333333333326</v>
      </c>
      <c r="F518">
        <v>0</v>
      </c>
      <c r="G518">
        <f>Tableau2[[#This Row],[Cost (€/GJ)]]/1000*3600</f>
        <v>0</v>
      </c>
      <c r="H518">
        <v>3.86607608129234</v>
      </c>
      <c r="I518">
        <f>Tableau2[[#This Row],[GHG (kgCO2eq/GJ)]]*3.6</f>
        <v>13.917873892652425</v>
      </c>
      <c r="J518" t="s">
        <v>104</v>
      </c>
      <c r="K518" t="s">
        <v>108</v>
      </c>
    </row>
    <row r="519" spans="1:11" hidden="1" x14ac:dyDescent="0.3">
      <c r="A519" t="s">
        <v>29</v>
      </c>
      <c r="B519" t="s">
        <v>46</v>
      </c>
      <c r="C519" t="s">
        <v>64</v>
      </c>
      <c r="D519">
        <v>8.0000000000000007E-5</v>
      </c>
      <c r="E519">
        <f>Tableau2[[#This Row],[Potential (PJ)]]/3.6</f>
        <v>2.2222222222222223E-5</v>
      </c>
      <c r="F519">
        <v>0</v>
      </c>
      <c r="G519">
        <f>Tableau2[[#This Row],[Cost (€/GJ)]]/1000*3600</f>
        <v>0</v>
      </c>
      <c r="H519">
        <v>2.9521711768407801</v>
      </c>
      <c r="I519">
        <f>Tableau2[[#This Row],[GHG (kgCO2eq/GJ)]]*3.6</f>
        <v>10.627816236626808</v>
      </c>
      <c r="J519" t="s">
        <v>104</v>
      </c>
      <c r="K519" t="s">
        <v>108</v>
      </c>
    </row>
    <row r="520" spans="1:11" hidden="1" x14ac:dyDescent="0.3">
      <c r="A520" t="s">
        <v>29</v>
      </c>
      <c r="B520" t="s">
        <v>46</v>
      </c>
      <c r="C520" t="s">
        <v>79</v>
      </c>
      <c r="D520">
        <v>6.6</v>
      </c>
      <c r="E520">
        <f>Tableau2[[#This Row],[Potential (PJ)]]/3.6</f>
        <v>1.8333333333333333</v>
      </c>
      <c r="F520">
        <v>0</v>
      </c>
      <c r="G520">
        <f>Tableau2[[#This Row],[Cost (€/GJ)]]/1000*3600</f>
        <v>0</v>
      </c>
      <c r="H520">
        <v>6.8428961748633883</v>
      </c>
      <c r="I520">
        <f>Tableau2[[#This Row],[GHG (kgCO2eq/GJ)]]*3.6</f>
        <v>24.634426229508197</v>
      </c>
      <c r="J520" t="s">
        <v>104</v>
      </c>
      <c r="K520" t="s">
        <v>108</v>
      </c>
    </row>
    <row r="521" spans="1:11" hidden="1" x14ac:dyDescent="0.3">
      <c r="A521" t="s">
        <v>29</v>
      </c>
      <c r="B521" t="s">
        <v>46</v>
      </c>
      <c r="C521" t="s">
        <v>80</v>
      </c>
      <c r="D521">
        <v>3.5400000000000001E-2</v>
      </c>
      <c r="E521">
        <f>Tableau2[[#This Row],[Potential (PJ)]]/3.6</f>
        <v>9.8333333333333328E-3</v>
      </c>
      <c r="F521">
        <v>0.18071476736345249</v>
      </c>
      <c r="G521">
        <f>Tableau2[[#This Row],[Cost (€/GJ)]]/1000*3600</f>
        <v>0.650573162508429</v>
      </c>
      <c r="H521">
        <v>28.139870918023309</v>
      </c>
      <c r="I521">
        <f>Tableau2[[#This Row],[GHG (kgCO2eq/GJ)]]*3.6</f>
        <v>101.30353530488391</v>
      </c>
      <c r="J521" t="s">
        <v>105</v>
      </c>
      <c r="K521" t="s">
        <v>108</v>
      </c>
    </row>
    <row r="522" spans="1:11" hidden="1" x14ac:dyDescent="0.3">
      <c r="A522" t="s">
        <v>29</v>
      </c>
      <c r="B522" t="s">
        <v>46</v>
      </c>
      <c r="C522" t="s">
        <v>81</v>
      </c>
      <c r="D522">
        <v>8.2000000000000007E-3</v>
      </c>
      <c r="E522">
        <f>Tableau2[[#This Row],[Potential (PJ)]]/3.6</f>
        <v>2.2777777777777779E-3</v>
      </c>
      <c r="F522">
        <v>0.36545240893066983</v>
      </c>
      <c r="G522">
        <f>Tableau2[[#This Row],[Cost (€/GJ)]]/1000*3600</f>
        <v>1.3156286721504113</v>
      </c>
      <c r="H522">
        <v>8.9647473560517046</v>
      </c>
      <c r="I522">
        <f>Tableau2[[#This Row],[GHG (kgCO2eq/GJ)]]*3.6</f>
        <v>32.273090481786134</v>
      </c>
      <c r="J522" t="s">
        <v>105</v>
      </c>
      <c r="K522" t="s">
        <v>108</v>
      </c>
    </row>
    <row r="523" spans="1:11" hidden="1" x14ac:dyDescent="0.3">
      <c r="A523" t="s">
        <v>29</v>
      </c>
      <c r="B523" t="s">
        <v>46</v>
      </c>
      <c r="C523" t="s">
        <v>82</v>
      </c>
      <c r="D523">
        <v>0.3</v>
      </c>
      <c r="E523">
        <f>Tableau2[[#This Row],[Potential (PJ)]]/3.6</f>
        <v>8.3333333333333329E-2</v>
      </c>
      <c r="F523">
        <v>1.5369999999999999</v>
      </c>
      <c r="G523">
        <f>Tableau2[[#This Row],[Cost (€/GJ)]]/1000*3600</f>
        <v>5.5331999999999999</v>
      </c>
      <c r="H523">
        <v>6.8428961748633883</v>
      </c>
      <c r="I523">
        <f>Tableau2[[#This Row],[GHG (kgCO2eq/GJ)]]*3.6</f>
        <v>24.634426229508197</v>
      </c>
      <c r="J523" t="s">
        <v>104</v>
      </c>
      <c r="K523" t="s">
        <v>108</v>
      </c>
    </row>
    <row r="524" spans="1:11" hidden="1" x14ac:dyDescent="0.3">
      <c r="A524" t="s">
        <v>29</v>
      </c>
      <c r="B524" t="s">
        <v>55</v>
      </c>
      <c r="C524" t="s">
        <v>86</v>
      </c>
      <c r="D524">
        <v>0.98170000000000002</v>
      </c>
      <c r="E524">
        <f>Tableau2[[#This Row],[Potential (PJ)]]/3.6</f>
        <v>0.27269444444444446</v>
      </c>
      <c r="F524">
        <v>13.085000000000001</v>
      </c>
      <c r="G524">
        <f>Tableau2[[#This Row],[Cost (€/GJ)]]/1000*3600</f>
        <v>47.106000000000002</v>
      </c>
      <c r="H524">
        <v>12.8</v>
      </c>
      <c r="I524">
        <f>Tableau2[[#This Row],[GHG (kgCO2eq/GJ)]]*3.6</f>
        <v>46.080000000000005</v>
      </c>
      <c r="J524" t="s">
        <v>106</v>
      </c>
      <c r="K524" t="s">
        <v>109</v>
      </c>
    </row>
    <row r="525" spans="1:11" hidden="1" x14ac:dyDescent="0.3">
      <c r="A525" t="s">
        <v>29</v>
      </c>
      <c r="B525" t="s">
        <v>55</v>
      </c>
      <c r="C525" t="s">
        <v>89</v>
      </c>
      <c r="D525">
        <v>2.7000000000000001E-3</v>
      </c>
      <c r="E525">
        <f>Tableau2[[#This Row],[Potential (PJ)]]/3.6</f>
        <v>7.5000000000000002E-4</v>
      </c>
      <c r="F525">
        <v>0</v>
      </c>
      <c r="G525">
        <f>Tableau2[[#This Row],[Cost (€/GJ)]]/1000*3600</f>
        <v>0</v>
      </c>
      <c r="H525">
        <v>12.8</v>
      </c>
      <c r="I525">
        <f>Tableau2[[#This Row],[GHG (kgCO2eq/GJ)]]*3.6</f>
        <v>46.080000000000005</v>
      </c>
      <c r="J525" t="s">
        <v>106</v>
      </c>
      <c r="K525" t="s">
        <v>109</v>
      </c>
    </row>
    <row r="526" spans="1:11" hidden="1" x14ac:dyDescent="0.3">
      <c r="A526" t="s">
        <v>29</v>
      </c>
      <c r="B526" t="s">
        <v>55</v>
      </c>
      <c r="C526" t="s">
        <v>90</v>
      </c>
      <c r="D526">
        <v>0.64090000000000003</v>
      </c>
      <c r="E526">
        <f>Tableau2[[#This Row],[Potential (PJ)]]/3.6</f>
        <v>0.17802777777777778</v>
      </c>
      <c r="F526">
        <v>15.222</v>
      </c>
      <c r="G526">
        <f>Tableau2[[#This Row],[Cost (€/GJ)]]/1000*3600</f>
        <v>54.799199999999999</v>
      </c>
      <c r="H526">
        <v>12.8</v>
      </c>
      <c r="I526">
        <f>Tableau2[[#This Row],[GHG (kgCO2eq/GJ)]]*3.6</f>
        <v>46.080000000000005</v>
      </c>
      <c r="J526" t="s">
        <v>106</v>
      </c>
      <c r="K526" t="s">
        <v>109</v>
      </c>
    </row>
    <row r="527" spans="1:11" hidden="1" x14ac:dyDescent="0.3">
      <c r="A527" t="s">
        <v>29</v>
      </c>
      <c r="B527" t="s">
        <v>55</v>
      </c>
      <c r="C527" t="s">
        <v>91</v>
      </c>
      <c r="D527">
        <v>0.4995</v>
      </c>
      <c r="E527">
        <f>Tableau2[[#This Row],[Potential (PJ)]]/3.6</f>
        <v>0.13874999999999998</v>
      </c>
      <c r="F527">
        <v>12.984</v>
      </c>
      <c r="G527">
        <f>Tableau2[[#This Row],[Cost (€/GJ)]]/1000*3600</f>
        <v>46.742400000000004</v>
      </c>
      <c r="H527">
        <v>12.8</v>
      </c>
      <c r="I527">
        <f>Tableau2[[#This Row],[GHG (kgCO2eq/GJ)]]*3.6</f>
        <v>46.080000000000005</v>
      </c>
      <c r="J527" t="s">
        <v>106</v>
      </c>
      <c r="K527" t="s">
        <v>109</v>
      </c>
    </row>
    <row r="528" spans="1:11" hidden="1" x14ac:dyDescent="0.3">
      <c r="A528" t="s">
        <v>29</v>
      </c>
      <c r="B528" t="s">
        <v>55</v>
      </c>
      <c r="C528" t="s">
        <v>92</v>
      </c>
      <c r="D528">
        <v>5.5552999999999999</v>
      </c>
      <c r="E528">
        <f>Tableau2[[#This Row],[Potential (PJ)]]/3.6</f>
        <v>1.5431388888888888</v>
      </c>
      <c r="F528">
        <v>15.595000000000001</v>
      </c>
      <c r="G528">
        <f>Tableau2[[#This Row],[Cost (€/GJ)]]/1000*3600</f>
        <v>56.142000000000003</v>
      </c>
      <c r="H528">
        <v>12.8</v>
      </c>
      <c r="I528">
        <f>Tableau2[[#This Row],[GHG (kgCO2eq/GJ)]]*3.6</f>
        <v>46.080000000000005</v>
      </c>
      <c r="J528" t="s">
        <v>106</v>
      </c>
      <c r="K528" t="s">
        <v>109</v>
      </c>
    </row>
    <row r="529" spans="1:11" hidden="1" x14ac:dyDescent="0.3">
      <c r="A529" t="s">
        <v>29</v>
      </c>
      <c r="B529" t="s">
        <v>47</v>
      </c>
      <c r="C529" t="s">
        <v>101</v>
      </c>
      <c r="D529">
        <v>2.1</v>
      </c>
      <c r="E529">
        <f>Tableau2[[#This Row],[Potential (PJ)]]/3.6</f>
        <v>0.58333333333333337</v>
      </c>
      <c r="F529">
        <v>3.0960000000000001</v>
      </c>
      <c r="G529">
        <f>Tableau2[[#This Row],[Cost (€/GJ)]]/1000*3600</f>
        <v>11.1456</v>
      </c>
      <c r="H529">
        <v>44</v>
      </c>
      <c r="I529">
        <f>Tableau2[[#This Row],[GHG (kgCO2eq/GJ)]]*3.6</f>
        <v>158.4</v>
      </c>
      <c r="J529" t="s">
        <v>104</v>
      </c>
      <c r="K529" t="s">
        <v>109</v>
      </c>
    </row>
    <row r="530" spans="1:11" hidden="1" x14ac:dyDescent="0.3">
      <c r="A530" t="s">
        <v>29</v>
      </c>
      <c r="B530" t="s">
        <v>57</v>
      </c>
      <c r="C530" t="s">
        <v>94</v>
      </c>
      <c r="D530">
        <v>1.7</v>
      </c>
      <c r="E530">
        <f>Tableau2[[#This Row],[Potential (PJ)]]/3.6</f>
        <v>0.47222222222222221</v>
      </c>
      <c r="F530">
        <v>8.6210000000000004</v>
      </c>
      <c r="G530">
        <f>Tableau2[[#This Row],[Cost (€/GJ)]]/1000*3600</f>
        <v>31.035600000000002</v>
      </c>
      <c r="H530">
        <v>19.899999999999999</v>
      </c>
      <c r="I530">
        <f>Tableau2[[#This Row],[GHG (kgCO2eq/GJ)]]*3.6</f>
        <v>71.64</v>
      </c>
      <c r="J530" t="s">
        <v>104</v>
      </c>
      <c r="K530" t="s">
        <v>109</v>
      </c>
    </row>
    <row r="531" spans="1:11" x14ac:dyDescent="0.3">
      <c r="A531" t="s">
        <v>29</v>
      </c>
      <c r="B531" t="s">
        <v>49</v>
      </c>
      <c r="C531" t="s">
        <v>71</v>
      </c>
      <c r="D531">
        <v>46.773339999999997</v>
      </c>
      <c r="E531">
        <f>Tableau2[[#This Row],[Potential (PJ)]]/3.6</f>
        <v>12.992594444444443</v>
      </c>
      <c r="F531">
        <v>0</v>
      </c>
      <c r="G531">
        <f>Tableau2[[#This Row],[Cost (€/GJ)]]/1000*3600</f>
        <v>0</v>
      </c>
      <c r="H531">
        <v>3.86607608129234</v>
      </c>
      <c r="I531">
        <f>Tableau2[[#This Row],[GHG (kgCO2eq/GJ)]]*3.6</f>
        <v>13.917873892652425</v>
      </c>
      <c r="J531" t="s">
        <v>104</v>
      </c>
      <c r="K531" t="s">
        <v>108</v>
      </c>
    </row>
    <row r="532" spans="1:11" x14ac:dyDescent="0.3">
      <c r="A532" t="s">
        <v>29</v>
      </c>
      <c r="B532" t="s">
        <v>49</v>
      </c>
      <c r="C532" t="s">
        <v>72</v>
      </c>
      <c r="D532">
        <v>5.0999999999999996</v>
      </c>
      <c r="E532">
        <f>Tableau2[[#This Row],[Potential (PJ)]]/3.6</f>
        <v>1.4166666666666665</v>
      </c>
      <c r="F532">
        <v>0</v>
      </c>
      <c r="G532">
        <f>Tableau2[[#This Row],[Cost (€/GJ)]]/1000*3600</f>
        <v>0</v>
      </c>
      <c r="H532">
        <v>3.86607608129234</v>
      </c>
      <c r="I532">
        <f>Tableau2[[#This Row],[GHG (kgCO2eq/GJ)]]*3.6</f>
        <v>13.917873892652425</v>
      </c>
      <c r="J532" t="s">
        <v>104</v>
      </c>
      <c r="K532" t="s">
        <v>108</v>
      </c>
    </row>
    <row r="533" spans="1:11" x14ac:dyDescent="0.3">
      <c r="A533" t="s">
        <v>29</v>
      </c>
      <c r="B533" t="s">
        <v>58</v>
      </c>
      <c r="C533" t="s">
        <v>95</v>
      </c>
      <c r="D533">
        <v>3.5757099999999999</v>
      </c>
      <c r="E533">
        <f>Tableau2[[#This Row],[Potential (PJ)]]/3.6</f>
        <v>0.99325277777777776</v>
      </c>
      <c r="F533">
        <v>2.4039999999999999</v>
      </c>
      <c r="G533">
        <f>Tableau2[[#This Row],[Cost (€/GJ)]]/1000*3600</f>
        <v>8.654399999999999</v>
      </c>
      <c r="H533">
        <v>2.9521711768407801</v>
      </c>
      <c r="I533">
        <f>Tableau2[[#This Row],[GHG (kgCO2eq/GJ)]]*3.6</f>
        <v>10.627816236626808</v>
      </c>
      <c r="J533" t="s">
        <v>104</v>
      </c>
      <c r="K533" t="s">
        <v>108</v>
      </c>
    </row>
    <row r="534" spans="1:11" hidden="1" x14ac:dyDescent="0.3">
      <c r="A534" t="s">
        <v>29</v>
      </c>
      <c r="B534" t="s">
        <v>50</v>
      </c>
      <c r="C534" t="s">
        <v>73</v>
      </c>
      <c r="D534">
        <v>0.3</v>
      </c>
      <c r="E534">
        <f>Tableau2[[#This Row],[Potential (PJ)]]/3.6</f>
        <v>8.3333333333333329E-2</v>
      </c>
      <c r="F534">
        <v>5.0090000000000003</v>
      </c>
      <c r="G534">
        <f>Tableau2[[#This Row],[Cost (€/GJ)]]/1000*3600</f>
        <v>18.032400000000003</v>
      </c>
      <c r="H534">
        <v>20.723404255319149</v>
      </c>
      <c r="I534">
        <f>Tableau2[[#This Row],[GHG (kgCO2eq/GJ)]]*3.6</f>
        <v>74.604255319148933</v>
      </c>
      <c r="J534" t="s">
        <v>105</v>
      </c>
      <c r="K534" t="s">
        <v>108</v>
      </c>
    </row>
    <row r="535" spans="1:11" hidden="1" x14ac:dyDescent="0.3">
      <c r="A535" t="s">
        <v>29</v>
      </c>
      <c r="B535" t="s">
        <v>50</v>
      </c>
      <c r="C535" t="s">
        <v>74</v>
      </c>
      <c r="D535">
        <v>8.1999999999999993</v>
      </c>
      <c r="E535">
        <f>Tableau2[[#This Row],[Potential (PJ)]]/3.6</f>
        <v>2.2777777777777777</v>
      </c>
      <c r="F535">
        <v>3.8330000000000002</v>
      </c>
      <c r="G535">
        <f>Tableau2[[#This Row],[Cost (€/GJ)]]/1000*3600</f>
        <v>13.7988</v>
      </c>
      <c r="H535">
        <v>2.0635593220338988</v>
      </c>
      <c r="I535">
        <f>Tableau2[[#This Row],[GHG (kgCO2eq/GJ)]]*3.6</f>
        <v>7.4288135593220357</v>
      </c>
      <c r="J535" t="s">
        <v>105</v>
      </c>
      <c r="K535" t="s">
        <v>108</v>
      </c>
    </row>
    <row r="536" spans="1:11" x14ac:dyDescent="0.3">
      <c r="A536" t="s">
        <v>29</v>
      </c>
      <c r="B536" t="s">
        <v>51</v>
      </c>
      <c r="C536" t="s">
        <v>75</v>
      </c>
      <c r="D536">
        <v>0.86754600000000004</v>
      </c>
      <c r="E536">
        <f>Tableau2[[#This Row],[Potential (PJ)]]/3.6</f>
        <v>0.240985</v>
      </c>
      <c r="F536">
        <v>1.3161399407409701E-4</v>
      </c>
      <c r="G536">
        <f>Tableau2[[#This Row],[Cost (€/GJ)]]/1000*3600</f>
        <v>4.7381037866674918E-4</v>
      </c>
      <c r="H536">
        <v>11.74</v>
      </c>
      <c r="I536">
        <f>Tableau2[[#This Row],[GHG (kgCO2eq/GJ)]]*3.6</f>
        <v>42.264000000000003</v>
      </c>
      <c r="J536" t="s">
        <v>104</v>
      </c>
      <c r="K536" t="s">
        <v>108</v>
      </c>
    </row>
    <row r="537" spans="1:11" hidden="1" x14ac:dyDescent="0.3">
      <c r="A537" t="s">
        <v>29</v>
      </c>
      <c r="B537" t="s">
        <v>60</v>
      </c>
      <c r="C537" t="s">
        <v>98</v>
      </c>
      <c r="D537">
        <v>0.28214</v>
      </c>
      <c r="E537">
        <f>Tableau2[[#This Row],[Potential (PJ)]]/3.6</f>
        <v>7.8372222222222218E-2</v>
      </c>
      <c r="F537">
        <v>16.058002148227711</v>
      </c>
      <c r="G537">
        <f>Tableau2[[#This Row],[Cost (€/GJ)]]/1000*3600</f>
        <v>57.808807733619751</v>
      </c>
      <c r="H537">
        <v>28.2</v>
      </c>
      <c r="I537">
        <f>Tableau2[[#This Row],[GHG (kgCO2eq/GJ)]]*3.6</f>
        <v>101.52</v>
      </c>
      <c r="J537" t="s">
        <v>107</v>
      </c>
      <c r="K537" t="s">
        <v>109</v>
      </c>
    </row>
    <row r="538" spans="1:11" hidden="1" x14ac:dyDescent="0.3">
      <c r="A538" t="s">
        <v>29</v>
      </c>
      <c r="B538" t="s">
        <v>52</v>
      </c>
      <c r="C538" t="s">
        <v>76</v>
      </c>
      <c r="D538">
        <v>1E-3</v>
      </c>
      <c r="E538">
        <f>Tableau2[[#This Row],[Potential (PJ)]]/3.6</f>
        <v>2.7777777777777778E-4</v>
      </c>
      <c r="F538">
        <v>5.4702337500000002</v>
      </c>
      <c r="G538">
        <f>Tableau2[[#This Row],[Cost (€/GJ)]]/1000*3600</f>
        <v>19.6928415</v>
      </c>
      <c r="H538">
        <v>12.68872359754714</v>
      </c>
      <c r="I538">
        <f>Tableau2[[#This Row],[GHG (kgCO2eq/GJ)]]*3.6</f>
        <v>45.679404951169708</v>
      </c>
      <c r="J538" t="s">
        <v>105</v>
      </c>
      <c r="K538" t="s">
        <v>108</v>
      </c>
    </row>
    <row r="539" spans="1:11" x14ac:dyDescent="0.3">
      <c r="A539" t="s">
        <v>29</v>
      </c>
      <c r="B539" t="s">
        <v>53</v>
      </c>
      <c r="C539" t="s">
        <v>77</v>
      </c>
      <c r="D539">
        <v>6.9</v>
      </c>
      <c r="E539">
        <f>Tableau2[[#This Row],[Potential (PJ)]]/3.6</f>
        <v>1.9166666666666667</v>
      </c>
      <c r="F539">
        <v>0</v>
      </c>
      <c r="G539">
        <f>Tableau2[[#This Row],[Cost (€/GJ)]]/1000*3600</f>
        <v>0</v>
      </c>
      <c r="H539">
        <v>3.86607608129234</v>
      </c>
      <c r="I539">
        <f>Tableau2[[#This Row],[GHG (kgCO2eq/GJ)]]*3.6</f>
        <v>13.917873892652425</v>
      </c>
      <c r="J539" t="s">
        <v>104</v>
      </c>
      <c r="K539" t="s">
        <v>108</v>
      </c>
    </row>
    <row r="540" spans="1:11" x14ac:dyDescent="0.3">
      <c r="A540" t="s">
        <v>29</v>
      </c>
      <c r="B540" t="s">
        <v>61</v>
      </c>
      <c r="C540" t="s">
        <v>99</v>
      </c>
      <c r="D540">
        <v>11.3</v>
      </c>
      <c r="E540">
        <f>Tableau2[[#This Row],[Potential (PJ)]]/3.6</f>
        <v>3.1388888888888888</v>
      </c>
      <c r="F540">
        <v>0</v>
      </c>
      <c r="G540">
        <f>Tableau2[[#This Row],[Cost (€/GJ)]]/1000*3600</f>
        <v>0</v>
      </c>
      <c r="H540">
        <v>2.9245635910224439</v>
      </c>
      <c r="I540">
        <f>Tableau2[[#This Row],[GHG (kgCO2eq/GJ)]]*3.6</f>
        <v>10.528428927680798</v>
      </c>
      <c r="J540" t="s">
        <v>104</v>
      </c>
      <c r="K540" t="s">
        <v>108</v>
      </c>
    </row>
    <row r="541" spans="1:11" x14ac:dyDescent="0.3">
      <c r="A541" t="s">
        <v>29</v>
      </c>
      <c r="B541" t="s">
        <v>62</v>
      </c>
      <c r="C541" t="s">
        <v>100</v>
      </c>
      <c r="D541">
        <v>4.9000000000000004</v>
      </c>
      <c r="E541">
        <f>Tableau2[[#This Row],[Potential (PJ)]]/3.6</f>
        <v>1.3611111111111112</v>
      </c>
      <c r="F541">
        <v>1.3</v>
      </c>
      <c r="G541">
        <f>Tableau2[[#This Row],[Cost (€/GJ)]]/1000*3600</f>
        <v>4.68</v>
      </c>
      <c r="H541">
        <v>2.6764106050305911</v>
      </c>
      <c r="I541">
        <f>Tableau2[[#This Row],[GHG (kgCO2eq/GJ)]]*3.6</f>
        <v>9.6350781781101276</v>
      </c>
      <c r="J541" t="s">
        <v>104</v>
      </c>
      <c r="K541" t="s">
        <v>108</v>
      </c>
    </row>
    <row r="542" spans="1:11" x14ac:dyDescent="0.3">
      <c r="A542" t="s">
        <v>29</v>
      </c>
      <c r="B542" t="s">
        <v>54</v>
      </c>
      <c r="C542" t="s">
        <v>78</v>
      </c>
      <c r="D542">
        <v>62.9</v>
      </c>
      <c r="E542">
        <f>Tableau2[[#This Row],[Potential (PJ)]]/3.6</f>
        <v>17.472222222222221</v>
      </c>
      <c r="F542">
        <v>0</v>
      </c>
      <c r="G542">
        <f>Tableau2[[#This Row],[Cost (€/GJ)]]/1000*3600</f>
        <v>0</v>
      </c>
      <c r="H542">
        <v>3.86607608129234</v>
      </c>
      <c r="I542">
        <f>Tableau2[[#This Row],[GHG (kgCO2eq/GJ)]]*3.6</f>
        <v>13.917873892652425</v>
      </c>
      <c r="J542" t="s">
        <v>104</v>
      </c>
      <c r="K542" t="s">
        <v>108</v>
      </c>
    </row>
    <row r="543" spans="1:11" hidden="1" x14ac:dyDescent="0.3">
      <c r="A543" t="s">
        <v>30</v>
      </c>
      <c r="B543" t="s">
        <v>46</v>
      </c>
      <c r="C543" t="s">
        <v>63</v>
      </c>
      <c r="D543">
        <v>2.7000000000000001E-3</v>
      </c>
      <c r="E543">
        <f>Tableau2[[#This Row],[Potential (PJ)]]/3.6</f>
        <v>7.5000000000000002E-4</v>
      </c>
      <c r="F543">
        <v>2.9286474973375931</v>
      </c>
      <c r="G543">
        <f>Tableau2[[#This Row],[Cost (€/GJ)]]/1000*3600</f>
        <v>10.543130990415335</v>
      </c>
      <c r="H543">
        <v>3.950479233226837</v>
      </c>
      <c r="I543">
        <f>Tableau2[[#This Row],[GHG (kgCO2eq/GJ)]]*3.6</f>
        <v>14.221725239616614</v>
      </c>
      <c r="J543" t="s">
        <v>104</v>
      </c>
      <c r="K543" t="s">
        <v>108</v>
      </c>
    </row>
    <row r="544" spans="1:11" hidden="1" x14ac:dyDescent="0.3">
      <c r="A544" t="s">
        <v>30</v>
      </c>
      <c r="B544" t="s">
        <v>46</v>
      </c>
      <c r="C544" t="s">
        <v>64</v>
      </c>
      <c r="D544">
        <v>2.5430000000000001E-2</v>
      </c>
      <c r="E544">
        <f>Tableau2[[#This Row],[Potential (PJ)]]/3.6</f>
        <v>7.0638888888888886E-3</v>
      </c>
      <c r="F544">
        <v>2.3010000000000002</v>
      </c>
      <c r="G544">
        <f>Tableau2[[#This Row],[Cost (€/GJ)]]/1000*3600</f>
        <v>8.2835999999999999</v>
      </c>
      <c r="H544">
        <v>2.9521711768407801</v>
      </c>
      <c r="I544">
        <f>Tableau2[[#This Row],[GHG (kgCO2eq/GJ)]]*3.6</f>
        <v>10.627816236626808</v>
      </c>
      <c r="J544" t="s">
        <v>104</v>
      </c>
      <c r="K544" t="s">
        <v>108</v>
      </c>
    </row>
    <row r="545" spans="1:11" hidden="1" x14ac:dyDescent="0.3">
      <c r="A545" t="s">
        <v>30</v>
      </c>
      <c r="B545" t="s">
        <v>47</v>
      </c>
      <c r="C545" t="s">
        <v>68</v>
      </c>
      <c r="D545">
        <v>1.5</v>
      </c>
      <c r="E545">
        <f>Tableau2[[#This Row],[Potential (PJ)]]/3.6</f>
        <v>0.41666666666666663</v>
      </c>
      <c r="F545">
        <v>3.9260000000000002</v>
      </c>
      <c r="G545">
        <f>Tableau2[[#This Row],[Cost (€/GJ)]]/1000*3600</f>
        <v>14.133599999999999</v>
      </c>
      <c r="H545">
        <v>14.1</v>
      </c>
      <c r="I545">
        <f>Tableau2[[#This Row],[GHG (kgCO2eq/GJ)]]*3.6</f>
        <v>50.76</v>
      </c>
      <c r="J545" t="s">
        <v>104</v>
      </c>
      <c r="K545" t="s">
        <v>109</v>
      </c>
    </row>
    <row r="546" spans="1:11" hidden="1" x14ac:dyDescent="0.3">
      <c r="A546" t="s">
        <v>30</v>
      </c>
      <c r="B546" t="s">
        <v>47</v>
      </c>
      <c r="C546" t="s">
        <v>69</v>
      </c>
      <c r="D546">
        <v>1</v>
      </c>
      <c r="E546">
        <f>Tableau2[[#This Row],[Potential (PJ)]]/3.6</f>
        <v>0.27777777777777779</v>
      </c>
      <c r="F546">
        <v>3.9169999999999998</v>
      </c>
      <c r="G546">
        <f>Tableau2[[#This Row],[Cost (€/GJ)]]/1000*3600</f>
        <v>14.101199999999999</v>
      </c>
      <c r="H546">
        <v>14.1</v>
      </c>
      <c r="I546">
        <f>Tableau2[[#This Row],[GHG (kgCO2eq/GJ)]]*3.6</f>
        <v>50.76</v>
      </c>
      <c r="J546" t="s">
        <v>104</v>
      </c>
      <c r="K546" t="s">
        <v>109</v>
      </c>
    </row>
    <row r="547" spans="1:11" hidden="1" x14ac:dyDescent="0.3">
      <c r="A547" t="s">
        <v>30</v>
      </c>
      <c r="B547" t="s">
        <v>48</v>
      </c>
      <c r="C547" t="s">
        <v>70</v>
      </c>
      <c r="D547">
        <v>0.5</v>
      </c>
      <c r="E547">
        <f>Tableau2[[#This Row],[Potential (PJ)]]/3.6</f>
        <v>0.1388888888888889</v>
      </c>
      <c r="F547">
        <v>10.117000000000001</v>
      </c>
      <c r="G547">
        <f>Tableau2[[#This Row],[Cost (€/GJ)]]/1000*3600</f>
        <v>36.421200000000006</v>
      </c>
      <c r="H547">
        <v>0</v>
      </c>
      <c r="I547">
        <f>Tableau2[[#This Row],[GHG (kgCO2eq/GJ)]]*3.6</f>
        <v>0</v>
      </c>
      <c r="J547" t="s">
        <v>104</v>
      </c>
      <c r="K547" t="s">
        <v>109</v>
      </c>
    </row>
    <row r="548" spans="1:11" x14ac:dyDescent="0.3">
      <c r="A548" t="s">
        <v>30</v>
      </c>
      <c r="B548" t="s">
        <v>49</v>
      </c>
      <c r="C548" t="s">
        <v>72</v>
      </c>
      <c r="D548">
        <v>1</v>
      </c>
      <c r="E548">
        <f>Tableau2[[#This Row],[Potential (PJ)]]/3.6</f>
        <v>0.27777777777777779</v>
      </c>
      <c r="F548">
        <v>1.2609999999999999</v>
      </c>
      <c r="G548">
        <f>Tableau2[[#This Row],[Cost (€/GJ)]]/1000*3600</f>
        <v>4.5396000000000001</v>
      </c>
      <c r="H548">
        <v>3.86607608129234</v>
      </c>
      <c r="I548">
        <f>Tableau2[[#This Row],[GHG (kgCO2eq/GJ)]]*3.6</f>
        <v>13.917873892652425</v>
      </c>
      <c r="J548" t="s">
        <v>104</v>
      </c>
      <c r="K548" t="s">
        <v>108</v>
      </c>
    </row>
    <row r="549" spans="1:11" hidden="1" x14ac:dyDescent="0.3">
      <c r="A549" t="s">
        <v>30</v>
      </c>
      <c r="B549" t="s">
        <v>50</v>
      </c>
      <c r="C549" t="s">
        <v>73</v>
      </c>
      <c r="D549">
        <v>0.1</v>
      </c>
      <c r="E549">
        <f>Tableau2[[#This Row],[Potential (PJ)]]/3.6</f>
        <v>2.777777777777778E-2</v>
      </c>
      <c r="F549">
        <v>4.8520000000000003</v>
      </c>
      <c r="G549">
        <f>Tableau2[[#This Row],[Cost (€/GJ)]]/1000*3600</f>
        <v>17.467200000000002</v>
      </c>
      <c r="H549">
        <v>20.723404255319149</v>
      </c>
      <c r="I549">
        <f>Tableau2[[#This Row],[GHG (kgCO2eq/GJ)]]*3.6</f>
        <v>74.604255319148933</v>
      </c>
      <c r="J549" t="s">
        <v>105</v>
      </c>
      <c r="K549" t="s">
        <v>108</v>
      </c>
    </row>
    <row r="550" spans="1:11" hidden="1" x14ac:dyDescent="0.3">
      <c r="A550" t="s">
        <v>30</v>
      </c>
      <c r="B550" t="s">
        <v>50</v>
      </c>
      <c r="C550" t="s">
        <v>74</v>
      </c>
      <c r="D550">
        <v>0.2</v>
      </c>
      <c r="E550">
        <f>Tableau2[[#This Row],[Potential (PJ)]]/3.6</f>
        <v>5.5555555555555559E-2</v>
      </c>
      <c r="F550">
        <v>3.3919999999999999</v>
      </c>
      <c r="G550">
        <f>Tableau2[[#This Row],[Cost (€/GJ)]]/1000*3600</f>
        <v>12.2112</v>
      </c>
      <c r="H550">
        <v>2.0635593220338988</v>
      </c>
      <c r="I550">
        <f>Tableau2[[#This Row],[GHG (kgCO2eq/GJ)]]*3.6</f>
        <v>7.4288135593220357</v>
      </c>
      <c r="J550" t="s">
        <v>105</v>
      </c>
      <c r="K550" t="s">
        <v>108</v>
      </c>
    </row>
    <row r="551" spans="1:11" x14ac:dyDescent="0.3">
      <c r="A551" t="s">
        <v>30</v>
      </c>
      <c r="B551" t="s">
        <v>51</v>
      </c>
      <c r="C551" t="s">
        <v>75</v>
      </c>
      <c r="D551">
        <v>0</v>
      </c>
      <c r="E551">
        <f>Tableau2[[#This Row],[Potential (PJ)]]/3.6</f>
        <v>0</v>
      </c>
      <c r="F551">
        <v>8.9872161086532704E-2</v>
      </c>
      <c r="G551">
        <f>Tableau2[[#This Row],[Cost (€/GJ)]]/1000*3600</f>
        <v>0.32353977991151772</v>
      </c>
      <c r="H551">
        <v>11.74</v>
      </c>
      <c r="I551">
        <f>Tableau2[[#This Row],[GHG (kgCO2eq/GJ)]]*3.6</f>
        <v>42.264000000000003</v>
      </c>
      <c r="J551" t="s">
        <v>104</v>
      </c>
      <c r="K551" t="s">
        <v>108</v>
      </c>
    </row>
    <row r="552" spans="1:11" x14ac:dyDescent="0.3">
      <c r="A552" t="s">
        <v>30</v>
      </c>
      <c r="B552" t="s">
        <v>53</v>
      </c>
      <c r="C552" t="s">
        <v>77</v>
      </c>
      <c r="D552">
        <v>2.7</v>
      </c>
      <c r="E552">
        <f>Tableau2[[#This Row],[Potential (PJ)]]/3.6</f>
        <v>0.75</v>
      </c>
      <c r="F552">
        <v>1.2609999999999999</v>
      </c>
      <c r="G552">
        <f>Tableau2[[#This Row],[Cost (€/GJ)]]/1000*3600</f>
        <v>4.5396000000000001</v>
      </c>
      <c r="H552">
        <v>3.86607608129234</v>
      </c>
      <c r="I552">
        <f>Tableau2[[#This Row],[GHG (kgCO2eq/GJ)]]*3.6</f>
        <v>13.917873892652425</v>
      </c>
      <c r="J552" t="s">
        <v>104</v>
      </c>
      <c r="K552" t="s">
        <v>108</v>
      </c>
    </row>
    <row r="553" spans="1:11" hidden="1" x14ac:dyDescent="0.3">
      <c r="A553" t="s">
        <v>31</v>
      </c>
      <c r="B553" t="s">
        <v>46</v>
      </c>
      <c r="C553" t="s">
        <v>63</v>
      </c>
      <c r="D553">
        <v>7.4999999999999997E-3</v>
      </c>
      <c r="E553">
        <f>Tableau2[[#This Row],[Potential (PJ)]]/3.6</f>
        <v>2.0833333333333333E-3</v>
      </c>
      <c r="F553">
        <v>2.9286474973375931</v>
      </c>
      <c r="G553">
        <f>Tableau2[[#This Row],[Cost (€/GJ)]]/1000*3600</f>
        <v>10.543130990415335</v>
      </c>
      <c r="H553">
        <v>3.950479233226837</v>
      </c>
      <c r="I553">
        <f>Tableau2[[#This Row],[GHG (kgCO2eq/GJ)]]*3.6</f>
        <v>14.221725239616614</v>
      </c>
      <c r="J553" t="s">
        <v>104</v>
      </c>
      <c r="K553" t="s">
        <v>108</v>
      </c>
    </row>
    <row r="554" spans="1:11" hidden="1" x14ac:dyDescent="0.3">
      <c r="A554" t="s">
        <v>31</v>
      </c>
      <c r="B554" t="s">
        <v>46</v>
      </c>
      <c r="C554" t="s">
        <v>64</v>
      </c>
      <c r="D554">
        <v>0.23838000000000001</v>
      </c>
      <c r="E554">
        <f>Tableau2[[#This Row],[Potential (PJ)]]/3.6</f>
        <v>6.6216666666666674E-2</v>
      </c>
      <c r="F554">
        <v>1.9670000000000001</v>
      </c>
      <c r="G554">
        <f>Tableau2[[#This Row],[Cost (€/GJ)]]/1000*3600</f>
        <v>7.0811999999999999</v>
      </c>
      <c r="H554">
        <v>2.9521711768407801</v>
      </c>
      <c r="I554">
        <f>Tableau2[[#This Row],[GHG (kgCO2eq/GJ)]]*3.6</f>
        <v>10.627816236626808</v>
      </c>
      <c r="J554" t="s">
        <v>104</v>
      </c>
      <c r="K554" t="s">
        <v>108</v>
      </c>
    </row>
    <row r="555" spans="1:11" hidden="1" x14ac:dyDescent="0.3">
      <c r="A555" t="s">
        <v>31</v>
      </c>
      <c r="B555" t="s">
        <v>46</v>
      </c>
      <c r="C555" t="s">
        <v>79</v>
      </c>
      <c r="D555">
        <v>0.7</v>
      </c>
      <c r="E555">
        <f>Tableau2[[#This Row],[Potential (PJ)]]/3.6</f>
        <v>0.19444444444444442</v>
      </c>
      <c r="F555">
        <v>0</v>
      </c>
      <c r="G555">
        <f>Tableau2[[#This Row],[Cost (€/GJ)]]/1000*3600</f>
        <v>0</v>
      </c>
      <c r="H555">
        <v>6.8428961748633883</v>
      </c>
      <c r="I555">
        <f>Tableau2[[#This Row],[GHG (kgCO2eq/GJ)]]*3.6</f>
        <v>24.634426229508197</v>
      </c>
      <c r="J555" t="s">
        <v>104</v>
      </c>
      <c r="K555" t="s">
        <v>108</v>
      </c>
    </row>
    <row r="556" spans="1:11" hidden="1" x14ac:dyDescent="0.3">
      <c r="A556" t="s">
        <v>31</v>
      </c>
      <c r="B556" t="s">
        <v>46</v>
      </c>
      <c r="C556" t="s">
        <v>65</v>
      </c>
      <c r="D556">
        <v>0.3</v>
      </c>
      <c r="E556">
        <f>Tableau2[[#This Row],[Potential (PJ)]]/3.6</f>
        <v>8.3333333333333329E-2</v>
      </c>
      <c r="F556">
        <v>4.3559999999999999</v>
      </c>
      <c r="G556">
        <f>Tableau2[[#This Row],[Cost (€/GJ)]]/1000*3600</f>
        <v>15.6816</v>
      </c>
      <c r="H556">
        <v>2.9521711768407801</v>
      </c>
      <c r="I556">
        <f>Tableau2[[#This Row],[GHG (kgCO2eq/GJ)]]*3.6</f>
        <v>10.627816236626808</v>
      </c>
      <c r="J556" t="s">
        <v>104</v>
      </c>
      <c r="K556" t="s">
        <v>108</v>
      </c>
    </row>
    <row r="557" spans="1:11" hidden="1" x14ac:dyDescent="0.3">
      <c r="A557" t="s">
        <v>31</v>
      </c>
      <c r="B557" t="s">
        <v>46</v>
      </c>
      <c r="C557" t="s">
        <v>66</v>
      </c>
      <c r="D557">
        <v>0.3</v>
      </c>
      <c r="E557">
        <f>Tableau2[[#This Row],[Potential (PJ)]]/3.6</f>
        <v>8.3333333333333329E-2</v>
      </c>
      <c r="F557">
        <v>0</v>
      </c>
      <c r="G557">
        <f>Tableau2[[#This Row],[Cost (€/GJ)]]/1000*3600</f>
        <v>0</v>
      </c>
      <c r="H557">
        <v>6.8428961748633883</v>
      </c>
      <c r="I557">
        <f>Tableau2[[#This Row],[GHG (kgCO2eq/GJ)]]*3.6</f>
        <v>24.634426229508197</v>
      </c>
      <c r="J557" t="s">
        <v>104</v>
      </c>
      <c r="K557" t="s">
        <v>108</v>
      </c>
    </row>
    <row r="558" spans="1:11" hidden="1" x14ac:dyDescent="0.3">
      <c r="A558" t="s">
        <v>31</v>
      </c>
      <c r="B558" t="s">
        <v>46</v>
      </c>
      <c r="C558" t="s">
        <v>83</v>
      </c>
      <c r="D558">
        <v>5.0729999999999997E-2</v>
      </c>
      <c r="E558">
        <f>Tableau2[[#This Row],[Potential (PJ)]]/3.6</f>
        <v>1.4091666666666666E-2</v>
      </c>
      <c r="F558">
        <v>0</v>
      </c>
      <c r="G558">
        <f>Tableau2[[#This Row],[Cost (€/GJ)]]/1000*3600</f>
        <v>0</v>
      </c>
      <c r="H558">
        <v>6.8428961748633883</v>
      </c>
      <c r="I558">
        <f>Tableau2[[#This Row],[GHG (kgCO2eq/GJ)]]*3.6</f>
        <v>24.634426229508197</v>
      </c>
      <c r="J558" t="s">
        <v>104</v>
      </c>
      <c r="K558" t="s">
        <v>108</v>
      </c>
    </row>
    <row r="559" spans="1:11" hidden="1" x14ac:dyDescent="0.3">
      <c r="A559" t="s">
        <v>31</v>
      </c>
      <c r="B559" t="s">
        <v>46</v>
      </c>
      <c r="C559" t="s">
        <v>85</v>
      </c>
      <c r="D559">
        <v>0.1</v>
      </c>
      <c r="E559">
        <f>Tableau2[[#This Row],[Potential (PJ)]]/3.6</f>
        <v>2.777777777777778E-2</v>
      </c>
      <c r="F559">
        <v>4.0739999999999998</v>
      </c>
      <c r="G559">
        <f>Tableau2[[#This Row],[Cost (€/GJ)]]/1000*3600</f>
        <v>14.666399999999998</v>
      </c>
      <c r="H559">
        <v>2.9521711768407801</v>
      </c>
      <c r="I559">
        <f>Tableau2[[#This Row],[GHG (kgCO2eq/GJ)]]*3.6</f>
        <v>10.627816236626808</v>
      </c>
      <c r="J559" t="s">
        <v>104</v>
      </c>
      <c r="K559" t="s">
        <v>108</v>
      </c>
    </row>
    <row r="560" spans="1:11" hidden="1" x14ac:dyDescent="0.3">
      <c r="A560" t="s">
        <v>31</v>
      </c>
      <c r="B560" t="s">
        <v>47</v>
      </c>
      <c r="C560" t="s">
        <v>68</v>
      </c>
      <c r="D560">
        <v>10.6</v>
      </c>
      <c r="E560">
        <f>Tableau2[[#This Row],[Potential (PJ)]]/3.6</f>
        <v>2.9444444444444442</v>
      </c>
      <c r="F560">
        <v>3.9260000000000002</v>
      </c>
      <c r="G560">
        <f>Tableau2[[#This Row],[Cost (€/GJ)]]/1000*3600</f>
        <v>14.133599999999999</v>
      </c>
      <c r="H560">
        <v>14.1</v>
      </c>
      <c r="I560">
        <f>Tableau2[[#This Row],[GHG (kgCO2eq/GJ)]]*3.6</f>
        <v>50.76</v>
      </c>
      <c r="J560" t="s">
        <v>104</v>
      </c>
      <c r="K560" t="s">
        <v>109</v>
      </c>
    </row>
    <row r="561" spans="1:11" hidden="1" x14ac:dyDescent="0.3">
      <c r="A561" t="s">
        <v>31</v>
      </c>
      <c r="B561" t="s">
        <v>47</v>
      </c>
      <c r="C561" t="s">
        <v>69</v>
      </c>
      <c r="D561">
        <v>7.4</v>
      </c>
      <c r="E561">
        <f>Tableau2[[#This Row],[Potential (PJ)]]/3.6</f>
        <v>2.0555555555555558</v>
      </c>
      <c r="F561">
        <v>3.9169999999999998</v>
      </c>
      <c r="G561">
        <f>Tableau2[[#This Row],[Cost (€/GJ)]]/1000*3600</f>
        <v>14.101199999999999</v>
      </c>
      <c r="H561">
        <v>14.1</v>
      </c>
      <c r="I561">
        <f>Tableau2[[#This Row],[GHG (kgCO2eq/GJ)]]*3.6</f>
        <v>50.76</v>
      </c>
      <c r="J561" t="s">
        <v>104</v>
      </c>
      <c r="K561" t="s">
        <v>109</v>
      </c>
    </row>
    <row r="562" spans="1:11" hidden="1" x14ac:dyDescent="0.3">
      <c r="A562" t="s">
        <v>31</v>
      </c>
      <c r="B562" t="s">
        <v>48</v>
      </c>
      <c r="C562" t="s">
        <v>70</v>
      </c>
      <c r="D562">
        <v>3.9</v>
      </c>
      <c r="E562">
        <f>Tableau2[[#This Row],[Potential (PJ)]]/3.6</f>
        <v>1.0833333333333333</v>
      </c>
      <c r="F562">
        <v>10.117000000000001</v>
      </c>
      <c r="G562">
        <f>Tableau2[[#This Row],[Cost (€/GJ)]]/1000*3600</f>
        <v>36.421200000000006</v>
      </c>
      <c r="H562">
        <v>0</v>
      </c>
      <c r="I562">
        <f>Tableau2[[#This Row],[GHG (kgCO2eq/GJ)]]*3.6</f>
        <v>0</v>
      </c>
      <c r="J562" t="s">
        <v>104</v>
      </c>
      <c r="K562" t="s">
        <v>109</v>
      </c>
    </row>
    <row r="563" spans="1:11" x14ac:dyDescent="0.3">
      <c r="A563" t="s">
        <v>31</v>
      </c>
      <c r="B563" t="s">
        <v>49</v>
      </c>
      <c r="C563" t="s">
        <v>71</v>
      </c>
      <c r="D563">
        <v>0.85406000000000004</v>
      </c>
      <c r="E563">
        <f>Tableau2[[#This Row],[Potential (PJ)]]/3.6</f>
        <v>0.23723888888888889</v>
      </c>
      <c r="F563">
        <v>0</v>
      </c>
      <c r="G563">
        <f>Tableau2[[#This Row],[Cost (€/GJ)]]/1000*3600</f>
        <v>0</v>
      </c>
      <c r="H563">
        <v>3.86607608129234</v>
      </c>
      <c r="I563">
        <f>Tableau2[[#This Row],[GHG (kgCO2eq/GJ)]]*3.6</f>
        <v>13.917873892652425</v>
      </c>
      <c r="J563" t="s">
        <v>104</v>
      </c>
      <c r="K563" t="s">
        <v>108</v>
      </c>
    </row>
    <row r="564" spans="1:11" x14ac:dyDescent="0.3">
      <c r="A564" t="s">
        <v>31</v>
      </c>
      <c r="B564" t="s">
        <v>49</v>
      </c>
      <c r="C564" t="s">
        <v>72</v>
      </c>
      <c r="D564">
        <v>1.3</v>
      </c>
      <c r="E564">
        <f>Tableau2[[#This Row],[Potential (PJ)]]/3.6</f>
        <v>0.3611111111111111</v>
      </c>
      <c r="F564">
        <v>0</v>
      </c>
      <c r="G564">
        <f>Tableau2[[#This Row],[Cost (€/GJ)]]/1000*3600</f>
        <v>0</v>
      </c>
      <c r="H564">
        <v>3.86607608129234</v>
      </c>
      <c r="I564">
        <f>Tableau2[[#This Row],[GHG (kgCO2eq/GJ)]]*3.6</f>
        <v>13.917873892652425</v>
      </c>
      <c r="J564" t="s">
        <v>104</v>
      </c>
      <c r="K564" t="s">
        <v>108</v>
      </c>
    </row>
    <row r="565" spans="1:11" hidden="1" x14ac:dyDescent="0.3">
      <c r="A565" t="s">
        <v>31</v>
      </c>
      <c r="B565" t="s">
        <v>50</v>
      </c>
      <c r="C565" t="s">
        <v>73</v>
      </c>
      <c r="D565">
        <v>0.2</v>
      </c>
      <c r="E565">
        <f>Tableau2[[#This Row],[Potential (PJ)]]/3.6</f>
        <v>5.5555555555555559E-2</v>
      </c>
      <c r="F565">
        <v>4.7309999999999999</v>
      </c>
      <c r="G565">
        <f>Tableau2[[#This Row],[Cost (€/GJ)]]/1000*3600</f>
        <v>17.031600000000001</v>
      </c>
      <c r="H565">
        <v>20.723404255319149</v>
      </c>
      <c r="I565">
        <f>Tableau2[[#This Row],[GHG (kgCO2eq/GJ)]]*3.6</f>
        <v>74.604255319148933</v>
      </c>
      <c r="J565" t="s">
        <v>105</v>
      </c>
      <c r="K565" t="s">
        <v>108</v>
      </c>
    </row>
    <row r="566" spans="1:11" hidden="1" x14ac:dyDescent="0.3">
      <c r="A566" t="s">
        <v>31</v>
      </c>
      <c r="B566" t="s">
        <v>50</v>
      </c>
      <c r="C566" t="s">
        <v>74</v>
      </c>
      <c r="D566">
        <v>0.5</v>
      </c>
      <c r="E566">
        <f>Tableau2[[#This Row],[Potential (PJ)]]/3.6</f>
        <v>0.1388888888888889</v>
      </c>
      <c r="F566">
        <v>3.3919999999999999</v>
      </c>
      <c r="G566">
        <f>Tableau2[[#This Row],[Cost (€/GJ)]]/1000*3600</f>
        <v>12.2112</v>
      </c>
      <c r="H566">
        <v>2.0635593220338988</v>
      </c>
      <c r="I566">
        <f>Tableau2[[#This Row],[GHG (kgCO2eq/GJ)]]*3.6</f>
        <v>7.4288135593220357</v>
      </c>
      <c r="J566" t="s">
        <v>105</v>
      </c>
      <c r="K566" t="s">
        <v>108</v>
      </c>
    </row>
    <row r="567" spans="1:11" x14ac:dyDescent="0.3">
      <c r="A567" t="s">
        <v>31</v>
      </c>
      <c r="B567" t="s">
        <v>51</v>
      </c>
      <c r="C567" t="s">
        <v>75</v>
      </c>
      <c r="D567">
        <v>1.3458019999999999</v>
      </c>
      <c r="E567">
        <f>Tableau2[[#This Row],[Potential (PJ)]]/3.6</f>
        <v>0.37383388888888885</v>
      </c>
      <c r="F567">
        <v>3.1549936199090398E-2</v>
      </c>
      <c r="G567">
        <f>Tableau2[[#This Row],[Cost (€/GJ)]]/1000*3600</f>
        <v>0.11357977031672543</v>
      </c>
      <c r="H567">
        <v>11.74</v>
      </c>
      <c r="I567">
        <f>Tableau2[[#This Row],[GHG (kgCO2eq/GJ)]]*3.6</f>
        <v>42.264000000000003</v>
      </c>
      <c r="J567" t="s">
        <v>104</v>
      </c>
      <c r="K567" t="s">
        <v>108</v>
      </c>
    </row>
    <row r="568" spans="1:11" hidden="1" x14ac:dyDescent="0.3">
      <c r="A568" t="s">
        <v>31</v>
      </c>
      <c r="B568" t="s">
        <v>52</v>
      </c>
      <c r="C568" t="s">
        <v>76</v>
      </c>
      <c r="D568">
        <v>1.2999999999999999E-2</v>
      </c>
      <c r="E568">
        <f>Tableau2[[#This Row],[Potential (PJ)]]/3.6</f>
        <v>3.6111111111111109E-3</v>
      </c>
      <c r="F568">
        <v>5.4702337500000002</v>
      </c>
      <c r="G568">
        <f>Tableau2[[#This Row],[Cost (€/GJ)]]/1000*3600</f>
        <v>19.6928415</v>
      </c>
      <c r="H568">
        <v>12.68872359754714</v>
      </c>
      <c r="I568">
        <f>Tableau2[[#This Row],[GHG (kgCO2eq/GJ)]]*3.6</f>
        <v>45.679404951169708</v>
      </c>
      <c r="J568" t="s">
        <v>105</v>
      </c>
      <c r="K568" t="s">
        <v>108</v>
      </c>
    </row>
    <row r="569" spans="1:11" x14ac:dyDescent="0.3">
      <c r="A569" t="s">
        <v>31</v>
      </c>
      <c r="B569" t="s">
        <v>53</v>
      </c>
      <c r="C569" t="s">
        <v>77</v>
      </c>
      <c r="D569">
        <v>4.5</v>
      </c>
      <c r="E569">
        <f>Tableau2[[#This Row],[Potential (PJ)]]/3.6</f>
        <v>1.25</v>
      </c>
      <c r="F569">
        <v>0</v>
      </c>
      <c r="G569">
        <f>Tableau2[[#This Row],[Cost (€/GJ)]]/1000*3600</f>
        <v>0</v>
      </c>
      <c r="H569">
        <v>3.86607608129234</v>
      </c>
      <c r="I569">
        <f>Tableau2[[#This Row],[GHG (kgCO2eq/GJ)]]*3.6</f>
        <v>13.917873892652425</v>
      </c>
      <c r="J569" t="s">
        <v>104</v>
      </c>
      <c r="K569" t="s">
        <v>108</v>
      </c>
    </row>
    <row r="570" spans="1:11" x14ac:dyDescent="0.3">
      <c r="A570" t="s">
        <v>31</v>
      </c>
      <c r="B570" t="s">
        <v>54</v>
      </c>
      <c r="C570" t="s">
        <v>78</v>
      </c>
      <c r="D570">
        <v>2.9</v>
      </c>
      <c r="E570">
        <f>Tableau2[[#This Row],[Potential (PJ)]]/3.6</f>
        <v>0.80555555555555547</v>
      </c>
      <c r="F570">
        <v>0</v>
      </c>
      <c r="G570">
        <f>Tableau2[[#This Row],[Cost (€/GJ)]]/1000*3600</f>
        <v>0</v>
      </c>
      <c r="H570">
        <v>3.86607608129234</v>
      </c>
      <c r="I570">
        <f>Tableau2[[#This Row],[GHG (kgCO2eq/GJ)]]*3.6</f>
        <v>13.917873892652425</v>
      </c>
      <c r="J570" t="s">
        <v>104</v>
      </c>
      <c r="K570" t="s">
        <v>108</v>
      </c>
    </row>
    <row r="571" spans="1:11" hidden="1" x14ac:dyDescent="0.3">
      <c r="A571" t="s">
        <v>32</v>
      </c>
      <c r="B571" t="s">
        <v>46</v>
      </c>
      <c r="C571" t="s">
        <v>103</v>
      </c>
      <c r="D571">
        <v>1.1622E-2</v>
      </c>
      <c r="E571">
        <f>Tableau2[[#This Row],[Potential (PJ)]]/3.6</f>
        <v>3.2283333333333335E-3</v>
      </c>
      <c r="F571">
        <v>0</v>
      </c>
      <c r="G571">
        <f>Tableau2[[#This Row],[Cost (€/GJ)]]/1000*3600</f>
        <v>0</v>
      </c>
      <c r="I571">
        <f>Tableau2[[#This Row],[GHG (kgCO2eq/GJ)]]*3.6</f>
        <v>0</v>
      </c>
    </row>
    <row r="572" spans="1:11" hidden="1" x14ac:dyDescent="0.3">
      <c r="A572" t="s">
        <v>32</v>
      </c>
      <c r="B572" t="s">
        <v>58</v>
      </c>
      <c r="C572" t="s">
        <v>103</v>
      </c>
      <c r="D572">
        <v>2.7331000000000001E-2</v>
      </c>
      <c r="E572">
        <f>Tableau2[[#This Row],[Potential (PJ)]]/3.6</f>
        <v>7.5919444444444446E-3</v>
      </c>
      <c r="F572">
        <v>0</v>
      </c>
      <c r="G572">
        <f>Tableau2[[#This Row],[Cost (€/GJ)]]/1000*3600</f>
        <v>0</v>
      </c>
      <c r="I572">
        <f>Tableau2[[#This Row],[GHG (kgCO2eq/GJ)]]*3.6</f>
        <v>0</v>
      </c>
    </row>
    <row r="573" spans="1:11" hidden="1" x14ac:dyDescent="0.3">
      <c r="A573" t="s">
        <v>32</v>
      </c>
      <c r="B573" t="s">
        <v>50</v>
      </c>
      <c r="C573" t="s">
        <v>103</v>
      </c>
      <c r="D573">
        <v>0.40701599999999999</v>
      </c>
      <c r="E573">
        <f>Tableau2[[#This Row],[Potential (PJ)]]/3.6</f>
        <v>0.11305999999999999</v>
      </c>
      <c r="F573">
        <v>0</v>
      </c>
      <c r="G573">
        <f>Tableau2[[#This Row],[Cost (€/GJ)]]/1000*3600</f>
        <v>0</v>
      </c>
      <c r="I573">
        <f>Tableau2[[#This Row],[GHG (kgCO2eq/GJ)]]*3.6</f>
        <v>0</v>
      </c>
    </row>
    <row r="574" spans="1:11" x14ac:dyDescent="0.3">
      <c r="A574" t="s">
        <v>32</v>
      </c>
      <c r="B574" t="s">
        <v>51</v>
      </c>
      <c r="C574" t="s">
        <v>75</v>
      </c>
      <c r="D574">
        <v>5.350797</v>
      </c>
      <c r="E574">
        <f>Tableau2[[#This Row],[Potential (PJ)]]/3.6</f>
        <v>1.4863325000000001</v>
      </c>
      <c r="F574">
        <v>1.8670592803009201E-5</v>
      </c>
      <c r="G574">
        <f>Tableau2[[#This Row],[Cost (€/GJ)]]/1000*3600</f>
        <v>6.721413409083312E-5</v>
      </c>
      <c r="H574">
        <v>11.74</v>
      </c>
      <c r="I574">
        <f>Tableau2[[#This Row],[GHG (kgCO2eq/GJ)]]*3.6</f>
        <v>42.264000000000003</v>
      </c>
      <c r="J574" t="s">
        <v>104</v>
      </c>
      <c r="K574" t="s">
        <v>108</v>
      </c>
    </row>
    <row r="575" spans="1:11" hidden="1" x14ac:dyDescent="0.3">
      <c r="A575" t="s">
        <v>33</v>
      </c>
      <c r="B575" t="s">
        <v>46</v>
      </c>
      <c r="C575" t="s">
        <v>64</v>
      </c>
      <c r="D575">
        <v>8.3639999999999992E-2</v>
      </c>
      <c r="E575">
        <f>Tableau2[[#This Row],[Potential (PJ)]]/3.6</f>
        <v>2.3233333333333332E-2</v>
      </c>
      <c r="F575">
        <v>4.7102959110473464</v>
      </c>
      <c r="G575">
        <f>Tableau2[[#This Row],[Cost (€/GJ)]]/1000*3600</f>
        <v>16.957065279770447</v>
      </c>
      <c r="H575">
        <v>2.9521711768407801</v>
      </c>
      <c r="I575">
        <f>Tableau2[[#This Row],[GHG (kgCO2eq/GJ)]]*3.6</f>
        <v>10.627816236626808</v>
      </c>
      <c r="J575" t="s">
        <v>104</v>
      </c>
      <c r="K575" t="s">
        <v>108</v>
      </c>
    </row>
    <row r="576" spans="1:11" hidden="1" x14ac:dyDescent="0.3">
      <c r="A576" t="s">
        <v>33</v>
      </c>
      <c r="B576" t="s">
        <v>46</v>
      </c>
      <c r="C576" t="s">
        <v>79</v>
      </c>
      <c r="D576">
        <v>1</v>
      </c>
      <c r="E576">
        <f>Tableau2[[#This Row],[Potential (PJ)]]/3.6</f>
        <v>0.27777777777777779</v>
      </c>
      <c r="F576">
        <v>5.2076000000000011</v>
      </c>
      <c r="G576">
        <f>Tableau2[[#This Row],[Cost (€/GJ)]]/1000*3600</f>
        <v>18.747360000000004</v>
      </c>
      <c r="H576">
        <v>6.8428961748633883</v>
      </c>
      <c r="I576">
        <f>Tableau2[[#This Row],[GHG (kgCO2eq/GJ)]]*3.6</f>
        <v>24.634426229508197</v>
      </c>
      <c r="J576" t="s">
        <v>104</v>
      </c>
      <c r="K576" t="s">
        <v>108</v>
      </c>
    </row>
    <row r="577" spans="1:11" hidden="1" x14ac:dyDescent="0.3">
      <c r="A577" t="s">
        <v>33</v>
      </c>
      <c r="B577" t="s">
        <v>46</v>
      </c>
      <c r="C577" t="s">
        <v>80</v>
      </c>
      <c r="D577">
        <v>1.4332</v>
      </c>
      <c r="E577">
        <f>Tableau2[[#This Row],[Potential (PJ)]]/3.6</f>
        <v>0.39811111111111108</v>
      </c>
      <c r="F577">
        <v>0.33378287255563049</v>
      </c>
      <c r="G577">
        <f>Tableau2[[#This Row],[Cost (€/GJ)]]/1000*3600</f>
        <v>1.2016183412002697</v>
      </c>
      <c r="H577">
        <v>28.139870918023309</v>
      </c>
      <c r="I577">
        <f>Tableau2[[#This Row],[GHG (kgCO2eq/GJ)]]*3.6</f>
        <v>101.30353530488391</v>
      </c>
      <c r="J577" t="s">
        <v>105</v>
      </c>
      <c r="K577" t="s">
        <v>108</v>
      </c>
    </row>
    <row r="578" spans="1:11" hidden="1" x14ac:dyDescent="0.3">
      <c r="A578" t="s">
        <v>33</v>
      </c>
      <c r="B578" t="s">
        <v>46</v>
      </c>
      <c r="C578" t="s">
        <v>81</v>
      </c>
      <c r="D578">
        <v>1.4303999999999999</v>
      </c>
      <c r="E578">
        <f>Tableau2[[#This Row],[Potential (PJ)]]/3.6</f>
        <v>0.39733333333333332</v>
      </c>
      <c r="F578">
        <v>1.173913043478261</v>
      </c>
      <c r="G578">
        <f>Tableau2[[#This Row],[Cost (€/GJ)]]/1000*3600</f>
        <v>4.2260869565217387</v>
      </c>
      <c r="H578">
        <v>8.9647473560517046</v>
      </c>
      <c r="I578">
        <f>Tableau2[[#This Row],[GHG (kgCO2eq/GJ)]]*3.6</f>
        <v>32.273090481786134</v>
      </c>
      <c r="J578" t="s">
        <v>105</v>
      </c>
      <c r="K578" t="s">
        <v>108</v>
      </c>
    </row>
    <row r="579" spans="1:11" hidden="1" x14ac:dyDescent="0.3">
      <c r="A579" t="s">
        <v>33</v>
      </c>
      <c r="B579" t="s">
        <v>46</v>
      </c>
      <c r="C579" t="s">
        <v>66</v>
      </c>
      <c r="D579">
        <v>1.7</v>
      </c>
      <c r="E579">
        <f>Tableau2[[#This Row],[Potential (PJ)]]/3.6</f>
        <v>0.47222222222222221</v>
      </c>
      <c r="F579">
        <v>5.3998823529411766</v>
      </c>
      <c r="G579">
        <f>Tableau2[[#This Row],[Cost (€/GJ)]]/1000*3600</f>
        <v>19.439576470588236</v>
      </c>
      <c r="H579">
        <v>6.8428961748633883</v>
      </c>
      <c r="I579">
        <f>Tableau2[[#This Row],[GHG (kgCO2eq/GJ)]]*3.6</f>
        <v>24.634426229508197</v>
      </c>
      <c r="J579" t="s">
        <v>104</v>
      </c>
      <c r="K579" t="s">
        <v>108</v>
      </c>
    </row>
    <row r="580" spans="1:11" hidden="1" x14ac:dyDescent="0.3">
      <c r="A580" t="s">
        <v>33</v>
      </c>
      <c r="B580" t="s">
        <v>46</v>
      </c>
      <c r="C580" t="s">
        <v>84</v>
      </c>
      <c r="D580">
        <v>0.4</v>
      </c>
      <c r="E580">
        <f>Tableau2[[#This Row],[Potential (PJ)]]/3.6</f>
        <v>0.11111111111111112</v>
      </c>
      <c r="F580">
        <v>2.8562500000000002</v>
      </c>
      <c r="G580">
        <f>Tableau2[[#This Row],[Cost (€/GJ)]]/1000*3600</f>
        <v>10.282500000000001</v>
      </c>
      <c r="H580">
        <v>28.139870918023309</v>
      </c>
      <c r="I580">
        <f>Tableau2[[#This Row],[GHG (kgCO2eq/GJ)]]*3.6</f>
        <v>101.30353530488391</v>
      </c>
      <c r="J580" t="s">
        <v>105</v>
      </c>
      <c r="K580" t="s">
        <v>108</v>
      </c>
    </row>
    <row r="581" spans="1:11" hidden="1" x14ac:dyDescent="0.3">
      <c r="A581" t="s">
        <v>33</v>
      </c>
      <c r="B581" t="s">
        <v>55</v>
      </c>
      <c r="C581" t="s">
        <v>86</v>
      </c>
      <c r="D581">
        <v>1.2999999999999999E-3</v>
      </c>
      <c r="E581">
        <f>Tableau2[[#This Row],[Potential (PJ)]]/3.6</f>
        <v>3.6111111111111109E-4</v>
      </c>
      <c r="F581">
        <v>17.419</v>
      </c>
      <c r="G581">
        <f>Tableau2[[#This Row],[Cost (€/GJ)]]/1000*3600</f>
        <v>62.708400000000005</v>
      </c>
      <c r="H581">
        <v>41.1</v>
      </c>
      <c r="I581">
        <f>Tableau2[[#This Row],[GHG (kgCO2eq/GJ)]]*3.6</f>
        <v>147.96</v>
      </c>
      <c r="J581" t="s">
        <v>106</v>
      </c>
      <c r="K581" t="s">
        <v>109</v>
      </c>
    </row>
    <row r="582" spans="1:11" hidden="1" x14ac:dyDescent="0.3">
      <c r="A582" t="s">
        <v>33</v>
      </c>
      <c r="B582" t="s">
        <v>55</v>
      </c>
      <c r="C582" t="s">
        <v>88</v>
      </c>
      <c r="D582">
        <v>0.4713</v>
      </c>
      <c r="E582">
        <f>Tableau2[[#This Row],[Potential (PJ)]]/3.6</f>
        <v>0.13091666666666665</v>
      </c>
      <c r="F582">
        <v>16.597000000000001</v>
      </c>
      <c r="G582">
        <f>Tableau2[[#This Row],[Cost (€/GJ)]]/1000*3600</f>
        <v>59.749200000000002</v>
      </c>
      <c r="H582">
        <v>41.1</v>
      </c>
      <c r="I582">
        <f>Tableau2[[#This Row],[GHG (kgCO2eq/GJ)]]*3.6</f>
        <v>147.96</v>
      </c>
      <c r="J582" t="s">
        <v>106</v>
      </c>
      <c r="K582" t="s">
        <v>109</v>
      </c>
    </row>
    <row r="583" spans="1:11" hidden="1" x14ac:dyDescent="0.3">
      <c r="A583" t="s">
        <v>33</v>
      </c>
      <c r="B583" t="s">
        <v>55</v>
      </c>
      <c r="C583" t="s">
        <v>89</v>
      </c>
      <c r="D583">
        <v>7.4800000000000005E-2</v>
      </c>
      <c r="E583">
        <f>Tableau2[[#This Row],[Potential (PJ)]]/3.6</f>
        <v>2.077777777777778E-2</v>
      </c>
      <c r="F583">
        <v>0</v>
      </c>
      <c r="G583">
        <f>Tableau2[[#This Row],[Cost (€/GJ)]]/1000*3600</f>
        <v>0</v>
      </c>
      <c r="H583">
        <v>41.1</v>
      </c>
      <c r="I583">
        <f>Tableau2[[#This Row],[GHG (kgCO2eq/GJ)]]*3.6</f>
        <v>147.96</v>
      </c>
      <c r="J583" t="s">
        <v>106</v>
      </c>
      <c r="K583" t="s">
        <v>109</v>
      </c>
    </row>
    <row r="584" spans="1:11" hidden="1" x14ac:dyDescent="0.3">
      <c r="A584" t="s">
        <v>33</v>
      </c>
      <c r="B584" t="s">
        <v>55</v>
      </c>
      <c r="C584" t="s">
        <v>90</v>
      </c>
      <c r="D584">
        <v>1.8499999999999999E-2</v>
      </c>
      <c r="E584">
        <f>Tableau2[[#This Row],[Potential (PJ)]]/3.6</f>
        <v>5.1388888888888882E-3</v>
      </c>
      <c r="F584">
        <v>22.513000000000002</v>
      </c>
      <c r="G584">
        <f>Tableau2[[#This Row],[Cost (€/GJ)]]/1000*3600</f>
        <v>81.046800000000005</v>
      </c>
      <c r="H584">
        <v>41.1</v>
      </c>
      <c r="I584">
        <f>Tableau2[[#This Row],[GHG (kgCO2eq/GJ)]]*3.6</f>
        <v>147.96</v>
      </c>
      <c r="J584" t="s">
        <v>106</v>
      </c>
      <c r="K584" t="s">
        <v>109</v>
      </c>
    </row>
    <row r="585" spans="1:11" hidden="1" x14ac:dyDescent="0.3">
      <c r="A585" t="s">
        <v>33</v>
      </c>
      <c r="B585" t="s">
        <v>55</v>
      </c>
      <c r="C585" t="s">
        <v>92</v>
      </c>
      <c r="D585">
        <v>0.42679</v>
      </c>
      <c r="E585">
        <f>Tableau2[[#This Row],[Potential (PJ)]]/3.6</f>
        <v>0.11855277777777777</v>
      </c>
      <c r="F585">
        <v>17.239999999999998</v>
      </c>
      <c r="G585">
        <f>Tableau2[[#This Row],[Cost (€/GJ)]]/1000*3600</f>
        <v>62.063999999999993</v>
      </c>
      <c r="H585">
        <v>41.1</v>
      </c>
      <c r="I585">
        <f>Tableau2[[#This Row],[GHG (kgCO2eq/GJ)]]*3.6</f>
        <v>147.96</v>
      </c>
      <c r="J585" t="s">
        <v>106</v>
      </c>
      <c r="K585" t="s">
        <v>109</v>
      </c>
    </row>
    <row r="586" spans="1:11" hidden="1" x14ac:dyDescent="0.3">
      <c r="A586" t="s">
        <v>33</v>
      </c>
      <c r="B586" t="s">
        <v>56</v>
      </c>
      <c r="C586" t="s">
        <v>93</v>
      </c>
      <c r="D586">
        <v>14.3583</v>
      </c>
      <c r="E586">
        <f>Tableau2[[#This Row],[Potential (PJ)]]/3.6</f>
        <v>3.9884166666666667</v>
      </c>
      <c r="F586">
        <v>2.939759036144578</v>
      </c>
      <c r="G586">
        <f>Tableau2[[#This Row],[Cost (€/GJ)]]/1000*3600</f>
        <v>10.58313253012048</v>
      </c>
      <c r="H586">
        <v>53.4</v>
      </c>
      <c r="I586">
        <f>Tableau2[[#This Row],[GHG (kgCO2eq/GJ)]]*3.6</f>
        <v>192.24</v>
      </c>
      <c r="J586" t="s">
        <v>106</v>
      </c>
      <c r="K586" t="s">
        <v>109</v>
      </c>
    </row>
    <row r="587" spans="1:11" hidden="1" x14ac:dyDescent="0.3">
      <c r="A587" t="s">
        <v>33</v>
      </c>
      <c r="B587" t="s">
        <v>47</v>
      </c>
      <c r="C587" t="s">
        <v>68</v>
      </c>
      <c r="D587">
        <v>7.1</v>
      </c>
      <c r="E587">
        <f>Tableau2[[#This Row],[Potential (PJ)]]/3.6</f>
        <v>1.9722222222222221</v>
      </c>
      <c r="F587">
        <v>7.6420281690140852</v>
      </c>
      <c r="G587">
        <f>Tableau2[[#This Row],[Cost (€/GJ)]]/1000*3600</f>
        <v>27.511301408450706</v>
      </c>
      <c r="H587">
        <v>23.8</v>
      </c>
      <c r="I587">
        <f>Tableau2[[#This Row],[GHG (kgCO2eq/GJ)]]*3.6</f>
        <v>85.68</v>
      </c>
      <c r="J587" t="s">
        <v>104</v>
      </c>
      <c r="K587" t="s">
        <v>109</v>
      </c>
    </row>
    <row r="588" spans="1:11" hidden="1" x14ac:dyDescent="0.3">
      <c r="A588" t="s">
        <v>33</v>
      </c>
      <c r="B588" t="s">
        <v>47</v>
      </c>
      <c r="C588" t="s">
        <v>69</v>
      </c>
      <c r="D588">
        <v>10</v>
      </c>
      <c r="E588">
        <f>Tableau2[[#This Row],[Potential (PJ)]]/3.6</f>
        <v>2.7777777777777777</v>
      </c>
      <c r="F588">
        <v>6.9605899999999989</v>
      </c>
      <c r="G588">
        <f>Tableau2[[#This Row],[Cost (€/GJ)]]/1000*3600</f>
        <v>25.058123999999996</v>
      </c>
      <c r="H588">
        <v>23.8</v>
      </c>
      <c r="I588">
        <f>Tableau2[[#This Row],[GHG (kgCO2eq/GJ)]]*3.6</f>
        <v>85.68</v>
      </c>
      <c r="J588" t="s">
        <v>104</v>
      </c>
      <c r="K588" t="s">
        <v>109</v>
      </c>
    </row>
    <row r="589" spans="1:11" hidden="1" x14ac:dyDescent="0.3">
      <c r="A589" t="s">
        <v>33</v>
      </c>
      <c r="B589" t="s">
        <v>57</v>
      </c>
      <c r="C589" t="s">
        <v>94</v>
      </c>
      <c r="D589">
        <v>1.9</v>
      </c>
      <c r="E589">
        <f>Tableau2[[#This Row],[Potential (PJ)]]/3.6</f>
        <v>0.52777777777777779</v>
      </c>
      <c r="F589">
        <v>12.83215789473684</v>
      </c>
      <c r="G589">
        <f>Tableau2[[#This Row],[Cost (€/GJ)]]/1000*3600</f>
        <v>46.195768421052627</v>
      </c>
      <c r="H589">
        <v>48.3</v>
      </c>
      <c r="I589">
        <f>Tableau2[[#This Row],[GHG (kgCO2eq/GJ)]]*3.6</f>
        <v>173.88</v>
      </c>
      <c r="J589" t="s">
        <v>104</v>
      </c>
      <c r="K589" t="s">
        <v>109</v>
      </c>
    </row>
    <row r="590" spans="1:11" x14ac:dyDescent="0.3">
      <c r="A590" t="s">
        <v>33</v>
      </c>
      <c r="B590" t="s">
        <v>49</v>
      </c>
      <c r="C590" t="s">
        <v>71</v>
      </c>
      <c r="D590">
        <v>5.9338600000000001</v>
      </c>
      <c r="E590">
        <f>Tableau2[[#This Row],[Potential (PJ)]]/3.6</f>
        <v>1.6482944444444445</v>
      </c>
      <c r="F590">
        <v>2.8483852551290392</v>
      </c>
      <c r="G590">
        <f>Tableau2[[#This Row],[Cost (€/GJ)]]/1000*3600</f>
        <v>10.254186918464541</v>
      </c>
      <c r="H590">
        <v>3.86607608129234</v>
      </c>
      <c r="I590">
        <f>Tableau2[[#This Row],[GHG (kgCO2eq/GJ)]]*3.6</f>
        <v>13.917873892652425</v>
      </c>
      <c r="J590" t="s">
        <v>104</v>
      </c>
      <c r="K590" t="s">
        <v>108</v>
      </c>
    </row>
    <row r="591" spans="1:11" x14ac:dyDescent="0.3">
      <c r="A591" t="s">
        <v>33</v>
      </c>
      <c r="B591" t="s">
        <v>49</v>
      </c>
      <c r="C591" t="s">
        <v>72</v>
      </c>
      <c r="D591">
        <v>0.9</v>
      </c>
      <c r="E591">
        <f>Tableau2[[#This Row],[Potential (PJ)]]/3.6</f>
        <v>0.25</v>
      </c>
      <c r="F591">
        <v>3.9956666666666658</v>
      </c>
      <c r="G591">
        <f>Tableau2[[#This Row],[Cost (€/GJ)]]/1000*3600</f>
        <v>14.384399999999996</v>
      </c>
      <c r="H591">
        <v>3.86607608129234</v>
      </c>
      <c r="I591">
        <f>Tableau2[[#This Row],[GHG (kgCO2eq/GJ)]]*3.6</f>
        <v>13.917873892652425</v>
      </c>
      <c r="J591" t="s">
        <v>104</v>
      </c>
      <c r="K591" t="s">
        <v>108</v>
      </c>
    </row>
    <row r="592" spans="1:11" x14ac:dyDescent="0.3">
      <c r="A592" t="s">
        <v>33</v>
      </c>
      <c r="B592" t="s">
        <v>58</v>
      </c>
      <c r="C592" t="s">
        <v>95</v>
      </c>
      <c r="D592">
        <v>2.6319400000000002</v>
      </c>
      <c r="E592">
        <f>Tableau2[[#This Row],[Potential (PJ)]]/3.6</f>
        <v>0.73109444444444449</v>
      </c>
      <c r="F592">
        <v>2.4039999999999999</v>
      </c>
      <c r="G592">
        <f>Tableau2[[#This Row],[Cost (€/GJ)]]/1000*3600</f>
        <v>8.654399999999999</v>
      </c>
      <c r="H592">
        <v>2.9521711768407801</v>
      </c>
      <c r="I592">
        <f>Tableau2[[#This Row],[GHG (kgCO2eq/GJ)]]*3.6</f>
        <v>10.627816236626808</v>
      </c>
      <c r="J592" t="s">
        <v>104</v>
      </c>
      <c r="K592" t="s">
        <v>108</v>
      </c>
    </row>
    <row r="593" spans="1:11" hidden="1" x14ac:dyDescent="0.3">
      <c r="A593" t="s">
        <v>33</v>
      </c>
      <c r="B593" t="s">
        <v>50</v>
      </c>
      <c r="C593" t="s">
        <v>73</v>
      </c>
      <c r="D593">
        <v>23.9</v>
      </c>
      <c r="E593">
        <f>Tableau2[[#This Row],[Potential (PJ)]]/3.6</f>
        <v>6.6388888888888884</v>
      </c>
      <c r="F593">
        <v>5.9106820083682008</v>
      </c>
      <c r="G593">
        <f>Tableau2[[#This Row],[Cost (€/GJ)]]/1000*3600</f>
        <v>21.278455230125523</v>
      </c>
      <c r="H593">
        <v>20.723404255319149</v>
      </c>
      <c r="I593">
        <f>Tableau2[[#This Row],[GHG (kgCO2eq/GJ)]]*3.6</f>
        <v>74.604255319148933</v>
      </c>
      <c r="J593" t="s">
        <v>105</v>
      </c>
      <c r="K593" t="s">
        <v>108</v>
      </c>
    </row>
    <row r="594" spans="1:11" hidden="1" x14ac:dyDescent="0.3">
      <c r="A594" t="s">
        <v>33</v>
      </c>
      <c r="B594" t="s">
        <v>50</v>
      </c>
      <c r="C594" t="s">
        <v>74</v>
      </c>
      <c r="D594">
        <v>24.9</v>
      </c>
      <c r="E594">
        <f>Tableau2[[#This Row],[Potential (PJ)]]/3.6</f>
        <v>6.9166666666666661</v>
      </c>
      <c r="F594">
        <v>6.5174056224899601</v>
      </c>
      <c r="G594">
        <f>Tableau2[[#This Row],[Cost (€/GJ)]]/1000*3600</f>
        <v>23.462660240963856</v>
      </c>
      <c r="H594">
        <v>2.0635593220338988</v>
      </c>
      <c r="I594">
        <f>Tableau2[[#This Row],[GHG (kgCO2eq/GJ)]]*3.6</f>
        <v>7.4288135593220357</v>
      </c>
      <c r="J594" t="s">
        <v>105</v>
      </c>
      <c r="K594" t="s">
        <v>108</v>
      </c>
    </row>
    <row r="595" spans="1:11" hidden="1" x14ac:dyDescent="0.3">
      <c r="A595" t="s">
        <v>33</v>
      </c>
      <c r="B595" t="s">
        <v>59</v>
      </c>
      <c r="C595" t="s">
        <v>97</v>
      </c>
      <c r="D595">
        <v>2.7000000000000001E-3</v>
      </c>
      <c r="E595">
        <f>Tableau2[[#This Row],[Potential (PJ)]]/3.6</f>
        <v>7.5000000000000002E-4</v>
      </c>
      <c r="F595">
        <v>20.2930005425936</v>
      </c>
      <c r="G595">
        <f>Tableau2[[#This Row],[Cost (€/GJ)]]/1000*3600</f>
        <v>73.054801953336963</v>
      </c>
      <c r="H595">
        <v>25.7</v>
      </c>
      <c r="I595">
        <f>Tableau2[[#This Row],[GHG (kgCO2eq/GJ)]]*3.6</f>
        <v>92.52</v>
      </c>
      <c r="J595" t="s">
        <v>107</v>
      </c>
      <c r="K595" t="s">
        <v>109</v>
      </c>
    </row>
    <row r="596" spans="1:11" x14ac:dyDescent="0.3">
      <c r="A596" t="s">
        <v>33</v>
      </c>
      <c r="B596" t="s">
        <v>51</v>
      </c>
      <c r="C596" t="s">
        <v>75</v>
      </c>
      <c r="D596">
        <v>67.939490000000006</v>
      </c>
      <c r="E596">
        <f>Tableau2[[#This Row],[Potential (PJ)]]/3.6</f>
        <v>18.872080555555556</v>
      </c>
      <c r="F596">
        <v>3.8047724682732202E-2</v>
      </c>
      <c r="G596">
        <f>Tableau2[[#This Row],[Cost (€/GJ)]]/1000*3600</f>
        <v>0.13697180885783591</v>
      </c>
      <c r="H596">
        <v>11.74</v>
      </c>
      <c r="I596">
        <f>Tableau2[[#This Row],[GHG (kgCO2eq/GJ)]]*3.6</f>
        <v>42.264000000000003</v>
      </c>
      <c r="J596" t="s">
        <v>104</v>
      </c>
      <c r="K596" t="s">
        <v>108</v>
      </c>
    </row>
    <row r="597" spans="1:11" hidden="1" x14ac:dyDescent="0.3">
      <c r="A597" t="s">
        <v>33</v>
      </c>
      <c r="B597" t="s">
        <v>60</v>
      </c>
      <c r="C597" t="s">
        <v>98</v>
      </c>
      <c r="D597">
        <v>1.047E-2</v>
      </c>
      <c r="E597">
        <f>Tableau2[[#This Row],[Potential (PJ)]]/3.6</f>
        <v>2.9083333333333335E-3</v>
      </c>
      <c r="F597">
        <v>12.19119226638024</v>
      </c>
      <c r="G597">
        <f>Tableau2[[#This Row],[Cost (€/GJ)]]/1000*3600</f>
        <v>43.888292158968859</v>
      </c>
      <c r="H597">
        <v>61.8</v>
      </c>
      <c r="I597">
        <f>Tableau2[[#This Row],[GHG (kgCO2eq/GJ)]]*3.6</f>
        <v>222.48</v>
      </c>
      <c r="J597" t="s">
        <v>107</v>
      </c>
      <c r="K597" t="s">
        <v>109</v>
      </c>
    </row>
    <row r="598" spans="1:11" hidden="1" x14ac:dyDescent="0.3">
      <c r="A598" t="s">
        <v>33</v>
      </c>
      <c r="B598" t="s">
        <v>52</v>
      </c>
      <c r="C598" t="s">
        <v>76</v>
      </c>
      <c r="D598">
        <v>0.54500000000000004</v>
      </c>
      <c r="E598">
        <f>Tableau2[[#This Row],[Potential (PJ)]]/3.6</f>
        <v>0.15138888888888891</v>
      </c>
      <c r="F598">
        <v>5.4702337500000002</v>
      </c>
      <c r="G598">
        <f>Tableau2[[#This Row],[Cost (€/GJ)]]/1000*3600</f>
        <v>19.6928415</v>
      </c>
      <c r="H598">
        <v>12.68872359754714</v>
      </c>
      <c r="I598">
        <f>Tableau2[[#This Row],[GHG (kgCO2eq/GJ)]]*3.6</f>
        <v>45.679404951169708</v>
      </c>
      <c r="J598" t="s">
        <v>105</v>
      </c>
      <c r="K598" t="s">
        <v>108</v>
      </c>
    </row>
    <row r="599" spans="1:11" x14ac:dyDescent="0.3">
      <c r="A599" t="s">
        <v>33</v>
      </c>
      <c r="B599" t="s">
        <v>53</v>
      </c>
      <c r="C599" t="s">
        <v>77</v>
      </c>
      <c r="D599">
        <v>1</v>
      </c>
      <c r="E599">
        <f>Tableau2[[#This Row],[Potential (PJ)]]/3.6</f>
        <v>0.27777777777777779</v>
      </c>
      <c r="F599">
        <v>3.9941</v>
      </c>
      <c r="G599">
        <f>Tableau2[[#This Row],[Cost (€/GJ)]]/1000*3600</f>
        <v>14.378759999999998</v>
      </c>
      <c r="H599">
        <v>3.86607608129234</v>
      </c>
      <c r="I599">
        <f>Tableau2[[#This Row],[GHG (kgCO2eq/GJ)]]*3.6</f>
        <v>13.917873892652425</v>
      </c>
      <c r="J599" t="s">
        <v>104</v>
      </c>
      <c r="K599" t="s">
        <v>108</v>
      </c>
    </row>
    <row r="600" spans="1:11" x14ac:dyDescent="0.3">
      <c r="A600" t="s">
        <v>33</v>
      </c>
      <c r="B600" t="s">
        <v>61</v>
      </c>
      <c r="C600" t="s">
        <v>99</v>
      </c>
      <c r="D600">
        <v>0.60000000000000009</v>
      </c>
      <c r="E600">
        <f>Tableau2[[#This Row],[Potential (PJ)]]/3.6</f>
        <v>0.16666666666666669</v>
      </c>
      <c r="F600">
        <v>1.847166666666666</v>
      </c>
      <c r="G600">
        <f>Tableau2[[#This Row],[Cost (€/GJ)]]/1000*3600</f>
        <v>6.6497999999999973</v>
      </c>
      <c r="H600">
        <v>2.9245635910224439</v>
      </c>
      <c r="I600">
        <f>Tableau2[[#This Row],[GHG (kgCO2eq/GJ)]]*3.6</f>
        <v>10.528428927680798</v>
      </c>
      <c r="J600" t="s">
        <v>104</v>
      </c>
      <c r="K600" t="s">
        <v>108</v>
      </c>
    </row>
    <row r="601" spans="1:11" x14ac:dyDescent="0.3">
      <c r="A601" t="s">
        <v>33</v>
      </c>
      <c r="B601" t="s">
        <v>54</v>
      </c>
      <c r="C601" t="s">
        <v>78</v>
      </c>
      <c r="D601">
        <v>6.5</v>
      </c>
      <c r="E601">
        <f>Tableau2[[#This Row],[Potential (PJ)]]/3.6</f>
        <v>1.8055555555555556</v>
      </c>
      <c r="F601">
        <v>8.2638615384615388</v>
      </c>
      <c r="G601">
        <f>Tableau2[[#This Row],[Cost (€/GJ)]]/1000*3600</f>
        <v>29.74990153846154</v>
      </c>
      <c r="H601">
        <v>3.86607608129234</v>
      </c>
      <c r="I601">
        <f>Tableau2[[#This Row],[GHG (kgCO2eq/GJ)]]*3.6</f>
        <v>13.917873892652425</v>
      </c>
      <c r="J601" t="s">
        <v>104</v>
      </c>
      <c r="K601" t="s">
        <v>108</v>
      </c>
    </row>
    <row r="602" spans="1:11" hidden="1" x14ac:dyDescent="0.3">
      <c r="A602" t="s">
        <v>34</v>
      </c>
      <c r="B602" t="s">
        <v>47</v>
      </c>
      <c r="C602" t="s">
        <v>101</v>
      </c>
      <c r="D602">
        <v>4.3</v>
      </c>
      <c r="E602">
        <f>Tableau2[[#This Row],[Potential (PJ)]]/3.6</f>
        <v>1.1944444444444444</v>
      </c>
      <c r="F602">
        <v>7.4290000000000003</v>
      </c>
      <c r="G602">
        <f>Tableau2[[#This Row],[Cost (€/GJ)]]/1000*3600</f>
        <v>26.744399999999999</v>
      </c>
      <c r="H602">
        <v>0</v>
      </c>
      <c r="I602">
        <f>Tableau2[[#This Row],[GHG (kgCO2eq/GJ)]]*3.6</f>
        <v>0</v>
      </c>
      <c r="J602" t="s">
        <v>104</v>
      </c>
      <c r="K602" t="s">
        <v>109</v>
      </c>
    </row>
    <row r="603" spans="1:11" hidden="1" x14ac:dyDescent="0.3">
      <c r="A603" t="s">
        <v>34</v>
      </c>
      <c r="B603" t="s">
        <v>57</v>
      </c>
      <c r="C603" t="s">
        <v>94</v>
      </c>
      <c r="D603">
        <v>4</v>
      </c>
      <c r="E603">
        <f>Tableau2[[#This Row],[Potential (PJ)]]/3.6</f>
        <v>1.1111111111111112</v>
      </c>
      <c r="F603">
        <v>12.97</v>
      </c>
      <c r="G603">
        <f>Tableau2[[#This Row],[Cost (€/GJ)]]/1000*3600</f>
        <v>46.692</v>
      </c>
      <c r="H603">
        <v>0</v>
      </c>
      <c r="I603">
        <f>Tableau2[[#This Row],[GHG (kgCO2eq/GJ)]]*3.6</f>
        <v>0</v>
      </c>
      <c r="J603" t="s">
        <v>104</v>
      </c>
      <c r="K603" t="s">
        <v>109</v>
      </c>
    </row>
    <row r="604" spans="1:11" x14ac:dyDescent="0.3">
      <c r="A604" t="s">
        <v>34</v>
      </c>
      <c r="B604" t="s">
        <v>49</v>
      </c>
      <c r="C604" t="s">
        <v>71</v>
      </c>
      <c r="D604">
        <v>39.375399999999999</v>
      </c>
      <c r="E604">
        <f>Tableau2[[#This Row],[Potential (PJ)]]/3.6</f>
        <v>10.93761111111111</v>
      </c>
      <c r="F604">
        <v>4.066801335859445</v>
      </c>
      <c r="G604">
        <f>Tableau2[[#This Row],[Cost (€/GJ)]]/1000*3600</f>
        <v>14.640484809094003</v>
      </c>
      <c r="H604">
        <v>3.86607608129234</v>
      </c>
      <c r="I604">
        <f>Tableau2[[#This Row],[GHG (kgCO2eq/GJ)]]*3.6</f>
        <v>13.917873892652425</v>
      </c>
      <c r="J604" t="s">
        <v>104</v>
      </c>
      <c r="K604" t="s">
        <v>108</v>
      </c>
    </row>
    <row r="605" spans="1:11" x14ac:dyDescent="0.3">
      <c r="A605" t="s">
        <v>34</v>
      </c>
      <c r="B605" t="s">
        <v>49</v>
      </c>
      <c r="C605" t="s">
        <v>72</v>
      </c>
      <c r="D605">
        <v>3.4</v>
      </c>
      <c r="E605">
        <f>Tableau2[[#This Row],[Potential (PJ)]]/3.6</f>
        <v>0.94444444444444442</v>
      </c>
      <c r="F605">
        <v>3.250588235294118</v>
      </c>
      <c r="G605">
        <f>Tableau2[[#This Row],[Cost (€/GJ)]]/1000*3600</f>
        <v>11.702117647058826</v>
      </c>
      <c r="H605">
        <v>3.86607608129234</v>
      </c>
      <c r="I605">
        <f>Tableau2[[#This Row],[GHG (kgCO2eq/GJ)]]*3.6</f>
        <v>13.917873892652425</v>
      </c>
      <c r="J605" t="s">
        <v>104</v>
      </c>
      <c r="K605" t="s">
        <v>108</v>
      </c>
    </row>
    <row r="606" spans="1:11" x14ac:dyDescent="0.3">
      <c r="A606" t="s">
        <v>34</v>
      </c>
      <c r="B606" t="s">
        <v>51</v>
      </c>
      <c r="C606" t="s">
        <v>75</v>
      </c>
      <c r="D606">
        <v>33.372720000000001</v>
      </c>
      <c r="E606">
        <f>Tableau2[[#This Row],[Potential (PJ)]]/3.6</f>
        <v>9.2702000000000009</v>
      </c>
      <c r="F606">
        <v>2.9414693426879001E-3</v>
      </c>
      <c r="G606">
        <f>Tableau2[[#This Row],[Cost (€/GJ)]]/1000*3600</f>
        <v>1.0589289633676441E-2</v>
      </c>
      <c r="H606">
        <v>11.74</v>
      </c>
      <c r="I606">
        <f>Tableau2[[#This Row],[GHG (kgCO2eq/GJ)]]*3.6</f>
        <v>42.264000000000003</v>
      </c>
      <c r="J606" t="s">
        <v>104</v>
      </c>
      <c r="K606" t="s">
        <v>108</v>
      </c>
    </row>
    <row r="607" spans="1:11" hidden="1" x14ac:dyDescent="0.3">
      <c r="A607" t="s">
        <v>34</v>
      </c>
      <c r="B607" t="s">
        <v>52</v>
      </c>
      <c r="C607" t="s">
        <v>76</v>
      </c>
      <c r="D607">
        <v>1.0649999999999999</v>
      </c>
      <c r="E607">
        <f>Tableau2[[#This Row],[Potential (PJ)]]/3.6</f>
        <v>0.29583333333333334</v>
      </c>
      <c r="F607">
        <v>5.4702337500000002</v>
      </c>
      <c r="G607">
        <f>Tableau2[[#This Row],[Cost (€/GJ)]]/1000*3600</f>
        <v>19.6928415</v>
      </c>
      <c r="H607">
        <v>12.68872359754714</v>
      </c>
      <c r="I607">
        <f>Tableau2[[#This Row],[GHG (kgCO2eq/GJ)]]*3.6</f>
        <v>45.679404951169708</v>
      </c>
      <c r="J607" t="s">
        <v>105</v>
      </c>
      <c r="K607" t="s">
        <v>108</v>
      </c>
    </row>
    <row r="608" spans="1:11" x14ac:dyDescent="0.3">
      <c r="A608" t="s">
        <v>34</v>
      </c>
      <c r="B608" t="s">
        <v>53</v>
      </c>
      <c r="C608" t="s">
        <v>77</v>
      </c>
      <c r="D608">
        <v>5.7</v>
      </c>
      <c r="E608">
        <f>Tableau2[[#This Row],[Potential (PJ)]]/3.6</f>
        <v>1.5833333333333333</v>
      </c>
      <c r="F608">
        <v>3.250508771929824</v>
      </c>
      <c r="G608">
        <f>Tableau2[[#This Row],[Cost (€/GJ)]]/1000*3600</f>
        <v>11.701831578947367</v>
      </c>
      <c r="H608">
        <v>3.86607608129234</v>
      </c>
      <c r="I608">
        <f>Tableau2[[#This Row],[GHG (kgCO2eq/GJ)]]*3.6</f>
        <v>13.917873892652425</v>
      </c>
      <c r="J608" t="s">
        <v>104</v>
      </c>
      <c r="K608" t="s">
        <v>108</v>
      </c>
    </row>
    <row r="609" spans="1:11" x14ac:dyDescent="0.3">
      <c r="A609" t="s">
        <v>34</v>
      </c>
      <c r="B609" t="s">
        <v>54</v>
      </c>
      <c r="C609" t="s">
        <v>78</v>
      </c>
      <c r="D609">
        <v>65.8</v>
      </c>
      <c r="E609">
        <f>Tableau2[[#This Row],[Potential (PJ)]]/3.6</f>
        <v>18.277777777777775</v>
      </c>
      <c r="F609">
        <v>6.6401854103343467</v>
      </c>
      <c r="G609">
        <f>Tableau2[[#This Row],[Cost (€/GJ)]]/1000*3600</f>
        <v>23.904667477203649</v>
      </c>
      <c r="H609">
        <v>3.86607608129234</v>
      </c>
      <c r="I609">
        <f>Tableau2[[#This Row],[GHG (kgCO2eq/GJ)]]*3.6</f>
        <v>13.917873892652425</v>
      </c>
      <c r="J609" t="s">
        <v>104</v>
      </c>
      <c r="K609" t="s">
        <v>108</v>
      </c>
    </row>
    <row r="610" spans="1:11" hidden="1" x14ac:dyDescent="0.3">
      <c r="A610" t="s">
        <v>35</v>
      </c>
      <c r="B610" t="s">
        <v>46</v>
      </c>
      <c r="C610" t="s">
        <v>64</v>
      </c>
      <c r="D610">
        <v>1.5927500000000001</v>
      </c>
      <c r="E610">
        <f>Tableau2[[#This Row],[Potential (PJ)]]/3.6</f>
        <v>0.44243055555555555</v>
      </c>
      <c r="F610">
        <v>2.608339984303877</v>
      </c>
      <c r="G610">
        <f>Tableau2[[#This Row],[Cost (€/GJ)]]/1000*3600</f>
        <v>9.3900239434939579</v>
      </c>
      <c r="H610">
        <v>2.9521711768407801</v>
      </c>
      <c r="I610">
        <f>Tableau2[[#This Row],[GHG (kgCO2eq/GJ)]]*3.6</f>
        <v>10.627816236626808</v>
      </c>
      <c r="J610" t="s">
        <v>104</v>
      </c>
      <c r="K610" t="s">
        <v>108</v>
      </c>
    </row>
    <row r="611" spans="1:11" hidden="1" x14ac:dyDescent="0.3">
      <c r="A611" t="s">
        <v>35</v>
      </c>
      <c r="B611" t="s">
        <v>46</v>
      </c>
      <c r="C611" t="s">
        <v>79</v>
      </c>
      <c r="D611">
        <v>55.7</v>
      </c>
      <c r="E611">
        <f>Tableau2[[#This Row],[Potential (PJ)]]/3.6</f>
        <v>15.472222222222223</v>
      </c>
      <c r="F611">
        <v>2.2744147217235189</v>
      </c>
      <c r="G611">
        <f>Tableau2[[#This Row],[Cost (€/GJ)]]/1000*3600</f>
        <v>8.1878929982046671</v>
      </c>
      <c r="H611">
        <v>6.8428961748633883</v>
      </c>
      <c r="I611">
        <f>Tableau2[[#This Row],[GHG (kgCO2eq/GJ)]]*3.6</f>
        <v>24.634426229508197</v>
      </c>
      <c r="J611" t="s">
        <v>104</v>
      </c>
      <c r="K611" t="s">
        <v>108</v>
      </c>
    </row>
    <row r="612" spans="1:11" hidden="1" x14ac:dyDescent="0.3">
      <c r="A612" t="s">
        <v>35</v>
      </c>
      <c r="B612" t="s">
        <v>46</v>
      </c>
      <c r="C612" t="s">
        <v>65</v>
      </c>
      <c r="D612">
        <v>2.2999999999999998</v>
      </c>
      <c r="E612">
        <f>Tableau2[[#This Row],[Potential (PJ)]]/3.6</f>
        <v>0.63888888888888884</v>
      </c>
      <c r="F612">
        <v>3.7640434782608692</v>
      </c>
      <c r="G612">
        <f>Tableau2[[#This Row],[Cost (€/GJ)]]/1000*3600</f>
        <v>13.550556521739129</v>
      </c>
      <c r="H612">
        <v>2.9521711768407801</v>
      </c>
      <c r="I612">
        <f>Tableau2[[#This Row],[GHG (kgCO2eq/GJ)]]*3.6</f>
        <v>10.627816236626808</v>
      </c>
      <c r="J612" t="s">
        <v>104</v>
      </c>
      <c r="K612" t="s">
        <v>108</v>
      </c>
    </row>
    <row r="613" spans="1:11" hidden="1" x14ac:dyDescent="0.3">
      <c r="A613" t="s">
        <v>35</v>
      </c>
      <c r="B613" t="s">
        <v>46</v>
      </c>
      <c r="C613" t="s">
        <v>80</v>
      </c>
      <c r="D613">
        <v>1.1517999999999999</v>
      </c>
      <c r="E613">
        <f>Tableau2[[#This Row],[Potential (PJ)]]/3.6</f>
        <v>0.31994444444444442</v>
      </c>
      <c r="F613">
        <v>0.46459878624409978</v>
      </c>
      <c r="G613">
        <f>Tableau2[[#This Row],[Cost (€/GJ)]]/1000*3600</f>
        <v>1.6725556304787592</v>
      </c>
      <c r="H613">
        <v>28.139870918023309</v>
      </c>
      <c r="I613">
        <f>Tableau2[[#This Row],[GHG (kgCO2eq/GJ)]]*3.6</f>
        <v>101.30353530488391</v>
      </c>
      <c r="J613" t="s">
        <v>105</v>
      </c>
      <c r="K613" t="s">
        <v>108</v>
      </c>
    </row>
    <row r="614" spans="1:11" hidden="1" x14ac:dyDescent="0.3">
      <c r="A614" t="s">
        <v>35</v>
      </c>
      <c r="B614" t="s">
        <v>46</v>
      </c>
      <c r="C614" t="s">
        <v>81</v>
      </c>
      <c r="D614">
        <v>4.4476000000000004</v>
      </c>
      <c r="E614">
        <f>Tableau2[[#This Row],[Potential (PJ)]]/3.6</f>
        <v>1.2354444444444446</v>
      </c>
      <c r="F614">
        <v>0.69388954171562867</v>
      </c>
      <c r="G614">
        <f>Tableau2[[#This Row],[Cost (€/GJ)]]/1000*3600</f>
        <v>2.4980023501762632</v>
      </c>
      <c r="H614">
        <v>8.9647473560517046</v>
      </c>
      <c r="I614">
        <f>Tableau2[[#This Row],[GHG (kgCO2eq/GJ)]]*3.6</f>
        <v>32.273090481786134</v>
      </c>
      <c r="J614" t="s">
        <v>105</v>
      </c>
      <c r="K614" t="s">
        <v>108</v>
      </c>
    </row>
    <row r="615" spans="1:11" hidden="1" x14ac:dyDescent="0.3">
      <c r="A615" t="s">
        <v>35</v>
      </c>
      <c r="B615" t="s">
        <v>46</v>
      </c>
      <c r="C615" t="s">
        <v>82</v>
      </c>
      <c r="D615">
        <v>4.0999999999999996</v>
      </c>
      <c r="E615">
        <f>Tableau2[[#This Row],[Potential (PJ)]]/3.6</f>
        <v>1.1388888888888888</v>
      </c>
      <c r="F615">
        <v>1.460560975609756</v>
      </c>
      <c r="G615">
        <f>Tableau2[[#This Row],[Cost (€/GJ)]]/1000*3600</f>
        <v>5.2580195121951219</v>
      </c>
      <c r="H615">
        <v>6.8428961748633883</v>
      </c>
      <c r="I615">
        <f>Tableau2[[#This Row],[GHG (kgCO2eq/GJ)]]*3.6</f>
        <v>24.634426229508197</v>
      </c>
      <c r="J615" t="s">
        <v>104</v>
      </c>
      <c r="K615" t="s">
        <v>108</v>
      </c>
    </row>
    <row r="616" spans="1:11" hidden="1" x14ac:dyDescent="0.3">
      <c r="A616" t="s">
        <v>35</v>
      </c>
      <c r="B616" t="s">
        <v>46</v>
      </c>
      <c r="C616" t="s">
        <v>84</v>
      </c>
      <c r="D616">
        <v>1.5</v>
      </c>
      <c r="E616">
        <f>Tableau2[[#This Row],[Potential (PJ)]]/3.6</f>
        <v>0.41666666666666663</v>
      </c>
      <c r="F616">
        <v>1.4716666666666669</v>
      </c>
      <c r="G616">
        <f>Tableau2[[#This Row],[Cost (€/GJ)]]/1000*3600</f>
        <v>5.2980000000000009</v>
      </c>
      <c r="H616">
        <v>28.139870918023309</v>
      </c>
      <c r="I616">
        <f>Tableau2[[#This Row],[GHG (kgCO2eq/GJ)]]*3.6</f>
        <v>101.30353530488391</v>
      </c>
      <c r="J616" t="s">
        <v>105</v>
      </c>
      <c r="K616" t="s">
        <v>108</v>
      </c>
    </row>
    <row r="617" spans="1:11" hidden="1" x14ac:dyDescent="0.3">
      <c r="A617" t="s">
        <v>35</v>
      </c>
      <c r="B617" t="s">
        <v>55</v>
      </c>
      <c r="C617" t="s">
        <v>86</v>
      </c>
      <c r="D617">
        <v>5.6150000000000002</v>
      </c>
      <c r="E617">
        <f>Tableau2[[#This Row],[Potential (PJ)]]/3.6</f>
        <v>1.5597222222222222</v>
      </c>
      <c r="F617">
        <v>14.813999999999989</v>
      </c>
      <c r="G617">
        <f>Tableau2[[#This Row],[Cost (€/GJ)]]/1000*3600</f>
        <v>53.330399999999962</v>
      </c>
      <c r="H617">
        <v>12.3</v>
      </c>
      <c r="I617">
        <f>Tableau2[[#This Row],[GHG (kgCO2eq/GJ)]]*3.6</f>
        <v>44.28</v>
      </c>
      <c r="J617" t="s">
        <v>106</v>
      </c>
      <c r="K617" t="s">
        <v>109</v>
      </c>
    </row>
    <row r="618" spans="1:11" hidden="1" x14ac:dyDescent="0.3">
      <c r="A618" t="s">
        <v>35</v>
      </c>
      <c r="B618" t="s">
        <v>55</v>
      </c>
      <c r="C618" t="s">
        <v>88</v>
      </c>
      <c r="D618">
        <v>0.1028</v>
      </c>
      <c r="E618">
        <f>Tableau2[[#This Row],[Potential (PJ)]]/3.6</f>
        <v>2.8555555555555556E-2</v>
      </c>
      <c r="F618">
        <v>15.557</v>
      </c>
      <c r="G618">
        <f>Tableau2[[#This Row],[Cost (€/GJ)]]/1000*3600</f>
        <v>56.005200000000002</v>
      </c>
      <c r="H618">
        <v>12.3</v>
      </c>
      <c r="I618">
        <f>Tableau2[[#This Row],[GHG (kgCO2eq/GJ)]]*3.6</f>
        <v>44.28</v>
      </c>
      <c r="J618" t="s">
        <v>106</v>
      </c>
      <c r="K618" t="s">
        <v>109</v>
      </c>
    </row>
    <row r="619" spans="1:11" hidden="1" x14ac:dyDescent="0.3">
      <c r="A619" t="s">
        <v>35</v>
      </c>
      <c r="B619" t="s">
        <v>55</v>
      </c>
      <c r="C619" t="s">
        <v>90</v>
      </c>
      <c r="D619">
        <v>0.3327</v>
      </c>
      <c r="E619">
        <f>Tableau2[[#This Row],[Potential (PJ)]]/3.6</f>
        <v>9.2416666666666661E-2</v>
      </c>
      <c r="F619">
        <v>15.294</v>
      </c>
      <c r="G619">
        <f>Tableau2[[#This Row],[Cost (€/GJ)]]/1000*3600</f>
        <v>55.058399999999999</v>
      </c>
      <c r="H619">
        <v>12.3</v>
      </c>
      <c r="I619">
        <f>Tableau2[[#This Row],[GHG (kgCO2eq/GJ)]]*3.6</f>
        <v>44.28</v>
      </c>
      <c r="J619" t="s">
        <v>106</v>
      </c>
      <c r="K619" t="s">
        <v>109</v>
      </c>
    </row>
    <row r="620" spans="1:11" hidden="1" x14ac:dyDescent="0.3">
      <c r="A620" t="s">
        <v>35</v>
      </c>
      <c r="B620" t="s">
        <v>55</v>
      </c>
      <c r="C620" t="s">
        <v>91</v>
      </c>
      <c r="D620">
        <v>8.6145999999999994</v>
      </c>
      <c r="E620">
        <f>Tableau2[[#This Row],[Potential (PJ)]]/3.6</f>
        <v>2.3929444444444443</v>
      </c>
      <c r="F620">
        <v>12.90199999999999</v>
      </c>
      <c r="G620">
        <f>Tableau2[[#This Row],[Cost (€/GJ)]]/1000*3600</f>
        <v>46.447199999999967</v>
      </c>
      <c r="H620">
        <v>12.3</v>
      </c>
      <c r="I620">
        <f>Tableau2[[#This Row],[GHG (kgCO2eq/GJ)]]*3.6</f>
        <v>44.28</v>
      </c>
      <c r="J620" t="s">
        <v>106</v>
      </c>
      <c r="K620" t="s">
        <v>109</v>
      </c>
    </row>
    <row r="621" spans="1:11" hidden="1" x14ac:dyDescent="0.3">
      <c r="A621" t="s">
        <v>35</v>
      </c>
      <c r="B621" t="s">
        <v>55</v>
      </c>
      <c r="C621" t="s">
        <v>92</v>
      </c>
      <c r="D621">
        <v>3.80125</v>
      </c>
      <c r="E621">
        <f>Tableau2[[#This Row],[Potential (PJ)]]/3.6</f>
        <v>1.0559027777777779</v>
      </c>
      <c r="F621">
        <v>15.932</v>
      </c>
      <c r="G621">
        <f>Tableau2[[#This Row],[Cost (€/GJ)]]/1000*3600</f>
        <v>57.355200000000004</v>
      </c>
      <c r="H621">
        <v>12.3</v>
      </c>
      <c r="I621">
        <f>Tableau2[[#This Row],[GHG (kgCO2eq/GJ)]]*3.6</f>
        <v>44.28</v>
      </c>
      <c r="J621" t="s">
        <v>106</v>
      </c>
      <c r="K621" t="s">
        <v>109</v>
      </c>
    </row>
    <row r="622" spans="1:11" hidden="1" x14ac:dyDescent="0.3">
      <c r="A622" t="s">
        <v>35</v>
      </c>
      <c r="B622" t="s">
        <v>56</v>
      </c>
      <c r="C622" t="s">
        <v>93</v>
      </c>
      <c r="D622">
        <v>133.03559999999999</v>
      </c>
      <c r="E622">
        <f>Tableau2[[#This Row],[Potential (PJ)]]/3.6</f>
        <v>36.954333333333331</v>
      </c>
      <c r="F622">
        <v>2.9493975903614462</v>
      </c>
      <c r="G622">
        <f>Tableau2[[#This Row],[Cost (€/GJ)]]/1000*3600</f>
        <v>10.617831325301207</v>
      </c>
      <c r="H622">
        <v>29.5</v>
      </c>
      <c r="I622">
        <f>Tableau2[[#This Row],[GHG (kgCO2eq/GJ)]]*3.6</f>
        <v>106.2</v>
      </c>
      <c r="J622" t="s">
        <v>106</v>
      </c>
      <c r="K622" t="s">
        <v>109</v>
      </c>
    </row>
    <row r="623" spans="1:11" hidden="1" x14ac:dyDescent="0.3">
      <c r="A623" t="s">
        <v>35</v>
      </c>
      <c r="B623" t="s">
        <v>47</v>
      </c>
      <c r="C623" t="s">
        <v>101</v>
      </c>
      <c r="D623">
        <v>179.4</v>
      </c>
      <c r="E623">
        <f>Tableau2[[#This Row],[Potential (PJ)]]/3.6</f>
        <v>49.833333333333336</v>
      </c>
      <c r="F623">
        <v>3.6595774804905239</v>
      </c>
      <c r="G623">
        <f>Tableau2[[#This Row],[Cost (€/GJ)]]/1000*3600</f>
        <v>13.174478929765886</v>
      </c>
      <c r="H623">
        <v>44</v>
      </c>
      <c r="I623">
        <f>Tableau2[[#This Row],[GHG (kgCO2eq/GJ)]]*3.6</f>
        <v>158.4</v>
      </c>
      <c r="J623" t="s">
        <v>104</v>
      </c>
      <c r="K623" t="s">
        <v>109</v>
      </c>
    </row>
    <row r="624" spans="1:11" hidden="1" x14ac:dyDescent="0.3">
      <c r="A624" t="s">
        <v>35</v>
      </c>
      <c r="B624" t="s">
        <v>57</v>
      </c>
      <c r="C624" t="s">
        <v>94</v>
      </c>
      <c r="D624">
        <v>76.5</v>
      </c>
      <c r="E624">
        <f>Tableau2[[#This Row],[Potential (PJ)]]/3.6</f>
        <v>21.25</v>
      </c>
      <c r="F624">
        <v>7.9108614379084958</v>
      </c>
      <c r="G624">
        <f>Tableau2[[#This Row],[Cost (€/GJ)]]/1000*3600</f>
        <v>28.479101176470586</v>
      </c>
      <c r="H624">
        <v>19.899999999999999</v>
      </c>
      <c r="I624">
        <f>Tableau2[[#This Row],[GHG (kgCO2eq/GJ)]]*3.6</f>
        <v>71.64</v>
      </c>
      <c r="J624" t="s">
        <v>104</v>
      </c>
      <c r="K624" t="s">
        <v>109</v>
      </c>
    </row>
    <row r="625" spans="1:11" x14ac:dyDescent="0.3">
      <c r="A625" t="s">
        <v>35</v>
      </c>
      <c r="B625" t="s">
        <v>49</v>
      </c>
      <c r="C625" t="s">
        <v>71</v>
      </c>
      <c r="D625">
        <v>171.00937999999999</v>
      </c>
      <c r="E625">
        <f>Tableau2[[#This Row],[Potential (PJ)]]/3.6</f>
        <v>47.502605555555554</v>
      </c>
      <c r="F625">
        <v>2.4330580512601121</v>
      </c>
      <c r="G625">
        <f>Tableau2[[#This Row],[Cost (€/GJ)]]/1000*3600</f>
        <v>8.7590089845364041</v>
      </c>
      <c r="H625">
        <v>3.86607608129234</v>
      </c>
      <c r="I625">
        <f>Tableau2[[#This Row],[GHG (kgCO2eq/GJ)]]*3.6</f>
        <v>13.917873892652425</v>
      </c>
      <c r="J625" t="s">
        <v>104</v>
      </c>
      <c r="K625" t="s">
        <v>108</v>
      </c>
    </row>
    <row r="626" spans="1:11" x14ac:dyDescent="0.3">
      <c r="A626" t="s">
        <v>35</v>
      </c>
      <c r="B626" t="s">
        <v>49</v>
      </c>
      <c r="C626" t="s">
        <v>72</v>
      </c>
      <c r="D626">
        <v>8.3000000000000007</v>
      </c>
      <c r="E626">
        <f>Tableau2[[#This Row],[Potential (PJ)]]/3.6</f>
        <v>2.3055555555555558</v>
      </c>
      <c r="F626">
        <v>3.282843373493975</v>
      </c>
      <c r="G626">
        <f>Tableau2[[#This Row],[Cost (€/GJ)]]/1000*3600</f>
        <v>11.818236144578311</v>
      </c>
      <c r="H626">
        <v>3.86607608129234</v>
      </c>
      <c r="I626">
        <f>Tableau2[[#This Row],[GHG (kgCO2eq/GJ)]]*3.6</f>
        <v>13.917873892652425</v>
      </c>
      <c r="J626" t="s">
        <v>104</v>
      </c>
      <c r="K626" t="s">
        <v>108</v>
      </c>
    </row>
    <row r="627" spans="1:11" x14ac:dyDescent="0.3">
      <c r="A627" t="s">
        <v>35</v>
      </c>
      <c r="B627" t="s">
        <v>58</v>
      </c>
      <c r="C627" t="s">
        <v>95</v>
      </c>
      <c r="D627">
        <v>19.913209999999999</v>
      </c>
      <c r="E627">
        <f>Tableau2[[#This Row],[Potential (PJ)]]/3.6</f>
        <v>5.531447222222222</v>
      </c>
      <c r="F627">
        <v>0.6023023249390731</v>
      </c>
      <c r="G627">
        <f>Tableau2[[#This Row],[Cost (€/GJ)]]/1000*3600</f>
        <v>2.1682883697806634</v>
      </c>
      <c r="H627">
        <v>2.9521711768407801</v>
      </c>
      <c r="I627">
        <f>Tableau2[[#This Row],[GHG (kgCO2eq/GJ)]]*3.6</f>
        <v>10.627816236626808</v>
      </c>
      <c r="J627" t="s">
        <v>104</v>
      </c>
      <c r="K627" t="s">
        <v>108</v>
      </c>
    </row>
    <row r="628" spans="1:11" hidden="1" x14ac:dyDescent="0.3">
      <c r="A628" t="s">
        <v>35</v>
      </c>
      <c r="B628" t="s">
        <v>50</v>
      </c>
      <c r="C628" t="s">
        <v>73</v>
      </c>
      <c r="D628">
        <v>4.2</v>
      </c>
      <c r="E628">
        <f>Tableau2[[#This Row],[Potential (PJ)]]/3.6</f>
        <v>1.1666666666666667</v>
      </c>
      <c r="F628">
        <v>5.1069285714285719</v>
      </c>
      <c r="G628">
        <f>Tableau2[[#This Row],[Cost (€/GJ)]]/1000*3600</f>
        <v>18.38494285714286</v>
      </c>
      <c r="H628">
        <v>20.723404255319149</v>
      </c>
      <c r="I628">
        <f>Tableau2[[#This Row],[GHG (kgCO2eq/GJ)]]*3.6</f>
        <v>74.604255319148933</v>
      </c>
      <c r="J628" t="s">
        <v>105</v>
      </c>
      <c r="K628" t="s">
        <v>108</v>
      </c>
    </row>
    <row r="629" spans="1:11" hidden="1" x14ac:dyDescent="0.3">
      <c r="A629" t="s">
        <v>35</v>
      </c>
      <c r="B629" t="s">
        <v>50</v>
      </c>
      <c r="C629" t="s">
        <v>74</v>
      </c>
      <c r="D629">
        <v>90.2</v>
      </c>
      <c r="E629">
        <f>Tableau2[[#This Row],[Potential (PJ)]]/3.6</f>
        <v>25.055555555555557</v>
      </c>
      <c r="F629">
        <v>3.824922394678492</v>
      </c>
      <c r="G629">
        <f>Tableau2[[#This Row],[Cost (€/GJ)]]/1000*3600</f>
        <v>13.76972062084257</v>
      </c>
      <c r="H629">
        <v>2.0635593220338988</v>
      </c>
      <c r="I629">
        <f>Tableau2[[#This Row],[GHG (kgCO2eq/GJ)]]*3.6</f>
        <v>7.4288135593220357</v>
      </c>
      <c r="J629" t="s">
        <v>105</v>
      </c>
      <c r="K629" t="s">
        <v>108</v>
      </c>
    </row>
    <row r="630" spans="1:11" hidden="1" x14ac:dyDescent="0.3">
      <c r="A630" t="s">
        <v>35</v>
      </c>
      <c r="B630" t="s">
        <v>59</v>
      </c>
      <c r="C630" t="s">
        <v>96</v>
      </c>
      <c r="D630">
        <v>9.2499999999999999E-2</v>
      </c>
      <c r="E630">
        <f>Tableau2[[#This Row],[Potential (PJ)]]/3.6</f>
        <v>2.5694444444444443E-2</v>
      </c>
      <c r="F630">
        <v>29.969000000000001</v>
      </c>
      <c r="G630">
        <f>Tableau2[[#This Row],[Cost (€/GJ)]]/1000*3600</f>
        <v>107.8884</v>
      </c>
      <c r="H630">
        <v>16</v>
      </c>
      <c r="I630">
        <f>Tableau2[[#This Row],[GHG (kgCO2eq/GJ)]]*3.6</f>
        <v>57.6</v>
      </c>
      <c r="J630" t="s">
        <v>107</v>
      </c>
      <c r="K630" t="s">
        <v>109</v>
      </c>
    </row>
    <row r="631" spans="1:11" hidden="1" x14ac:dyDescent="0.3">
      <c r="A631" t="s">
        <v>35</v>
      </c>
      <c r="B631" t="s">
        <v>59</v>
      </c>
      <c r="C631" t="s">
        <v>97</v>
      </c>
      <c r="D631">
        <v>0.105</v>
      </c>
      <c r="E631">
        <f>Tableau2[[#This Row],[Potential (PJ)]]/3.6</f>
        <v>2.9166666666666664E-2</v>
      </c>
      <c r="F631">
        <v>19.099294628323381</v>
      </c>
      <c r="G631">
        <f>Tableau2[[#This Row],[Cost (€/GJ)]]/1000*3600</f>
        <v>68.757460661964174</v>
      </c>
      <c r="H631">
        <v>16</v>
      </c>
      <c r="I631">
        <f>Tableau2[[#This Row],[GHG (kgCO2eq/GJ)]]*3.6</f>
        <v>57.6</v>
      </c>
      <c r="J631" t="s">
        <v>107</v>
      </c>
      <c r="K631" t="s">
        <v>109</v>
      </c>
    </row>
    <row r="632" spans="1:11" x14ac:dyDescent="0.3">
      <c r="A632" t="s">
        <v>35</v>
      </c>
      <c r="B632" t="s">
        <v>51</v>
      </c>
      <c r="C632" t="s">
        <v>75</v>
      </c>
      <c r="D632">
        <v>32.982729999999997</v>
      </c>
      <c r="E632">
        <f>Tableau2[[#This Row],[Potential (PJ)]]/3.6</f>
        <v>9.1618694444444433</v>
      </c>
      <c r="F632">
        <v>2.4408531059586401E-3</v>
      </c>
      <c r="G632">
        <f>Tableau2[[#This Row],[Cost (€/GJ)]]/1000*3600</f>
        <v>8.7870711814511046E-3</v>
      </c>
      <c r="H632">
        <v>11.74</v>
      </c>
      <c r="I632">
        <f>Tableau2[[#This Row],[GHG (kgCO2eq/GJ)]]*3.6</f>
        <v>42.264000000000003</v>
      </c>
      <c r="J632" t="s">
        <v>104</v>
      </c>
      <c r="K632" t="s">
        <v>108</v>
      </c>
    </row>
    <row r="633" spans="1:11" hidden="1" x14ac:dyDescent="0.3">
      <c r="A633" t="s">
        <v>35</v>
      </c>
      <c r="B633" t="s">
        <v>60</v>
      </c>
      <c r="C633" t="s">
        <v>98</v>
      </c>
      <c r="D633">
        <v>7.8336299999999994</v>
      </c>
      <c r="E633">
        <f>Tableau2[[#This Row],[Potential (PJ)]]/3.6</f>
        <v>2.1760083333333333</v>
      </c>
      <c r="F633">
        <v>16.165413533834581</v>
      </c>
      <c r="G633">
        <f>Tableau2[[#This Row],[Cost (€/GJ)]]/1000*3600</f>
        <v>58.195488721804487</v>
      </c>
      <c r="H633">
        <v>46</v>
      </c>
      <c r="I633">
        <f>Tableau2[[#This Row],[GHG (kgCO2eq/GJ)]]*3.6</f>
        <v>165.6</v>
      </c>
      <c r="J633" t="s">
        <v>107</v>
      </c>
      <c r="K633" t="s">
        <v>109</v>
      </c>
    </row>
    <row r="634" spans="1:11" hidden="1" x14ac:dyDescent="0.3">
      <c r="A634" t="s">
        <v>35</v>
      </c>
      <c r="B634" t="s">
        <v>52</v>
      </c>
      <c r="C634" t="s">
        <v>76</v>
      </c>
      <c r="D634">
        <v>1.3660000000000001</v>
      </c>
      <c r="E634">
        <f>Tableau2[[#This Row],[Potential (PJ)]]/3.6</f>
        <v>0.37944444444444447</v>
      </c>
      <c r="F634">
        <v>5.4702337500000002</v>
      </c>
      <c r="G634">
        <f>Tableau2[[#This Row],[Cost (€/GJ)]]/1000*3600</f>
        <v>19.6928415</v>
      </c>
      <c r="H634">
        <v>12.68872359754714</v>
      </c>
      <c r="I634">
        <f>Tableau2[[#This Row],[GHG (kgCO2eq/GJ)]]*3.6</f>
        <v>45.679404951169708</v>
      </c>
      <c r="J634" t="s">
        <v>105</v>
      </c>
      <c r="K634" t="s">
        <v>108</v>
      </c>
    </row>
    <row r="635" spans="1:11" x14ac:dyDescent="0.3">
      <c r="A635" t="s">
        <v>35</v>
      </c>
      <c r="B635" t="s">
        <v>53</v>
      </c>
      <c r="C635" t="s">
        <v>77</v>
      </c>
      <c r="D635">
        <v>9.6999999999999993</v>
      </c>
      <c r="E635">
        <f>Tableau2[[#This Row],[Potential (PJ)]]/3.6</f>
        <v>2.6944444444444442</v>
      </c>
      <c r="F635">
        <v>3.2828556701030931</v>
      </c>
      <c r="G635">
        <f>Tableau2[[#This Row],[Cost (€/GJ)]]/1000*3600</f>
        <v>11.818280412371136</v>
      </c>
      <c r="H635">
        <v>3.86607608129234</v>
      </c>
      <c r="I635">
        <f>Tableau2[[#This Row],[GHG (kgCO2eq/GJ)]]*3.6</f>
        <v>13.917873892652425</v>
      </c>
      <c r="J635" t="s">
        <v>104</v>
      </c>
      <c r="K635" t="s">
        <v>108</v>
      </c>
    </row>
    <row r="636" spans="1:11" x14ac:dyDescent="0.3">
      <c r="A636" t="s">
        <v>35</v>
      </c>
      <c r="B636" t="s">
        <v>61</v>
      </c>
      <c r="C636" t="s">
        <v>99</v>
      </c>
      <c r="D636">
        <v>15.9</v>
      </c>
      <c r="E636">
        <f>Tableau2[[#This Row],[Potential (PJ)]]/3.6</f>
        <v>4.416666666666667</v>
      </c>
      <c r="F636">
        <v>1.2508490566037731</v>
      </c>
      <c r="G636">
        <f>Tableau2[[#This Row],[Cost (€/GJ)]]/1000*3600</f>
        <v>4.5030566037735831</v>
      </c>
      <c r="H636">
        <v>2.9245635910224439</v>
      </c>
      <c r="I636">
        <f>Tableau2[[#This Row],[GHG (kgCO2eq/GJ)]]*3.6</f>
        <v>10.528428927680798</v>
      </c>
      <c r="J636" t="s">
        <v>104</v>
      </c>
      <c r="K636" t="s">
        <v>108</v>
      </c>
    </row>
    <row r="637" spans="1:11" x14ac:dyDescent="0.3">
      <c r="A637" t="s">
        <v>35</v>
      </c>
      <c r="B637" t="s">
        <v>62</v>
      </c>
      <c r="C637" t="s">
        <v>100</v>
      </c>
      <c r="D637">
        <v>2.4</v>
      </c>
      <c r="E637">
        <f>Tableau2[[#This Row],[Potential (PJ)]]/3.6</f>
        <v>0.66666666666666663</v>
      </c>
      <c r="F637">
        <v>8.3333333333333343E-2</v>
      </c>
      <c r="G637">
        <f>Tableau2[[#This Row],[Cost (€/GJ)]]/1000*3600</f>
        <v>0.30000000000000004</v>
      </c>
      <c r="H637">
        <v>2.6764106050305911</v>
      </c>
      <c r="I637">
        <f>Tableau2[[#This Row],[GHG (kgCO2eq/GJ)]]*3.6</f>
        <v>9.6350781781101276</v>
      </c>
      <c r="J637" t="s">
        <v>104</v>
      </c>
      <c r="K637" t="s">
        <v>108</v>
      </c>
    </row>
    <row r="638" spans="1:11" x14ac:dyDescent="0.3">
      <c r="A638" t="s">
        <v>35</v>
      </c>
      <c r="B638" t="s">
        <v>54</v>
      </c>
      <c r="C638" t="s">
        <v>78</v>
      </c>
      <c r="D638">
        <v>195.1</v>
      </c>
      <c r="E638">
        <f>Tableau2[[#This Row],[Potential (PJ)]]/3.6</f>
        <v>54.194444444444443</v>
      </c>
      <c r="F638">
        <v>3.2424976934905181</v>
      </c>
      <c r="G638">
        <f>Tableau2[[#This Row],[Cost (€/GJ)]]/1000*3600</f>
        <v>11.672991696565864</v>
      </c>
      <c r="H638">
        <v>3.86607608129234</v>
      </c>
      <c r="I638">
        <f>Tableau2[[#This Row],[GHG (kgCO2eq/GJ)]]*3.6</f>
        <v>13.917873892652425</v>
      </c>
      <c r="J638" t="s">
        <v>104</v>
      </c>
      <c r="K638" t="s">
        <v>108</v>
      </c>
    </row>
    <row r="639" spans="1:11" hidden="1" x14ac:dyDescent="0.3">
      <c r="A639" t="s">
        <v>36</v>
      </c>
      <c r="B639" t="s">
        <v>46</v>
      </c>
      <c r="C639" t="s">
        <v>63</v>
      </c>
      <c r="D639">
        <v>0.92430000000000001</v>
      </c>
      <c r="E639">
        <f>Tableau2[[#This Row],[Potential (PJ)]]/3.6</f>
        <v>0.25674999999999998</v>
      </c>
      <c r="F639">
        <v>2.9286474973375931</v>
      </c>
      <c r="G639">
        <f>Tableau2[[#This Row],[Cost (€/GJ)]]/1000*3600</f>
        <v>10.543130990415335</v>
      </c>
      <c r="H639">
        <v>3.950479233226837</v>
      </c>
      <c r="I639">
        <f>Tableau2[[#This Row],[GHG (kgCO2eq/GJ)]]*3.6</f>
        <v>14.221725239616614</v>
      </c>
      <c r="J639" t="s">
        <v>104</v>
      </c>
      <c r="K639" t="s">
        <v>108</v>
      </c>
    </row>
    <row r="640" spans="1:11" hidden="1" x14ac:dyDescent="0.3">
      <c r="A640" t="s">
        <v>36</v>
      </c>
      <c r="B640" t="s">
        <v>46</v>
      </c>
      <c r="C640" t="s">
        <v>64</v>
      </c>
      <c r="D640">
        <v>0.10756</v>
      </c>
      <c r="E640">
        <f>Tableau2[[#This Row],[Potential (PJ)]]/3.6</f>
        <v>2.9877777777777777E-2</v>
      </c>
      <c r="F640">
        <v>2.6934455187802162</v>
      </c>
      <c r="G640">
        <f>Tableau2[[#This Row],[Cost (€/GJ)]]/1000*3600</f>
        <v>9.6964038676087796</v>
      </c>
      <c r="H640">
        <v>2.9521711768407801</v>
      </c>
      <c r="I640">
        <f>Tableau2[[#This Row],[GHG (kgCO2eq/GJ)]]*3.6</f>
        <v>10.627816236626808</v>
      </c>
      <c r="J640" t="s">
        <v>104</v>
      </c>
      <c r="K640" t="s">
        <v>108</v>
      </c>
    </row>
    <row r="641" spans="1:11" hidden="1" x14ac:dyDescent="0.3">
      <c r="A641" t="s">
        <v>36</v>
      </c>
      <c r="B641" t="s">
        <v>46</v>
      </c>
      <c r="C641" t="s">
        <v>65</v>
      </c>
      <c r="D641">
        <v>1.2</v>
      </c>
      <c r="E641">
        <f>Tableau2[[#This Row],[Potential (PJ)]]/3.6</f>
        <v>0.33333333333333331</v>
      </c>
      <c r="F641">
        <v>3.654666666666667</v>
      </c>
      <c r="G641">
        <f>Tableau2[[#This Row],[Cost (€/GJ)]]/1000*3600</f>
        <v>13.1568</v>
      </c>
      <c r="H641">
        <v>2.9521711768407801</v>
      </c>
      <c r="I641">
        <f>Tableau2[[#This Row],[GHG (kgCO2eq/GJ)]]*3.6</f>
        <v>10.627816236626808</v>
      </c>
      <c r="J641" t="s">
        <v>104</v>
      </c>
      <c r="K641" t="s">
        <v>108</v>
      </c>
    </row>
    <row r="642" spans="1:11" hidden="1" x14ac:dyDescent="0.3">
      <c r="A642" t="s">
        <v>36</v>
      </c>
      <c r="B642" t="s">
        <v>46</v>
      </c>
      <c r="C642" t="s">
        <v>102</v>
      </c>
      <c r="D642">
        <v>0.1</v>
      </c>
      <c r="E642">
        <f>Tableau2[[#This Row],[Potential (PJ)]]/3.6</f>
        <v>2.777777777777778E-2</v>
      </c>
      <c r="F642">
        <v>3.3580000000000001</v>
      </c>
      <c r="G642">
        <f>Tableau2[[#This Row],[Cost (€/GJ)]]/1000*3600</f>
        <v>12.088800000000001</v>
      </c>
      <c r="H642">
        <v>2.9521711768407801</v>
      </c>
      <c r="I642">
        <f>Tableau2[[#This Row],[GHG (kgCO2eq/GJ)]]*3.6</f>
        <v>10.627816236626808</v>
      </c>
      <c r="J642" t="s">
        <v>104</v>
      </c>
      <c r="K642" t="s">
        <v>108</v>
      </c>
    </row>
    <row r="643" spans="1:11" hidden="1" x14ac:dyDescent="0.3">
      <c r="A643" t="s">
        <v>36</v>
      </c>
      <c r="B643" t="s">
        <v>46</v>
      </c>
      <c r="C643" t="s">
        <v>80</v>
      </c>
      <c r="D643">
        <v>0.1424</v>
      </c>
      <c r="E643">
        <f>Tableau2[[#This Row],[Potential (PJ)]]/3.6</f>
        <v>3.9555555555555552E-2</v>
      </c>
      <c r="F643">
        <v>0.36952124072825349</v>
      </c>
      <c r="G643">
        <f>Tableau2[[#This Row],[Cost (€/GJ)]]/1000*3600</f>
        <v>1.3302764666217126</v>
      </c>
      <c r="H643">
        <v>28.139870918023309</v>
      </c>
      <c r="I643">
        <f>Tableau2[[#This Row],[GHG (kgCO2eq/GJ)]]*3.6</f>
        <v>101.30353530488391</v>
      </c>
      <c r="J643" t="s">
        <v>105</v>
      </c>
      <c r="K643" t="s">
        <v>108</v>
      </c>
    </row>
    <row r="644" spans="1:11" hidden="1" x14ac:dyDescent="0.3">
      <c r="A644" t="s">
        <v>36</v>
      </c>
      <c r="B644" t="s">
        <v>46</v>
      </c>
      <c r="C644" t="s">
        <v>81</v>
      </c>
      <c r="D644">
        <v>0.95530000000000004</v>
      </c>
      <c r="E644">
        <f>Tableau2[[#This Row],[Potential (PJ)]]/3.6</f>
        <v>0.2653611111111111</v>
      </c>
      <c r="F644">
        <v>1.463572267920094</v>
      </c>
      <c r="G644">
        <f>Tableau2[[#This Row],[Cost (€/GJ)]]/1000*3600</f>
        <v>5.2688601645123381</v>
      </c>
      <c r="H644">
        <v>8.9647473560517046</v>
      </c>
      <c r="I644">
        <f>Tableau2[[#This Row],[GHG (kgCO2eq/GJ)]]*3.6</f>
        <v>32.273090481786134</v>
      </c>
      <c r="J644" t="s">
        <v>105</v>
      </c>
      <c r="K644" t="s">
        <v>108</v>
      </c>
    </row>
    <row r="645" spans="1:11" hidden="1" x14ac:dyDescent="0.3">
      <c r="A645" t="s">
        <v>36</v>
      </c>
      <c r="B645" t="s">
        <v>46</v>
      </c>
      <c r="C645" t="s">
        <v>66</v>
      </c>
      <c r="D645">
        <v>0.60000000000000009</v>
      </c>
      <c r="E645">
        <f>Tableau2[[#This Row],[Potential (PJ)]]/3.6</f>
        <v>0.16666666666666669</v>
      </c>
      <c r="F645">
        <v>2.0775000000000001</v>
      </c>
      <c r="G645">
        <f>Tableau2[[#This Row],[Cost (€/GJ)]]/1000*3600</f>
        <v>7.4790000000000001</v>
      </c>
      <c r="H645">
        <v>6.8428961748633883</v>
      </c>
      <c r="I645">
        <f>Tableau2[[#This Row],[GHG (kgCO2eq/GJ)]]*3.6</f>
        <v>24.634426229508197</v>
      </c>
      <c r="J645" t="s">
        <v>104</v>
      </c>
      <c r="K645" t="s">
        <v>108</v>
      </c>
    </row>
    <row r="646" spans="1:11" hidden="1" x14ac:dyDescent="0.3">
      <c r="A646" t="s">
        <v>36</v>
      </c>
      <c r="B646" t="s">
        <v>46</v>
      </c>
      <c r="C646" t="s">
        <v>67</v>
      </c>
      <c r="D646">
        <v>1.8</v>
      </c>
      <c r="E646">
        <f>Tableau2[[#This Row],[Potential (PJ)]]/3.6</f>
        <v>0.5</v>
      </c>
      <c r="F646">
        <v>4.5033333333333339</v>
      </c>
      <c r="G646">
        <f>Tableau2[[#This Row],[Cost (€/GJ)]]/1000*3600</f>
        <v>16.212000000000003</v>
      </c>
      <c r="H646">
        <v>2.9521711768407801</v>
      </c>
      <c r="I646">
        <f>Tableau2[[#This Row],[GHG (kgCO2eq/GJ)]]*3.6</f>
        <v>10.627816236626808</v>
      </c>
      <c r="J646" t="s">
        <v>104</v>
      </c>
      <c r="K646" t="s">
        <v>108</v>
      </c>
    </row>
    <row r="647" spans="1:11" hidden="1" x14ac:dyDescent="0.3">
      <c r="A647" t="s">
        <v>36</v>
      </c>
      <c r="B647" t="s">
        <v>46</v>
      </c>
      <c r="C647" t="s">
        <v>83</v>
      </c>
      <c r="D647">
        <v>0.72496000000000005</v>
      </c>
      <c r="E647">
        <f>Tableau2[[#This Row],[Potential (PJ)]]/3.6</f>
        <v>0.20137777777777779</v>
      </c>
      <c r="F647">
        <v>1.888190617413374</v>
      </c>
      <c r="G647">
        <f>Tableau2[[#This Row],[Cost (€/GJ)]]/1000*3600</f>
        <v>6.7974862226881463</v>
      </c>
      <c r="H647">
        <v>6.8428961748633883</v>
      </c>
      <c r="I647">
        <f>Tableau2[[#This Row],[GHG (kgCO2eq/GJ)]]*3.6</f>
        <v>24.634426229508197</v>
      </c>
      <c r="J647" t="s">
        <v>104</v>
      </c>
      <c r="K647" t="s">
        <v>108</v>
      </c>
    </row>
    <row r="648" spans="1:11" hidden="1" x14ac:dyDescent="0.3">
      <c r="A648" t="s">
        <v>36</v>
      </c>
      <c r="B648" t="s">
        <v>46</v>
      </c>
      <c r="C648" t="s">
        <v>85</v>
      </c>
      <c r="D648">
        <v>0.60000000000000009</v>
      </c>
      <c r="E648">
        <f>Tableau2[[#This Row],[Potential (PJ)]]/3.6</f>
        <v>0.16666666666666669</v>
      </c>
      <c r="F648">
        <v>3.101833333333333</v>
      </c>
      <c r="G648">
        <f>Tableau2[[#This Row],[Cost (€/GJ)]]/1000*3600</f>
        <v>11.166599999999999</v>
      </c>
      <c r="H648">
        <v>2.9521711768407801</v>
      </c>
      <c r="I648">
        <f>Tableau2[[#This Row],[GHG (kgCO2eq/GJ)]]*3.6</f>
        <v>10.627816236626808</v>
      </c>
      <c r="J648" t="s">
        <v>104</v>
      </c>
      <c r="K648" t="s">
        <v>108</v>
      </c>
    </row>
    <row r="649" spans="1:11" hidden="1" x14ac:dyDescent="0.3">
      <c r="A649" t="s">
        <v>36</v>
      </c>
      <c r="B649" t="s">
        <v>55</v>
      </c>
      <c r="C649" t="s">
        <v>86</v>
      </c>
      <c r="D649">
        <v>3.1399999999999997E-2</v>
      </c>
      <c r="E649">
        <f>Tableau2[[#This Row],[Potential (PJ)]]/3.6</f>
        <v>8.7222222222222215E-3</v>
      </c>
      <c r="F649">
        <v>20.815000000000001</v>
      </c>
      <c r="G649">
        <f>Tableau2[[#This Row],[Cost (€/GJ)]]/1000*3600</f>
        <v>74.933999999999997</v>
      </c>
      <c r="H649">
        <v>26.1</v>
      </c>
      <c r="I649">
        <f>Tableau2[[#This Row],[GHG (kgCO2eq/GJ)]]*3.6</f>
        <v>93.960000000000008</v>
      </c>
      <c r="J649" t="s">
        <v>106</v>
      </c>
      <c r="K649" t="s">
        <v>109</v>
      </c>
    </row>
    <row r="650" spans="1:11" hidden="1" x14ac:dyDescent="0.3">
      <c r="A650" t="s">
        <v>36</v>
      </c>
      <c r="B650" t="s">
        <v>55</v>
      </c>
      <c r="C650" t="s">
        <v>88</v>
      </c>
      <c r="D650">
        <v>3.2599999999999997E-2</v>
      </c>
      <c r="E650">
        <f>Tableau2[[#This Row],[Potential (PJ)]]/3.6</f>
        <v>9.0555555555555545E-3</v>
      </c>
      <c r="F650">
        <v>18.759</v>
      </c>
      <c r="G650">
        <f>Tableau2[[#This Row],[Cost (€/GJ)]]/1000*3600</f>
        <v>67.53240000000001</v>
      </c>
      <c r="H650">
        <v>26.1</v>
      </c>
      <c r="I650">
        <f>Tableau2[[#This Row],[GHG (kgCO2eq/GJ)]]*3.6</f>
        <v>93.960000000000008</v>
      </c>
      <c r="J650" t="s">
        <v>106</v>
      </c>
      <c r="K650" t="s">
        <v>109</v>
      </c>
    </row>
    <row r="651" spans="1:11" hidden="1" x14ac:dyDescent="0.3">
      <c r="A651" t="s">
        <v>36</v>
      </c>
      <c r="B651" t="s">
        <v>56</v>
      </c>
      <c r="C651" t="s">
        <v>93</v>
      </c>
      <c r="D651">
        <v>0.47670000000000001</v>
      </c>
      <c r="E651">
        <f>Tableau2[[#This Row],[Potential (PJ)]]/3.6</f>
        <v>0.13241666666666665</v>
      </c>
      <c r="F651">
        <v>2.939759036144578</v>
      </c>
      <c r="G651">
        <f>Tableau2[[#This Row],[Cost (€/GJ)]]/1000*3600</f>
        <v>10.58313253012048</v>
      </c>
      <c r="H651">
        <v>26.7</v>
      </c>
      <c r="I651">
        <f>Tableau2[[#This Row],[GHG (kgCO2eq/GJ)]]*3.6</f>
        <v>96.12</v>
      </c>
      <c r="J651" t="s">
        <v>106</v>
      </c>
      <c r="K651" t="s">
        <v>109</v>
      </c>
    </row>
    <row r="652" spans="1:11" hidden="1" x14ac:dyDescent="0.3">
      <c r="A652" t="s">
        <v>36</v>
      </c>
      <c r="B652" t="s">
        <v>47</v>
      </c>
      <c r="C652" t="s">
        <v>68</v>
      </c>
      <c r="D652">
        <v>11.3</v>
      </c>
      <c r="E652">
        <f>Tableau2[[#This Row],[Potential (PJ)]]/3.6</f>
        <v>3.1388888888888888</v>
      </c>
      <c r="F652">
        <v>4.1847522123893803</v>
      </c>
      <c r="G652">
        <f>Tableau2[[#This Row],[Cost (€/GJ)]]/1000*3600</f>
        <v>15.065107964601768</v>
      </c>
      <c r="H652">
        <v>10</v>
      </c>
      <c r="I652">
        <f>Tableau2[[#This Row],[GHG (kgCO2eq/GJ)]]*3.6</f>
        <v>36</v>
      </c>
      <c r="J652" t="s">
        <v>104</v>
      </c>
      <c r="K652" t="s">
        <v>109</v>
      </c>
    </row>
    <row r="653" spans="1:11" hidden="1" x14ac:dyDescent="0.3">
      <c r="A653" t="s">
        <v>36</v>
      </c>
      <c r="B653" t="s">
        <v>47</v>
      </c>
      <c r="C653" t="s">
        <v>69</v>
      </c>
      <c r="D653">
        <v>7.8</v>
      </c>
      <c r="E653">
        <f>Tableau2[[#This Row],[Potential (PJ)]]/3.6</f>
        <v>2.1666666666666665</v>
      </c>
      <c r="F653">
        <v>4.5547948717948721</v>
      </c>
      <c r="G653">
        <f>Tableau2[[#This Row],[Cost (€/GJ)]]/1000*3600</f>
        <v>16.397261538461542</v>
      </c>
      <c r="H653">
        <v>10</v>
      </c>
      <c r="I653">
        <f>Tableau2[[#This Row],[GHG (kgCO2eq/GJ)]]*3.6</f>
        <v>36</v>
      </c>
      <c r="J653" t="s">
        <v>104</v>
      </c>
      <c r="K653" t="s">
        <v>109</v>
      </c>
    </row>
    <row r="654" spans="1:11" hidden="1" x14ac:dyDescent="0.3">
      <c r="A654" t="s">
        <v>36</v>
      </c>
      <c r="B654" t="s">
        <v>48</v>
      </c>
      <c r="C654" t="s">
        <v>70</v>
      </c>
      <c r="D654">
        <v>4.9000000000000004</v>
      </c>
      <c r="E654">
        <f>Tableau2[[#This Row],[Potential (PJ)]]/3.6</f>
        <v>1.3611111111111112</v>
      </c>
      <c r="F654">
        <v>10.236591836734689</v>
      </c>
      <c r="G654">
        <f>Tableau2[[#This Row],[Cost (€/GJ)]]/1000*3600</f>
        <v>36.851730612244886</v>
      </c>
      <c r="H654">
        <v>0</v>
      </c>
      <c r="I654">
        <f>Tableau2[[#This Row],[GHG (kgCO2eq/GJ)]]*3.6</f>
        <v>0</v>
      </c>
      <c r="J654" t="s">
        <v>104</v>
      </c>
      <c r="K654" t="s">
        <v>109</v>
      </c>
    </row>
    <row r="655" spans="1:11" x14ac:dyDescent="0.3">
      <c r="A655" t="s">
        <v>36</v>
      </c>
      <c r="B655" t="s">
        <v>49</v>
      </c>
      <c r="C655" t="s">
        <v>71</v>
      </c>
      <c r="D655">
        <v>54.174849999999999</v>
      </c>
      <c r="E655">
        <f>Tableau2[[#This Row],[Potential (PJ)]]/3.6</f>
        <v>15.048569444444444</v>
      </c>
      <c r="F655">
        <v>4.5452501452242133</v>
      </c>
      <c r="G655">
        <f>Tableau2[[#This Row],[Cost (€/GJ)]]/1000*3600</f>
        <v>16.36290052280717</v>
      </c>
      <c r="H655">
        <v>3.86607608129234</v>
      </c>
      <c r="I655">
        <f>Tableau2[[#This Row],[GHG (kgCO2eq/GJ)]]*3.6</f>
        <v>13.917873892652425</v>
      </c>
      <c r="J655" t="s">
        <v>104</v>
      </c>
      <c r="K655" t="s">
        <v>108</v>
      </c>
    </row>
    <row r="656" spans="1:11" x14ac:dyDescent="0.3">
      <c r="A656" t="s">
        <v>36</v>
      </c>
      <c r="B656" t="s">
        <v>49</v>
      </c>
      <c r="C656" t="s">
        <v>72</v>
      </c>
      <c r="D656">
        <v>1.4</v>
      </c>
      <c r="E656">
        <f>Tableau2[[#This Row],[Potential (PJ)]]/3.6</f>
        <v>0.38888888888888884</v>
      </c>
      <c r="F656">
        <v>3.641428571428571</v>
      </c>
      <c r="G656">
        <f>Tableau2[[#This Row],[Cost (€/GJ)]]/1000*3600</f>
        <v>13.109142857142857</v>
      </c>
      <c r="H656">
        <v>3.86607608129234</v>
      </c>
      <c r="I656">
        <f>Tableau2[[#This Row],[GHG (kgCO2eq/GJ)]]*3.6</f>
        <v>13.917873892652425</v>
      </c>
      <c r="J656" t="s">
        <v>104</v>
      </c>
      <c r="K656" t="s">
        <v>108</v>
      </c>
    </row>
    <row r="657" spans="1:11" x14ac:dyDescent="0.3">
      <c r="A657" t="s">
        <v>36</v>
      </c>
      <c r="B657" t="s">
        <v>58</v>
      </c>
      <c r="C657" t="s">
        <v>95</v>
      </c>
      <c r="D657">
        <v>5.5727600000000006</v>
      </c>
      <c r="E657">
        <f>Tableau2[[#This Row],[Potential (PJ)]]/3.6</f>
        <v>1.5479888888888891</v>
      </c>
      <c r="F657">
        <v>0</v>
      </c>
      <c r="G657">
        <f>Tableau2[[#This Row],[Cost (€/GJ)]]/1000*3600</f>
        <v>0</v>
      </c>
      <c r="H657">
        <v>2.9521711768407801</v>
      </c>
      <c r="I657">
        <f>Tableau2[[#This Row],[GHG (kgCO2eq/GJ)]]*3.6</f>
        <v>10.627816236626808</v>
      </c>
      <c r="J657" t="s">
        <v>104</v>
      </c>
      <c r="K657" t="s">
        <v>108</v>
      </c>
    </row>
    <row r="658" spans="1:11" hidden="1" x14ac:dyDescent="0.3">
      <c r="A658" t="s">
        <v>36</v>
      </c>
      <c r="B658" t="s">
        <v>50</v>
      </c>
      <c r="C658" t="s">
        <v>73</v>
      </c>
      <c r="D658">
        <v>2.6</v>
      </c>
      <c r="E658">
        <f>Tableau2[[#This Row],[Potential (PJ)]]/3.6</f>
        <v>0.72222222222222221</v>
      </c>
      <c r="F658">
        <v>5.0737692307692308</v>
      </c>
      <c r="G658">
        <f>Tableau2[[#This Row],[Cost (€/GJ)]]/1000*3600</f>
        <v>18.265569230769231</v>
      </c>
      <c r="H658">
        <v>20.723404255319149</v>
      </c>
      <c r="I658">
        <f>Tableau2[[#This Row],[GHG (kgCO2eq/GJ)]]*3.6</f>
        <v>74.604255319148933</v>
      </c>
      <c r="J658" t="s">
        <v>105</v>
      </c>
      <c r="K658" t="s">
        <v>108</v>
      </c>
    </row>
    <row r="659" spans="1:11" hidden="1" x14ac:dyDescent="0.3">
      <c r="A659" t="s">
        <v>36</v>
      </c>
      <c r="B659" t="s">
        <v>50</v>
      </c>
      <c r="C659" t="s">
        <v>74</v>
      </c>
      <c r="D659">
        <v>21.2</v>
      </c>
      <c r="E659">
        <f>Tableau2[[#This Row],[Potential (PJ)]]/3.6</f>
        <v>5.8888888888888884</v>
      </c>
      <c r="F659">
        <v>3.9755424528301879</v>
      </c>
      <c r="G659">
        <f>Tableau2[[#This Row],[Cost (€/GJ)]]/1000*3600</f>
        <v>14.311952830188675</v>
      </c>
      <c r="H659">
        <v>2.0635593220338988</v>
      </c>
      <c r="I659">
        <f>Tableau2[[#This Row],[GHG (kgCO2eq/GJ)]]*3.6</f>
        <v>7.4288135593220357</v>
      </c>
      <c r="J659" t="s">
        <v>105</v>
      </c>
      <c r="K659" t="s">
        <v>108</v>
      </c>
    </row>
    <row r="660" spans="1:11" hidden="1" x14ac:dyDescent="0.3">
      <c r="A660" t="s">
        <v>36</v>
      </c>
      <c r="B660" t="s">
        <v>59</v>
      </c>
      <c r="C660" t="s">
        <v>97</v>
      </c>
      <c r="D660">
        <v>0.36599999999999999</v>
      </c>
      <c r="E660">
        <f>Tableau2[[#This Row],[Potential (PJ)]]/3.6</f>
        <v>0.10166666666666666</v>
      </c>
      <c r="F660">
        <v>36.353771025501899</v>
      </c>
      <c r="G660">
        <f>Tableau2[[#This Row],[Cost (€/GJ)]]/1000*3600</f>
        <v>130.87357569180685</v>
      </c>
      <c r="H660">
        <v>36.299999999999997</v>
      </c>
      <c r="I660">
        <f>Tableau2[[#This Row],[GHG (kgCO2eq/GJ)]]*3.6</f>
        <v>130.68</v>
      </c>
      <c r="J660" t="s">
        <v>107</v>
      </c>
      <c r="K660" t="s">
        <v>109</v>
      </c>
    </row>
    <row r="661" spans="1:11" x14ac:dyDescent="0.3">
      <c r="A661" t="s">
        <v>36</v>
      </c>
      <c r="B661" t="s">
        <v>51</v>
      </c>
      <c r="C661" t="s">
        <v>75</v>
      </c>
      <c r="D661">
        <v>17.613309999999998</v>
      </c>
      <c r="E661">
        <f>Tableau2[[#This Row],[Potential (PJ)]]/3.6</f>
        <v>4.8925861111111102</v>
      </c>
      <c r="F661">
        <v>3.9712214076558002E-3</v>
      </c>
      <c r="G661">
        <f>Tableau2[[#This Row],[Cost (€/GJ)]]/1000*3600</f>
        <v>1.4296397067560881E-2</v>
      </c>
      <c r="H661">
        <v>11.74</v>
      </c>
      <c r="I661">
        <f>Tableau2[[#This Row],[GHG (kgCO2eq/GJ)]]*3.6</f>
        <v>42.264000000000003</v>
      </c>
      <c r="J661" t="s">
        <v>104</v>
      </c>
      <c r="K661" t="s">
        <v>108</v>
      </c>
    </row>
    <row r="662" spans="1:11" hidden="1" x14ac:dyDescent="0.3">
      <c r="A662" t="s">
        <v>36</v>
      </c>
      <c r="B662" t="s">
        <v>52</v>
      </c>
      <c r="C662" t="s">
        <v>76</v>
      </c>
      <c r="D662">
        <v>0.86499999999999999</v>
      </c>
      <c r="E662">
        <f>Tableau2[[#This Row],[Potential (PJ)]]/3.6</f>
        <v>0.24027777777777776</v>
      </c>
      <c r="F662">
        <v>5.4702337500000002</v>
      </c>
      <c r="G662">
        <f>Tableau2[[#This Row],[Cost (€/GJ)]]/1000*3600</f>
        <v>19.6928415</v>
      </c>
      <c r="H662">
        <v>12.68872359754714</v>
      </c>
      <c r="I662">
        <f>Tableau2[[#This Row],[GHG (kgCO2eq/GJ)]]*3.6</f>
        <v>45.679404951169708</v>
      </c>
      <c r="J662" t="s">
        <v>105</v>
      </c>
      <c r="K662" t="s">
        <v>108</v>
      </c>
    </row>
    <row r="663" spans="1:11" x14ac:dyDescent="0.3">
      <c r="A663" t="s">
        <v>36</v>
      </c>
      <c r="B663" t="s">
        <v>53</v>
      </c>
      <c r="C663" t="s">
        <v>77</v>
      </c>
      <c r="D663">
        <v>1.1000000000000001</v>
      </c>
      <c r="E663">
        <f>Tableau2[[#This Row],[Potential (PJ)]]/3.6</f>
        <v>0.30555555555555558</v>
      </c>
      <c r="F663">
        <v>3.641363636363637</v>
      </c>
      <c r="G663">
        <f>Tableau2[[#This Row],[Cost (€/GJ)]]/1000*3600</f>
        <v>13.108909090909094</v>
      </c>
      <c r="H663">
        <v>3.86607608129234</v>
      </c>
      <c r="I663">
        <f>Tableau2[[#This Row],[GHG (kgCO2eq/GJ)]]*3.6</f>
        <v>13.917873892652425</v>
      </c>
      <c r="J663" t="s">
        <v>104</v>
      </c>
      <c r="K663" t="s">
        <v>108</v>
      </c>
    </row>
    <row r="664" spans="1:11" x14ac:dyDescent="0.3">
      <c r="A664" t="s">
        <v>36</v>
      </c>
      <c r="B664" t="s">
        <v>61</v>
      </c>
      <c r="C664" t="s">
        <v>99</v>
      </c>
      <c r="D664">
        <v>4.4000000000000004</v>
      </c>
      <c r="E664">
        <f>Tableau2[[#This Row],[Potential (PJ)]]/3.6</f>
        <v>1.2222222222222223</v>
      </c>
      <c r="F664">
        <v>1.747045454545455</v>
      </c>
      <c r="G664">
        <f>Tableau2[[#This Row],[Cost (€/GJ)]]/1000*3600</f>
        <v>6.289363636363638</v>
      </c>
      <c r="H664">
        <v>2.9245635910224439</v>
      </c>
      <c r="I664">
        <f>Tableau2[[#This Row],[GHG (kgCO2eq/GJ)]]*3.6</f>
        <v>10.528428927680798</v>
      </c>
      <c r="J664" t="s">
        <v>104</v>
      </c>
      <c r="K664" t="s">
        <v>108</v>
      </c>
    </row>
    <row r="665" spans="1:11" x14ac:dyDescent="0.3">
      <c r="A665" t="s">
        <v>36</v>
      </c>
      <c r="B665" t="s">
        <v>62</v>
      </c>
      <c r="C665" t="s">
        <v>100</v>
      </c>
      <c r="D665">
        <v>1</v>
      </c>
      <c r="E665">
        <f>Tableau2[[#This Row],[Potential (PJ)]]/3.6</f>
        <v>0.27777777777777779</v>
      </c>
      <c r="F665">
        <v>0.74</v>
      </c>
      <c r="G665">
        <f>Tableau2[[#This Row],[Cost (€/GJ)]]/1000*3600</f>
        <v>2.6640000000000001</v>
      </c>
      <c r="H665">
        <v>2.6764106050305911</v>
      </c>
      <c r="I665">
        <f>Tableau2[[#This Row],[GHG (kgCO2eq/GJ)]]*3.6</f>
        <v>9.6350781781101276</v>
      </c>
      <c r="J665" t="s">
        <v>104</v>
      </c>
      <c r="K665" t="s">
        <v>108</v>
      </c>
    </row>
    <row r="666" spans="1:11" x14ac:dyDescent="0.3">
      <c r="A666" t="s">
        <v>36</v>
      </c>
      <c r="B666" t="s">
        <v>54</v>
      </c>
      <c r="C666" t="s">
        <v>78</v>
      </c>
      <c r="D666">
        <v>45.9</v>
      </c>
      <c r="E666">
        <f>Tableau2[[#This Row],[Potential (PJ)]]/3.6</f>
        <v>12.75</v>
      </c>
      <c r="F666">
        <v>7.6141067538126368</v>
      </c>
      <c r="G666">
        <f>Tableau2[[#This Row],[Cost (€/GJ)]]/1000*3600</f>
        <v>27.410784313725493</v>
      </c>
      <c r="H666">
        <v>3.86607608129234</v>
      </c>
      <c r="I666">
        <f>Tableau2[[#This Row],[GHG (kgCO2eq/GJ)]]*3.6</f>
        <v>13.917873892652425</v>
      </c>
      <c r="J666" t="s">
        <v>104</v>
      </c>
      <c r="K666" t="s">
        <v>108</v>
      </c>
    </row>
    <row r="667" spans="1:11" hidden="1" x14ac:dyDescent="0.3">
      <c r="A667" t="s">
        <v>37</v>
      </c>
      <c r="B667" t="s">
        <v>46</v>
      </c>
      <c r="C667" t="s">
        <v>64</v>
      </c>
      <c r="D667">
        <v>0.27294000000000002</v>
      </c>
      <c r="E667">
        <f>Tableau2[[#This Row],[Potential (PJ)]]/3.6</f>
        <v>7.5816666666666671E-2</v>
      </c>
      <c r="F667">
        <v>3.8959569136073871</v>
      </c>
      <c r="G667">
        <f>Tableau2[[#This Row],[Cost (€/GJ)]]/1000*3600</f>
        <v>14.025444888986593</v>
      </c>
      <c r="H667">
        <v>2.9521711768407801</v>
      </c>
      <c r="I667">
        <f>Tableau2[[#This Row],[GHG (kgCO2eq/GJ)]]*3.6</f>
        <v>10.627816236626808</v>
      </c>
      <c r="J667" t="s">
        <v>104</v>
      </c>
      <c r="K667" t="s">
        <v>108</v>
      </c>
    </row>
    <row r="668" spans="1:11" hidden="1" x14ac:dyDescent="0.3">
      <c r="A668" t="s">
        <v>37</v>
      </c>
      <c r="B668" t="s">
        <v>46</v>
      </c>
      <c r="C668" t="s">
        <v>79</v>
      </c>
      <c r="D668">
        <v>28.3</v>
      </c>
      <c r="E668">
        <f>Tableau2[[#This Row],[Potential (PJ)]]/3.6</f>
        <v>7.8611111111111107</v>
      </c>
      <c r="F668">
        <v>2.2529081272084812</v>
      </c>
      <c r="G668">
        <f>Tableau2[[#This Row],[Cost (€/GJ)]]/1000*3600</f>
        <v>8.1104692579505322</v>
      </c>
      <c r="H668">
        <v>6.8428961748633883</v>
      </c>
      <c r="I668">
        <f>Tableau2[[#This Row],[GHG (kgCO2eq/GJ)]]*3.6</f>
        <v>24.634426229508197</v>
      </c>
      <c r="J668" t="s">
        <v>104</v>
      </c>
      <c r="K668" t="s">
        <v>108</v>
      </c>
    </row>
    <row r="669" spans="1:11" hidden="1" x14ac:dyDescent="0.3">
      <c r="A669" t="s">
        <v>37</v>
      </c>
      <c r="B669" t="s">
        <v>46</v>
      </c>
      <c r="C669" t="s">
        <v>65</v>
      </c>
      <c r="D669">
        <v>0.70000000000000007</v>
      </c>
      <c r="E669">
        <f>Tableau2[[#This Row],[Potential (PJ)]]/3.6</f>
        <v>0.19444444444444445</v>
      </c>
      <c r="F669">
        <v>3.9052857142857138</v>
      </c>
      <c r="G669">
        <f>Tableau2[[#This Row],[Cost (€/GJ)]]/1000*3600</f>
        <v>14.05902857142857</v>
      </c>
      <c r="H669">
        <v>2.9521711768407801</v>
      </c>
      <c r="I669">
        <f>Tableau2[[#This Row],[GHG (kgCO2eq/GJ)]]*3.6</f>
        <v>10.627816236626808</v>
      </c>
      <c r="J669" t="s">
        <v>104</v>
      </c>
      <c r="K669" t="s">
        <v>108</v>
      </c>
    </row>
    <row r="670" spans="1:11" hidden="1" x14ac:dyDescent="0.3">
      <c r="A670" t="s">
        <v>37</v>
      </c>
      <c r="B670" t="s">
        <v>46</v>
      </c>
      <c r="C670" t="s">
        <v>80</v>
      </c>
      <c r="D670">
        <v>1.2579</v>
      </c>
      <c r="E670">
        <f>Tableau2[[#This Row],[Potential (PJ)]]/3.6</f>
        <v>0.34941666666666665</v>
      </c>
      <c r="F670">
        <v>1.7687120701281189</v>
      </c>
      <c r="G670">
        <f>Tableau2[[#This Row],[Cost (€/GJ)]]/1000*3600</f>
        <v>6.3673634524612286</v>
      </c>
      <c r="H670">
        <v>28.139870918023309</v>
      </c>
      <c r="I670">
        <f>Tableau2[[#This Row],[GHG (kgCO2eq/GJ)]]*3.6</f>
        <v>101.30353530488391</v>
      </c>
      <c r="J670" t="s">
        <v>105</v>
      </c>
      <c r="K670" t="s">
        <v>108</v>
      </c>
    </row>
    <row r="671" spans="1:11" hidden="1" x14ac:dyDescent="0.3">
      <c r="A671" t="s">
        <v>37</v>
      </c>
      <c r="B671" t="s">
        <v>46</v>
      </c>
      <c r="C671" t="s">
        <v>81</v>
      </c>
      <c r="D671">
        <v>1.2959000000000001</v>
      </c>
      <c r="E671">
        <f>Tableau2[[#This Row],[Potential (PJ)]]/3.6</f>
        <v>0.35997222222222225</v>
      </c>
      <c r="F671">
        <v>3.96180963572268</v>
      </c>
      <c r="G671">
        <f>Tableau2[[#This Row],[Cost (€/GJ)]]/1000*3600</f>
        <v>14.26251468860165</v>
      </c>
      <c r="H671">
        <v>8.9647473560517046</v>
      </c>
      <c r="I671">
        <f>Tableau2[[#This Row],[GHG (kgCO2eq/GJ)]]*3.6</f>
        <v>32.273090481786134</v>
      </c>
      <c r="J671" t="s">
        <v>105</v>
      </c>
      <c r="K671" t="s">
        <v>108</v>
      </c>
    </row>
    <row r="672" spans="1:11" hidden="1" x14ac:dyDescent="0.3">
      <c r="A672" t="s">
        <v>37</v>
      </c>
      <c r="B672" t="s">
        <v>46</v>
      </c>
      <c r="C672" t="s">
        <v>66</v>
      </c>
      <c r="D672">
        <v>17.399999999999999</v>
      </c>
      <c r="E672">
        <f>Tableau2[[#This Row],[Potential (PJ)]]/3.6</f>
        <v>4.833333333333333</v>
      </c>
      <c r="F672">
        <v>2.352385057471265</v>
      </c>
      <c r="G672">
        <f>Tableau2[[#This Row],[Cost (€/GJ)]]/1000*3600</f>
        <v>8.4685862068965534</v>
      </c>
      <c r="H672">
        <v>6.8428961748633883</v>
      </c>
      <c r="I672">
        <f>Tableau2[[#This Row],[GHG (kgCO2eq/GJ)]]*3.6</f>
        <v>24.634426229508197</v>
      </c>
      <c r="J672" t="s">
        <v>104</v>
      </c>
      <c r="K672" t="s">
        <v>108</v>
      </c>
    </row>
    <row r="673" spans="1:11" hidden="1" x14ac:dyDescent="0.3">
      <c r="A673" t="s">
        <v>37</v>
      </c>
      <c r="B673" t="s">
        <v>46</v>
      </c>
      <c r="C673" t="s">
        <v>82</v>
      </c>
      <c r="D673">
        <v>11.5</v>
      </c>
      <c r="E673">
        <f>Tableau2[[#This Row],[Potential (PJ)]]/3.6</f>
        <v>3.1944444444444442</v>
      </c>
      <c r="F673">
        <v>1.4407478260869571</v>
      </c>
      <c r="G673">
        <f>Tableau2[[#This Row],[Cost (€/GJ)]]/1000*3600</f>
        <v>5.1866921739130456</v>
      </c>
      <c r="H673">
        <v>6.8428961748633883</v>
      </c>
      <c r="I673">
        <f>Tableau2[[#This Row],[GHG (kgCO2eq/GJ)]]*3.6</f>
        <v>24.634426229508197</v>
      </c>
      <c r="J673" t="s">
        <v>104</v>
      </c>
      <c r="K673" t="s">
        <v>108</v>
      </c>
    </row>
    <row r="674" spans="1:11" hidden="1" x14ac:dyDescent="0.3">
      <c r="A674" t="s">
        <v>37</v>
      </c>
      <c r="B674" t="s">
        <v>46</v>
      </c>
      <c r="C674" t="s">
        <v>83</v>
      </c>
      <c r="D674">
        <v>0.19711999999999999</v>
      </c>
      <c r="E674">
        <f>Tableau2[[#This Row],[Potential (PJ)]]/3.6</f>
        <v>5.475555555555555E-2</v>
      </c>
      <c r="F674">
        <v>2.413278764204545</v>
      </c>
      <c r="G674">
        <f>Tableau2[[#This Row],[Cost (€/GJ)]]/1000*3600</f>
        <v>8.687803551136362</v>
      </c>
      <c r="H674">
        <v>6.8428961748633883</v>
      </c>
      <c r="I674">
        <f>Tableau2[[#This Row],[GHG (kgCO2eq/GJ)]]*3.6</f>
        <v>24.634426229508197</v>
      </c>
      <c r="J674" t="s">
        <v>104</v>
      </c>
      <c r="K674" t="s">
        <v>108</v>
      </c>
    </row>
    <row r="675" spans="1:11" hidden="1" x14ac:dyDescent="0.3">
      <c r="A675" t="s">
        <v>37</v>
      </c>
      <c r="B675" t="s">
        <v>46</v>
      </c>
      <c r="C675" t="s">
        <v>84</v>
      </c>
      <c r="D675">
        <v>0.4</v>
      </c>
      <c r="E675">
        <f>Tableau2[[#This Row],[Potential (PJ)]]/3.6</f>
        <v>0.11111111111111112</v>
      </c>
      <c r="F675">
        <v>1.5075000000000001</v>
      </c>
      <c r="G675">
        <f>Tableau2[[#This Row],[Cost (€/GJ)]]/1000*3600</f>
        <v>5.4270000000000005</v>
      </c>
      <c r="H675">
        <v>28.139870918023309</v>
      </c>
      <c r="I675">
        <f>Tableau2[[#This Row],[GHG (kgCO2eq/GJ)]]*3.6</f>
        <v>101.30353530488391</v>
      </c>
      <c r="J675" t="s">
        <v>105</v>
      </c>
      <c r="K675" t="s">
        <v>108</v>
      </c>
    </row>
    <row r="676" spans="1:11" hidden="1" x14ac:dyDescent="0.3">
      <c r="A676" t="s">
        <v>37</v>
      </c>
      <c r="B676" t="s">
        <v>46</v>
      </c>
      <c r="C676" t="s">
        <v>85</v>
      </c>
      <c r="D676">
        <v>0.2</v>
      </c>
      <c r="E676">
        <f>Tableau2[[#This Row],[Potential (PJ)]]/3.6</f>
        <v>5.5555555555555559E-2</v>
      </c>
      <c r="F676">
        <v>4.1310000000000002</v>
      </c>
      <c r="G676">
        <f>Tableau2[[#This Row],[Cost (€/GJ)]]/1000*3600</f>
        <v>14.871600000000001</v>
      </c>
      <c r="H676">
        <v>2.9521711768407801</v>
      </c>
      <c r="I676">
        <f>Tableau2[[#This Row],[GHG (kgCO2eq/GJ)]]*3.6</f>
        <v>10.627816236626808</v>
      </c>
      <c r="J676" t="s">
        <v>104</v>
      </c>
      <c r="K676" t="s">
        <v>108</v>
      </c>
    </row>
    <row r="677" spans="1:11" hidden="1" x14ac:dyDescent="0.3">
      <c r="A677" t="s">
        <v>37</v>
      </c>
      <c r="B677" t="s">
        <v>55</v>
      </c>
      <c r="C677" t="s">
        <v>86</v>
      </c>
      <c r="D677">
        <v>2.3113000000000001</v>
      </c>
      <c r="E677">
        <f>Tableau2[[#This Row],[Potential (PJ)]]/3.6</f>
        <v>0.64202777777777775</v>
      </c>
      <c r="F677">
        <v>20.597000000000001</v>
      </c>
      <c r="G677">
        <f>Tableau2[[#This Row],[Cost (€/GJ)]]/1000*3600</f>
        <v>74.149200000000008</v>
      </c>
      <c r="H677">
        <v>8.6999999999999993</v>
      </c>
      <c r="I677">
        <f>Tableau2[[#This Row],[GHG (kgCO2eq/GJ)]]*3.6</f>
        <v>31.319999999999997</v>
      </c>
      <c r="J677" t="s">
        <v>106</v>
      </c>
      <c r="K677" t="s">
        <v>109</v>
      </c>
    </row>
    <row r="678" spans="1:11" hidden="1" x14ac:dyDescent="0.3">
      <c r="A678" t="s">
        <v>37</v>
      </c>
      <c r="B678" t="s">
        <v>55</v>
      </c>
      <c r="C678" t="s">
        <v>87</v>
      </c>
      <c r="D678">
        <v>0.16830000000000001</v>
      </c>
      <c r="E678">
        <f>Tableau2[[#This Row],[Potential (PJ)]]/3.6</f>
        <v>4.675E-2</v>
      </c>
      <c r="F678">
        <v>18.068000000000001</v>
      </c>
      <c r="G678">
        <f>Tableau2[[#This Row],[Cost (€/GJ)]]/1000*3600</f>
        <v>65.044800000000009</v>
      </c>
      <c r="H678">
        <v>8.6999999999999993</v>
      </c>
      <c r="I678">
        <f>Tableau2[[#This Row],[GHG (kgCO2eq/GJ)]]*3.6</f>
        <v>31.319999999999997</v>
      </c>
      <c r="J678" t="s">
        <v>106</v>
      </c>
      <c r="K678" t="s">
        <v>109</v>
      </c>
    </row>
    <row r="679" spans="1:11" hidden="1" x14ac:dyDescent="0.3">
      <c r="A679" t="s">
        <v>37</v>
      </c>
      <c r="B679" t="s">
        <v>55</v>
      </c>
      <c r="C679" t="s">
        <v>88</v>
      </c>
      <c r="D679">
        <v>22.1309</v>
      </c>
      <c r="E679">
        <f>Tableau2[[#This Row],[Potential (PJ)]]/3.6</f>
        <v>6.1474722222222224</v>
      </c>
      <c r="F679">
        <v>26.291</v>
      </c>
      <c r="G679">
        <f>Tableau2[[#This Row],[Cost (€/GJ)]]/1000*3600</f>
        <v>94.647600000000011</v>
      </c>
      <c r="H679">
        <v>8.6999999999999993</v>
      </c>
      <c r="I679">
        <f>Tableau2[[#This Row],[GHG (kgCO2eq/GJ)]]*3.6</f>
        <v>31.319999999999997</v>
      </c>
      <c r="J679" t="s">
        <v>106</v>
      </c>
      <c r="K679" t="s">
        <v>109</v>
      </c>
    </row>
    <row r="680" spans="1:11" hidden="1" x14ac:dyDescent="0.3">
      <c r="A680" t="s">
        <v>37</v>
      </c>
      <c r="B680" t="s">
        <v>55</v>
      </c>
      <c r="C680" t="s">
        <v>89</v>
      </c>
      <c r="D680">
        <v>6.4999999999999997E-3</v>
      </c>
      <c r="E680">
        <f>Tableau2[[#This Row],[Potential (PJ)]]/3.6</f>
        <v>1.8055555555555555E-3</v>
      </c>
      <c r="F680">
        <v>0</v>
      </c>
      <c r="G680">
        <f>Tableau2[[#This Row],[Cost (€/GJ)]]/1000*3600</f>
        <v>0</v>
      </c>
      <c r="H680">
        <v>8.6999999999999993</v>
      </c>
      <c r="I680">
        <f>Tableau2[[#This Row],[GHG (kgCO2eq/GJ)]]*3.6</f>
        <v>31.319999999999997</v>
      </c>
      <c r="J680" t="s">
        <v>106</v>
      </c>
      <c r="K680" t="s">
        <v>109</v>
      </c>
    </row>
    <row r="681" spans="1:11" hidden="1" x14ac:dyDescent="0.3">
      <c r="A681" t="s">
        <v>37</v>
      </c>
      <c r="B681" t="s">
        <v>55</v>
      </c>
      <c r="C681" t="s">
        <v>92</v>
      </c>
      <c r="D681">
        <v>2.0546799999999998</v>
      </c>
      <c r="E681">
        <f>Tableau2[[#This Row],[Potential (PJ)]]/3.6</f>
        <v>0.57074444444444439</v>
      </c>
      <c r="F681">
        <v>18.068000000000001</v>
      </c>
      <c r="G681">
        <f>Tableau2[[#This Row],[Cost (€/GJ)]]/1000*3600</f>
        <v>65.044800000000009</v>
      </c>
      <c r="H681">
        <v>8.6999999999999993</v>
      </c>
      <c r="I681">
        <f>Tableau2[[#This Row],[GHG (kgCO2eq/GJ)]]*3.6</f>
        <v>31.319999999999997</v>
      </c>
      <c r="J681" t="s">
        <v>106</v>
      </c>
      <c r="K681" t="s">
        <v>109</v>
      </c>
    </row>
    <row r="682" spans="1:11" hidden="1" x14ac:dyDescent="0.3">
      <c r="A682" t="s">
        <v>37</v>
      </c>
      <c r="B682" t="s">
        <v>56</v>
      </c>
      <c r="C682" t="s">
        <v>93</v>
      </c>
      <c r="D682">
        <v>9.3720999999999997</v>
      </c>
      <c r="E682">
        <f>Tableau2[[#This Row],[Potential (PJ)]]/3.6</f>
        <v>2.603361111111111</v>
      </c>
      <c r="F682">
        <v>2.9493975903614462</v>
      </c>
      <c r="G682">
        <f>Tableau2[[#This Row],[Cost (€/GJ)]]/1000*3600</f>
        <v>10.617831325301207</v>
      </c>
      <c r="H682">
        <v>34</v>
      </c>
      <c r="I682">
        <f>Tableau2[[#This Row],[GHG (kgCO2eq/GJ)]]*3.6</f>
        <v>122.4</v>
      </c>
      <c r="J682" t="s">
        <v>106</v>
      </c>
      <c r="K682" t="s">
        <v>109</v>
      </c>
    </row>
    <row r="683" spans="1:11" hidden="1" x14ac:dyDescent="0.3">
      <c r="A683" t="s">
        <v>37</v>
      </c>
      <c r="B683" t="s">
        <v>47</v>
      </c>
      <c r="C683" t="s">
        <v>68</v>
      </c>
      <c r="D683">
        <v>120.1</v>
      </c>
      <c r="E683">
        <f>Tableau2[[#This Row],[Potential (PJ)]]/3.6</f>
        <v>33.361111111111107</v>
      </c>
      <c r="F683">
        <v>2.736073272273106</v>
      </c>
      <c r="G683">
        <f>Tableau2[[#This Row],[Cost (€/GJ)]]/1000*3600</f>
        <v>9.8498637801831812</v>
      </c>
      <c r="H683">
        <v>16.600000000000001</v>
      </c>
      <c r="I683">
        <f>Tableau2[[#This Row],[GHG (kgCO2eq/GJ)]]*3.6</f>
        <v>59.760000000000005</v>
      </c>
      <c r="J683" t="s">
        <v>104</v>
      </c>
      <c r="K683" t="s">
        <v>109</v>
      </c>
    </row>
    <row r="684" spans="1:11" hidden="1" x14ac:dyDescent="0.3">
      <c r="A684" t="s">
        <v>37</v>
      </c>
      <c r="B684" t="s">
        <v>47</v>
      </c>
      <c r="C684" t="s">
        <v>69</v>
      </c>
      <c r="D684">
        <v>119.6</v>
      </c>
      <c r="E684">
        <f>Tableau2[[#This Row],[Potential (PJ)]]/3.6</f>
        <v>33.222222222222221</v>
      </c>
      <c r="F684">
        <v>2.5378336120401341</v>
      </c>
      <c r="G684">
        <f>Tableau2[[#This Row],[Cost (€/GJ)]]/1000*3600</f>
        <v>9.1362010033444818</v>
      </c>
      <c r="H684">
        <v>16.600000000000001</v>
      </c>
      <c r="I684">
        <f>Tableau2[[#This Row],[GHG (kgCO2eq/GJ)]]*3.6</f>
        <v>59.760000000000005</v>
      </c>
      <c r="J684" t="s">
        <v>104</v>
      </c>
      <c r="K684" t="s">
        <v>109</v>
      </c>
    </row>
    <row r="685" spans="1:11" hidden="1" x14ac:dyDescent="0.3">
      <c r="A685" t="s">
        <v>37</v>
      </c>
      <c r="B685" t="s">
        <v>57</v>
      </c>
      <c r="C685" t="s">
        <v>94</v>
      </c>
      <c r="D685">
        <v>60.7</v>
      </c>
      <c r="E685">
        <f>Tableau2[[#This Row],[Potential (PJ)]]/3.6</f>
        <v>16.861111111111111</v>
      </c>
      <c r="F685">
        <v>6.961387149917627</v>
      </c>
      <c r="G685">
        <f>Tableau2[[#This Row],[Cost (€/GJ)]]/1000*3600</f>
        <v>25.060993739703459</v>
      </c>
      <c r="H685">
        <v>16.5</v>
      </c>
      <c r="I685">
        <f>Tableau2[[#This Row],[GHG (kgCO2eq/GJ)]]*3.6</f>
        <v>59.4</v>
      </c>
      <c r="J685" t="s">
        <v>104</v>
      </c>
      <c r="K685" t="s">
        <v>109</v>
      </c>
    </row>
    <row r="686" spans="1:11" x14ac:dyDescent="0.3">
      <c r="A686" t="s">
        <v>37</v>
      </c>
      <c r="B686" t="s">
        <v>49</v>
      </c>
      <c r="C686" t="s">
        <v>71</v>
      </c>
      <c r="D686">
        <v>123.32536</v>
      </c>
      <c r="E686">
        <f>Tableau2[[#This Row],[Potential (PJ)]]/3.6</f>
        <v>34.257044444444446</v>
      </c>
      <c r="F686">
        <v>1.961173635982089</v>
      </c>
      <c r="G686">
        <f>Tableau2[[#This Row],[Cost (€/GJ)]]/1000*3600</f>
        <v>7.0602250895355212</v>
      </c>
      <c r="H686">
        <v>3.86607608129234</v>
      </c>
      <c r="I686">
        <f>Tableau2[[#This Row],[GHG (kgCO2eq/GJ)]]*3.6</f>
        <v>13.917873892652425</v>
      </c>
      <c r="J686" t="s">
        <v>104</v>
      </c>
      <c r="K686" t="s">
        <v>108</v>
      </c>
    </row>
    <row r="687" spans="1:11" x14ac:dyDescent="0.3">
      <c r="A687" t="s">
        <v>37</v>
      </c>
      <c r="B687" t="s">
        <v>49</v>
      </c>
      <c r="C687" t="s">
        <v>72</v>
      </c>
      <c r="D687">
        <v>7.5</v>
      </c>
      <c r="E687">
        <f>Tableau2[[#This Row],[Potential (PJ)]]/3.6</f>
        <v>2.0833333333333335</v>
      </c>
      <c r="F687">
        <v>2.6303333333333332</v>
      </c>
      <c r="G687">
        <f>Tableau2[[#This Row],[Cost (€/GJ)]]/1000*3600</f>
        <v>9.469199999999999</v>
      </c>
      <c r="H687">
        <v>3.86607608129234</v>
      </c>
      <c r="I687">
        <f>Tableau2[[#This Row],[GHG (kgCO2eq/GJ)]]*3.6</f>
        <v>13.917873892652425</v>
      </c>
      <c r="J687" t="s">
        <v>104</v>
      </c>
      <c r="K687" t="s">
        <v>108</v>
      </c>
    </row>
    <row r="688" spans="1:11" x14ac:dyDescent="0.3">
      <c r="A688" t="s">
        <v>37</v>
      </c>
      <c r="B688" t="s">
        <v>58</v>
      </c>
      <c r="C688" t="s">
        <v>95</v>
      </c>
      <c r="D688">
        <v>20.909189999999999</v>
      </c>
      <c r="E688">
        <f>Tableau2[[#This Row],[Potential (PJ)]]/3.6</f>
        <v>5.8081083333333332</v>
      </c>
      <c r="F688">
        <v>0</v>
      </c>
      <c r="G688">
        <f>Tableau2[[#This Row],[Cost (€/GJ)]]/1000*3600</f>
        <v>0</v>
      </c>
      <c r="H688">
        <v>2.9521711768407801</v>
      </c>
      <c r="I688">
        <f>Tableau2[[#This Row],[GHG (kgCO2eq/GJ)]]*3.6</f>
        <v>10.627816236626808</v>
      </c>
      <c r="J688" t="s">
        <v>104</v>
      </c>
      <c r="K688" t="s">
        <v>108</v>
      </c>
    </row>
    <row r="689" spans="1:11" hidden="1" x14ac:dyDescent="0.3">
      <c r="A689" t="s">
        <v>37</v>
      </c>
      <c r="B689" t="s">
        <v>50</v>
      </c>
      <c r="C689" t="s">
        <v>73</v>
      </c>
      <c r="D689">
        <v>1.3</v>
      </c>
      <c r="E689">
        <f>Tableau2[[#This Row],[Potential (PJ)]]/3.6</f>
        <v>0.3611111111111111</v>
      </c>
      <c r="F689">
        <v>4.9517692307692309</v>
      </c>
      <c r="G689">
        <f>Tableau2[[#This Row],[Cost (€/GJ)]]/1000*3600</f>
        <v>17.826369230769231</v>
      </c>
      <c r="H689">
        <v>20.723404255319149</v>
      </c>
      <c r="I689">
        <f>Tableau2[[#This Row],[GHG (kgCO2eq/GJ)]]*3.6</f>
        <v>74.604255319148933</v>
      </c>
      <c r="J689" t="s">
        <v>105</v>
      </c>
      <c r="K689" t="s">
        <v>108</v>
      </c>
    </row>
    <row r="690" spans="1:11" hidden="1" x14ac:dyDescent="0.3">
      <c r="A690" t="s">
        <v>37</v>
      </c>
      <c r="B690" t="s">
        <v>50</v>
      </c>
      <c r="C690" t="s">
        <v>74</v>
      </c>
      <c r="D690">
        <v>19.899999999999999</v>
      </c>
      <c r="E690">
        <f>Tableau2[[#This Row],[Potential (PJ)]]/3.6</f>
        <v>5.5277777777777777</v>
      </c>
      <c r="F690">
        <v>2.7238542713567839</v>
      </c>
      <c r="G690">
        <f>Tableau2[[#This Row],[Cost (€/GJ)]]/1000*3600</f>
        <v>9.8058753768844209</v>
      </c>
      <c r="H690">
        <v>2.0635593220338988</v>
      </c>
      <c r="I690">
        <f>Tableau2[[#This Row],[GHG (kgCO2eq/GJ)]]*3.6</f>
        <v>7.4288135593220357</v>
      </c>
      <c r="J690" t="s">
        <v>105</v>
      </c>
      <c r="K690" t="s">
        <v>108</v>
      </c>
    </row>
    <row r="691" spans="1:11" hidden="1" x14ac:dyDescent="0.3">
      <c r="A691" t="s">
        <v>37</v>
      </c>
      <c r="B691" t="s">
        <v>59</v>
      </c>
      <c r="C691" t="s">
        <v>96</v>
      </c>
      <c r="D691">
        <v>4.3224</v>
      </c>
      <c r="E691">
        <f>Tableau2[[#This Row],[Potential (PJ)]]/3.6</f>
        <v>1.2006666666666665</v>
      </c>
      <c r="F691">
        <v>31.498000000000001</v>
      </c>
      <c r="G691">
        <f>Tableau2[[#This Row],[Cost (€/GJ)]]/1000*3600</f>
        <v>113.39279999999999</v>
      </c>
      <c r="H691">
        <v>6</v>
      </c>
      <c r="I691">
        <f>Tableau2[[#This Row],[GHG (kgCO2eq/GJ)]]*3.6</f>
        <v>21.6</v>
      </c>
      <c r="J691" t="s">
        <v>107</v>
      </c>
      <c r="K691" t="s">
        <v>109</v>
      </c>
    </row>
    <row r="692" spans="1:11" hidden="1" x14ac:dyDescent="0.3">
      <c r="A692" t="s">
        <v>37</v>
      </c>
      <c r="B692" t="s">
        <v>59</v>
      </c>
      <c r="C692" t="s">
        <v>97</v>
      </c>
      <c r="D692">
        <v>2.7867999999999999</v>
      </c>
      <c r="E692">
        <f>Tableau2[[#This Row],[Potential (PJ)]]/3.6</f>
        <v>0.77411111111111108</v>
      </c>
      <c r="F692">
        <v>15.95225176342919</v>
      </c>
      <c r="G692">
        <f>Tableau2[[#This Row],[Cost (€/GJ)]]/1000*3600</f>
        <v>57.428106348345089</v>
      </c>
      <c r="H692">
        <v>6</v>
      </c>
      <c r="I692">
        <f>Tableau2[[#This Row],[GHG (kgCO2eq/GJ)]]*3.6</f>
        <v>21.6</v>
      </c>
      <c r="J692" t="s">
        <v>107</v>
      </c>
      <c r="K692" t="s">
        <v>109</v>
      </c>
    </row>
    <row r="693" spans="1:11" x14ac:dyDescent="0.3">
      <c r="A693" t="s">
        <v>37</v>
      </c>
      <c r="B693" t="s">
        <v>51</v>
      </c>
      <c r="C693" t="s">
        <v>75</v>
      </c>
      <c r="D693">
        <v>10.15226</v>
      </c>
      <c r="E693">
        <f>Tableau2[[#This Row],[Potential (PJ)]]/3.6</f>
        <v>2.8200722222222221</v>
      </c>
      <c r="F693">
        <v>8.9872161086532704E-2</v>
      </c>
      <c r="G693">
        <f>Tableau2[[#This Row],[Cost (€/GJ)]]/1000*3600</f>
        <v>0.32353977991151772</v>
      </c>
      <c r="H693">
        <v>11.74</v>
      </c>
      <c r="I693">
        <f>Tableau2[[#This Row],[GHG (kgCO2eq/GJ)]]*3.6</f>
        <v>42.264000000000003</v>
      </c>
      <c r="J693" t="s">
        <v>104</v>
      </c>
      <c r="K693" t="s">
        <v>108</v>
      </c>
    </row>
    <row r="694" spans="1:11" hidden="1" x14ac:dyDescent="0.3">
      <c r="A694" t="s">
        <v>37</v>
      </c>
      <c r="B694" t="s">
        <v>60</v>
      </c>
      <c r="C694" t="s">
        <v>98</v>
      </c>
      <c r="D694">
        <v>14.5435</v>
      </c>
      <c r="E694">
        <f>Tableau2[[#This Row],[Potential (PJ)]]/3.6</f>
        <v>4.0398611111111107</v>
      </c>
      <c r="F694">
        <v>13.856068743286791</v>
      </c>
      <c r="G694">
        <f>Tableau2[[#This Row],[Cost (€/GJ)]]/1000*3600</f>
        <v>49.881847475832444</v>
      </c>
      <c r="H694">
        <v>24.7</v>
      </c>
      <c r="I694">
        <f>Tableau2[[#This Row],[GHG (kgCO2eq/GJ)]]*3.6</f>
        <v>88.92</v>
      </c>
      <c r="J694" t="s">
        <v>107</v>
      </c>
      <c r="K694" t="s">
        <v>109</v>
      </c>
    </row>
    <row r="695" spans="1:11" hidden="1" x14ac:dyDescent="0.3">
      <c r="A695" t="s">
        <v>37</v>
      </c>
      <c r="B695" t="s">
        <v>52</v>
      </c>
      <c r="C695" t="s">
        <v>76</v>
      </c>
      <c r="D695">
        <v>3.1E-2</v>
      </c>
      <c r="E695">
        <f>Tableau2[[#This Row],[Potential (PJ)]]/3.6</f>
        <v>8.611111111111111E-3</v>
      </c>
      <c r="F695">
        <v>5.4702337500000002</v>
      </c>
      <c r="G695">
        <f>Tableau2[[#This Row],[Cost (€/GJ)]]/1000*3600</f>
        <v>19.6928415</v>
      </c>
      <c r="H695">
        <v>12.68872359754714</v>
      </c>
      <c r="I695">
        <f>Tableau2[[#This Row],[GHG (kgCO2eq/GJ)]]*3.6</f>
        <v>45.679404951169708</v>
      </c>
      <c r="J695" t="s">
        <v>105</v>
      </c>
      <c r="K695" t="s">
        <v>108</v>
      </c>
    </row>
    <row r="696" spans="1:11" x14ac:dyDescent="0.3">
      <c r="A696" t="s">
        <v>37</v>
      </c>
      <c r="B696" t="s">
        <v>53</v>
      </c>
      <c r="C696" t="s">
        <v>77</v>
      </c>
      <c r="D696">
        <v>7.3999999999999986</v>
      </c>
      <c r="E696">
        <f>Tableau2[[#This Row],[Potential (PJ)]]/3.6</f>
        <v>2.0555555555555549</v>
      </c>
      <c r="F696">
        <v>2.6303378378378381</v>
      </c>
      <c r="G696">
        <f>Tableau2[[#This Row],[Cost (€/GJ)]]/1000*3600</f>
        <v>9.4692162162162177</v>
      </c>
      <c r="H696">
        <v>3.86607608129234</v>
      </c>
      <c r="I696">
        <f>Tableau2[[#This Row],[GHG (kgCO2eq/GJ)]]*3.6</f>
        <v>13.917873892652425</v>
      </c>
      <c r="J696" t="s">
        <v>104</v>
      </c>
      <c r="K696" t="s">
        <v>108</v>
      </c>
    </row>
    <row r="697" spans="1:11" x14ac:dyDescent="0.3">
      <c r="A697" t="s">
        <v>37</v>
      </c>
      <c r="B697" t="s">
        <v>61</v>
      </c>
      <c r="C697" t="s">
        <v>99</v>
      </c>
      <c r="D697">
        <v>22</v>
      </c>
      <c r="E697">
        <f>Tableau2[[#This Row],[Potential (PJ)]]/3.6</f>
        <v>6.1111111111111107</v>
      </c>
      <c r="F697">
        <v>1.267304545454546</v>
      </c>
      <c r="G697">
        <f>Tableau2[[#This Row],[Cost (€/GJ)]]/1000*3600</f>
        <v>4.5622963636363654</v>
      </c>
      <c r="H697">
        <v>2.9245635910224439</v>
      </c>
      <c r="I697">
        <f>Tableau2[[#This Row],[GHG (kgCO2eq/GJ)]]*3.6</f>
        <v>10.528428927680798</v>
      </c>
      <c r="J697" t="s">
        <v>104</v>
      </c>
      <c r="K697" t="s">
        <v>108</v>
      </c>
    </row>
    <row r="698" spans="1:11" x14ac:dyDescent="0.3">
      <c r="A698" t="s">
        <v>37</v>
      </c>
      <c r="B698" t="s">
        <v>62</v>
      </c>
      <c r="C698" t="s">
        <v>100</v>
      </c>
      <c r="D698">
        <v>7.2</v>
      </c>
      <c r="E698">
        <f>Tableau2[[#This Row],[Potential (PJ)]]/3.6</f>
        <v>2</v>
      </c>
      <c r="F698">
        <v>0.42499999999999999</v>
      </c>
      <c r="G698">
        <f>Tableau2[[#This Row],[Cost (€/GJ)]]/1000*3600</f>
        <v>1.5299999999999998</v>
      </c>
      <c r="H698">
        <v>2.6764106050305911</v>
      </c>
      <c r="I698">
        <f>Tableau2[[#This Row],[GHG (kgCO2eq/GJ)]]*3.6</f>
        <v>9.6350781781101276</v>
      </c>
      <c r="J698" t="s">
        <v>104</v>
      </c>
      <c r="K698" t="s">
        <v>108</v>
      </c>
    </row>
    <row r="699" spans="1:11" x14ac:dyDescent="0.3">
      <c r="A699" t="s">
        <v>37</v>
      </c>
      <c r="B699" t="s">
        <v>54</v>
      </c>
      <c r="C699" t="s">
        <v>78</v>
      </c>
      <c r="D699">
        <v>119.9</v>
      </c>
      <c r="E699">
        <f>Tableau2[[#This Row],[Potential (PJ)]]/3.6</f>
        <v>33.305555555555557</v>
      </c>
      <c r="F699">
        <v>2.6014512093411168</v>
      </c>
      <c r="G699">
        <f>Tableau2[[#This Row],[Cost (€/GJ)]]/1000*3600</f>
        <v>9.3652243536280206</v>
      </c>
      <c r="H699">
        <v>3.86607608129234</v>
      </c>
      <c r="I699">
        <f>Tableau2[[#This Row],[GHG (kgCO2eq/GJ)]]*3.6</f>
        <v>13.917873892652425</v>
      </c>
      <c r="J699" t="s">
        <v>104</v>
      </c>
      <c r="K699" t="s">
        <v>108</v>
      </c>
    </row>
    <row r="700" spans="1:11" hidden="1" x14ac:dyDescent="0.3">
      <c r="A700" t="s">
        <v>38</v>
      </c>
      <c r="B700" t="s">
        <v>46</v>
      </c>
      <c r="C700" t="s">
        <v>64</v>
      </c>
      <c r="D700">
        <v>0.55730000000000002</v>
      </c>
      <c r="E700">
        <f>Tableau2[[#This Row],[Potential (PJ)]]/3.6</f>
        <v>0.15480555555555556</v>
      </c>
      <c r="F700">
        <v>2.5569999999999999</v>
      </c>
      <c r="G700">
        <f>Tableau2[[#This Row],[Cost (€/GJ)]]/1000*3600</f>
        <v>9.2051999999999996</v>
      </c>
      <c r="H700">
        <v>2.9521711768407801</v>
      </c>
      <c r="I700">
        <f>Tableau2[[#This Row],[GHG (kgCO2eq/GJ)]]*3.6</f>
        <v>10.627816236626808</v>
      </c>
      <c r="J700" t="s">
        <v>104</v>
      </c>
      <c r="K700" t="s">
        <v>108</v>
      </c>
    </row>
    <row r="701" spans="1:11" hidden="1" x14ac:dyDescent="0.3">
      <c r="A701" t="s">
        <v>38</v>
      </c>
      <c r="B701" t="s">
        <v>46</v>
      </c>
      <c r="C701" t="s">
        <v>79</v>
      </c>
      <c r="D701">
        <v>14.2</v>
      </c>
      <c r="E701">
        <f>Tableau2[[#This Row],[Potential (PJ)]]/3.6</f>
        <v>3.9444444444444442</v>
      </c>
      <c r="F701">
        <v>0</v>
      </c>
      <c r="G701">
        <f>Tableau2[[#This Row],[Cost (€/GJ)]]/1000*3600</f>
        <v>0</v>
      </c>
      <c r="H701">
        <v>6.8428961748633883</v>
      </c>
      <c r="I701">
        <f>Tableau2[[#This Row],[GHG (kgCO2eq/GJ)]]*3.6</f>
        <v>24.634426229508197</v>
      </c>
      <c r="J701" t="s">
        <v>104</v>
      </c>
      <c r="K701" t="s">
        <v>108</v>
      </c>
    </row>
    <row r="702" spans="1:11" hidden="1" x14ac:dyDescent="0.3">
      <c r="A702" t="s">
        <v>38</v>
      </c>
      <c r="B702" t="s">
        <v>46</v>
      </c>
      <c r="C702" t="s">
        <v>65</v>
      </c>
      <c r="D702">
        <v>1.5</v>
      </c>
      <c r="E702">
        <f>Tableau2[[#This Row],[Potential (PJ)]]/3.6</f>
        <v>0.41666666666666663</v>
      </c>
      <c r="F702">
        <v>4.359</v>
      </c>
      <c r="G702">
        <f>Tableau2[[#This Row],[Cost (€/GJ)]]/1000*3600</f>
        <v>15.692399999999999</v>
      </c>
      <c r="H702">
        <v>2.9521711768407801</v>
      </c>
      <c r="I702">
        <f>Tableau2[[#This Row],[GHG (kgCO2eq/GJ)]]*3.6</f>
        <v>10.627816236626808</v>
      </c>
      <c r="J702" t="s">
        <v>104</v>
      </c>
      <c r="K702" t="s">
        <v>108</v>
      </c>
    </row>
    <row r="703" spans="1:11" hidden="1" x14ac:dyDescent="0.3">
      <c r="A703" t="s">
        <v>38</v>
      </c>
      <c r="B703" t="s">
        <v>46</v>
      </c>
      <c r="C703" t="s">
        <v>66</v>
      </c>
      <c r="D703">
        <v>14.6</v>
      </c>
      <c r="E703">
        <f>Tableau2[[#This Row],[Potential (PJ)]]/3.6</f>
        <v>4.0555555555555554</v>
      </c>
      <c r="F703">
        <v>2.9180000000000001</v>
      </c>
      <c r="G703">
        <f>Tableau2[[#This Row],[Cost (€/GJ)]]/1000*3600</f>
        <v>10.504799999999999</v>
      </c>
      <c r="H703">
        <v>6.8428961748633883</v>
      </c>
      <c r="I703">
        <f>Tableau2[[#This Row],[GHG (kgCO2eq/GJ)]]*3.6</f>
        <v>24.634426229508197</v>
      </c>
      <c r="J703" t="s">
        <v>104</v>
      </c>
      <c r="K703" t="s">
        <v>108</v>
      </c>
    </row>
    <row r="704" spans="1:11" hidden="1" x14ac:dyDescent="0.3">
      <c r="A704" t="s">
        <v>38</v>
      </c>
      <c r="B704" t="s">
        <v>46</v>
      </c>
      <c r="C704" t="s">
        <v>82</v>
      </c>
      <c r="D704">
        <v>0.3</v>
      </c>
      <c r="E704">
        <f>Tableau2[[#This Row],[Potential (PJ)]]/3.6</f>
        <v>8.3333333333333329E-2</v>
      </c>
      <c r="F704">
        <v>0</v>
      </c>
      <c r="G704">
        <f>Tableau2[[#This Row],[Cost (€/GJ)]]/1000*3600</f>
        <v>0</v>
      </c>
      <c r="H704">
        <v>6.8428961748633883</v>
      </c>
      <c r="I704">
        <f>Tableau2[[#This Row],[GHG (kgCO2eq/GJ)]]*3.6</f>
        <v>24.634426229508197</v>
      </c>
      <c r="J704" t="s">
        <v>104</v>
      </c>
      <c r="K704" t="s">
        <v>108</v>
      </c>
    </row>
    <row r="705" spans="1:11" hidden="1" x14ac:dyDescent="0.3">
      <c r="A705" t="s">
        <v>38</v>
      </c>
      <c r="B705" t="s">
        <v>46</v>
      </c>
      <c r="C705" t="s">
        <v>84</v>
      </c>
      <c r="D705">
        <v>0.5</v>
      </c>
      <c r="E705">
        <f>Tableau2[[#This Row],[Potential (PJ)]]/3.6</f>
        <v>0.1388888888888889</v>
      </c>
      <c r="F705">
        <v>1.6140000000000001</v>
      </c>
      <c r="G705">
        <f>Tableau2[[#This Row],[Cost (€/GJ)]]/1000*3600</f>
        <v>5.8104000000000005</v>
      </c>
      <c r="H705">
        <v>28.139870918023309</v>
      </c>
      <c r="I705">
        <f>Tableau2[[#This Row],[GHG (kgCO2eq/GJ)]]*3.6</f>
        <v>101.30353530488391</v>
      </c>
      <c r="J705" t="s">
        <v>105</v>
      </c>
      <c r="K705" t="s">
        <v>108</v>
      </c>
    </row>
    <row r="706" spans="1:11" hidden="1" x14ac:dyDescent="0.3">
      <c r="A706" t="s">
        <v>38</v>
      </c>
      <c r="B706" t="s">
        <v>46</v>
      </c>
      <c r="C706" t="s">
        <v>85</v>
      </c>
      <c r="D706">
        <v>0.4</v>
      </c>
      <c r="E706">
        <f>Tableau2[[#This Row],[Potential (PJ)]]/3.6</f>
        <v>0.11111111111111112</v>
      </c>
      <c r="F706">
        <v>4.0759999999999996</v>
      </c>
      <c r="G706">
        <f>Tableau2[[#This Row],[Cost (€/GJ)]]/1000*3600</f>
        <v>14.673599999999999</v>
      </c>
      <c r="H706">
        <v>2.9521711768407801</v>
      </c>
      <c r="I706">
        <f>Tableau2[[#This Row],[GHG (kgCO2eq/GJ)]]*3.6</f>
        <v>10.627816236626808</v>
      </c>
      <c r="J706" t="s">
        <v>104</v>
      </c>
      <c r="K706" t="s">
        <v>108</v>
      </c>
    </row>
    <row r="707" spans="1:11" hidden="1" x14ac:dyDescent="0.3">
      <c r="A707" t="s">
        <v>38</v>
      </c>
      <c r="B707" t="s">
        <v>47</v>
      </c>
      <c r="C707" t="s">
        <v>68</v>
      </c>
      <c r="D707">
        <v>17.7</v>
      </c>
      <c r="E707">
        <f>Tableau2[[#This Row],[Potential (PJ)]]/3.6</f>
        <v>4.9166666666666661</v>
      </c>
      <c r="F707">
        <v>3.9209999999999998</v>
      </c>
      <c r="G707">
        <f>Tableau2[[#This Row],[Cost (€/GJ)]]/1000*3600</f>
        <v>14.115600000000001</v>
      </c>
      <c r="H707">
        <v>14.1</v>
      </c>
      <c r="I707">
        <f>Tableau2[[#This Row],[GHG (kgCO2eq/GJ)]]*3.6</f>
        <v>50.76</v>
      </c>
      <c r="J707" t="s">
        <v>104</v>
      </c>
      <c r="K707" t="s">
        <v>109</v>
      </c>
    </row>
    <row r="708" spans="1:11" hidden="1" x14ac:dyDescent="0.3">
      <c r="A708" t="s">
        <v>38</v>
      </c>
      <c r="B708" t="s">
        <v>47</v>
      </c>
      <c r="C708" t="s">
        <v>69</v>
      </c>
      <c r="D708">
        <v>12.4</v>
      </c>
      <c r="E708">
        <f>Tableau2[[#This Row],[Potential (PJ)]]/3.6</f>
        <v>3.4444444444444446</v>
      </c>
      <c r="F708">
        <v>3.9129999999999998</v>
      </c>
      <c r="G708">
        <f>Tableau2[[#This Row],[Cost (€/GJ)]]/1000*3600</f>
        <v>14.0868</v>
      </c>
      <c r="H708">
        <v>14.1</v>
      </c>
      <c r="I708">
        <f>Tableau2[[#This Row],[GHG (kgCO2eq/GJ)]]*3.6</f>
        <v>50.76</v>
      </c>
      <c r="J708" t="s">
        <v>104</v>
      </c>
      <c r="K708" t="s">
        <v>109</v>
      </c>
    </row>
    <row r="709" spans="1:11" hidden="1" x14ac:dyDescent="0.3">
      <c r="A709" t="s">
        <v>38</v>
      </c>
      <c r="B709" t="s">
        <v>48</v>
      </c>
      <c r="C709" t="s">
        <v>70</v>
      </c>
      <c r="D709">
        <v>6.6</v>
      </c>
      <c r="E709">
        <f>Tableau2[[#This Row],[Potential (PJ)]]/3.6</f>
        <v>1.8333333333333333</v>
      </c>
      <c r="F709">
        <v>10.097</v>
      </c>
      <c r="G709">
        <f>Tableau2[[#This Row],[Cost (€/GJ)]]/1000*3600</f>
        <v>36.349200000000003</v>
      </c>
      <c r="H709">
        <v>0</v>
      </c>
      <c r="I709">
        <f>Tableau2[[#This Row],[GHG (kgCO2eq/GJ)]]*3.6</f>
        <v>0</v>
      </c>
      <c r="J709" t="s">
        <v>104</v>
      </c>
      <c r="K709" t="s">
        <v>109</v>
      </c>
    </row>
    <row r="710" spans="1:11" x14ac:dyDescent="0.3">
      <c r="A710" t="s">
        <v>38</v>
      </c>
      <c r="B710" t="s">
        <v>49</v>
      </c>
      <c r="C710" t="s">
        <v>72</v>
      </c>
      <c r="D710">
        <v>5.8</v>
      </c>
      <c r="E710">
        <f>Tableau2[[#This Row],[Potential (PJ)]]/3.6</f>
        <v>1.6111111111111109</v>
      </c>
      <c r="F710">
        <v>0</v>
      </c>
      <c r="G710">
        <f>Tableau2[[#This Row],[Cost (€/GJ)]]/1000*3600</f>
        <v>0</v>
      </c>
      <c r="H710">
        <v>3.86607608129234</v>
      </c>
      <c r="I710">
        <f>Tableau2[[#This Row],[GHG (kgCO2eq/GJ)]]*3.6</f>
        <v>13.917873892652425</v>
      </c>
      <c r="J710" t="s">
        <v>104</v>
      </c>
      <c r="K710" t="s">
        <v>108</v>
      </c>
    </row>
    <row r="711" spans="1:11" hidden="1" x14ac:dyDescent="0.3">
      <c r="A711" t="s">
        <v>38</v>
      </c>
      <c r="B711" t="s">
        <v>50</v>
      </c>
      <c r="C711" t="s">
        <v>73</v>
      </c>
      <c r="D711">
        <v>4.5999999999999996</v>
      </c>
      <c r="E711">
        <f>Tableau2[[#This Row],[Potential (PJ)]]/3.6</f>
        <v>1.2777777777777777</v>
      </c>
      <c r="F711">
        <v>5.4240000000000004</v>
      </c>
      <c r="G711">
        <f>Tableau2[[#This Row],[Cost (€/GJ)]]/1000*3600</f>
        <v>19.526399999999999</v>
      </c>
      <c r="H711">
        <v>20.723404255319149</v>
      </c>
      <c r="I711">
        <f>Tableau2[[#This Row],[GHG (kgCO2eq/GJ)]]*3.6</f>
        <v>74.604255319148933</v>
      </c>
      <c r="J711" t="s">
        <v>105</v>
      </c>
      <c r="K711" t="s">
        <v>108</v>
      </c>
    </row>
    <row r="712" spans="1:11" hidden="1" x14ac:dyDescent="0.3">
      <c r="A712" t="s">
        <v>38</v>
      </c>
      <c r="B712" t="s">
        <v>50</v>
      </c>
      <c r="C712" t="s">
        <v>74</v>
      </c>
      <c r="D712">
        <v>5.9</v>
      </c>
      <c r="E712">
        <f>Tableau2[[#This Row],[Potential (PJ)]]/3.6</f>
        <v>1.6388888888888888</v>
      </c>
      <c r="F712">
        <v>3.484</v>
      </c>
      <c r="G712">
        <f>Tableau2[[#This Row],[Cost (€/GJ)]]/1000*3600</f>
        <v>12.542400000000001</v>
      </c>
      <c r="H712">
        <v>2.0635593220338988</v>
      </c>
      <c r="I712">
        <f>Tableau2[[#This Row],[GHG (kgCO2eq/GJ)]]*3.6</f>
        <v>7.4288135593220357</v>
      </c>
      <c r="J712" t="s">
        <v>105</v>
      </c>
      <c r="K712" t="s">
        <v>108</v>
      </c>
    </row>
    <row r="713" spans="1:11" x14ac:dyDescent="0.3">
      <c r="A713" t="s">
        <v>38</v>
      </c>
      <c r="B713" t="s">
        <v>51</v>
      </c>
      <c r="C713" t="s">
        <v>75</v>
      </c>
      <c r="D713">
        <v>21.347729999999999</v>
      </c>
      <c r="E713">
        <f>Tableau2[[#This Row],[Potential (PJ)]]/3.6</f>
        <v>5.9299249999999999</v>
      </c>
      <c r="F713">
        <v>8.9872161086532704E-2</v>
      </c>
      <c r="G713">
        <f>Tableau2[[#This Row],[Cost (€/GJ)]]/1000*3600</f>
        <v>0.32353977991151772</v>
      </c>
      <c r="H713">
        <v>11.74</v>
      </c>
      <c r="I713">
        <f>Tableau2[[#This Row],[GHG (kgCO2eq/GJ)]]*3.6</f>
        <v>42.264000000000003</v>
      </c>
      <c r="J713" t="s">
        <v>104</v>
      </c>
      <c r="K713" t="s">
        <v>108</v>
      </c>
    </row>
    <row r="714" spans="1:11" hidden="1" x14ac:dyDescent="0.3">
      <c r="A714" t="s">
        <v>38</v>
      </c>
      <c r="B714" t="s">
        <v>52</v>
      </c>
      <c r="C714" t="s">
        <v>76</v>
      </c>
      <c r="D714">
        <v>0.01</v>
      </c>
      <c r="E714">
        <f>Tableau2[[#This Row],[Potential (PJ)]]/3.6</f>
        <v>2.7777777777777779E-3</v>
      </c>
      <c r="F714">
        <v>5.4702337500000002</v>
      </c>
      <c r="G714">
        <f>Tableau2[[#This Row],[Cost (€/GJ)]]/1000*3600</f>
        <v>19.6928415</v>
      </c>
      <c r="H714">
        <v>12.68872359754714</v>
      </c>
      <c r="I714">
        <f>Tableau2[[#This Row],[GHG (kgCO2eq/GJ)]]*3.6</f>
        <v>45.679404951169708</v>
      </c>
      <c r="J714" t="s">
        <v>105</v>
      </c>
      <c r="K714" t="s">
        <v>108</v>
      </c>
    </row>
    <row r="715" spans="1:11" x14ac:dyDescent="0.3">
      <c r="A715" t="s">
        <v>38</v>
      </c>
      <c r="B715" t="s">
        <v>53</v>
      </c>
      <c r="C715" t="s">
        <v>77</v>
      </c>
      <c r="D715">
        <v>22.4</v>
      </c>
      <c r="E715">
        <f>Tableau2[[#This Row],[Potential (PJ)]]/3.6</f>
        <v>6.2222222222222214</v>
      </c>
      <c r="F715">
        <v>0</v>
      </c>
      <c r="G715">
        <f>Tableau2[[#This Row],[Cost (€/GJ)]]/1000*3600</f>
        <v>0</v>
      </c>
      <c r="H715">
        <v>3.86607608129234</v>
      </c>
      <c r="I715">
        <f>Tableau2[[#This Row],[GHG (kgCO2eq/GJ)]]*3.6</f>
        <v>13.917873892652425</v>
      </c>
      <c r="J715" t="s">
        <v>104</v>
      </c>
      <c r="K715" t="s">
        <v>108</v>
      </c>
    </row>
    <row r="716" spans="1:11" hidden="1" x14ac:dyDescent="0.3">
      <c r="A716" t="s">
        <v>39</v>
      </c>
      <c r="B716" t="s">
        <v>46</v>
      </c>
      <c r="C716" t="s">
        <v>64</v>
      </c>
      <c r="D716">
        <v>8.09E-3</v>
      </c>
      <c r="E716">
        <f>Tableau2[[#This Row],[Potential (PJ)]]/3.6</f>
        <v>2.2472222222222221E-3</v>
      </c>
      <c r="F716">
        <v>6.9171569839307789</v>
      </c>
      <c r="G716">
        <f>Tableau2[[#This Row],[Cost (€/GJ)]]/1000*3600</f>
        <v>24.901765142150804</v>
      </c>
      <c r="H716">
        <v>2.9521711768407801</v>
      </c>
      <c r="I716">
        <f>Tableau2[[#This Row],[GHG (kgCO2eq/GJ)]]*3.6</f>
        <v>10.627816236626808</v>
      </c>
      <c r="J716" t="s">
        <v>104</v>
      </c>
      <c r="K716" t="s">
        <v>108</v>
      </c>
    </row>
    <row r="717" spans="1:11" hidden="1" x14ac:dyDescent="0.3">
      <c r="A717" t="s">
        <v>39</v>
      </c>
      <c r="B717" t="s">
        <v>46</v>
      </c>
      <c r="C717" t="s">
        <v>79</v>
      </c>
      <c r="D717">
        <v>14.7</v>
      </c>
      <c r="E717">
        <f>Tableau2[[#This Row],[Potential (PJ)]]/3.6</f>
        <v>4.083333333333333</v>
      </c>
      <c r="F717">
        <v>3.7067346938775509</v>
      </c>
      <c r="G717">
        <f>Tableau2[[#This Row],[Cost (€/GJ)]]/1000*3600</f>
        <v>13.344244897959184</v>
      </c>
      <c r="H717">
        <v>6.8428961748633883</v>
      </c>
      <c r="I717">
        <f>Tableau2[[#This Row],[GHG (kgCO2eq/GJ)]]*3.6</f>
        <v>24.634426229508197</v>
      </c>
      <c r="J717" t="s">
        <v>104</v>
      </c>
      <c r="K717" t="s">
        <v>108</v>
      </c>
    </row>
    <row r="718" spans="1:11" hidden="1" x14ac:dyDescent="0.3">
      <c r="A718" t="s">
        <v>39</v>
      </c>
      <c r="B718" t="s">
        <v>46</v>
      </c>
      <c r="C718" t="s">
        <v>80</v>
      </c>
      <c r="D718">
        <v>1.1555</v>
      </c>
      <c r="E718">
        <f>Tableau2[[#This Row],[Potential (PJ)]]/3.6</f>
        <v>0.32097222222222221</v>
      </c>
      <c r="F718">
        <v>0.56844234659474036</v>
      </c>
      <c r="G718">
        <f>Tableau2[[#This Row],[Cost (€/GJ)]]/1000*3600</f>
        <v>2.0463924477410655</v>
      </c>
      <c r="H718">
        <v>28.139870918023309</v>
      </c>
      <c r="I718">
        <f>Tableau2[[#This Row],[GHG (kgCO2eq/GJ)]]*3.6</f>
        <v>101.30353530488391</v>
      </c>
      <c r="J718" t="s">
        <v>105</v>
      </c>
      <c r="K718" t="s">
        <v>108</v>
      </c>
    </row>
    <row r="719" spans="1:11" hidden="1" x14ac:dyDescent="0.3">
      <c r="A719" t="s">
        <v>39</v>
      </c>
      <c r="B719" t="s">
        <v>46</v>
      </c>
      <c r="C719" t="s">
        <v>81</v>
      </c>
      <c r="D719">
        <v>6.7999999999999996E-3</v>
      </c>
      <c r="E719">
        <f>Tableau2[[#This Row],[Potential (PJ)]]/3.6</f>
        <v>1.8888888888888887E-3</v>
      </c>
      <c r="F719">
        <v>3.150998824911869</v>
      </c>
      <c r="G719">
        <f>Tableau2[[#This Row],[Cost (€/GJ)]]/1000*3600</f>
        <v>11.343595769682729</v>
      </c>
      <c r="H719">
        <v>8.9647473560517046</v>
      </c>
      <c r="I719">
        <f>Tableau2[[#This Row],[GHG (kgCO2eq/GJ)]]*3.6</f>
        <v>32.273090481786134</v>
      </c>
      <c r="J719" t="s">
        <v>105</v>
      </c>
      <c r="K719" t="s">
        <v>108</v>
      </c>
    </row>
    <row r="720" spans="1:11" hidden="1" x14ac:dyDescent="0.3">
      <c r="A720" t="s">
        <v>39</v>
      </c>
      <c r="B720" t="s">
        <v>46</v>
      </c>
      <c r="C720" t="s">
        <v>82</v>
      </c>
      <c r="D720">
        <v>1</v>
      </c>
      <c r="E720">
        <f>Tableau2[[#This Row],[Potential (PJ)]]/3.6</f>
        <v>0.27777777777777779</v>
      </c>
      <c r="F720">
        <v>2.3569</v>
      </c>
      <c r="G720">
        <f>Tableau2[[#This Row],[Cost (€/GJ)]]/1000*3600</f>
        <v>8.4848400000000002</v>
      </c>
      <c r="H720">
        <v>6.8428961748633883</v>
      </c>
      <c r="I720">
        <f>Tableau2[[#This Row],[GHG (kgCO2eq/GJ)]]*3.6</f>
        <v>24.634426229508197</v>
      </c>
      <c r="J720" t="s">
        <v>104</v>
      </c>
      <c r="K720" t="s">
        <v>108</v>
      </c>
    </row>
    <row r="721" spans="1:11" hidden="1" x14ac:dyDescent="0.3">
      <c r="A721" t="s">
        <v>39</v>
      </c>
      <c r="B721" t="s">
        <v>46</v>
      </c>
      <c r="C721" t="s">
        <v>84</v>
      </c>
      <c r="D721">
        <v>0.2</v>
      </c>
      <c r="E721">
        <f>Tableau2[[#This Row],[Potential (PJ)]]/3.6</f>
        <v>5.5555555555555559E-2</v>
      </c>
      <c r="F721">
        <v>2.7930000000000001</v>
      </c>
      <c r="G721">
        <f>Tableau2[[#This Row],[Cost (€/GJ)]]/1000*3600</f>
        <v>10.054800000000002</v>
      </c>
      <c r="H721">
        <v>28.139870918023309</v>
      </c>
      <c r="I721">
        <f>Tableau2[[#This Row],[GHG (kgCO2eq/GJ)]]*3.6</f>
        <v>101.30353530488391</v>
      </c>
      <c r="J721" t="s">
        <v>105</v>
      </c>
      <c r="K721" t="s">
        <v>108</v>
      </c>
    </row>
    <row r="722" spans="1:11" hidden="1" x14ac:dyDescent="0.3">
      <c r="A722" t="s">
        <v>39</v>
      </c>
      <c r="B722" t="s">
        <v>55</v>
      </c>
      <c r="C722" t="s">
        <v>86</v>
      </c>
      <c r="D722">
        <v>0.3044</v>
      </c>
      <c r="E722">
        <f>Tableau2[[#This Row],[Potential (PJ)]]/3.6</f>
        <v>8.455555555555555E-2</v>
      </c>
      <c r="F722">
        <v>16.594999999999999</v>
      </c>
      <c r="G722">
        <f>Tableau2[[#This Row],[Cost (€/GJ)]]/1000*3600</f>
        <v>59.741999999999997</v>
      </c>
      <c r="H722">
        <v>14.2</v>
      </c>
      <c r="I722">
        <f>Tableau2[[#This Row],[GHG (kgCO2eq/GJ)]]*3.6</f>
        <v>51.12</v>
      </c>
      <c r="J722" t="s">
        <v>106</v>
      </c>
      <c r="K722" t="s">
        <v>109</v>
      </c>
    </row>
    <row r="723" spans="1:11" hidden="1" x14ac:dyDescent="0.3">
      <c r="A723" t="s">
        <v>39</v>
      </c>
      <c r="B723" t="s">
        <v>55</v>
      </c>
      <c r="C723" t="s">
        <v>89</v>
      </c>
      <c r="D723">
        <v>5.9200000000000003E-2</v>
      </c>
      <c r="E723">
        <f>Tableau2[[#This Row],[Potential (PJ)]]/3.6</f>
        <v>1.6444444444444446E-2</v>
      </c>
      <c r="F723">
        <v>0</v>
      </c>
      <c r="G723">
        <f>Tableau2[[#This Row],[Cost (€/GJ)]]/1000*3600</f>
        <v>0</v>
      </c>
      <c r="H723">
        <v>14.2</v>
      </c>
      <c r="I723">
        <f>Tableau2[[#This Row],[GHG (kgCO2eq/GJ)]]*3.6</f>
        <v>51.12</v>
      </c>
      <c r="J723" t="s">
        <v>106</v>
      </c>
      <c r="K723" t="s">
        <v>109</v>
      </c>
    </row>
    <row r="724" spans="1:11" hidden="1" x14ac:dyDescent="0.3">
      <c r="A724" t="s">
        <v>39</v>
      </c>
      <c r="B724" t="s">
        <v>55</v>
      </c>
      <c r="C724" t="s">
        <v>91</v>
      </c>
      <c r="D724">
        <v>1E-4</v>
      </c>
      <c r="E724">
        <f>Tableau2[[#This Row],[Potential (PJ)]]/3.6</f>
        <v>2.7777777777777779E-5</v>
      </c>
      <c r="F724">
        <v>15.297000000000001</v>
      </c>
      <c r="G724">
        <f>Tableau2[[#This Row],[Cost (€/GJ)]]/1000*3600</f>
        <v>55.069200000000002</v>
      </c>
      <c r="H724">
        <v>14.2</v>
      </c>
      <c r="I724">
        <f>Tableau2[[#This Row],[GHG (kgCO2eq/GJ)]]*3.6</f>
        <v>51.12</v>
      </c>
      <c r="J724" t="s">
        <v>106</v>
      </c>
      <c r="K724" t="s">
        <v>109</v>
      </c>
    </row>
    <row r="725" spans="1:11" hidden="1" x14ac:dyDescent="0.3">
      <c r="A725" t="s">
        <v>39</v>
      </c>
      <c r="B725" t="s">
        <v>55</v>
      </c>
      <c r="C725" t="s">
        <v>92</v>
      </c>
      <c r="D725">
        <v>9.3119999999999994E-2</v>
      </c>
      <c r="E725">
        <f>Tableau2[[#This Row],[Potential (PJ)]]/3.6</f>
        <v>2.5866666666666663E-2</v>
      </c>
      <c r="F725">
        <v>17.721</v>
      </c>
      <c r="G725">
        <f>Tableau2[[#This Row],[Cost (€/GJ)]]/1000*3600</f>
        <v>63.7956</v>
      </c>
      <c r="H725">
        <v>14.2</v>
      </c>
      <c r="I725">
        <f>Tableau2[[#This Row],[GHG (kgCO2eq/GJ)]]*3.6</f>
        <v>51.12</v>
      </c>
      <c r="J725" t="s">
        <v>106</v>
      </c>
      <c r="K725" t="s">
        <v>109</v>
      </c>
    </row>
    <row r="726" spans="1:11" hidden="1" x14ac:dyDescent="0.3">
      <c r="A726" t="s">
        <v>39</v>
      </c>
      <c r="B726" t="s">
        <v>56</v>
      </c>
      <c r="C726" t="s">
        <v>93</v>
      </c>
      <c r="D726">
        <v>5.4375999999999998</v>
      </c>
      <c r="E726">
        <f>Tableau2[[#This Row],[Potential (PJ)]]/3.6</f>
        <v>1.5104444444444443</v>
      </c>
      <c r="F726">
        <v>2.939759036144578</v>
      </c>
      <c r="G726">
        <f>Tableau2[[#This Row],[Cost (€/GJ)]]/1000*3600</f>
        <v>10.58313253012048</v>
      </c>
      <c r="H726">
        <v>0.1</v>
      </c>
      <c r="I726">
        <f>Tableau2[[#This Row],[GHG (kgCO2eq/GJ)]]*3.6</f>
        <v>0.36000000000000004</v>
      </c>
      <c r="J726" t="s">
        <v>106</v>
      </c>
      <c r="K726" t="s">
        <v>109</v>
      </c>
    </row>
    <row r="727" spans="1:11" hidden="1" x14ac:dyDescent="0.3">
      <c r="A727" t="s">
        <v>39</v>
      </c>
      <c r="B727" t="s">
        <v>47</v>
      </c>
      <c r="C727" t="s">
        <v>101</v>
      </c>
      <c r="D727">
        <v>10.5</v>
      </c>
      <c r="E727">
        <f>Tableau2[[#This Row],[Potential (PJ)]]/3.6</f>
        <v>2.9166666666666665</v>
      </c>
      <c r="F727">
        <v>7.2860190476190478</v>
      </c>
      <c r="G727">
        <f>Tableau2[[#This Row],[Cost (€/GJ)]]/1000*3600</f>
        <v>26.229668571428572</v>
      </c>
      <c r="H727">
        <v>29.3</v>
      </c>
      <c r="I727">
        <f>Tableau2[[#This Row],[GHG (kgCO2eq/GJ)]]*3.6</f>
        <v>105.48</v>
      </c>
      <c r="J727" t="s">
        <v>104</v>
      </c>
      <c r="K727" t="s">
        <v>109</v>
      </c>
    </row>
    <row r="728" spans="1:11" hidden="1" x14ac:dyDescent="0.3">
      <c r="A728" t="s">
        <v>39</v>
      </c>
      <c r="B728" t="s">
        <v>57</v>
      </c>
      <c r="C728" t="s">
        <v>94</v>
      </c>
      <c r="D728">
        <v>3.9</v>
      </c>
      <c r="E728">
        <f>Tableau2[[#This Row],[Potential (PJ)]]/3.6</f>
        <v>1.0833333333333333</v>
      </c>
      <c r="F728">
        <v>12.819692307692311</v>
      </c>
      <c r="G728">
        <f>Tableau2[[#This Row],[Cost (€/GJ)]]/1000*3600</f>
        <v>46.150892307692324</v>
      </c>
      <c r="H728">
        <v>15.9</v>
      </c>
      <c r="I728">
        <f>Tableau2[[#This Row],[GHG (kgCO2eq/GJ)]]*3.6</f>
        <v>57.24</v>
      </c>
      <c r="J728" t="s">
        <v>104</v>
      </c>
      <c r="K728" t="s">
        <v>109</v>
      </c>
    </row>
    <row r="729" spans="1:11" x14ac:dyDescent="0.3">
      <c r="A729" t="s">
        <v>39</v>
      </c>
      <c r="B729" t="s">
        <v>49</v>
      </c>
      <c r="C729" t="s">
        <v>71</v>
      </c>
      <c r="D729">
        <v>172.17430999999999</v>
      </c>
      <c r="E729">
        <f>Tableau2[[#This Row],[Potential (PJ)]]/3.6</f>
        <v>47.82619722222222</v>
      </c>
      <c r="F729">
        <v>5.1938155587787751</v>
      </c>
      <c r="G729">
        <f>Tableau2[[#This Row],[Cost (€/GJ)]]/1000*3600</f>
        <v>18.697736011603592</v>
      </c>
      <c r="H729">
        <v>3.86607608129234</v>
      </c>
      <c r="I729">
        <f>Tableau2[[#This Row],[GHG (kgCO2eq/GJ)]]*3.6</f>
        <v>13.917873892652425</v>
      </c>
      <c r="J729" t="s">
        <v>104</v>
      </c>
      <c r="K729" t="s">
        <v>108</v>
      </c>
    </row>
    <row r="730" spans="1:11" x14ac:dyDescent="0.3">
      <c r="A730" t="s">
        <v>39</v>
      </c>
      <c r="B730" t="s">
        <v>49</v>
      </c>
      <c r="C730" t="s">
        <v>72</v>
      </c>
      <c r="D730">
        <v>8.9</v>
      </c>
      <c r="E730">
        <f>Tableau2[[#This Row],[Potential (PJ)]]/3.6</f>
        <v>2.4722222222222223</v>
      </c>
      <c r="F730">
        <v>4.1525842696629214</v>
      </c>
      <c r="G730">
        <f>Tableau2[[#This Row],[Cost (€/GJ)]]/1000*3600</f>
        <v>14.949303370786517</v>
      </c>
      <c r="H730">
        <v>3.86607608129234</v>
      </c>
      <c r="I730">
        <f>Tableau2[[#This Row],[GHG (kgCO2eq/GJ)]]*3.6</f>
        <v>13.917873892652425</v>
      </c>
      <c r="J730" t="s">
        <v>104</v>
      </c>
      <c r="K730" t="s">
        <v>108</v>
      </c>
    </row>
    <row r="731" spans="1:11" x14ac:dyDescent="0.3">
      <c r="A731" t="s">
        <v>39</v>
      </c>
      <c r="B731" t="s">
        <v>58</v>
      </c>
      <c r="C731" t="s">
        <v>95</v>
      </c>
      <c r="D731">
        <v>28.578890000000001</v>
      </c>
      <c r="E731">
        <f>Tableau2[[#This Row],[Potential (PJ)]]/3.6</f>
        <v>7.9385805555555553</v>
      </c>
      <c r="F731">
        <v>2.3429946033593332</v>
      </c>
      <c r="G731">
        <f>Tableau2[[#This Row],[Cost (€/GJ)]]/1000*3600</f>
        <v>8.4347805720935991</v>
      </c>
      <c r="H731">
        <v>2.9521711768407801</v>
      </c>
      <c r="I731">
        <f>Tableau2[[#This Row],[GHG (kgCO2eq/GJ)]]*3.6</f>
        <v>10.627816236626808</v>
      </c>
      <c r="J731" t="s">
        <v>104</v>
      </c>
      <c r="K731" t="s">
        <v>108</v>
      </c>
    </row>
    <row r="732" spans="1:11" hidden="1" x14ac:dyDescent="0.3">
      <c r="A732" t="s">
        <v>39</v>
      </c>
      <c r="B732" t="s">
        <v>50</v>
      </c>
      <c r="C732" t="s">
        <v>73</v>
      </c>
      <c r="D732">
        <v>3.3</v>
      </c>
      <c r="E732">
        <f>Tableau2[[#This Row],[Potential (PJ)]]/3.6</f>
        <v>0.91666666666666663</v>
      </c>
      <c r="F732">
        <v>5.7799696969696974</v>
      </c>
      <c r="G732">
        <f>Tableau2[[#This Row],[Cost (€/GJ)]]/1000*3600</f>
        <v>20.807890909090911</v>
      </c>
      <c r="H732">
        <v>20.723404255319149</v>
      </c>
      <c r="I732">
        <f>Tableau2[[#This Row],[GHG (kgCO2eq/GJ)]]*3.6</f>
        <v>74.604255319148933</v>
      </c>
      <c r="J732" t="s">
        <v>105</v>
      </c>
      <c r="K732" t="s">
        <v>108</v>
      </c>
    </row>
    <row r="733" spans="1:11" hidden="1" x14ac:dyDescent="0.3">
      <c r="A733" t="s">
        <v>39</v>
      </c>
      <c r="B733" t="s">
        <v>50</v>
      </c>
      <c r="C733" t="s">
        <v>74</v>
      </c>
      <c r="D733">
        <v>14.3</v>
      </c>
      <c r="E733">
        <f>Tableau2[[#This Row],[Potential (PJ)]]/3.6</f>
        <v>3.9722222222222223</v>
      </c>
      <c r="F733">
        <v>6.7523146853146843</v>
      </c>
      <c r="G733">
        <f>Tableau2[[#This Row],[Cost (€/GJ)]]/1000*3600</f>
        <v>24.308332867132862</v>
      </c>
      <c r="H733">
        <v>2.0635593220338988</v>
      </c>
      <c r="I733">
        <f>Tableau2[[#This Row],[GHG (kgCO2eq/GJ)]]*3.6</f>
        <v>7.4288135593220357</v>
      </c>
      <c r="J733" t="s">
        <v>105</v>
      </c>
      <c r="K733" t="s">
        <v>108</v>
      </c>
    </row>
    <row r="734" spans="1:11" x14ac:dyDescent="0.3">
      <c r="A734" t="s">
        <v>39</v>
      </c>
      <c r="B734" t="s">
        <v>51</v>
      </c>
      <c r="C734" t="s">
        <v>75</v>
      </c>
      <c r="D734">
        <v>34.685760000000002</v>
      </c>
      <c r="E734">
        <f>Tableau2[[#This Row],[Potential (PJ)]]/3.6</f>
        <v>9.6349333333333345</v>
      </c>
      <c r="F734">
        <v>3.4017708500826598E-3</v>
      </c>
      <c r="G734">
        <f>Tableau2[[#This Row],[Cost (€/GJ)]]/1000*3600</f>
        <v>1.2246375060297576E-2</v>
      </c>
      <c r="H734">
        <v>11.74</v>
      </c>
      <c r="I734">
        <f>Tableau2[[#This Row],[GHG (kgCO2eq/GJ)]]*3.6</f>
        <v>42.264000000000003</v>
      </c>
      <c r="J734" t="s">
        <v>104</v>
      </c>
      <c r="K734" t="s">
        <v>108</v>
      </c>
    </row>
    <row r="735" spans="1:11" hidden="1" x14ac:dyDescent="0.3">
      <c r="A735" t="s">
        <v>39</v>
      </c>
      <c r="B735" t="s">
        <v>60</v>
      </c>
      <c r="C735" t="s">
        <v>98</v>
      </c>
      <c r="D735">
        <v>1.3563700000000001</v>
      </c>
      <c r="E735">
        <f>Tableau2[[#This Row],[Potential (PJ)]]/3.6</f>
        <v>0.37676944444444443</v>
      </c>
      <c r="F735">
        <v>16.004296455424271</v>
      </c>
      <c r="G735">
        <f>Tableau2[[#This Row],[Cost (€/GJ)]]/1000*3600</f>
        <v>57.615467239527383</v>
      </c>
      <c r="H735">
        <v>22.8</v>
      </c>
      <c r="I735">
        <f>Tableau2[[#This Row],[GHG (kgCO2eq/GJ)]]*3.6</f>
        <v>82.08</v>
      </c>
      <c r="J735" t="s">
        <v>107</v>
      </c>
      <c r="K735" t="s">
        <v>109</v>
      </c>
    </row>
    <row r="736" spans="1:11" hidden="1" x14ac:dyDescent="0.3">
      <c r="A736" t="s">
        <v>39</v>
      </c>
      <c r="B736" t="s">
        <v>52</v>
      </c>
      <c r="C736" t="s">
        <v>76</v>
      </c>
      <c r="D736">
        <v>2.4220000000000002</v>
      </c>
      <c r="E736">
        <f>Tableau2[[#This Row],[Potential (PJ)]]/3.6</f>
        <v>0.67277777777777781</v>
      </c>
      <c r="F736">
        <v>5.4702337500000002</v>
      </c>
      <c r="G736">
        <f>Tableau2[[#This Row],[Cost (€/GJ)]]/1000*3600</f>
        <v>19.6928415</v>
      </c>
      <c r="H736">
        <v>12.68872359754714</v>
      </c>
      <c r="I736">
        <f>Tableau2[[#This Row],[GHG (kgCO2eq/GJ)]]*3.6</f>
        <v>45.679404951169708</v>
      </c>
      <c r="J736" t="s">
        <v>105</v>
      </c>
      <c r="K736" t="s">
        <v>108</v>
      </c>
    </row>
    <row r="737" spans="1:11" x14ac:dyDescent="0.3">
      <c r="A737" t="s">
        <v>39</v>
      </c>
      <c r="B737" t="s">
        <v>53</v>
      </c>
      <c r="C737" t="s">
        <v>77</v>
      </c>
      <c r="D737">
        <v>17.100000000000001</v>
      </c>
      <c r="E737">
        <f>Tableau2[[#This Row],[Potential (PJ)]]/3.6</f>
        <v>4.75</v>
      </c>
      <c r="F737">
        <v>4.1524795321637429</v>
      </c>
      <c r="G737">
        <f>Tableau2[[#This Row],[Cost (€/GJ)]]/1000*3600</f>
        <v>14.948926315789473</v>
      </c>
      <c r="H737">
        <v>3.86607608129234</v>
      </c>
      <c r="I737">
        <f>Tableau2[[#This Row],[GHG (kgCO2eq/GJ)]]*3.6</f>
        <v>13.917873892652425</v>
      </c>
      <c r="J737" t="s">
        <v>104</v>
      </c>
      <c r="K737" t="s">
        <v>108</v>
      </c>
    </row>
    <row r="738" spans="1:11" x14ac:dyDescent="0.3">
      <c r="A738" t="s">
        <v>39</v>
      </c>
      <c r="B738" t="s">
        <v>61</v>
      </c>
      <c r="C738" t="s">
        <v>99</v>
      </c>
      <c r="D738">
        <v>76</v>
      </c>
      <c r="E738">
        <f>Tableau2[[#This Row],[Potential (PJ)]]/3.6</f>
        <v>21.111111111111111</v>
      </c>
      <c r="F738">
        <v>1.5338710526315791</v>
      </c>
      <c r="G738">
        <f>Tableau2[[#This Row],[Cost (€/GJ)]]/1000*3600</f>
        <v>5.5219357894736847</v>
      </c>
      <c r="H738">
        <v>2.9245635910224439</v>
      </c>
      <c r="I738">
        <f>Tableau2[[#This Row],[GHG (kgCO2eq/GJ)]]*3.6</f>
        <v>10.528428927680798</v>
      </c>
      <c r="J738" t="s">
        <v>104</v>
      </c>
      <c r="K738" t="s">
        <v>108</v>
      </c>
    </row>
    <row r="739" spans="1:11" x14ac:dyDescent="0.3">
      <c r="A739" t="s">
        <v>39</v>
      </c>
      <c r="B739" t="s">
        <v>62</v>
      </c>
      <c r="C739" t="s">
        <v>100</v>
      </c>
      <c r="D739">
        <v>34.799999999999997</v>
      </c>
      <c r="E739">
        <f>Tableau2[[#This Row],[Potential (PJ)]]/3.6</f>
        <v>9.6666666666666661</v>
      </c>
      <c r="F739">
        <v>0.46494252873563219</v>
      </c>
      <c r="G739">
        <f>Tableau2[[#This Row],[Cost (€/GJ)]]/1000*3600</f>
        <v>1.6737931034482758</v>
      </c>
      <c r="H739">
        <v>2.6764106050305911</v>
      </c>
      <c r="I739">
        <f>Tableau2[[#This Row],[GHG (kgCO2eq/GJ)]]*3.6</f>
        <v>9.6350781781101276</v>
      </c>
      <c r="J739" t="s">
        <v>104</v>
      </c>
      <c r="K739" t="s">
        <v>108</v>
      </c>
    </row>
    <row r="740" spans="1:11" x14ac:dyDescent="0.3">
      <c r="A740" t="s">
        <v>39</v>
      </c>
      <c r="B740" t="s">
        <v>54</v>
      </c>
      <c r="C740" t="s">
        <v>78</v>
      </c>
      <c r="D740">
        <v>330.6</v>
      </c>
      <c r="E740">
        <f>Tableau2[[#This Row],[Potential (PJ)]]/3.6</f>
        <v>91.833333333333343</v>
      </c>
      <c r="F740">
        <v>8.6073127646702954</v>
      </c>
      <c r="G740">
        <f>Tableau2[[#This Row],[Cost (€/GJ)]]/1000*3600</f>
        <v>30.986325952813061</v>
      </c>
      <c r="H740">
        <v>3.86607608129234</v>
      </c>
      <c r="I740">
        <f>Tableau2[[#This Row],[GHG (kgCO2eq/GJ)]]*3.6</f>
        <v>13.917873892652425</v>
      </c>
      <c r="J740" t="s">
        <v>104</v>
      </c>
      <c r="K740" t="s">
        <v>108</v>
      </c>
    </row>
    <row r="741" spans="1:11" hidden="1" x14ac:dyDescent="0.3">
      <c r="A741" t="s">
        <v>40</v>
      </c>
      <c r="B741" t="s">
        <v>46</v>
      </c>
      <c r="C741" t="s">
        <v>63</v>
      </c>
      <c r="D741">
        <v>3.5000000000000001E-3</v>
      </c>
      <c r="E741">
        <f>Tableau2[[#This Row],[Potential (PJ)]]/3.6</f>
        <v>9.7222222222222219E-4</v>
      </c>
      <c r="F741">
        <v>2.9286474973375931</v>
      </c>
      <c r="G741">
        <f>Tableau2[[#This Row],[Cost (€/GJ)]]/1000*3600</f>
        <v>10.543130990415335</v>
      </c>
      <c r="H741">
        <v>3.950479233226837</v>
      </c>
      <c r="I741">
        <f>Tableau2[[#This Row],[GHG (kgCO2eq/GJ)]]*3.6</f>
        <v>14.221725239616614</v>
      </c>
      <c r="J741" t="s">
        <v>104</v>
      </c>
      <c r="K741" t="s">
        <v>108</v>
      </c>
    </row>
    <row r="742" spans="1:11" hidden="1" x14ac:dyDescent="0.3">
      <c r="A742" t="s">
        <v>40</v>
      </c>
      <c r="B742" t="s">
        <v>46</v>
      </c>
      <c r="C742" t="s">
        <v>64</v>
      </c>
      <c r="D742">
        <v>2.9020000000000001E-2</v>
      </c>
      <c r="E742">
        <f>Tableau2[[#This Row],[Potential (PJ)]]/3.6</f>
        <v>8.0611111111111109E-3</v>
      </c>
      <c r="F742">
        <v>5.872533080634045</v>
      </c>
      <c r="G742">
        <f>Tableau2[[#This Row],[Cost (€/GJ)]]/1000*3600</f>
        <v>21.141119090282562</v>
      </c>
      <c r="H742">
        <v>2.9521711768407801</v>
      </c>
      <c r="I742">
        <f>Tableau2[[#This Row],[GHG (kgCO2eq/GJ)]]*3.6</f>
        <v>10.627816236626808</v>
      </c>
      <c r="J742" t="s">
        <v>104</v>
      </c>
      <c r="K742" t="s">
        <v>108</v>
      </c>
    </row>
    <row r="743" spans="1:11" hidden="1" x14ac:dyDescent="0.3">
      <c r="A743" t="s">
        <v>40</v>
      </c>
      <c r="B743" t="s">
        <v>46</v>
      </c>
      <c r="C743" t="s">
        <v>80</v>
      </c>
      <c r="D743">
        <v>0.16450000000000001</v>
      </c>
      <c r="E743">
        <f>Tableau2[[#This Row],[Potential (PJ)]]/3.6</f>
        <v>4.5694444444444447E-2</v>
      </c>
      <c r="F743">
        <v>2.7417397167902902</v>
      </c>
      <c r="G743">
        <f>Tableau2[[#This Row],[Cost (€/GJ)]]/1000*3600</f>
        <v>9.8702629804450446</v>
      </c>
      <c r="H743">
        <v>28.139870918023309</v>
      </c>
      <c r="I743">
        <f>Tableau2[[#This Row],[GHG (kgCO2eq/GJ)]]*3.6</f>
        <v>101.30353530488391</v>
      </c>
      <c r="J743" t="s">
        <v>105</v>
      </c>
      <c r="K743" t="s">
        <v>108</v>
      </c>
    </row>
    <row r="744" spans="1:11" hidden="1" x14ac:dyDescent="0.3">
      <c r="A744" t="s">
        <v>40</v>
      </c>
      <c r="B744" t="s">
        <v>46</v>
      </c>
      <c r="C744" t="s">
        <v>81</v>
      </c>
      <c r="D744">
        <v>4.8599999999999997E-2</v>
      </c>
      <c r="E744">
        <f>Tableau2[[#This Row],[Potential (PJ)]]/3.6</f>
        <v>1.3499999999999998E-2</v>
      </c>
      <c r="F744">
        <v>2.5616921269095179</v>
      </c>
      <c r="G744">
        <f>Tableau2[[#This Row],[Cost (€/GJ)]]/1000*3600</f>
        <v>9.2220916568742641</v>
      </c>
      <c r="H744">
        <v>8.9647473560517046</v>
      </c>
      <c r="I744">
        <f>Tableau2[[#This Row],[GHG (kgCO2eq/GJ)]]*3.6</f>
        <v>32.273090481786134</v>
      </c>
      <c r="J744" t="s">
        <v>105</v>
      </c>
      <c r="K744" t="s">
        <v>108</v>
      </c>
    </row>
    <row r="745" spans="1:11" hidden="1" x14ac:dyDescent="0.3">
      <c r="A745" t="s">
        <v>40</v>
      </c>
      <c r="B745" t="s">
        <v>46</v>
      </c>
      <c r="C745" t="s">
        <v>66</v>
      </c>
      <c r="D745">
        <v>0.3</v>
      </c>
      <c r="E745">
        <f>Tableau2[[#This Row],[Potential (PJ)]]/3.6</f>
        <v>8.3333333333333329E-2</v>
      </c>
      <c r="F745">
        <v>2.5283333333333329</v>
      </c>
      <c r="G745">
        <f>Tableau2[[#This Row],[Cost (€/GJ)]]/1000*3600</f>
        <v>9.1019999999999985</v>
      </c>
      <c r="H745">
        <v>6.8428961748633883</v>
      </c>
      <c r="I745">
        <f>Tableau2[[#This Row],[GHG (kgCO2eq/GJ)]]*3.6</f>
        <v>24.634426229508197</v>
      </c>
      <c r="J745" t="s">
        <v>104</v>
      </c>
      <c r="K745" t="s">
        <v>108</v>
      </c>
    </row>
    <row r="746" spans="1:11" hidden="1" x14ac:dyDescent="0.3">
      <c r="A746" t="s">
        <v>40</v>
      </c>
      <c r="B746" t="s">
        <v>46</v>
      </c>
      <c r="C746" t="s">
        <v>82</v>
      </c>
      <c r="D746">
        <v>0.3</v>
      </c>
      <c r="E746">
        <f>Tableau2[[#This Row],[Potential (PJ)]]/3.6</f>
        <v>8.3333333333333329E-2</v>
      </c>
      <c r="F746">
        <v>1.4930000000000001</v>
      </c>
      <c r="G746">
        <f>Tableau2[[#This Row],[Cost (€/GJ)]]/1000*3600</f>
        <v>5.3748000000000005</v>
      </c>
      <c r="H746">
        <v>6.8428961748633883</v>
      </c>
      <c r="I746">
        <f>Tableau2[[#This Row],[GHG (kgCO2eq/GJ)]]*3.6</f>
        <v>24.634426229508197</v>
      </c>
      <c r="J746" t="s">
        <v>104</v>
      </c>
      <c r="K746" t="s">
        <v>108</v>
      </c>
    </row>
    <row r="747" spans="1:11" hidden="1" x14ac:dyDescent="0.3">
      <c r="A747" t="s">
        <v>40</v>
      </c>
      <c r="B747" t="s">
        <v>46</v>
      </c>
      <c r="C747" t="s">
        <v>85</v>
      </c>
      <c r="D747">
        <v>0.1</v>
      </c>
      <c r="E747">
        <f>Tableau2[[#This Row],[Potential (PJ)]]/3.6</f>
        <v>2.777777777777778E-2</v>
      </c>
      <c r="F747">
        <v>3.3889999999999998</v>
      </c>
      <c r="G747">
        <f>Tableau2[[#This Row],[Cost (€/GJ)]]/1000*3600</f>
        <v>12.200399999999998</v>
      </c>
      <c r="H747">
        <v>2.9521711768407801</v>
      </c>
      <c r="I747">
        <f>Tableau2[[#This Row],[GHG (kgCO2eq/GJ)]]*3.6</f>
        <v>10.627816236626808</v>
      </c>
      <c r="J747" t="s">
        <v>104</v>
      </c>
      <c r="K747" t="s">
        <v>108</v>
      </c>
    </row>
    <row r="748" spans="1:11" hidden="1" x14ac:dyDescent="0.3">
      <c r="A748" t="s">
        <v>40</v>
      </c>
      <c r="B748" t="s">
        <v>55</v>
      </c>
      <c r="C748" t="s">
        <v>86</v>
      </c>
      <c r="D748">
        <v>0.1094</v>
      </c>
      <c r="E748">
        <f>Tableau2[[#This Row],[Potential (PJ)]]/3.6</f>
        <v>3.0388888888888889E-2</v>
      </c>
      <c r="F748">
        <v>14.561</v>
      </c>
      <c r="G748">
        <f>Tableau2[[#This Row],[Cost (€/GJ)]]/1000*3600</f>
        <v>52.419599999999996</v>
      </c>
      <c r="H748">
        <v>21.3</v>
      </c>
      <c r="I748">
        <f>Tableau2[[#This Row],[GHG (kgCO2eq/GJ)]]*3.6</f>
        <v>76.680000000000007</v>
      </c>
      <c r="J748" t="s">
        <v>106</v>
      </c>
      <c r="K748" t="s">
        <v>109</v>
      </c>
    </row>
    <row r="749" spans="1:11" hidden="1" x14ac:dyDescent="0.3">
      <c r="A749" t="s">
        <v>40</v>
      </c>
      <c r="B749" t="s">
        <v>55</v>
      </c>
      <c r="C749" t="s">
        <v>88</v>
      </c>
      <c r="D749">
        <v>2.9100000000000001E-2</v>
      </c>
      <c r="E749">
        <f>Tableau2[[#This Row],[Potential (PJ)]]/3.6</f>
        <v>8.083333333333333E-3</v>
      </c>
      <c r="F749">
        <v>15.038</v>
      </c>
      <c r="G749">
        <f>Tableau2[[#This Row],[Cost (€/GJ)]]/1000*3600</f>
        <v>54.136800000000001</v>
      </c>
      <c r="H749">
        <v>21.3</v>
      </c>
      <c r="I749">
        <f>Tableau2[[#This Row],[GHG (kgCO2eq/GJ)]]*3.6</f>
        <v>76.680000000000007</v>
      </c>
      <c r="J749" t="s">
        <v>106</v>
      </c>
      <c r="K749" t="s">
        <v>109</v>
      </c>
    </row>
    <row r="750" spans="1:11" hidden="1" x14ac:dyDescent="0.3">
      <c r="A750" t="s">
        <v>40</v>
      </c>
      <c r="B750" t="s">
        <v>47</v>
      </c>
      <c r="C750" t="s">
        <v>68</v>
      </c>
      <c r="D750">
        <v>1.3</v>
      </c>
      <c r="E750">
        <f>Tableau2[[#This Row],[Potential (PJ)]]/3.6</f>
        <v>0.3611111111111111</v>
      </c>
      <c r="F750">
        <v>2.9341538461538459</v>
      </c>
      <c r="G750">
        <f>Tableau2[[#This Row],[Cost (€/GJ)]]/1000*3600</f>
        <v>10.562953846153846</v>
      </c>
      <c r="H750">
        <v>17.3</v>
      </c>
      <c r="I750">
        <f>Tableau2[[#This Row],[GHG (kgCO2eq/GJ)]]*3.6</f>
        <v>62.28</v>
      </c>
      <c r="J750" t="s">
        <v>104</v>
      </c>
      <c r="K750" t="s">
        <v>109</v>
      </c>
    </row>
    <row r="751" spans="1:11" hidden="1" x14ac:dyDescent="0.3">
      <c r="A751" t="s">
        <v>40</v>
      </c>
      <c r="B751" t="s">
        <v>47</v>
      </c>
      <c r="C751" t="s">
        <v>69</v>
      </c>
      <c r="D751">
        <v>0.60000000000000009</v>
      </c>
      <c r="E751">
        <f>Tableau2[[#This Row],[Potential (PJ)]]/3.6</f>
        <v>0.16666666666666669</v>
      </c>
      <c r="F751">
        <v>3.0579999999999989</v>
      </c>
      <c r="G751">
        <f>Tableau2[[#This Row],[Cost (€/GJ)]]/1000*3600</f>
        <v>11.008799999999997</v>
      </c>
      <c r="H751">
        <v>17.3</v>
      </c>
      <c r="I751">
        <f>Tableau2[[#This Row],[GHG (kgCO2eq/GJ)]]*3.6</f>
        <v>62.28</v>
      </c>
      <c r="J751" t="s">
        <v>104</v>
      </c>
      <c r="K751" t="s">
        <v>109</v>
      </c>
    </row>
    <row r="752" spans="1:11" hidden="1" x14ac:dyDescent="0.3">
      <c r="A752" t="s">
        <v>40</v>
      </c>
      <c r="B752" t="s">
        <v>48</v>
      </c>
      <c r="C752" t="s">
        <v>70</v>
      </c>
      <c r="D752">
        <v>0.1</v>
      </c>
      <c r="E752">
        <f>Tableau2[[#This Row],[Potential (PJ)]]/3.6</f>
        <v>2.777777777777778E-2</v>
      </c>
      <c r="F752">
        <v>8.6449999999999996</v>
      </c>
      <c r="G752">
        <f>Tableau2[[#This Row],[Cost (€/GJ)]]/1000*3600</f>
        <v>31.122</v>
      </c>
      <c r="H752">
        <v>0</v>
      </c>
      <c r="I752">
        <f>Tableau2[[#This Row],[GHG (kgCO2eq/GJ)]]*3.6</f>
        <v>0</v>
      </c>
      <c r="J752" t="s">
        <v>104</v>
      </c>
      <c r="K752" t="s">
        <v>109</v>
      </c>
    </row>
    <row r="753" spans="1:11" x14ac:dyDescent="0.3">
      <c r="A753" t="s">
        <v>40</v>
      </c>
      <c r="B753" t="s">
        <v>49</v>
      </c>
      <c r="C753" t="s">
        <v>71</v>
      </c>
      <c r="D753">
        <v>30.22362</v>
      </c>
      <c r="E753">
        <f>Tableau2[[#This Row],[Potential (PJ)]]/3.6</f>
        <v>8.3954500000000003</v>
      </c>
      <c r="F753">
        <v>2.2196232890037662</v>
      </c>
      <c r="G753">
        <f>Tableau2[[#This Row],[Cost (€/GJ)]]/1000*3600</f>
        <v>7.9906438404135587</v>
      </c>
      <c r="H753">
        <v>3.86607608129234</v>
      </c>
      <c r="I753">
        <f>Tableau2[[#This Row],[GHG (kgCO2eq/GJ)]]*3.6</f>
        <v>13.917873892652425</v>
      </c>
      <c r="J753" t="s">
        <v>104</v>
      </c>
      <c r="K753" t="s">
        <v>108</v>
      </c>
    </row>
    <row r="754" spans="1:11" x14ac:dyDescent="0.3">
      <c r="A754" t="s">
        <v>40</v>
      </c>
      <c r="B754" t="s">
        <v>49</v>
      </c>
      <c r="C754" t="s">
        <v>72</v>
      </c>
      <c r="D754">
        <v>2.5</v>
      </c>
      <c r="E754">
        <f>Tableau2[[#This Row],[Potential (PJ)]]/3.6</f>
        <v>0.69444444444444442</v>
      </c>
      <c r="F754">
        <v>2.9279600000000001</v>
      </c>
      <c r="G754">
        <f>Tableau2[[#This Row],[Cost (€/GJ)]]/1000*3600</f>
        <v>10.540656</v>
      </c>
      <c r="H754">
        <v>3.86607608129234</v>
      </c>
      <c r="I754">
        <f>Tableau2[[#This Row],[GHG (kgCO2eq/GJ)]]*3.6</f>
        <v>13.917873892652425</v>
      </c>
      <c r="J754" t="s">
        <v>104</v>
      </c>
      <c r="K754" t="s">
        <v>108</v>
      </c>
    </row>
    <row r="755" spans="1:11" x14ac:dyDescent="0.3">
      <c r="A755" t="s">
        <v>40</v>
      </c>
      <c r="B755" t="s">
        <v>58</v>
      </c>
      <c r="C755" t="s">
        <v>95</v>
      </c>
      <c r="D755">
        <v>0.69694</v>
      </c>
      <c r="E755">
        <f>Tableau2[[#This Row],[Potential (PJ)]]/3.6</f>
        <v>0.19359444444444443</v>
      </c>
      <c r="F755">
        <v>2.611679541997876</v>
      </c>
      <c r="G755">
        <f>Tableau2[[#This Row],[Cost (€/GJ)]]/1000*3600</f>
        <v>9.4020463511923538</v>
      </c>
      <c r="H755">
        <v>2.9521711768407801</v>
      </c>
      <c r="I755">
        <f>Tableau2[[#This Row],[GHG (kgCO2eq/GJ)]]*3.6</f>
        <v>10.627816236626808</v>
      </c>
      <c r="J755" t="s">
        <v>104</v>
      </c>
      <c r="K755" t="s">
        <v>108</v>
      </c>
    </row>
    <row r="756" spans="1:11" hidden="1" x14ac:dyDescent="0.3">
      <c r="A756" t="s">
        <v>40</v>
      </c>
      <c r="B756" t="s">
        <v>50</v>
      </c>
      <c r="C756" t="s">
        <v>73</v>
      </c>
      <c r="D756">
        <v>0.3</v>
      </c>
      <c r="E756">
        <f>Tableau2[[#This Row],[Potential (PJ)]]/3.6</f>
        <v>8.3333333333333329E-2</v>
      </c>
      <c r="F756">
        <v>5.1550000000000002</v>
      </c>
      <c r="G756">
        <f>Tableau2[[#This Row],[Cost (€/GJ)]]/1000*3600</f>
        <v>18.558</v>
      </c>
      <c r="H756">
        <v>20.723404255319149</v>
      </c>
      <c r="I756">
        <f>Tableau2[[#This Row],[GHG (kgCO2eq/GJ)]]*3.6</f>
        <v>74.604255319148933</v>
      </c>
      <c r="J756" t="s">
        <v>105</v>
      </c>
      <c r="K756" t="s">
        <v>108</v>
      </c>
    </row>
    <row r="757" spans="1:11" hidden="1" x14ac:dyDescent="0.3">
      <c r="A757" t="s">
        <v>40</v>
      </c>
      <c r="B757" t="s">
        <v>50</v>
      </c>
      <c r="C757" t="s">
        <v>74</v>
      </c>
      <c r="D757">
        <v>1.1000000000000001</v>
      </c>
      <c r="E757">
        <f>Tableau2[[#This Row],[Potential (PJ)]]/3.6</f>
        <v>0.30555555555555558</v>
      </c>
      <c r="F757">
        <v>3.7850909090909091</v>
      </c>
      <c r="G757">
        <f>Tableau2[[#This Row],[Cost (€/GJ)]]/1000*3600</f>
        <v>13.626327272727272</v>
      </c>
      <c r="H757">
        <v>2.0635593220338988</v>
      </c>
      <c r="I757">
        <f>Tableau2[[#This Row],[GHG (kgCO2eq/GJ)]]*3.6</f>
        <v>7.4288135593220357</v>
      </c>
      <c r="J757" t="s">
        <v>105</v>
      </c>
      <c r="K757" t="s">
        <v>108</v>
      </c>
    </row>
    <row r="758" spans="1:11" x14ac:dyDescent="0.3">
      <c r="A758" t="s">
        <v>40</v>
      </c>
      <c r="B758" t="s">
        <v>51</v>
      </c>
      <c r="C758" t="s">
        <v>75</v>
      </c>
      <c r="D758">
        <v>1.194029</v>
      </c>
      <c r="E758">
        <f>Tableau2[[#This Row],[Potential (PJ)]]/3.6</f>
        <v>0.33167472222222222</v>
      </c>
      <c r="F758">
        <v>0.100770655995726</v>
      </c>
      <c r="G758">
        <f>Tableau2[[#This Row],[Cost (€/GJ)]]/1000*3600</f>
        <v>0.36277436158461362</v>
      </c>
      <c r="H758">
        <v>11.74</v>
      </c>
      <c r="I758">
        <f>Tableau2[[#This Row],[GHG (kgCO2eq/GJ)]]*3.6</f>
        <v>42.264000000000003</v>
      </c>
      <c r="J758" t="s">
        <v>104</v>
      </c>
      <c r="K758" t="s">
        <v>108</v>
      </c>
    </row>
    <row r="759" spans="1:11" hidden="1" x14ac:dyDescent="0.3">
      <c r="A759" t="s">
        <v>40</v>
      </c>
      <c r="B759" t="s">
        <v>60</v>
      </c>
      <c r="C759" t="s">
        <v>98</v>
      </c>
      <c r="D759">
        <v>0.12501999999999999</v>
      </c>
      <c r="E759">
        <f>Tableau2[[#This Row],[Potential (PJ)]]/3.6</f>
        <v>3.4727777777777774E-2</v>
      </c>
      <c r="F759">
        <v>28.73254564983888</v>
      </c>
      <c r="G759">
        <f>Tableau2[[#This Row],[Cost (€/GJ)]]/1000*3600</f>
        <v>103.43716433941997</v>
      </c>
      <c r="H759">
        <v>37.6</v>
      </c>
      <c r="I759">
        <f>Tableau2[[#This Row],[GHG (kgCO2eq/GJ)]]*3.6</f>
        <v>135.36000000000001</v>
      </c>
      <c r="J759" t="s">
        <v>107</v>
      </c>
      <c r="K759" t="s">
        <v>109</v>
      </c>
    </row>
    <row r="760" spans="1:11" hidden="1" x14ac:dyDescent="0.3">
      <c r="A760" t="s">
        <v>40</v>
      </c>
      <c r="B760" t="s">
        <v>52</v>
      </c>
      <c r="C760" t="s">
        <v>76</v>
      </c>
      <c r="D760">
        <v>9.5000000000000001E-2</v>
      </c>
      <c r="E760">
        <f>Tableau2[[#This Row],[Potential (PJ)]]/3.6</f>
        <v>2.6388888888888889E-2</v>
      </c>
      <c r="F760">
        <v>5.4702337500000002</v>
      </c>
      <c r="G760">
        <f>Tableau2[[#This Row],[Cost (€/GJ)]]/1000*3600</f>
        <v>19.6928415</v>
      </c>
      <c r="H760">
        <v>12.68872359754714</v>
      </c>
      <c r="I760">
        <f>Tableau2[[#This Row],[GHG (kgCO2eq/GJ)]]*3.6</f>
        <v>45.679404951169708</v>
      </c>
      <c r="J760" t="s">
        <v>105</v>
      </c>
      <c r="K760" t="s">
        <v>108</v>
      </c>
    </row>
    <row r="761" spans="1:11" x14ac:dyDescent="0.3">
      <c r="A761" t="s">
        <v>40</v>
      </c>
      <c r="B761" t="s">
        <v>53</v>
      </c>
      <c r="C761" t="s">
        <v>77</v>
      </c>
      <c r="D761">
        <v>2.7</v>
      </c>
      <c r="E761">
        <f>Tableau2[[#This Row],[Potential (PJ)]]/3.6</f>
        <v>0.75</v>
      </c>
      <c r="F761">
        <v>2.9280740740740741</v>
      </c>
      <c r="G761">
        <f>Tableau2[[#This Row],[Cost (€/GJ)]]/1000*3600</f>
        <v>10.541066666666667</v>
      </c>
      <c r="H761">
        <v>3.86607608129234</v>
      </c>
      <c r="I761">
        <f>Tableau2[[#This Row],[GHG (kgCO2eq/GJ)]]*3.6</f>
        <v>13.917873892652425</v>
      </c>
      <c r="J761" t="s">
        <v>104</v>
      </c>
      <c r="K761" t="s">
        <v>108</v>
      </c>
    </row>
    <row r="762" spans="1:11" x14ac:dyDescent="0.3">
      <c r="A762" t="s">
        <v>40</v>
      </c>
      <c r="B762" t="s">
        <v>61</v>
      </c>
      <c r="C762" t="s">
        <v>99</v>
      </c>
      <c r="D762">
        <v>2.5</v>
      </c>
      <c r="E762">
        <f>Tableau2[[#This Row],[Potential (PJ)]]/3.6</f>
        <v>0.69444444444444442</v>
      </c>
      <c r="F762">
        <v>1.4086799999999999</v>
      </c>
      <c r="G762">
        <f>Tableau2[[#This Row],[Cost (€/GJ)]]/1000*3600</f>
        <v>5.0712479999999998</v>
      </c>
      <c r="H762">
        <v>2.9245635910224439</v>
      </c>
      <c r="I762">
        <f>Tableau2[[#This Row],[GHG (kgCO2eq/GJ)]]*3.6</f>
        <v>10.528428927680798</v>
      </c>
      <c r="J762" t="s">
        <v>104</v>
      </c>
      <c r="K762" t="s">
        <v>108</v>
      </c>
    </row>
    <row r="763" spans="1:11" x14ac:dyDescent="0.3">
      <c r="A763" t="s">
        <v>40</v>
      </c>
      <c r="B763" t="s">
        <v>62</v>
      </c>
      <c r="C763" t="s">
        <v>100</v>
      </c>
      <c r="D763">
        <v>0.60000000000000009</v>
      </c>
      <c r="E763">
        <f>Tableau2[[#This Row],[Potential (PJ)]]/3.6</f>
        <v>0.16666666666666669</v>
      </c>
      <c r="F763">
        <v>0.76666666666666672</v>
      </c>
      <c r="G763">
        <f>Tableau2[[#This Row],[Cost (€/GJ)]]/1000*3600</f>
        <v>2.7600000000000002</v>
      </c>
      <c r="H763">
        <v>2.6764106050305911</v>
      </c>
      <c r="I763">
        <f>Tableau2[[#This Row],[GHG (kgCO2eq/GJ)]]*3.6</f>
        <v>9.6350781781101276</v>
      </c>
      <c r="J763" t="s">
        <v>104</v>
      </c>
      <c r="K763" t="s">
        <v>108</v>
      </c>
    </row>
    <row r="764" spans="1:11" x14ac:dyDescent="0.3">
      <c r="A764" t="s">
        <v>40</v>
      </c>
      <c r="B764" t="s">
        <v>54</v>
      </c>
      <c r="C764" t="s">
        <v>78</v>
      </c>
      <c r="D764">
        <v>32.200000000000003</v>
      </c>
      <c r="E764">
        <f>Tableau2[[#This Row],[Potential (PJ)]]/3.6</f>
        <v>8.9444444444444446</v>
      </c>
      <c r="F764">
        <v>2.922496894409937</v>
      </c>
      <c r="G764">
        <f>Tableau2[[#This Row],[Cost (€/GJ)]]/1000*3600</f>
        <v>10.520988819875774</v>
      </c>
      <c r="H764">
        <v>3.86607608129234</v>
      </c>
      <c r="I764">
        <f>Tableau2[[#This Row],[GHG (kgCO2eq/GJ)]]*3.6</f>
        <v>13.917873892652425</v>
      </c>
      <c r="J764" t="s">
        <v>104</v>
      </c>
      <c r="K764" t="s">
        <v>108</v>
      </c>
    </row>
    <row r="765" spans="1:11" hidden="1" x14ac:dyDescent="0.3">
      <c r="A765" t="s">
        <v>41</v>
      </c>
      <c r="B765" t="s">
        <v>46</v>
      </c>
      <c r="C765" t="s">
        <v>64</v>
      </c>
      <c r="D765">
        <v>2.6599999999999999E-2</v>
      </c>
      <c r="E765">
        <f>Tableau2[[#This Row],[Potential (PJ)]]/3.6</f>
        <v>7.3888888888888884E-3</v>
      </c>
      <c r="F765">
        <v>5.4136635338345869</v>
      </c>
      <c r="G765">
        <f>Tableau2[[#This Row],[Cost (€/GJ)]]/1000*3600</f>
        <v>19.489188721804513</v>
      </c>
      <c r="H765">
        <v>2.9521711768407801</v>
      </c>
      <c r="I765">
        <f>Tableau2[[#This Row],[GHG (kgCO2eq/GJ)]]*3.6</f>
        <v>10.627816236626808</v>
      </c>
      <c r="J765" t="s">
        <v>104</v>
      </c>
      <c r="K765" t="s">
        <v>108</v>
      </c>
    </row>
    <row r="766" spans="1:11" hidden="1" x14ac:dyDescent="0.3">
      <c r="A766" t="s">
        <v>41</v>
      </c>
      <c r="B766" t="s">
        <v>46</v>
      </c>
      <c r="C766" t="s">
        <v>79</v>
      </c>
      <c r="D766">
        <v>8.6</v>
      </c>
      <c r="E766">
        <f>Tableau2[[#This Row],[Potential (PJ)]]/3.6</f>
        <v>2.3888888888888888</v>
      </c>
      <c r="F766">
        <v>3.7859767441860459</v>
      </c>
      <c r="G766">
        <f>Tableau2[[#This Row],[Cost (€/GJ)]]/1000*3600</f>
        <v>13.629516279069765</v>
      </c>
      <c r="H766">
        <v>6.8428961748633883</v>
      </c>
      <c r="I766">
        <f>Tableau2[[#This Row],[GHG (kgCO2eq/GJ)]]*3.6</f>
        <v>24.634426229508197</v>
      </c>
      <c r="J766" t="s">
        <v>104</v>
      </c>
      <c r="K766" t="s">
        <v>108</v>
      </c>
    </row>
    <row r="767" spans="1:11" hidden="1" x14ac:dyDescent="0.3">
      <c r="A767" t="s">
        <v>41</v>
      </c>
      <c r="B767" t="s">
        <v>46</v>
      </c>
      <c r="C767" t="s">
        <v>80</v>
      </c>
      <c r="D767">
        <v>0.1036</v>
      </c>
      <c r="E767">
        <f>Tableau2[[#This Row],[Potential (PJ)]]/3.6</f>
        <v>2.8777777777777777E-2</v>
      </c>
      <c r="F767">
        <v>0.2002697235333783</v>
      </c>
      <c r="G767">
        <f>Tableau2[[#This Row],[Cost (€/GJ)]]/1000*3600</f>
        <v>0.72097100472016185</v>
      </c>
      <c r="H767">
        <v>28.139870918023309</v>
      </c>
      <c r="I767">
        <f>Tableau2[[#This Row],[GHG (kgCO2eq/GJ)]]*3.6</f>
        <v>101.30353530488391</v>
      </c>
      <c r="J767" t="s">
        <v>105</v>
      </c>
      <c r="K767" t="s">
        <v>108</v>
      </c>
    </row>
    <row r="768" spans="1:11" hidden="1" x14ac:dyDescent="0.3">
      <c r="A768" t="s">
        <v>41</v>
      </c>
      <c r="B768" t="s">
        <v>46</v>
      </c>
      <c r="C768" t="s">
        <v>81</v>
      </c>
      <c r="D768">
        <v>6.2300000000000001E-2</v>
      </c>
      <c r="E768">
        <f>Tableau2[[#This Row],[Potential (PJ)]]/3.6</f>
        <v>1.7305555555555557E-2</v>
      </c>
      <c r="F768">
        <v>0.36251468860164521</v>
      </c>
      <c r="G768">
        <f>Tableau2[[#This Row],[Cost (€/GJ)]]/1000*3600</f>
        <v>1.3050528789659226</v>
      </c>
      <c r="H768">
        <v>8.9647473560517046</v>
      </c>
      <c r="I768">
        <f>Tableau2[[#This Row],[GHG (kgCO2eq/GJ)]]*3.6</f>
        <v>32.273090481786134</v>
      </c>
      <c r="J768" t="s">
        <v>105</v>
      </c>
      <c r="K768" t="s">
        <v>108</v>
      </c>
    </row>
    <row r="769" spans="1:11" hidden="1" x14ac:dyDescent="0.3">
      <c r="A769" t="s">
        <v>41</v>
      </c>
      <c r="B769" t="s">
        <v>46</v>
      </c>
      <c r="C769" t="s">
        <v>66</v>
      </c>
      <c r="D769">
        <v>2.2000000000000002</v>
      </c>
      <c r="E769">
        <f>Tableau2[[#This Row],[Potential (PJ)]]/3.6</f>
        <v>0.61111111111111116</v>
      </c>
      <c r="F769">
        <v>3.909045454545454</v>
      </c>
      <c r="G769">
        <f>Tableau2[[#This Row],[Cost (€/GJ)]]/1000*3600</f>
        <v>14.072563636363634</v>
      </c>
      <c r="H769">
        <v>6.8428961748633883</v>
      </c>
      <c r="I769">
        <f>Tableau2[[#This Row],[GHG (kgCO2eq/GJ)]]*3.6</f>
        <v>24.634426229508197</v>
      </c>
      <c r="J769" t="s">
        <v>104</v>
      </c>
      <c r="K769" t="s">
        <v>108</v>
      </c>
    </row>
    <row r="770" spans="1:11" hidden="1" x14ac:dyDescent="0.3">
      <c r="A770" t="s">
        <v>41</v>
      </c>
      <c r="B770" t="s">
        <v>46</v>
      </c>
      <c r="C770" t="s">
        <v>82</v>
      </c>
      <c r="D770">
        <v>1.6</v>
      </c>
      <c r="E770">
        <f>Tableau2[[#This Row],[Potential (PJ)]]/3.6</f>
        <v>0.44444444444444448</v>
      </c>
      <c r="F770">
        <v>2.3864999999999998</v>
      </c>
      <c r="G770">
        <f>Tableau2[[#This Row],[Cost (€/GJ)]]/1000*3600</f>
        <v>8.5913999999999984</v>
      </c>
      <c r="H770">
        <v>6.8428961748633883</v>
      </c>
      <c r="I770">
        <f>Tableau2[[#This Row],[GHG (kgCO2eq/GJ)]]*3.6</f>
        <v>24.634426229508197</v>
      </c>
      <c r="J770" t="s">
        <v>104</v>
      </c>
      <c r="K770" t="s">
        <v>108</v>
      </c>
    </row>
    <row r="771" spans="1:11" hidden="1" x14ac:dyDescent="0.3">
      <c r="A771" t="s">
        <v>41</v>
      </c>
      <c r="B771" t="s">
        <v>46</v>
      </c>
      <c r="C771" t="s">
        <v>84</v>
      </c>
      <c r="D771">
        <v>0.1</v>
      </c>
      <c r="E771">
        <f>Tableau2[[#This Row],[Potential (PJ)]]/3.6</f>
        <v>2.777777777777778E-2</v>
      </c>
      <c r="F771">
        <v>2.15</v>
      </c>
      <c r="G771">
        <f>Tableau2[[#This Row],[Cost (€/GJ)]]/1000*3600</f>
        <v>7.74</v>
      </c>
      <c r="H771">
        <v>28.139870918023309</v>
      </c>
      <c r="I771">
        <f>Tableau2[[#This Row],[GHG (kgCO2eq/GJ)]]*3.6</f>
        <v>101.30353530488391</v>
      </c>
      <c r="J771" t="s">
        <v>105</v>
      </c>
      <c r="K771" t="s">
        <v>108</v>
      </c>
    </row>
    <row r="772" spans="1:11" hidden="1" x14ac:dyDescent="0.3">
      <c r="A772" t="s">
        <v>41</v>
      </c>
      <c r="B772" t="s">
        <v>55</v>
      </c>
      <c r="C772" t="s">
        <v>86</v>
      </c>
      <c r="D772">
        <v>3.9E-2</v>
      </c>
      <c r="E772">
        <f>Tableau2[[#This Row],[Potential (PJ)]]/3.6</f>
        <v>1.0833333333333334E-2</v>
      </c>
      <c r="F772">
        <v>17.356000000000002</v>
      </c>
      <c r="G772">
        <f>Tableau2[[#This Row],[Cost (€/GJ)]]/1000*3600</f>
        <v>62.481600000000014</v>
      </c>
      <c r="H772">
        <v>9</v>
      </c>
      <c r="I772">
        <f>Tableau2[[#This Row],[GHG (kgCO2eq/GJ)]]*3.6</f>
        <v>32.4</v>
      </c>
      <c r="J772" t="s">
        <v>106</v>
      </c>
      <c r="K772" t="s">
        <v>109</v>
      </c>
    </row>
    <row r="773" spans="1:11" hidden="1" x14ac:dyDescent="0.3">
      <c r="A773" t="s">
        <v>41</v>
      </c>
      <c r="B773" t="s">
        <v>55</v>
      </c>
      <c r="C773" t="s">
        <v>87</v>
      </c>
      <c r="D773">
        <v>0.76640000000000008</v>
      </c>
      <c r="E773">
        <f>Tableau2[[#This Row],[Potential (PJ)]]/3.6</f>
        <v>0.21288888888888891</v>
      </c>
      <c r="F773">
        <v>15.88</v>
      </c>
      <c r="G773">
        <f>Tableau2[[#This Row],[Cost (€/GJ)]]/1000*3600</f>
        <v>57.168000000000006</v>
      </c>
      <c r="H773">
        <v>9</v>
      </c>
      <c r="I773">
        <f>Tableau2[[#This Row],[GHG (kgCO2eq/GJ)]]*3.6</f>
        <v>32.4</v>
      </c>
      <c r="J773" t="s">
        <v>106</v>
      </c>
      <c r="K773" t="s">
        <v>109</v>
      </c>
    </row>
    <row r="774" spans="1:11" hidden="1" x14ac:dyDescent="0.3">
      <c r="A774" t="s">
        <v>41</v>
      </c>
      <c r="B774" t="s">
        <v>55</v>
      </c>
      <c r="C774" t="s">
        <v>88</v>
      </c>
      <c r="D774">
        <v>1.5778000000000001</v>
      </c>
      <c r="E774">
        <f>Tableau2[[#This Row],[Potential (PJ)]]/3.6</f>
        <v>0.43827777777777777</v>
      </c>
      <c r="F774">
        <v>14.911</v>
      </c>
      <c r="G774">
        <f>Tableau2[[#This Row],[Cost (€/GJ)]]/1000*3600</f>
        <v>53.679599999999994</v>
      </c>
      <c r="H774">
        <v>9</v>
      </c>
      <c r="I774">
        <f>Tableau2[[#This Row],[GHG (kgCO2eq/GJ)]]*3.6</f>
        <v>32.4</v>
      </c>
      <c r="J774" t="s">
        <v>106</v>
      </c>
      <c r="K774" t="s">
        <v>109</v>
      </c>
    </row>
    <row r="775" spans="1:11" hidden="1" x14ac:dyDescent="0.3">
      <c r="A775" t="s">
        <v>41</v>
      </c>
      <c r="B775" t="s">
        <v>55</v>
      </c>
      <c r="C775" t="s">
        <v>91</v>
      </c>
      <c r="D775">
        <v>0.22189999999999999</v>
      </c>
      <c r="E775">
        <f>Tableau2[[#This Row],[Potential (PJ)]]/3.6</f>
        <v>6.1638888888888882E-2</v>
      </c>
      <c r="F775">
        <v>16.141999999999999</v>
      </c>
      <c r="G775">
        <f>Tableau2[[#This Row],[Cost (€/GJ)]]/1000*3600</f>
        <v>58.111200000000004</v>
      </c>
      <c r="H775">
        <v>9</v>
      </c>
      <c r="I775">
        <f>Tableau2[[#This Row],[GHG (kgCO2eq/GJ)]]*3.6</f>
        <v>32.4</v>
      </c>
      <c r="J775" t="s">
        <v>106</v>
      </c>
      <c r="K775" t="s">
        <v>109</v>
      </c>
    </row>
    <row r="776" spans="1:11" hidden="1" x14ac:dyDescent="0.3">
      <c r="A776" t="s">
        <v>41</v>
      </c>
      <c r="B776" t="s">
        <v>55</v>
      </c>
      <c r="C776" t="s">
        <v>92</v>
      </c>
      <c r="D776">
        <v>9.9239999999999995E-2</v>
      </c>
      <c r="E776">
        <f>Tableau2[[#This Row],[Potential (PJ)]]/3.6</f>
        <v>2.7566666666666663E-2</v>
      </c>
      <c r="F776">
        <v>15.88</v>
      </c>
      <c r="G776">
        <f>Tableau2[[#This Row],[Cost (€/GJ)]]/1000*3600</f>
        <v>57.168000000000006</v>
      </c>
      <c r="H776">
        <v>9</v>
      </c>
      <c r="I776">
        <f>Tableau2[[#This Row],[GHG (kgCO2eq/GJ)]]*3.6</f>
        <v>32.4</v>
      </c>
      <c r="J776" t="s">
        <v>106</v>
      </c>
      <c r="K776" t="s">
        <v>109</v>
      </c>
    </row>
    <row r="777" spans="1:11" hidden="1" x14ac:dyDescent="0.3">
      <c r="A777" t="s">
        <v>41</v>
      </c>
      <c r="B777" t="s">
        <v>56</v>
      </c>
      <c r="C777" t="s">
        <v>93</v>
      </c>
      <c r="D777">
        <v>8.7918000000000003</v>
      </c>
      <c r="E777">
        <f>Tableau2[[#This Row],[Potential (PJ)]]/3.6</f>
        <v>2.4421666666666666</v>
      </c>
      <c r="F777">
        <v>2.9493975903614462</v>
      </c>
      <c r="G777">
        <f>Tableau2[[#This Row],[Cost (€/GJ)]]/1000*3600</f>
        <v>10.617831325301207</v>
      </c>
      <c r="H777">
        <v>15.9</v>
      </c>
      <c r="I777">
        <f>Tableau2[[#This Row],[GHG (kgCO2eq/GJ)]]*3.6</f>
        <v>57.24</v>
      </c>
      <c r="J777" t="s">
        <v>106</v>
      </c>
      <c r="K777" t="s">
        <v>109</v>
      </c>
    </row>
    <row r="778" spans="1:11" hidden="1" x14ac:dyDescent="0.3">
      <c r="A778" t="s">
        <v>41</v>
      </c>
      <c r="B778" t="s">
        <v>47</v>
      </c>
      <c r="C778" t="s">
        <v>68</v>
      </c>
      <c r="D778">
        <v>1.7</v>
      </c>
      <c r="E778">
        <f>Tableau2[[#This Row],[Potential (PJ)]]/3.6</f>
        <v>0.47222222222222221</v>
      </c>
      <c r="F778">
        <v>3.4799411764705881</v>
      </c>
      <c r="G778">
        <f>Tableau2[[#This Row],[Cost (€/GJ)]]/1000*3600</f>
        <v>12.527788235294116</v>
      </c>
      <c r="H778">
        <v>22.8</v>
      </c>
      <c r="I778">
        <f>Tableau2[[#This Row],[GHG (kgCO2eq/GJ)]]*3.6</f>
        <v>82.08</v>
      </c>
      <c r="J778" t="s">
        <v>104</v>
      </c>
      <c r="K778" t="s">
        <v>109</v>
      </c>
    </row>
    <row r="779" spans="1:11" hidden="1" x14ac:dyDescent="0.3">
      <c r="A779" t="s">
        <v>41</v>
      </c>
      <c r="B779" t="s">
        <v>47</v>
      </c>
      <c r="C779" t="s">
        <v>69</v>
      </c>
      <c r="D779">
        <v>1.2</v>
      </c>
      <c r="E779">
        <f>Tableau2[[#This Row],[Potential (PJ)]]/3.6</f>
        <v>0.33333333333333331</v>
      </c>
      <c r="F779">
        <v>3.477583333333333</v>
      </c>
      <c r="G779">
        <f>Tableau2[[#This Row],[Cost (€/GJ)]]/1000*3600</f>
        <v>12.519299999999999</v>
      </c>
      <c r="H779">
        <v>22.8</v>
      </c>
      <c r="I779">
        <f>Tableau2[[#This Row],[GHG (kgCO2eq/GJ)]]*3.6</f>
        <v>82.08</v>
      </c>
      <c r="J779" t="s">
        <v>104</v>
      </c>
      <c r="K779" t="s">
        <v>109</v>
      </c>
    </row>
    <row r="780" spans="1:11" hidden="1" x14ac:dyDescent="0.3">
      <c r="A780" t="s">
        <v>41</v>
      </c>
      <c r="B780" t="s">
        <v>57</v>
      </c>
      <c r="C780" t="s">
        <v>94</v>
      </c>
      <c r="D780">
        <v>1.4</v>
      </c>
      <c r="E780">
        <f>Tableau2[[#This Row],[Potential (PJ)]]/3.6</f>
        <v>0.38888888888888884</v>
      </c>
      <c r="F780">
        <v>8.1337142857142855</v>
      </c>
      <c r="G780">
        <f>Tableau2[[#This Row],[Cost (€/GJ)]]/1000*3600</f>
        <v>29.281371428571429</v>
      </c>
      <c r="H780">
        <v>14.9</v>
      </c>
      <c r="I780">
        <f>Tableau2[[#This Row],[GHG (kgCO2eq/GJ)]]*3.6</f>
        <v>53.64</v>
      </c>
      <c r="J780" t="s">
        <v>104</v>
      </c>
      <c r="K780" t="s">
        <v>109</v>
      </c>
    </row>
    <row r="781" spans="1:11" x14ac:dyDescent="0.3">
      <c r="A781" t="s">
        <v>41</v>
      </c>
      <c r="B781" t="s">
        <v>49</v>
      </c>
      <c r="C781" t="s">
        <v>71</v>
      </c>
      <c r="D781">
        <v>31.0349</v>
      </c>
      <c r="E781">
        <f>Tableau2[[#This Row],[Potential (PJ)]]/3.6</f>
        <v>8.6208055555555561</v>
      </c>
      <c r="F781">
        <v>2.1006631820949959</v>
      </c>
      <c r="G781">
        <f>Tableau2[[#This Row],[Cost (€/GJ)]]/1000*3600</f>
        <v>7.5623874555419848</v>
      </c>
      <c r="H781">
        <v>3.86607608129234</v>
      </c>
      <c r="I781">
        <f>Tableau2[[#This Row],[GHG (kgCO2eq/GJ)]]*3.6</f>
        <v>13.917873892652425</v>
      </c>
      <c r="J781" t="s">
        <v>104</v>
      </c>
      <c r="K781" t="s">
        <v>108</v>
      </c>
    </row>
    <row r="782" spans="1:11" x14ac:dyDescent="0.3">
      <c r="A782" t="s">
        <v>41</v>
      </c>
      <c r="B782" t="s">
        <v>49</v>
      </c>
      <c r="C782" t="s">
        <v>72</v>
      </c>
      <c r="D782">
        <v>0.89999999999999991</v>
      </c>
      <c r="E782">
        <f>Tableau2[[#This Row],[Potential (PJ)]]/3.6</f>
        <v>0.24999999999999997</v>
      </c>
      <c r="F782">
        <v>2.7874444444444451</v>
      </c>
      <c r="G782">
        <f>Tableau2[[#This Row],[Cost (€/GJ)]]/1000*3600</f>
        <v>10.034800000000002</v>
      </c>
      <c r="H782">
        <v>3.86607608129234</v>
      </c>
      <c r="I782">
        <f>Tableau2[[#This Row],[GHG (kgCO2eq/GJ)]]*3.6</f>
        <v>13.917873892652425</v>
      </c>
      <c r="J782" t="s">
        <v>104</v>
      </c>
      <c r="K782" t="s">
        <v>108</v>
      </c>
    </row>
    <row r="783" spans="1:11" x14ac:dyDescent="0.3">
      <c r="A783" t="s">
        <v>41</v>
      </c>
      <c r="B783" t="s">
        <v>58</v>
      </c>
      <c r="C783" t="s">
        <v>95</v>
      </c>
      <c r="D783">
        <v>2.98726</v>
      </c>
      <c r="E783">
        <f>Tableau2[[#This Row],[Potential (PJ)]]/3.6</f>
        <v>0.82979444444444439</v>
      </c>
      <c r="F783">
        <v>0</v>
      </c>
      <c r="G783">
        <f>Tableau2[[#This Row],[Cost (€/GJ)]]/1000*3600</f>
        <v>0</v>
      </c>
      <c r="H783">
        <v>2.9521711768407801</v>
      </c>
      <c r="I783">
        <f>Tableau2[[#This Row],[GHG (kgCO2eq/GJ)]]*3.6</f>
        <v>10.627816236626808</v>
      </c>
      <c r="J783" t="s">
        <v>104</v>
      </c>
      <c r="K783" t="s">
        <v>108</v>
      </c>
    </row>
    <row r="784" spans="1:11" hidden="1" x14ac:dyDescent="0.3">
      <c r="A784" t="s">
        <v>41</v>
      </c>
      <c r="B784" t="s">
        <v>50</v>
      </c>
      <c r="C784" t="s">
        <v>73</v>
      </c>
      <c r="D784">
        <v>1.7</v>
      </c>
      <c r="E784">
        <f>Tableau2[[#This Row],[Potential (PJ)]]/3.6</f>
        <v>0.47222222222222221</v>
      </c>
      <c r="F784">
        <v>5.1363529411764697</v>
      </c>
      <c r="G784">
        <f>Tableau2[[#This Row],[Cost (€/GJ)]]/1000*3600</f>
        <v>18.490870588235289</v>
      </c>
      <c r="H784">
        <v>20.723404255319149</v>
      </c>
      <c r="I784">
        <f>Tableau2[[#This Row],[GHG (kgCO2eq/GJ)]]*3.6</f>
        <v>74.604255319148933</v>
      </c>
      <c r="J784" t="s">
        <v>105</v>
      </c>
      <c r="K784" t="s">
        <v>108</v>
      </c>
    </row>
    <row r="785" spans="1:11" hidden="1" x14ac:dyDescent="0.3">
      <c r="A785" t="s">
        <v>41</v>
      </c>
      <c r="B785" t="s">
        <v>50</v>
      </c>
      <c r="C785" t="s">
        <v>74</v>
      </c>
      <c r="D785">
        <v>10.7</v>
      </c>
      <c r="E785">
        <f>Tableau2[[#This Row],[Potential (PJ)]]/3.6</f>
        <v>2.9722222222222219</v>
      </c>
      <c r="F785">
        <v>3.373654205607477</v>
      </c>
      <c r="G785">
        <f>Tableau2[[#This Row],[Cost (€/GJ)]]/1000*3600</f>
        <v>12.145155140186917</v>
      </c>
      <c r="H785">
        <v>2.0635593220338988</v>
      </c>
      <c r="I785">
        <f>Tableau2[[#This Row],[GHG (kgCO2eq/GJ)]]*3.6</f>
        <v>7.4288135593220357</v>
      </c>
      <c r="J785" t="s">
        <v>105</v>
      </c>
      <c r="K785" t="s">
        <v>108</v>
      </c>
    </row>
    <row r="786" spans="1:11" hidden="1" x14ac:dyDescent="0.3">
      <c r="A786" t="s">
        <v>41</v>
      </c>
      <c r="B786" t="s">
        <v>59</v>
      </c>
      <c r="C786" t="s">
        <v>96</v>
      </c>
      <c r="D786">
        <v>6.93E-2</v>
      </c>
      <c r="E786">
        <f>Tableau2[[#This Row],[Potential (PJ)]]/3.6</f>
        <v>1.925E-2</v>
      </c>
      <c r="F786">
        <v>30.006</v>
      </c>
      <c r="G786">
        <f>Tableau2[[#This Row],[Cost (€/GJ)]]/1000*3600</f>
        <v>108.02160000000001</v>
      </c>
      <c r="H786">
        <v>1</v>
      </c>
      <c r="I786">
        <f>Tableau2[[#This Row],[GHG (kgCO2eq/GJ)]]*3.6</f>
        <v>3.6</v>
      </c>
      <c r="J786" t="s">
        <v>107</v>
      </c>
      <c r="K786" t="s">
        <v>109</v>
      </c>
    </row>
    <row r="787" spans="1:11" hidden="1" x14ac:dyDescent="0.3">
      <c r="A787" t="s">
        <v>41</v>
      </c>
      <c r="B787" t="s">
        <v>59</v>
      </c>
      <c r="C787" t="s">
        <v>97</v>
      </c>
      <c r="D787">
        <v>4.2000000000000006E-3</v>
      </c>
      <c r="E787">
        <f>Tableau2[[#This Row],[Potential (PJ)]]/3.6</f>
        <v>1.1666666666666668E-3</v>
      </c>
      <c r="F787">
        <v>15.95225176342919</v>
      </c>
      <c r="G787">
        <f>Tableau2[[#This Row],[Cost (€/GJ)]]/1000*3600</f>
        <v>57.428106348345089</v>
      </c>
      <c r="H787">
        <v>1</v>
      </c>
      <c r="I787">
        <f>Tableau2[[#This Row],[GHG (kgCO2eq/GJ)]]*3.6</f>
        <v>3.6</v>
      </c>
      <c r="J787" t="s">
        <v>107</v>
      </c>
      <c r="K787" t="s">
        <v>109</v>
      </c>
    </row>
    <row r="788" spans="1:11" x14ac:dyDescent="0.3">
      <c r="A788" t="s">
        <v>41</v>
      </c>
      <c r="B788" t="s">
        <v>51</v>
      </c>
      <c r="C788" t="s">
        <v>75</v>
      </c>
      <c r="D788">
        <v>5.0767680000000004</v>
      </c>
      <c r="E788">
        <f>Tableau2[[#This Row],[Potential (PJ)]]/3.6</f>
        <v>1.4102133333333333</v>
      </c>
      <c r="F788">
        <v>1.5225544497392701E-2</v>
      </c>
      <c r="G788">
        <f>Tableau2[[#This Row],[Cost (€/GJ)]]/1000*3600</f>
        <v>5.4811960190613719E-2</v>
      </c>
      <c r="H788">
        <v>11.74</v>
      </c>
      <c r="I788">
        <f>Tableau2[[#This Row],[GHG (kgCO2eq/GJ)]]*3.6</f>
        <v>42.264000000000003</v>
      </c>
      <c r="J788" t="s">
        <v>104</v>
      </c>
      <c r="K788" t="s">
        <v>108</v>
      </c>
    </row>
    <row r="789" spans="1:11" hidden="1" x14ac:dyDescent="0.3">
      <c r="A789" t="s">
        <v>41</v>
      </c>
      <c r="B789" t="s">
        <v>60</v>
      </c>
      <c r="C789" t="s">
        <v>98</v>
      </c>
      <c r="D789">
        <v>1.15541</v>
      </c>
      <c r="E789">
        <f>Tableau2[[#This Row],[Potential (PJ)]]/3.6</f>
        <v>0.32094722222222222</v>
      </c>
      <c r="F789">
        <v>18.367346938775508</v>
      </c>
      <c r="G789">
        <f>Tableau2[[#This Row],[Cost (€/GJ)]]/1000*3600</f>
        <v>66.122448979591837</v>
      </c>
      <c r="H789">
        <v>18.8</v>
      </c>
      <c r="I789">
        <f>Tableau2[[#This Row],[GHG (kgCO2eq/GJ)]]*3.6</f>
        <v>67.680000000000007</v>
      </c>
      <c r="J789" t="s">
        <v>107</v>
      </c>
      <c r="K789" t="s">
        <v>109</v>
      </c>
    </row>
    <row r="790" spans="1:11" hidden="1" x14ac:dyDescent="0.3">
      <c r="A790" t="s">
        <v>41</v>
      </c>
      <c r="B790" t="s">
        <v>52</v>
      </c>
      <c r="C790" t="s">
        <v>76</v>
      </c>
      <c r="D790">
        <v>2E-3</v>
      </c>
      <c r="E790">
        <f>Tableau2[[#This Row],[Potential (PJ)]]/3.6</f>
        <v>5.5555555555555556E-4</v>
      </c>
      <c r="F790">
        <v>5.4702337500000002</v>
      </c>
      <c r="G790">
        <f>Tableau2[[#This Row],[Cost (€/GJ)]]/1000*3600</f>
        <v>19.6928415</v>
      </c>
      <c r="H790">
        <v>12.68872359754714</v>
      </c>
      <c r="I790">
        <f>Tableau2[[#This Row],[GHG (kgCO2eq/GJ)]]*3.6</f>
        <v>45.679404951169708</v>
      </c>
      <c r="J790" t="s">
        <v>105</v>
      </c>
      <c r="K790" t="s">
        <v>108</v>
      </c>
    </row>
    <row r="791" spans="1:11" x14ac:dyDescent="0.3">
      <c r="A791" t="s">
        <v>41</v>
      </c>
      <c r="B791" t="s">
        <v>53</v>
      </c>
      <c r="C791" t="s">
        <v>77</v>
      </c>
      <c r="D791">
        <v>1</v>
      </c>
      <c r="E791">
        <f>Tableau2[[#This Row],[Potential (PJ)]]/3.6</f>
        <v>0.27777777777777779</v>
      </c>
      <c r="F791">
        <v>2.7873000000000001</v>
      </c>
      <c r="G791">
        <f>Tableau2[[#This Row],[Cost (€/GJ)]]/1000*3600</f>
        <v>10.034279999999999</v>
      </c>
      <c r="H791">
        <v>3.86607608129234</v>
      </c>
      <c r="I791">
        <f>Tableau2[[#This Row],[GHG (kgCO2eq/GJ)]]*3.6</f>
        <v>13.917873892652425</v>
      </c>
      <c r="J791" t="s">
        <v>104</v>
      </c>
      <c r="K791" t="s">
        <v>108</v>
      </c>
    </row>
    <row r="792" spans="1:11" x14ac:dyDescent="0.3">
      <c r="A792" t="s">
        <v>41</v>
      </c>
      <c r="B792" t="s">
        <v>61</v>
      </c>
      <c r="C792" t="s">
        <v>99</v>
      </c>
      <c r="D792">
        <v>5.7</v>
      </c>
      <c r="E792">
        <f>Tableau2[[#This Row],[Potential (PJ)]]/3.6</f>
        <v>1.5833333333333333</v>
      </c>
      <c r="F792">
        <v>1.725228070175439</v>
      </c>
      <c r="G792">
        <f>Tableau2[[#This Row],[Cost (€/GJ)]]/1000*3600</f>
        <v>6.2108210526315801</v>
      </c>
      <c r="H792">
        <v>2.9245635910224439</v>
      </c>
      <c r="I792">
        <f>Tableau2[[#This Row],[GHG (kgCO2eq/GJ)]]*3.6</f>
        <v>10.528428927680798</v>
      </c>
      <c r="J792" t="s">
        <v>104</v>
      </c>
      <c r="K792" t="s">
        <v>108</v>
      </c>
    </row>
    <row r="793" spans="1:11" x14ac:dyDescent="0.3">
      <c r="A793" t="s">
        <v>41</v>
      </c>
      <c r="B793" t="s">
        <v>62</v>
      </c>
      <c r="C793" t="s">
        <v>100</v>
      </c>
      <c r="D793">
        <v>1.7</v>
      </c>
      <c r="E793">
        <f>Tableau2[[#This Row],[Potential (PJ)]]/3.6</f>
        <v>0.47222222222222221</v>
      </c>
      <c r="F793">
        <v>0.67647058823529405</v>
      </c>
      <c r="G793">
        <f>Tableau2[[#This Row],[Cost (€/GJ)]]/1000*3600</f>
        <v>2.4352941176470586</v>
      </c>
      <c r="H793">
        <v>2.6764106050305911</v>
      </c>
      <c r="I793">
        <f>Tableau2[[#This Row],[GHG (kgCO2eq/GJ)]]*3.6</f>
        <v>9.6350781781101276</v>
      </c>
      <c r="J793" t="s">
        <v>104</v>
      </c>
      <c r="K793" t="s">
        <v>108</v>
      </c>
    </row>
    <row r="794" spans="1:11" x14ac:dyDescent="0.3">
      <c r="A794" t="s">
        <v>41</v>
      </c>
      <c r="B794" t="s">
        <v>54</v>
      </c>
      <c r="C794" t="s">
        <v>78</v>
      </c>
      <c r="D794">
        <v>35.6</v>
      </c>
      <c r="E794">
        <f>Tableau2[[#This Row],[Potential (PJ)]]/3.6</f>
        <v>9.8888888888888893</v>
      </c>
      <c r="F794">
        <v>2.7726797752808992</v>
      </c>
      <c r="G794">
        <f>Tableau2[[#This Row],[Cost (€/GJ)]]/1000*3600</f>
        <v>9.9816471910112359</v>
      </c>
      <c r="H794">
        <v>3.86607608129234</v>
      </c>
      <c r="I794">
        <f>Tableau2[[#This Row],[GHG (kgCO2eq/GJ)]]*3.6</f>
        <v>13.917873892652425</v>
      </c>
      <c r="J794" t="s">
        <v>104</v>
      </c>
      <c r="K794" t="s">
        <v>108</v>
      </c>
    </row>
    <row r="795" spans="1:11" hidden="1" x14ac:dyDescent="0.3">
      <c r="A795" t="s">
        <v>42</v>
      </c>
      <c r="B795" t="s">
        <v>46</v>
      </c>
      <c r="C795" t="s">
        <v>63</v>
      </c>
      <c r="D795">
        <v>2.6345999999999998</v>
      </c>
      <c r="E795">
        <f>Tableau2[[#This Row],[Potential (PJ)]]/3.6</f>
        <v>0.73183333333333322</v>
      </c>
      <c r="F795">
        <v>2.9286474973375931</v>
      </c>
      <c r="G795">
        <f>Tableau2[[#This Row],[Cost (€/GJ)]]/1000*3600</f>
        <v>10.543130990415335</v>
      </c>
      <c r="H795">
        <v>3.950479233226837</v>
      </c>
      <c r="I795">
        <f>Tableau2[[#This Row],[GHG (kgCO2eq/GJ)]]*3.6</f>
        <v>14.221725239616614</v>
      </c>
      <c r="J795" t="s">
        <v>104</v>
      </c>
      <c r="K795" t="s">
        <v>108</v>
      </c>
    </row>
    <row r="796" spans="1:11" hidden="1" x14ac:dyDescent="0.3">
      <c r="A796" t="s">
        <v>42</v>
      </c>
      <c r="B796" t="s">
        <v>46</v>
      </c>
      <c r="C796" t="s">
        <v>64</v>
      </c>
      <c r="D796">
        <v>1.78881</v>
      </c>
      <c r="E796">
        <f>Tableau2[[#This Row],[Potential (PJ)]]/3.6</f>
        <v>0.49689166666666668</v>
      </c>
      <c r="F796">
        <v>5.7800758828494923</v>
      </c>
      <c r="G796">
        <f>Tableau2[[#This Row],[Cost (€/GJ)]]/1000*3600</f>
        <v>20.808273178258172</v>
      </c>
      <c r="H796">
        <v>2.9521711768407801</v>
      </c>
      <c r="I796">
        <f>Tableau2[[#This Row],[GHG (kgCO2eq/GJ)]]*3.6</f>
        <v>10.627816236626808</v>
      </c>
      <c r="J796" t="s">
        <v>104</v>
      </c>
      <c r="K796" t="s">
        <v>108</v>
      </c>
    </row>
    <row r="797" spans="1:11" hidden="1" x14ac:dyDescent="0.3">
      <c r="A797" t="s">
        <v>42</v>
      </c>
      <c r="B797" t="s">
        <v>46</v>
      </c>
      <c r="C797" t="s">
        <v>65</v>
      </c>
      <c r="D797">
        <v>10.5</v>
      </c>
      <c r="E797">
        <f>Tableau2[[#This Row],[Potential (PJ)]]/3.6</f>
        <v>2.9166666666666665</v>
      </c>
      <c r="F797">
        <v>4.5247999999999999</v>
      </c>
      <c r="G797">
        <f>Tableau2[[#This Row],[Cost (€/GJ)]]/1000*3600</f>
        <v>16.289279999999998</v>
      </c>
      <c r="H797">
        <v>2.9521711768407801</v>
      </c>
      <c r="I797">
        <f>Tableau2[[#This Row],[GHG (kgCO2eq/GJ)]]*3.6</f>
        <v>10.627816236626808</v>
      </c>
      <c r="J797" t="s">
        <v>104</v>
      </c>
      <c r="K797" t="s">
        <v>108</v>
      </c>
    </row>
    <row r="798" spans="1:11" hidden="1" x14ac:dyDescent="0.3">
      <c r="A798" t="s">
        <v>42</v>
      </c>
      <c r="B798" t="s">
        <v>46</v>
      </c>
      <c r="C798" t="s">
        <v>67</v>
      </c>
      <c r="D798">
        <v>7.8</v>
      </c>
      <c r="E798">
        <f>Tableau2[[#This Row],[Potential (PJ)]]/3.6</f>
        <v>2.1666666666666665</v>
      </c>
      <c r="F798">
        <v>5.91</v>
      </c>
      <c r="G798">
        <f>Tableau2[[#This Row],[Cost (€/GJ)]]/1000*3600</f>
        <v>21.276</v>
      </c>
      <c r="H798">
        <v>2.9521711768407801</v>
      </c>
      <c r="I798">
        <f>Tableau2[[#This Row],[GHG (kgCO2eq/GJ)]]*3.6</f>
        <v>10.627816236626808</v>
      </c>
      <c r="J798" t="s">
        <v>104</v>
      </c>
      <c r="K798" t="s">
        <v>108</v>
      </c>
    </row>
    <row r="799" spans="1:11" hidden="1" x14ac:dyDescent="0.3">
      <c r="A799" t="s">
        <v>42</v>
      </c>
      <c r="B799" t="s">
        <v>46</v>
      </c>
      <c r="C799" t="s">
        <v>85</v>
      </c>
      <c r="D799">
        <v>2.1</v>
      </c>
      <c r="E799">
        <f>Tableau2[[#This Row],[Potential (PJ)]]/3.6</f>
        <v>0.58333333333333337</v>
      </c>
      <c r="F799">
        <v>4.2039999999999997</v>
      </c>
      <c r="G799">
        <f>Tableau2[[#This Row],[Cost (€/GJ)]]/1000*3600</f>
        <v>15.134399999999998</v>
      </c>
      <c r="H799">
        <v>2.9521711768407801</v>
      </c>
      <c r="I799">
        <f>Tableau2[[#This Row],[GHG (kgCO2eq/GJ)]]*3.6</f>
        <v>10.627816236626808</v>
      </c>
      <c r="J799" t="s">
        <v>104</v>
      </c>
      <c r="K799" t="s">
        <v>108</v>
      </c>
    </row>
    <row r="800" spans="1:11" hidden="1" x14ac:dyDescent="0.3">
      <c r="A800" t="s">
        <v>42</v>
      </c>
      <c r="B800" t="s">
        <v>47</v>
      </c>
      <c r="C800" t="s">
        <v>68</v>
      </c>
      <c r="D800">
        <v>162.30000000000001</v>
      </c>
      <c r="E800">
        <f>Tableau2[[#This Row],[Potential (PJ)]]/3.6</f>
        <v>45.083333333333336</v>
      </c>
      <c r="F800">
        <v>3.359999999999999</v>
      </c>
      <c r="G800">
        <f>Tableau2[[#This Row],[Cost (€/GJ)]]/1000*3600</f>
        <v>12.095999999999997</v>
      </c>
      <c r="I800">
        <f>Tableau2[[#This Row],[GHG (kgCO2eq/GJ)]]*3.6</f>
        <v>0</v>
      </c>
      <c r="J800" t="s">
        <v>104</v>
      </c>
      <c r="K800" t="s">
        <v>109</v>
      </c>
    </row>
    <row r="801" spans="1:11" hidden="1" x14ac:dyDescent="0.3">
      <c r="A801" t="s">
        <v>42</v>
      </c>
      <c r="B801" t="s">
        <v>47</v>
      </c>
      <c r="C801" t="s">
        <v>69</v>
      </c>
      <c r="D801">
        <v>113.5</v>
      </c>
      <c r="E801">
        <f>Tableau2[[#This Row],[Potential (PJ)]]/3.6</f>
        <v>31.527777777777779</v>
      </c>
      <c r="F801">
        <v>3.355</v>
      </c>
      <c r="G801">
        <f>Tableau2[[#This Row],[Cost (€/GJ)]]/1000*3600</f>
        <v>12.077999999999999</v>
      </c>
      <c r="I801">
        <f>Tableau2[[#This Row],[GHG (kgCO2eq/GJ)]]*3.6</f>
        <v>0</v>
      </c>
      <c r="J801" t="s">
        <v>104</v>
      </c>
      <c r="K801" t="s">
        <v>109</v>
      </c>
    </row>
    <row r="802" spans="1:11" hidden="1" x14ac:dyDescent="0.3">
      <c r="A802" t="s">
        <v>42</v>
      </c>
      <c r="B802" t="s">
        <v>48</v>
      </c>
      <c r="C802" t="s">
        <v>70</v>
      </c>
      <c r="D802">
        <v>60.2</v>
      </c>
      <c r="E802">
        <f>Tableau2[[#This Row],[Potential (PJ)]]/3.6</f>
        <v>16.722222222222221</v>
      </c>
      <c r="F802">
        <v>8.8789999999999996</v>
      </c>
      <c r="G802">
        <f>Tableau2[[#This Row],[Cost (€/GJ)]]/1000*3600</f>
        <v>31.964399999999998</v>
      </c>
      <c r="I802">
        <f>Tableau2[[#This Row],[GHG (kgCO2eq/GJ)]]*3.6</f>
        <v>0</v>
      </c>
      <c r="J802" t="s">
        <v>104</v>
      </c>
      <c r="K802" t="s">
        <v>109</v>
      </c>
    </row>
    <row r="803" spans="1:11" x14ac:dyDescent="0.3">
      <c r="A803" t="s">
        <v>42</v>
      </c>
      <c r="B803" t="s">
        <v>49</v>
      </c>
      <c r="C803" t="s">
        <v>71</v>
      </c>
      <c r="D803">
        <v>5.6460000000000003E-2</v>
      </c>
      <c r="E803">
        <f>Tableau2[[#This Row],[Potential (PJ)]]/3.6</f>
        <v>1.5683333333333334E-2</v>
      </c>
      <c r="F803">
        <v>2.9359999999999999</v>
      </c>
      <c r="G803">
        <f>Tableau2[[#This Row],[Cost (€/GJ)]]/1000*3600</f>
        <v>10.569599999999999</v>
      </c>
      <c r="H803">
        <v>3.86607608129234</v>
      </c>
      <c r="I803">
        <f>Tableau2[[#This Row],[GHG (kgCO2eq/GJ)]]*3.6</f>
        <v>13.917873892652425</v>
      </c>
      <c r="J803" t="s">
        <v>104</v>
      </c>
      <c r="K803" t="s">
        <v>108</v>
      </c>
    </row>
    <row r="804" spans="1:11" hidden="1" x14ac:dyDescent="0.3">
      <c r="A804" t="s">
        <v>42</v>
      </c>
      <c r="B804" t="s">
        <v>52</v>
      </c>
      <c r="C804" t="s">
        <v>76</v>
      </c>
      <c r="D804">
        <v>10.148</v>
      </c>
      <c r="E804">
        <f>Tableau2[[#This Row],[Potential (PJ)]]/3.6</f>
        <v>2.8188888888888886</v>
      </c>
      <c r="F804">
        <v>0</v>
      </c>
      <c r="G804">
        <f>Tableau2[[#This Row],[Cost (€/GJ)]]/1000*3600</f>
        <v>0</v>
      </c>
      <c r="H804">
        <v>12.68872359754714</v>
      </c>
      <c r="I804">
        <f>Tableau2[[#This Row],[GHG (kgCO2eq/GJ)]]*3.6</f>
        <v>45.679404951169708</v>
      </c>
      <c r="J804" t="s">
        <v>105</v>
      </c>
      <c r="K804" t="s">
        <v>108</v>
      </c>
    </row>
    <row r="805" spans="1:11" x14ac:dyDescent="0.3">
      <c r="A805" t="s">
        <v>43</v>
      </c>
      <c r="B805" t="s">
        <v>49</v>
      </c>
      <c r="C805" t="s">
        <v>71</v>
      </c>
      <c r="D805">
        <v>124.74547</v>
      </c>
      <c r="E805">
        <f>Tableau2[[#This Row],[Potential (PJ)]]/3.6</f>
        <v>34.651519444444446</v>
      </c>
      <c r="F805">
        <v>0</v>
      </c>
      <c r="G805">
        <f>Tableau2[[#This Row],[Cost (€/GJ)]]/1000*3600</f>
        <v>0</v>
      </c>
      <c r="I805">
        <f>Tableau2[[#This Row],[GHG (kgCO2eq/GJ)]]*3.6</f>
        <v>0</v>
      </c>
      <c r="J805" t="s">
        <v>104</v>
      </c>
      <c r="K805" t="s">
        <v>108</v>
      </c>
    </row>
    <row r="806" spans="1:11" x14ac:dyDescent="0.3">
      <c r="A806" t="s">
        <v>43</v>
      </c>
      <c r="B806" t="s">
        <v>49</v>
      </c>
      <c r="C806" t="s">
        <v>72</v>
      </c>
      <c r="D806">
        <v>22.7</v>
      </c>
      <c r="E806">
        <f>Tableau2[[#This Row],[Potential (PJ)]]/3.6</f>
        <v>6.3055555555555554</v>
      </c>
      <c r="F806">
        <v>0</v>
      </c>
      <c r="G806">
        <f>Tableau2[[#This Row],[Cost (€/GJ)]]/1000*3600</f>
        <v>0</v>
      </c>
      <c r="I806">
        <f>Tableau2[[#This Row],[GHG (kgCO2eq/GJ)]]*3.6</f>
        <v>0</v>
      </c>
      <c r="J806" t="s">
        <v>104</v>
      </c>
      <c r="K806" t="s">
        <v>108</v>
      </c>
    </row>
    <row r="807" spans="1:11" x14ac:dyDescent="0.3">
      <c r="A807" t="s">
        <v>43</v>
      </c>
      <c r="B807" t="s">
        <v>53</v>
      </c>
      <c r="C807" t="s">
        <v>77</v>
      </c>
      <c r="D807">
        <v>23.7</v>
      </c>
      <c r="E807">
        <f>Tableau2[[#This Row],[Potential (PJ)]]/3.6</f>
        <v>6.583333333333333</v>
      </c>
      <c r="F807">
        <v>0</v>
      </c>
      <c r="G807">
        <f>Tableau2[[#This Row],[Cost (€/GJ)]]/1000*3600</f>
        <v>0</v>
      </c>
      <c r="I807">
        <f>Tableau2[[#This Row],[GHG (kgCO2eq/GJ)]]*3.6</f>
        <v>0</v>
      </c>
      <c r="J807" t="s">
        <v>104</v>
      </c>
      <c r="K807" t="s">
        <v>108</v>
      </c>
    </row>
    <row r="808" spans="1:11" x14ac:dyDescent="0.3">
      <c r="A808" t="s">
        <v>43</v>
      </c>
      <c r="B808" t="s">
        <v>54</v>
      </c>
      <c r="C808" t="s">
        <v>78</v>
      </c>
      <c r="D808">
        <v>129.9</v>
      </c>
      <c r="E808">
        <f>Tableau2[[#This Row],[Potential (PJ)]]/3.6</f>
        <v>36.083333333333336</v>
      </c>
      <c r="F808">
        <v>0</v>
      </c>
      <c r="G808">
        <f>Tableau2[[#This Row],[Cost (€/GJ)]]/1000*3600</f>
        <v>0</v>
      </c>
      <c r="I808">
        <f>Tableau2[[#This Row],[GHG (kgCO2eq/GJ)]]*3.6</f>
        <v>0</v>
      </c>
      <c r="J808" t="s">
        <v>104</v>
      </c>
      <c r="K808" t="s">
        <v>108</v>
      </c>
    </row>
    <row r="809" spans="1:11" hidden="1" x14ac:dyDescent="0.3">
      <c r="A809" t="s">
        <v>44</v>
      </c>
      <c r="B809" t="s">
        <v>46</v>
      </c>
      <c r="C809" t="s">
        <v>64</v>
      </c>
      <c r="D809">
        <v>6.5159999999999996E-2</v>
      </c>
      <c r="E809">
        <f>Tableau2[[#This Row],[Potential (PJ)]]/3.6</f>
        <v>1.8099999999999998E-2</v>
      </c>
      <c r="F809">
        <v>2.670555555555556</v>
      </c>
      <c r="G809">
        <f>Tableau2[[#This Row],[Cost (€/GJ)]]/1000*3600</f>
        <v>9.6140000000000025</v>
      </c>
      <c r="H809">
        <v>2.9521711768407801</v>
      </c>
      <c r="I809">
        <f>Tableau2[[#This Row],[GHG (kgCO2eq/GJ)]]*3.6</f>
        <v>10.627816236626808</v>
      </c>
      <c r="J809" t="s">
        <v>104</v>
      </c>
      <c r="K809" t="s">
        <v>108</v>
      </c>
    </row>
    <row r="810" spans="1:11" hidden="1" x14ac:dyDescent="0.3">
      <c r="A810" t="s">
        <v>44</v>
      </c>
      <c r="B810" t="s">
        <v>46</v>
      </c>
      <c r="C810" t="s">
        <v>79</v>
      </c>
      <c r="D810">
        <v>53</v>
      </c>
      <c r="E810">
        <f>Tableau2[[#This Row],[Potential (PJ)]]/3.6</f>
        <v>14.722222222222221</v>
      </c>
      <c r="F810">
        <v>3.9120433962264149</v>
      </c>
      <c r="G810">
        <f>Tableau2[[#This Row],[Cost (€/GJ)]]/1000*3600</f>
        <v>14.083356226415093</v>
      </c>
      <c r="H810">
        <v>6.8428961748633883</v>
      </c>
      <c r="I810">
        <f>Tableau2[[#This Row],[GHG (kgCO2eq/GJ)]]*3.6</f>
        <v>24.634426229508197</v>
      </c>
      <c r="J810" t="s">
        <v>104</v>
      </c>
      <c r="K810" t="s">
        <v>108</v>
      </c>
    </row>
    <row r="811" spans="1:11" hidden="1" x14ac:dyDescent="0.3">
      <c r="A811" t="s">
        <v>44</v>
      </c>
      <c r="B811" t="s">
        <v>46</v>
      </c>
      <c r="C811" t="s">
        <v>80</v>
      </c>
      <c r="D811">
        <v>3.0402</v>
      </c>
      <c r="E811">
        <f>Tableau2[[#This Row],[Potential (PJ)]]/3.6</f>
        <v>0.84450000000000003</v>
      </c>
      <c r="F811">
        <v>4.7201618341200263E-2</v>
      </c>
      <c r="G811">
        <f>Tableau2[[#This Row],[Cost (€/GJ)]]/1000*3600</f>
        <v>0.16992582602832093</v>
      </c>
      <c r="H811">
        <v>28.139870918023309</v>
      </c>
      <c r="I811">
        <f>Tableau2[[#This Row],[GHG (kgCO2eq/GJ)]]*3.6</f>
        <v>101.30353530488391</v>
      </c>
      <c r="J811" t="s">
        <v>105</v>
      </c>
      <c r="K811" t="s">
        <v>108</v>
      </c>
    </row>
    <row r="812" spans="1:11" hidden="1" x14ac:dyDescent="0.3">
      <c r="A812" t="s">
        <v>44</v>
      </c>
      <c r="B812" t="s">
        <v>46</v>
      </c>
      <c r="C812" t="s">
        <v>81</v>
      </c>
      <c r="D812">
        <v>0.3639</v>
      </c>
      <c r="E812">
        <f>Tableau2[[#This Row],[Potential (PJ)]]/3.6</f>
        <v>0.10108333333333333</v>
      </c>
      <c r="F812">
        <v>0.69388954171562867</v>
      </c>
      <c r="G812">
        <f>Tableau2[[#This Row],[Cost (€/GJ)]]/1000*3600</f>
        <v>2.4980023501762632</v>
      </c>
      <c r="H812">
        <v>8.9647473560517046</v>
      </c>
      <c r="I812">
        <f>Tableau2[[#This Row],[GHG (kgCO2eq/GJ)]]*3.6</f>
        <v>32.273090481786134</v>
      </c>
      <c r="J812" t="s">
        <v>105</v>
      </c>
      <c r="K812" t="s">
        <v>108</v>
      </c>
    </row>
    <row r="813" spans="1:11" hidden="1" x14ac:dyDescent="0.3">
      <c r="A813" t="s">
        <v>44</v>
      </c>
      <c r="B813" t="s">
        <v>46</v>
      </c>
      <c r="C813" t="s">
        <v>82</v>
      </c>
      <c r="D813">
        <v>7</v>
      </c>
      <c r="E813">
        <f>Tableau2[[#This Row],[Potential (PJ)]]/3.6</f>
        <v>1.9444444444444444</v>
      </c>
      <c r="F813">
        <v>2.475685714285714</v>
      </c>
      <c r="G813">
        <f>Tableau2[[#This Row],[Cost (€/GJ)]]/1000*3600</f>
        <v>8.9124685714285707</v>
      </c>
      <c r="H813">
        <v>6.8428961748633883</v>
      </c>
      <c r="I813">
        <f>Tableau2[[#This Row],[GHG (kgCO2eq/GJ)]]*3.6</f>
        <v>24.634426229508197</v>
      </c>
      <c r="J813" t="s">
        <v>104</v>
      </c>
      <c r="K813" t="s">
        <v>108</v>
      </c>
    </row>
    <row r="814" spans="1:11" hidden="1" x14ac:dyDescent="0.3">
      <c r="A814" t="s">
        <v>44</v>
      </c>
      <c r="B814" t="s">
        <v>46</v>
      </c>
      <c r="C814" t="s">
        <v>84</v>
      </c>
      <c r="D814">
        <v>1.3</v>
      </c>
      <c r="E814">
        <f>Tableau2[[#This Row],[Potential (PJ)]]/3.6</f>
        <v>0.3611111111111111</v>
      </c>
      <c r="F814">
        <v>2.5623076923076922</v>
      </c>
      <c r="G814">
        <f>Tableau2[[#This Row],[Cost (€/GJ)]]/1000*3600</f>
        <v>9.2243076923076917</v>
      </c>
      <c r="H814">
        <v>28.139870918023309</v>
      </c>
      <c r="I814">
        <f>Tableau2[[#This Row],[GHG (kgCO2eq/GJ)]]*3.6</f>
        <v>101.30353530488391</v>
      </c>
      <c r="J814" t="s">
        <v>105</v>
      </c>
      <c r="K814" t="s">
        <v>108</v>
      </c>
    </row>
    <row r="815" spans="1:11" hidden="1" x14ac:dyDescent="0.3">
      <c r="A815" t="s">
        <v>44</v>
      </c>
      <c r="B815" t="s">
        <v>55</v>
      </c>
      <c r="C815" t="s">
        <v>86</v>
      </c>
      <c r="D815">
        <v>3.1061000000000001</v>
      </c>
      <c r="E815">
        <f>Tableau2[[#This Row],[Potential (PJ)]]/3.6</f>
        <v>0.8628055555555556</v>
      </c>
      <c r="F815">
        <v>18.461000000000009</v>
      </c>
      <c r="G815">
        <f>Tableau2[[#This Row],[Cost (€/GJ)]]/1000*3600</f>
        <v>66.459600000000037</v>
      </c>
      <c r="H815">
        <v>11.6</v>
      </c>
      <c r="I815">
        <f>Tableau2[[#This Row],[GHG (kgCO2eq/GJ)]]*3.6</f>
        <v>41.76</v>
      </c>
      <c r="J815" t="s">
        <v>106</v>
      </c>
      <c r="K815" t="s">
        <v>109</v>
      </c>
    </row>
    <row r="816" spans="1:11" hidden="1" x14ac:dyDescent="0.3">
      <c r="A816" t="s">
        <v>44</v>
      </c>
      <c r="B816" t="s">
        <v>55</v>
      </c>
      <c r="C816" t="s">
        <v>89</v>
      </c>
      <c r="D816">
        <v>3.923</v>
      </c>
      <c r="E816">
        <f>Tableau2[[#This Row],[Potential (PJ)]]/3.6</f>
        <v>1.0897222222222223</v>
      </c>
      <c r="F816">
        <v>0</v>
      </c>
      <c r="G816">
        <f>Tableau2[[#This Row],[Cost (€/GJ)]]/1000*3600</f>
        <v>0</v>
      </c>
      <c r="H816">
        <v>11.6</v>
      </c>
      <c r="I816">
        <f>Tableau2[[#This Row],[GHG (kgCO2eq/GJ)]]*3.6</f>
        <v>41.76</v>
      </c>
      <c r="J816" t="s">
        <v>106</v>
      </c>
      <c r="K816" t="s">
        <v>109</v>
      </c>
    </row>
    <row r="817" spans="1:11" hidden="1" x14ac:dyDescent="0.3">
      <c r="A817" t="s">
        <v>44</v>
      </c>
      <c r="B817" t="s">
        <v>55</v>
      </c>
      <c r="C817" t="s">
        <v>92</v>
      </c>
      <c r="D817">
        <v>15.23157</v>
      </c>
      <c r="E817">
        <f>Tableau2[[#This Row],[Potential (PJ)]]/3.6</f>
        <v>4.2309916666666663</v>
      </c>
      <c r="F817">
        <v>18.32500000000001</v>
      </c>
      <c r="G817">
        <f>Tableau2[[#This Row],[Cost (€/GJ)]]/1000*3600</f>
        <v>65.970000000000041</v>
      </c>
      <c r="H817">
        <v>11.6</v>
      </c>
      <c r="I817">
        <f>Tableau2[[#This Row],[GHG (kgCO2eq/GJ)]]*3.6</f>
        <v>41.76</v>
      </c>
      <c r="J817" t="s">
        <v>106</v>
      </c>
      <c r="K817" t="s">
        <v>109</v>
      </c>
    </row>
    <row r="818" spans="1:11" hidden="1" x14ac:dyDescent="0.3">
      <c r="A818" t="s">
        <v>44</v>
      </c>
      <c r="B818" t="s">
        <v>56</v>
      </c>
      <c r="C818" t="s">
        <v>93</v>
      </c>
      <c r="D818">
        <v>67.979600000000005</v>
      </c>
      <c r="E818">
        <f>Tableau2[[#This Row],[Potential (PJ)]]/3.6</f>
        <v>18.883222222222223</v>
      </c>
      <c r="F818">
        <v>2.939759036144578</v>
      </c>
      <c r="G818">
        <f>Tableau2[[#This Row],[Cost (€/GJ)]]/1000*3600</f>
        <v>10.58313253012048</v>
      </c>
      <c r="H818">
        <v>28.8</v>
      </c>
      <c r="I818">
        <f>Tableau2[[#This Row],[GHG (kgCO2eq/GJ)]]*3.6</f>
        <v>103.68</v>
      </c>
      <c r="J818" t="s">
        <v>106</v>
      </c>
      <c r="K818" t="s">
        <v>109</v>
      </c>
    </row>
    <row r="819" spans="1:11" hidden="1" x14ac:dyDescent="0.3">
      <c r="A819" t="s">
        <v>44</v>
      </c>
      <c r="B819" t="s">
        <v>47</v>
      </c>
      <c r="C819" t="s">
        <v>68</v>
      </c>
      <c r="D819">
        <v>17.399999999999999</v>
      </c>
      <c r="E819">
        <f>Tableau2[[#This Row],[Potential (PJ)]]/3.6</f>
        <v>4.833333333333333</v>
      </c>
      <c r="F819">
        <v>6.6176896551724136</v>
      </c>
      <c r="G819">
        <f>Tableau2[[#This Row],[Cost (€/GJ)]]/1000*3600</f>
        <v>23.823682758620688</v>
      </c>
      <c r="H819">
        <v>15.6</v>
      </c>
      <c r="I819">
        <f>Tableau2[[#This Row],[GHG (kgCO2eq/GJ)]]*3.6</f>
        <v>56.16</v>
      </c>
      <c r="J819" t="s">
        <v>104</v>
      </c>
      <c r="K819" t="s">
        <v>109</v>
      </c>
    </row>
    <row r="820" spans="1:11" hidden="1" x14ac:dyDescent="0.3">
      <c r="A820" t="s">
        <v>44</v>
      </c>
      <c r="B820" t="s">
        <v>47</v>
      </c>
      <c r="C820" t="s">
        <v>69</v>
      </c>
      <c r="D820">
        <v>10.3</v>
      </c>
      <c r="E820">
        <f>Tableau2[[#This Row],[Potential (PJ)]]/3.6</f>
        <v>2.8611111111111112</v>
      </c>
      <c r="F820">
        <v>7.0226990291262128</v>
      </c>
      <c r="G820">
        <f>Tableau2[[#This Row],[Cost (€/GJ)]]/1000*3600</f>
        <v>25.281716504854366</v>
      </c>
      <c r="H820">
        <v>15.6</v>
      </c>
      <c r="I820">
        <f>Tableau2[[#This Row],[GHG (kgCO2eq/GJ)]]*3.6</f>
        <v>56.16</v>
      </c>
      <c r="J820" t="s">
        <v>104</v>
      </c>
      <c r="K820" t="s">
        <v>109</v>
      </c>
    </row>
    <row r="821" spans="1:11" hidden="1" x14ac:dyDescent="0.3">
      <c r="A821" t="s">
        <v>44</v>
      </c>
      <c r="B821" t="s">
        <v>57</v>
      </c>
      <c r="C821" t="s">
        <v>94</v>
      </c>
      <c r="D821">
        <v>27.8</v>
      </c>
      <c r="E821">
        <f>Tableau2[[#This Row],[Potential (PJ)]]/3.6</f>
        <v>7.7222222222222223</v>
      </c>
      <c r="F821">
        <v>9.8978776978417269</v>
      </c>
      <c r="G821">
        <f>Tableau2[[#This Row],[Cost (€/GJ)]]/1000*3600</f>
        <v>35.632359712230212</v>
      </c>
      <c r="H821">
        <v>24.4</v>
      </c>
      <c r="I821">
        <f>Tableau2[[#This Row],[GHG (kgCO2eq/GJ)]]*3.6</f>
        <v>87.84</v>
      </c>
      <c r="J821" t="s">
        <v>104</v>
      </c>
      <c r="K821" t="s">
        <v>109</v>
      </c>
    </row>
    <row r="822" spans="1:11" x14ac:dyDescent="0.3">
      <c r="A822" t="s">
        <v>44</v>
      </c>
      <c r="B822" t="s">
        <v>49</v>
      </c>
      <c r="C822" t="s">
        <v>71</v>
      </c>
      <c r="D822">
        <v>38.27158</v>
      </c>
      <c r="E822">
        <f>Tableau2[[#This Row],[Potential (PJ)]]/3.6</f>
        <v>10.630994444444445</v>
      </c>
      <c r="F822">
        <v>2.8644541354185011</v>
      </c>
      <c r="G822">
        <f>Tableau2[[#This Row],[Cost (€/GJ)]]/1000*3600</f>
        <v>10.312034887506604</v>
      </c>
      <c r="H822">
        <v>3.86607608129234</v>
      </c>
      <c r="I822">
        <f>Tableau2[[#This Row],[GHG (kgCO2eq/GJ)]]*3.6</f>
        <v>13.917873892652425</v>
      </c>
      <c r="J822" t="s">
        <v>104</v>
      </c>
      <c r="K822" t="s">
        <v>108</v>
      </c>
    </row>
    <row r="823" spans="1:11" x14ac:dyDescent="0.3">
      <c r="A823" t="s">
        <v>44</v>
      </c>
      <c r="B823" t="s">
        <v>49</v>
      </c>
      <c r="C823" t="s">
        <v>72</v>
      </c>
      <c r="D823">
        <v>2.7</v>
      </c>
      <c r="E823">
        <f>Tableau2[[#This Row],[Potential (PJ)]]/3.6</f>
        <v>0.75</v>
      </c>
      <c r="F823">
        <v>2.2758148148148152</v>
      </c>
      <c r="G823">
        <f>Tableau2[[#This Row],[Cost (€/GJ)]]/1000*3600</f>
        <v>8.1929333333333343</v>
      </c>
      <c r="H823">
        <v>3.86607608129234</v>
      </c>
      <c r="I823">
        <f>Tableau2[[#This Row],[GHG (kgCO2eq/GJ)]]*3.6</f>
        <v>13.917873892652425</v>
      </c>
      <c r="J823" t="s">
        <v>104</v>
      </c>
      <c r="K823" t="s">
        <v>108</v>
      </c>
    </row>
    <row r="824" spans="1:11" x14ac:dyDescent="0.3">
      <c r="A824" t="s">
        <v>44</v>
      </c>
      <c r="B824" t="s">
        <v>58</v>
      </c>
      <c r="C824" t="s">
        <v>95</v>
      </c>
      <c r="D824">
        <v>14.477729999999999</v>
      </c>
      <c r="E824">
        <f>Tableau2[[#This Row],[Potential (PJ)]]/3.6</f>
        <v>4.0215916666666667</v>
      </c>
      <c r="F824">
        <v>1.87967281887423</v>
      </c>
      <c r="G824">
        <f>Tableau2[[#This Row],[Cost (€/GJ)]]/1000*3600</f>
        <v>6.7668221479472273</v>
      </c>
      <c r="H824">
        <v>2.9521711768407801</v>
      </c>
      <c r="I824">
        <f>Tableau2[[#This Row],[GHG (kgCO2eq/GJ)]]*3.6</f>
        <v>10.627816236626808</v>
      </c>
      <c r="J824" t="s">
        <v>104</v>
      </c>
      <c r="K824" t="s">
        <v>108</v>
      </c>
    </row>
    <row r="825" spans="1:11" hidden="1" x14ac:dyDescent="0.3">
      <c r="A825" t="s">
        <v>44</v>
      </c>
      <c r="B825" t="s">
        <v>50</v>
      </c>
      <c r="C825" t="s">
        <v>73</v>
      </c>
      <c r="D825">
        <v>11.5</v>
      </c>
      <c r="E825">
        <f>Tableau2[[#This Row],[Potential (PJ)]]/3.6</f>
        <v>3.1944444444444442</v>
      </c>
      <c r="F825">
        <v>5.973947826086957</v>
      </c>
      <c r="G825">
        <f>Tableau2[[#This Row],[Cost (€/GJ)]]/1000*3600</f>
        <v>21.506212173913045</v>
      </c>
      <c r="H825">
        <v>20.723404255319149</v>
      </c>
      <c r="I825">
        <f>Tableau2[[#This Row],[GHG (kgCO2eq/GJ)]]*3.6</f>
        <v>74.604255319148933</v>
      </c>
      <c r="J825" t="s">
        <v>105</v>
      </c>
      <c r="K825" t="s">
        <v>108</v>
      </c>
    </row>
    <row r="826" spans="1:11" hidden="1" x14ac:dyDescent="0.3">
      <c r="A826" t="s">
        <v>44</v>
      </c>
      <c r="B826" t="s">
        <v>50</v>
      </c>
      <c r="C826" t="s">
        <v>74</v>
      </c>
      <c r="D826">
        <v>149.9</v>
      </c>
      <c r="E826">
        <f>Tableau2[[#This Row],[Potential (PJ)]]/3.6</f>
        <v>41.638888888888893</v>
      </c>
      <c r="F826">
        <v>6.6237591727818543</v>
      </c>
      <c r="G826">
        <f>Tableau2[[#This Row],[Cost (€/GJ)]]/1000*3600</f>
        <v>23.845533022014678</v>
      </c>
      <c r="H826">
        <v>2.0635593220338988</v>
      </c>
      <c r="I826">
        <f>Tableau2[[#This Row],[GHG (kgCO2eq/GJ)]]*3.6</f>
        <v>7.4288135593220357</v>
      </c>
      <c r="J826" t="s">
        <v>105</v>
      </c>
      <c r="K826" t="s">
        <v>108</v>
      </c>
    </row>
    <row r="827" spans="1:11" x14ac:dyDescent="0.3">
      <c r="A827" t="s">
        <v>44</v>
      </c>
      <c r="B827" t="s">
        <v>51</v>
      </c>
      <c r="C827" t="s">
        <v>75</v>
      </c>
      <c r="D827">
        <v>23.80012</v>
      </c>
      <c r="E827">
        <f>Tableau2[[#This Row],[Potential (PJ)]]/3.6</f>
        <v>6.6111444444444443</v>
      </c>
      <c r="F827">
        <v>2.8167468324634001E-2</v>
      </c>
      <c r="G827">
        <f>Tableau2[[#This Row],[Cost (€/GJ)]]/1000*3600</f>
        <v>0.1014028859686824</v>
      </c>
      <c r="H827">
        <v>11.74</v>
      </c>
      <c r="I827">
        <f>Tableau2[[#This Row],[GHG (kgCO2eq/GJ)]]*3.6</f>
        <v>42.264000000000003</v>
      </c>
      <c r="J827" t="s">
        <v>104</v>
      </c>
      <c r="K827" t="s">
        <v>108</v>
      </c>
    </row>
    <row r="828" spans="1:11" hidden="1" x14ac:dyDescent="0.3">
      <c r="A828" t="s">
        <v>44</v>
      </c>
      <c r="B828" t="s">
        <v>60</v>
      </c>
      <c r="C828" t="s">
        <v>98</v>
      </c>
      <c r="D828">
        <v>8.9805200000000003</v>
      </c>
      <c r="E828">
        <f>Tableau2[[#This Row],[Potential (PJ)]]/3.6</f>
        <v>2.494588888888889</v>
      </c>
      <c r="F828">
        <v>19.60257787325456</v>
      </c>
      <c r="G828">
        <f>Tableau2[[#This Row],[Cost (€/GJ)]]/1000*3600</f>
        <v>70.569280343716429</v>
      </c>
      <c r="H828">
        <v>20.6</v>
      </c>
      <c r="I828">
        <f>Tableau2[[#This Row],[GHG (kgCO2eq/GJ)]]*3.6</f>
        <v>74.160000000000011</v>
      </c>
      <c r="J828" t="s">
        <v>107</v>
      </c>
      <c r="K828" t="s">
        <v>109</v>
      </c>
    </row>
    <row r="829" spans="1:11" hidden="1" x14ac:dyDescent="0.3">
      <c r="A829" t="s">
        <v>44</v>
      </c>
      <c r="B829" t="s">
        <v>52</v>
      </c>
      <c r="C829" t="s">
        <v>76</v>
      </c>
      <c r="D829">
        <v>0.22</v>
      </c>
      <c r="E829">
        <f>Tableau2[[#This Row],[Potential (PJ)]]/3.6</f>
        <v>6.1111111111111109E-2</v>
      </c>
      <c r="F829">
        <v>5.4702337500000002</v>
      </c>
      <c r="G829">
        <f>Tableau2[[#This Row],[Cost (€/GJ)]]/1000*3600</f>
        <v>19.6928415</v>
      </c>
      <c r="H829">
        <v>12.68872359754714</v>
      </c>
      <c r="I829">
        <f>Tableau2[[#This Row],[GHG (kgCO2eq/GJ)]]*3.6</f>
        <v>45.679404951169708</v>
      </c>
      <c r="J829" t="s">
        <v>105</v>
      </c>
      <c r="K829" t="s">
        <v>108</v>
      </c>
    </row>
    <row r="830" spans="1:11" x14ac:dyDescent="0.3">
      <c r="A830" t="s">
        <v>44</v>
      </c>
      <c r="B830" t="s">
        <v>53</v>
      </c>
      <c r="C830" t="s">
        <v>77</v>
      </c>
      <c r="D830">
        <v>4.3</v>
      </c>
      <c r="E830">
        <f>Tableau2[[#This Row],[Potential (PJ)]]/3.6</f>
        <v>1.1944444444444444</v>
      </c>
      <c r="F830">
        <v>2.2205116279069772</v>
      </c>
      <c r="G830">
        <f>Tableau2[[#This Row],[Cost (€/GJ)]]/1000*3600</f>
        <v>7.9938418604651185</v>
      </c>
      <c r="H830">
        <v>3.86607608129234</v>
      </c>
      <c r="I830">
        <f>Tableau2[[#This Row],[GHG (kgCO2eq/GJ)]]*3.6</f>
        <v>13.917873892652425</v>
      </c>
      <c r="J830" t="s">
        <v>104</v>
      </c>
      <c r="K830" t="s">
        <v>108</v>
      </c>
    </row>
    <row r="831" spans="1:11" x14ac:dyDescent="0.3">
      <c r="A831" t="s">
        <v>44</v>
      </c>
      <c r="B831" t="s">
        <v>61</v>
      </c>
      <c r="C831" t="s">
        <v>99</v>
      </c>
      <c r="D831">
        <v>8.4</v>
      </c>
      <c r="E831">
        <f>Tableau2[[#This Row],[Potential (PJ)]]/3.6</f>
        <v>2.3333333333333335</v>
      </c>
      <c r="F831">
        <v>1.528357142857143</v>
      </c>
      <c r="G831">
        <f>Tableau2[[#This Row],[Cost (€/GJ)]]/1000*3600</f>
        <v>5.5020857142857142</v>
      </c>
      <c r="H831">
        <v>2.9245635910224439</v>
      </c>
      <c r="I831">
        <f>Tableau2[[#This Row],[GHG (kgCO2eq/GJ)]]*3.6</f>
        <v>10.528428927680798</v>
      </c>
      <c r="J831" t="s">
        <v>104</v>
      </c>
      <c r="K831" t="s">
        <v>108</v>
      </c>
    </row>
    <row r="832" spans="1:11" x14ac:dyDescent="0.3">
      <c r="A832" t="s">
        <v>44</v>
      </c>
      <c r="B832" t="s">
        <v>62</v>
      </c>
      <c r="C832" t="s">
        <v>100</v>
      </c>
      <c r="D832">
        <v>2.4</v>
      </c>
      <c r="E832">
        <f>Tableau2[[#This Row],[Potential (PJ)]]/3.6</f>
        <v>0.66666666666666663</v>
      </c>
      <c r="F832">
        <v>7.9166666666666677E-2</v>
      </c>
      <c r="G832">
        <f>Tableau2[[#This Row],[Cost (€/GJ)]]/1000*3600</f>
        <v>0.28500000000000003</v>
      </c>
      <c r="H832">
        <v>2.6764106050305911</v>
      </c>
      <c r="I832">
        <f>Tableau2[[#This Row],[GHG (kgCO2eq/GJ)]]*3.6</f>
        <v>9.6350781781101276</v>
      </c>
      <c r="J832" t="s">
        <v>104</v>
      </c>
      <c r="K832" t="s">
        <v>108</v>
      </c>
    </row>
    <row r="833" spans="1:11" x14ac:dyDescent="0.3">
      <c r="A833" t="s">
        <v>44</v>
      </c>
      <c r="B833" t="s">
        <v>54</v>
      </c>
      <c r="C833" t="s">
        <v>78</v>
      </c>
      <c r="D833">
        <v>61.6</v>
      </c>
      <c r="E833">
        <f>Tableau2[[#This Row],[Potential (PJ)]]/3.6</f>
        <v>17.111111111111111</v>
      </c>
      <c r="F833">
        <v>4.6396120129870129</v>
      </c>
      <c r="G833">
        <f>Tableau2[[#This Row],[Cost (€/GJ)]]/1000*3600</f>
        <v>16.702603246753245</v>
      </c>
      <c r="H833">
        <v>3.86607608129234</v>
      </c>
      <c r="I833">
        <f>Tableau2[[#This Row],[GHG (kgCO2eq/GJ)]]*3.6</f>
        <v>13.917873892652425</v>
      </c>
      <c r="J833" t="s">
        <v>104</v>
      </c>
      <c r="K833" t="s">
        <v>108</v>
      </c>
    </row>
    <row r="834" spans="1:11" hidden="1" x14ac:dyDescent="0.3">
      <c r="A834" t="s">
        <v>45</v>
      </c>
      <c r="B834" t="s">
        <v>46</v>
      </c>
      <c r="C834" t="s">
        <v>64</v>
      </c>
      <c r="D834">
        <v>1.4319999999999999E-2</v>
      </c>
      <c r="E834">
        <f>Tableau2[[#This Row],[Potential (PJ)]]/3.6</f>
        <v>3.9777777777777771E-3</v>
      </c>
      <c r="F834">
        <v>2.262</v>
      </c>
      <c r="G834">
        <f>Tableau2[[#This Row],[Cost (€/GJ)]]/1000*3600</f>
        <v>8.1432000000000002</v>
      </c>
      <c r="H834">
        <v>2.9521711768407801</v>
      </c>
      <c r="I834">
        <f>Tableau2[[#This Row],[GHG (kgCO2eq/GJ)]]*3.6</f>
        <v>10.627816236626808</v>
      </c>
      <c r="J834" t="s">
        <v>104</v>
      </c>
      <c r="K834" t="s">
        <v>108</v>
      </c>
    </row>
    <row r="835" spans="1:11" hidden="1" x14ac:dyDescent="0.3">
      <c r="A835" t="s">
        <v>45</v>
      </c>
      <c r="B835" t="s">
        <v>46</v>
      </c>
      <c r="C835" t="s">
        <v>79</v>
      </c>
      <c r="D835">
        <v>1.7</v>
      </c>
      <c r="E835">
        <f>Tableau2[[#This Row],[Potential (PJ)]]/3.6</f>
        <v>0.47222222222222221</v>
      </c>
      <c r="F835">
        <v>0</v>
      </c>
      <c r="G835">
        <f>Tableau2[[#This Row],[Cost (€/GJ)]]/1000*3600</f>
        <v>0</v>
      </c>
      <c r="H835">
        <v>6.8428961748633883</v>
      </c>
      <c r="I835">
        <f>Tableau2[[#This Row],[GHG (kgCO2eq/GJ)]]*3.6</f>
        <v>24.634426229508197</v>
      </c>
      <c r="J835" t="s">
        <v>104</v>
      </c>
      <c r="K835" t="s">
        <v>108</v>
      </c>
    </row>
    <row r="836" spans="1:11" hidden="1" x14ac:dyDescent="0.3">
      <c r="A836" t="s">
        <v>45</v>
      </c>
      <c r="B836" t="s">
        <v>46</v>
      </c>
      <c r="C836" t="s">
        <v>66</v>
      </c>
      <c r="D836">
        <v>0.2</v>
      </c>
      <c r="E836">
        <f>Tableau2[[#This Row],[Potential (PJ)]]/3.6</f>
        <v>5.5555555555555559E-2</v>
      </c>
      <c r="F836">
        <v>2.677</v>
      </c>
      <c r="G836">
        <f>Tableau2[[#This Row],[Cost (€/GJ)]]/1000*3600</f>
        <v>9.6372</v>
      </c>
      <c r="H836">
        <v>6.8428961748633883</v>
      </c>
      <c r="I836">
        <f>Tableau2[[#This Row],[GHG (kgCO2eq/GJ)]]*3.6</f>
        <v>24.634426229508197</v>
      </c>
      <c r="J836" t="s">
        <v>104</v>
      </c>
      <c r="K836" t="s">
        <v>108</v>
      </c>
    </row>
    <row r="837" spans="1:11" hidden="1" x14ac:dyDescent="0.3">
      <c r="A837" t="s">
        <v>45</v>
      </c>
      <c r="B837" t="s">
        <v>47</v>
      </c>
      <c r="C837" t="s">
        <v>68</v>
      </c>
      <c r="D837">
        <v>24.7</v>
      </c>
      <c r="E837">
        <f>Tableau2[[#This Row],[Potential (PJ)]]/3.6</f>
        <v>6.8611111111111107</v>
      </c>
      <c r="F837">
        <v>3.915</v>
      </c>
      <c r="G837">
        <f>Tableau2[[#This Row],[Cost (€/GJ)]]/1000*3600</f>
        <v>14.093999999999999</v>
      </c>
      <c r="I837">
        <f>Tableau2[[#This Row],[GHG (kgCO2eq/GJ)]]*3.6</f>
        <v>0</v>
      </c>
      <c r="J837" t="s">
        <v>104</v>
      </c>
      <c r="K837" t="s">
        <v>109</v>
      </c>
    </row>
    <row r="838" spans="1:11" hidden="1" x14ac:dyDescent="0.3">
      <c r="A838" t="s">
        <v>45</v>
      </c>
      <c r="B838" t="s">
        <v>47</v>
      </c>
      <c r="C838" t="s">
        <v>69</v>
      </c>
      <c r="D838">
        <v>17.3</v>
      </c>
      <c r="E838">
        <f>Tableau2[[#This Row],[Potential (PJ)]]/3.6</f>
        <v>4.8055555555555554</v>
      </c>
      <c r="F838">
        <v>3.907</v>
      </c>
      <c r="G838">
        <f>Tableau2[[#This Row],[Cost (€/GJ)]]/1000*3600</f>
        <v>14.065199999999999</v>
      </c>
      <c r="I838">
        <f>Tableau2[[#This Row],[GHG (kgCO2eq/GJ)]]*3.6</f>
        <v>0</v>
      </c>
      <c r="J838" t="s">
        <v>104</v>
      </c>
      <c r="K838" t="s">
        <v>109</v>
      </c>
    </row>
    <row r="839" spans="1:11" hidden="1" x14ac:dyDescent="0.3">
      <c r="A839" t="s">
        <v>45</v>
      </c>
      <c r="B839" t="s">
        <v>48</v>
      </c>
      <c r="C839" t="s">
        <v>70</v>
      </c>
      <c r="D839">
        <v>9.1</v>
      </c>
      <c r="E839">
        <f>Tableau2[[#This Row],[Potential (PJ)]]/3.6</f>
        <v>2.5277777777777777</v>
      </c>
      <c r="F839">
        <v>10.081</v>
      </c>
      <c r="G839">
        <f>Tableau2[[#This Row],[Cost (€/GJ)]]/1000*3600</f>
        <v>36.291599999999995</v>
      </c>
      <c r="I839">
        <f>Tableau2[[#This Row],[GHG (kgCO2eq/GJ)]]*3.6</f>
        <v>0</v>
      </c>
      <c r="J839" t="s">
        <v>104</v>
      </c>
      <c r="K839" t="s">
        <v>109</v>
      </c>
    </row>
    <row r="840" spans="1:11" x14ac:dyDescent="0.3">
      <c r="A840" t="s">
        <v>45</v>
      </c>
      <c r="B840" t="s">
        <v>49</v>
      </c>
      <c r="C840" t="s">
        <v>71</v>
      </c>
      <c r="D840">
        <v>0.58609</v>
      </c>
      <c r="E840">
        <f>Tableau2[[#This Row],[Potential (PJ)]]/3.6</f>
        <v>0.16280277777777777</v>
      </c>
      <c r="F840">
        <v>0</v>
      </c>
      <c r="G840">
        <f>Tableau2[[#This Row],[Cost (€/GJ)]]/1000*3600</f>
        <v>0</v>
      </c>
      <c r="H840">
        <v>3.86607608129234</v>
      </c>
      <c r="I840">
        <f>Tableau2[[#This Row],[GHG (kgCO2eq/GJ)]]*3.6</f>
        <v>13.917873892652425</v>
      </c>
      <c r="J840" t="s">
        <v>104</v>
      </c>
      <c r="K840" t="s">
        <v>108</v>
      </c>
    </row>
    <row r="841" spans="1:11" hidden="1" x14ac:dyDescent="0.3">
      <c r="A841" t="s">
        <v>45</v>
      </c>
      <c r="B841" t="s">
        <v>50</v>
      </c>
      <c r="C841" t="s">
        <v>73</v>
      </c>
      <c r="D841">
        <v>0.1</v>
      </c>
      <c r="E841">
        <f>Tableau2[[#This Row],[Potential (PJ)]]/3.6</f>
        <v>2.777777777777778E-2</v>
      </c>
      <c r="F841">
        <v>5.4240000000000004</v>
      </c>
      <c r="G841">
        <f>Tableau2[[#This Row],[Cost (€/GJ)]]/1000*3600</f>
        <v>19.526399999999999</v>
      </c>
      <c r="H841">
        <v>20.723404255319149</v>
      </c>
      <c r="I841">
        <f>Tableau2[[#This Row],[GHG (kgCO2eq/GJ)]]*3.6</f>
        <v>74.604255319148933</v>
      </c>
      <c r="J841" t="s">
        <v>105</v>
      </c>
      <c r="K841" t="s">
        <v>108</v>
      </c>
    </row>
    <row r="842" spans="1:11" hidden="1" x14ac:dyDescent="0.3">
      <c r="A842" t="s">
        <v>45</v>
      </c>
      <c r="B842" t="s">
        <v>50</v>
      </c>
      <c r="C842" t="s">
        <v>74</v>
      </c>
      <c r="D842">
        <v>0.1</v>
      </c>
      <c r="E842">
        <f>Tableau2[[#This Row],[Potential (PJ)]]/3.6</f>
        <v>2.777777777777778E-2</v>
      </c>
      <c r="F842">
        <v>3.484</v>
      </c>
      <c r="G842">
        <f>Tableau2[[#This Row],[Cost (€/GJ)]]/1000*3600</f>
        <v>12.542400000000001</v>
      </c>
      <c r="H842">
        <v>2.0635593220338988</v>
      </c>
      <c r="I842">
        <f>Tableau2[[#This Row],[GHG (kgCO2eq/GJ)]]*3.6</f>
        <v>7.4288135593220357</v>
      </c>
      <c r="J842" t="s">
        <v>105</v>
      </c>
      <c r="K842" t="s">
        <v>108</v>
      </c>
    </row>
    <row r="843" spans="1:11" hidden="1" x14ac:dyDescent="0.3">
      <c r="A843" t="s">
        <v>45</v>
      </c>
      <c r="B843" t="s">
        <v>52</v>
      </c>
      <c r="C843" t="s">
        <v>76</v>
      </c>
      <c r="D843">
        <v>5.8999999999999997E-2</v>
      </c>
      <c r="E843">
        <f>Tableau2[[#This Row],[Potential (PJ)]]/3.6</f>
        <v>1.6388888888888887E-2</v>
      </c>
      <c r="F843">
        <v>0</v>
      </c>
      <c r="G843">
        <f>Tableau2[[#This Row],[Cost (€/GJ)]]/1000*3600</f>
        <v>0</v>
      </c>
      <c r="H843">
        <v>12.68872359754714</v>
      </c>
      <c r="I843">
        <f>Tableau2[[#This Row],[GHG (kgCO2eq/GJ)]]*3.6</f>
        <v>45.679404951169708</v>
      </c>
      <c r="J843" t="s">
        <v>105</v>
      </c>
      <c r="K843" t="s">
        <v>108</v>
      </c>
    </row>
    <row r="844" spans="1:11" x14ac:dyDescent="0.3">
      <c r="A844" t="s">
        <v>45</v>
      </c>
      <c r="B844" t="s">
        <v>54</v>
      </c>
      <c r="C844" t="s">
        <v>78</v>
      </c>
      <c r="D844">
        <v>2.2000000000000002</v>
      </c>
      <c r="E844">
        <f>Tableau2[[#This Row],[Potential (PJ)]]/3.6</f>
        <v>0.61111111111111116</v>
      </c>
      <c r="F844">
        <v>0</v>
      </c>
      <c r="G844">
        <f>Tableau2[[#This Row],[Cost (€/GJ)]]/1000*3600</f>
        <v>0</v>
      </c>
      <c r="H844">
        <v>3.86607608129234</v>
      </c>
      <c r="I844">
        <f>Tableau2[[#This Row],[GHG (kgCO2eq/GJ)]]*3.6</f>
        <v>13.917873892652425</v>
      </c>
      <c r="J844" t="s">
        <v>104</v>
      </c>
      <c r="K844" t="s">
        <v>108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08"/>
  <sheetViews>
    <sheetView workbookViewId="0">
      <selection activeCell="E318" sqref="E318:E350"/>
    </sheetView>
  </sheetViews>
  <sheetFormatPr baseColWidth="10" defaultColWidth="8.88671875" defaultRowHeight="14.4" x14ac:dyDescent="0.3"/>
  <cols>
    <col min="2" max="2" width="10.109375" customWidth="1"/>
    <col min="4" max="5" width="14" customWidth="1"/>
    <col min="6" max="6" width="14.88671875" customWidth="1"/>
    <col min="7" max="7" width="18.33203125" customWidth="1"/>
    <col min="8" max="9" width="18.6640625" customWidth="1"/>
    <col min="10" max="10" width="10.441406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113</v>
      </c>
      <c r="F1" s="1" t="s">
        <v>110</v>
      </c>
      <c r="G1" s="1" t="s">
        <v>111</v>
      </c>
      <c r="H1" s="2" t="s">
        <v>4</v>
      </c>
      <c r="I1" s="2" t="s">
        <v>112</v>
      </c>
      <c r="J1" s="2" t="s">
        <v>5</v>
      </c>
      <c r="K1" s="2" t="s">
        <v>6</v>
      </c>
    </row>
    <row r="2" spans="1:11" hidden="1" x14ac:dyDescent="0.3">
      <c r="A2" t="s">
        <v>7</v>
      </c>
      <c r="B2" t="s">
        <v>46</v>
      </c>
      <c r="C2" t="s">
        <v>63</v>
      </c>
      <c r="D2">
        <v>1.55E-2</v>
      </c>
      <c r="E2">
        <f>Tableau1[[#This Row],[Potential (PJ)]]/3.6</f>
        <v>4.3055555555555555E-3</v>
      </c>
      <c r="F2">
        <v>2.9286474973375931</v>
      </c>
      <c r="G2">
        <f>Tableau1[[#This Row],[Cost (€/GJ)]]*3.6</f>
        <v>10.543130990415335</v>
      </c>
      <c r="H2">
        <v>3.950479233226837</v>
      </c>
      <c r="I2">
        <f>Tableau1[[#This Row],[GHG (kgCO2eq/GJ)]]*3.6</f>
        <v>14.221725239616614</v>
      </c>
      <c r="J2" t="s">
        <v>104</v>
      </c>
      <c r="K2" t="s">
        <v>108</v>
      </c>
    </row>
    <row r="3" spans="1:11" hidden="1" x14ac:dyDescent="0.3">
      <c r="A3" t="s">
        <v>7</v>
      </c>
      <c r="B3" t="s">
        <v>46</v>
      </c>
      <c r="C3" t="s">
        <v>64</v>
      </c>
      <c r="D3">
        <v>8.6449999999999999E-2</v>
      </c>
      <c r="E3">
        <f>Tableau1[[#This Row],[Potential (PJ)]]/3.6</f>
        <v>2.4013888888888887E-2</v>
      </c>
      <c r="F3">
        <v>5.0540000000000003</v>
      </c>
      <c r="G3">
        <f>Tableau1[[#This Row],[Cost (€/GJ)]]*3.6</f>
        <v>18.194400000000002</v>
      </c>
      <c r="H3">
        <v>2.9521711768407801</v>
      </c>
      <c r="I3">
        <f>Tableau1[[#This Row],[GHG (kgCO2eq/GJ)]]*3.6</f>
        <v>10.627816236626808</v>
      </c>
      <c r="J3" t="s">
        <v>104</v>
      </c>
      <c r="K3" t="s">
        <v>108</v>
      </c>
    </row>
    <row r="4" spans="1:11" hidden="1" x14ac:dyDescent="0.3">
      <c r="A4" t="s">
        <v>7</v>
      </c>
      <c r="B4" t="s">
        <v>46</v>
      </c>
      <c r="C4" t="s">
        <v>65</v>
      </c>
      <c r="D4">
        <v>0.1</v>
      </c>
      <c r="E4">
        <f>Tableau1[[#This Row],[Potential (PJ)]]/3.6</f>
        <v>2.777777777777778E-2</v>
      </c>
      <c r="F4">
        <v>4.3550000000000004</v>
      </c>
      <c r="G4">
        <f>Tableau1[[#This Row],[Cost (€/GJ)]]*3.6</f>
        <v>15.678000000000003</v>
      </c>
      <c r="H4">
        <v>2.9521711768407801</v>
      </c>
      <c r="I4">
        <f>Tableau1[[#This Row],[GHG (kgCO2eq/GJ)]]*3.6</f>
        <v>10.627816236626808</v>
      </c>
      <c r="J4" t="s">
        <v>104</v>
      </c>
      <c r="K4" t="s">
        <v>108</v>
      </c>
    </row>
    <row r="5" spans="1:11" hidden="1" x14ac:dyDescent="0.3">
      <c r="A5" t="s">
        <v>7</v>
      </c>
      <c r="B5" t="s">
        <v>46</v>
      </c>
      <c r="C5" t="s">
        <v>66</v>
      </c>
      <c r="D5">
        <v>0.1</v>
      </c>
      <c r="E5">
        <f>Tableau1[[#This Row],[Potential (PJ)]]/3.6</f>
        <v>2.777777777777778E-2</v>
      </c>
      <c r="F5">
        <v>1.6639999999999999</v>
      </c>
      <c r="G5">
        <f>Tableau1[[#This Row],[Cost (€/GJ)]]*3.6</f>
        <v>5.9904000000000002</v>
      </c>
      <c r="H5">
        <v>6.8428961748633883</v>
      </c>
      <c r="I5">
        <f>Tableau1[[#This Row],[GHG (kgCO2eq/GJ)]]*3.6</f>
        <v>24.634426229508197</v>
      </c>
      <c r="J5" t="s">
        <v>104</v>
      </c>
      <c r="K5" t="s">
        <v>108</v>
      </c>
    </row>
    <row r="6" spans="1:11" x14ac:dyDescent="0.3">
      <c r="A6" t="s">
        <v>7</v>
      </c>
      <c r="B6" t="s">
        <v>47</v>
      </c>
      <c r="C6" t="s">
        <v>68</v>
      </c>
      <c r="D6">
        <v>16.8</v>
      </c>
      <c r="E6">
        <f>Tableau1[[#This Row],[Potential (PJ)]]/3.6</f>
        <v>4.666666666666667</v>
      </c>
      <c r="F6">
        <v>3.3370000000000002</v>
      </c>
      <c r="G6">
        <f>Tableau1[[#This Row],[Cost (€/GJ)]]*3.6</f>
        <v>12.013200000000001</v>
      </c>
      <c r="H6">
        <v>14.1</v>
      </c>
      <c r="I6">
        <f>Tableau1[[#This Row],[GHG (kgCO2eq/GJ)]]*3.6</f>
        <v>50.76</v>
      </c>
      <c r="J6" t="s">
        <v>104</v>
      </c>
      <c r="K6" t="s">
        <v>109</v>
      </c>
    </row>
    <row r="7" spans="1:11" x14ac:dyDescent="0.3">
      <c r="A7" t="s">
        <v>7</v>
      </c>
      <c r="B7" t="s">
        <v>47</v>
      </c>
      <c r="C7" t="s">
        <v>69</v>
      </c>
      <c r="D7">
        <v>11.8</v>
      </c>
      <c r="E7">
        <f>Tableau1[[#This Row],[Potential (PJ)]]/3.6</f>
        <v>3.2777777777777777</v>
      </c>
      <c r="F7">
        <v>3.3279999999999998</v>
      </c>
      <c r="G7">
        <f>Tableau1[[#This Row],[Cost (€/GJ)]]*3.6</f>
        <v>11.9808</v>
      </c>
      <c r="H7">
        <v>14.1</v>
      </c>
      <c r="I7">
        <f>Tableau1[[#This Row],[GHG (kgCO2eq/GJ)]]*3.6</f>
        <v>50.76</v>
      </c>
      <c r="J7" t="s">
        <v>104</v>
      </c>
      <c r="K7" t="s">
        <v>109</v>
      </c>
    </row>
    <row r="8" spans="1:11" x14ac:dyDescent="0.3">
      <c r="A8" t="s">
        <v>7</v>
      </c>
      <c r="B8" t="s">
        <v>48</v>
      </c>
      <c r="C8" t="s">
        <v>70</v>
      </c>
      <c r="D8">
        <v>6.2</v>
      </c>
      <c r="E8">
        <f>Tableau1[[#This Row],[Potential (PJ)]]/3.6</f>
        <v>1.7222222222222223</v>
      </c>
      <c r="F8">
        <v>8.8049999999999997</v>
      </c>
      <c r="G8">
        <f>Tableau1[[#This Row],[Cost (€/GJ)]]*3.6</f>
        <v>31.698</v>
      </c>
      <c r="H8">
        <v>0</v>
      </c>
      <c r="I8">
        <f>Tableau1[[#This Row],[GHG (kgCO2eq/GJ)]]*3.6</f>
        <v>0</v>
      </c>
      <c r="J8" t="s">
        <v>104</v>
      </c>
      <c r="K8" t="s">
        <v>109</v>
      </c>
    </row>
    <row r="9" spans="1:11" hidden="1" x14ac:dyDescent="0.3">
      <c r="A9" t="s">
        <v>7</v>
      </c>
      <c r="B9" t="s">
        <v>49</v>
      </c>
      <c r="C9" t="s">
        <v>71</v>
      </c>
      <c r="D9">
        <v>0.94596999999999998</v>
      </c>
      <c r="E9">
        <f>Tableau1[[#This Row],[Potential (PJ)]]/3.6</f>
        <v>0.26276944444444444</v>
      </c>
      <c r="F9">
        <v>0</v>
      </c>
      <c r="G9">
        <f>Tableau1[[#This Row],[Cost (€/GJ)]]*3.6</f>
        <v>0</v>
      </c>
      <c r="H9">
        <v>3.86607608129234</v>
      </c>
      <c r="I9">
        <f>Tableau1[[#This Row],[GHG (kgCO2eq/GJ)]]*3.6</f>
        <v>13.917873892652425</v>
      </c>
      <c r="J9" t="s">
        <v>104</v>
      </c>
      <c r="K9" t="s">
        <v>108</v>
      </c>
    </row>
    <row r="10" spans="1:11" hidden="1" x14ac:dyDescent="0.3">
      <c r="A10" t="s">
        <v>7</v>
      </c>
      <c r="B10" t="s">
        <v>49</v>
      </c>
      <c r="C10" t="s">
        <v>72</v>
      </c>
      <c r="D10">
        <v>0.3</v>
      </c>
      <c r="E10">
        <f>Tableau1[[#This Row],[Potential (PJ)]]/3.6</f>
        <v>8.3333333333333329E-2</v>
      </c>
      <c r="F10">
        <v>0</v>
      </c>
      <c r="G10">
        <f>Tableau1[[#This Row],[Cost (€/GJ)]]*3.6</f>
        <v>0</v>
      </c>
      <c r="H10">
        <v>3.86607608129234</v>
      </c>
      <c r="I10">
        <f>Tableau1[[#This Row],[GHG (kgCO2eq/GJ)]]*3.6</f>
        <v>13.917873892652425</v>
      </c>
      <c r="J10" t="s">
        <v>104</v>
      </c>
      <c r="K10" t="s">
        <v>108</v>
      </c>
    </row>
    <row r="11" spans="1:11" hidden="1" x14ac:dyDescent="0.3">
      <c r="A11" t="s">
        <v>7</v>
      </c>
      <c r="B11" t="s">
        <v>50</v>
      </c>
      <c r="C11" t="s">
        <v>73</v>
      </c>
      <c r="D11">
        <v>0.2</v>
      </c>
      <c r="E11">
        <f>Tableau1[[#This Row],[Potential (PJ)]]/3.6</f>
        <v>5.5555555555555559E-2</v>
      </c>
      <c r="F11">
        <v>5.4240000000000004</v>
      </c>
      <c r="G11">
        <f>Tableau1[[#This Row],[Cost (€/GJ)]]*3.6</f>
        <v>19.526400000000002</v>
      </c>
      <c r="H11">
        <v>20.723404255319149</v>
      </c>
      <c r="I11">
        <f>Tableau1[[#This Row],[GHG (kgCO2eq/GJ)]]*3.6</f>
        <v>74.604255319148933</v>
      </c>
      <c r="J11" t="s">
        <v>105</v>
      </c>
      <c r="K11" t="s">
        <v>108</v>
      </c>
    </row>
    <row r="12" spans="1:11" hidden="1" x14ac:dyDescent="0.3">
      <c r="A12" t="s">
        <v>7</v>
      </c>
      <c r="B12" t="s">
        <v>50</v>
      </c>
      <c r="C12" t="s">
        <v>74</v>
      </c>
      <c r="D12">
        <v>0.6</v>
      </c>
      <c r="E12">
        <f>Tableau1[[#This Row],[Potential (PJ)]]/3.6</f>
        <v>0.16666666666666666</v>
      </c>
      <c r="F12">
        <v>3.484</v>
      </c>
      <c r="G12">
        <f>Tableau1[[#This Row],[Cost (€/GJ)]]*3.6</f>
        <v>12.542400000000001</v>
      </c>
      <c r="H12">
        <v>2.0635593220338988</v>
      </c>
      <c r="I12">
        <f>Tableau1[[#This Row],[GHG (kgCO2eq/GJ)]]*3.6</f>
        <v>7.4288135593220357</v>
      </c>
      <c r="J12" t="s">
        <v>105</v>
      </c>
      <c r="K12" t="s">
        <v>108</v>
      </c>
    </row>
    <row r="13" spans="1:11" hidden="1" x14ac:dyDescent="0.3">
      <c r="A13" t="s">
        <v>7</v>
      </c>
      <c r="B13" t="s">
        <v>51</v>
      </c>
      <c r="C13" t="s">
        <v>75</v>
      </c>
      <c r="D13">
        <v>0.80851099999999998</v>
      </c>
      <c r="E13">
        <f>Tableau1[[#This Row],[Potential (PJ)]]/3.6</f>
        <v>0.22458638888888888</v>
      </c>
      <c r="F13">
        <v>8.4863973360258194E-2</v>
      </c>
      <c r="G13">
        <f>Tableau1[[#This Row],[Cost (€/GJ)]]*3.6</f>
        <v>0.30551030409692953</v>
      </c>
      <c r="H13">
        <v>11.74</v>
      </c>
      <c r="I13">
        <f>Tableau1[[#This Row],[GHG (kgCO2eq/GJ)]]*3.6</f>
        <v>42.264000000000003</v>
      </c>
      <c r="J13" t="s">
        <v>104</v>
      </c>
      <c r="K13" t="s">
        <v>108</v>
      </c>
    </row>
    <row r="14" spans="1:11" hidden="1" x14ac:dyDescent="0.3">
      <c r="A14" t="s">
        <v>7</v>
      </c>
      <c r="B14" t="s">
        <v>52</v>
      </c>
      <c r="C14" t="s">
        <v>76</v>
      </c>
      <c r="D14">
        <v>2.5000000000000001E-2</v>
      </c>
      <c r="E14">
        <f>Tableau1[[#This Row],[Potential (PJ)]]/3.6</f>
        <v>6.9444444444444449E-3</v>
      </c>
      <c r="F14">
        <v>6.1837425000000001</v>
      </c>
      <c r="G14">
        <f>Tableau1[[#This Row],[Cost (€/GJ)]]*3.6</f>
        <v>22.261473000000002</v>
      </c>
      <c r="H14">
        <v>12.68872359754714</v>
      </c>
      <c r="I14">
        <f>Tableau1[[#This Row],[GHG (kgCO2eq/GJ)]]*3.6</f>
        <v>45.679404951169708</v>
      </c>
      <c r="J14" t="s">
        <v>105</v>
      </c>
      <c r="K14" t="s">
        <v>108</v>
      </c>
    </row>
    <row r="15" spans="1:11" hidden="1" x14ac:dyDescent="0.3">
      <c r="A15" t="s">
        <v>7</v>
      </c>
      <c r="B15" t="s">
        <v>53</v>
      </c>
      <c r="C15" t="s">
        <v>77</v>
      </c>
      <c r="D15">
        <v>1.0592600000000001</v>
      </c>
      <c r="E15">
        <f>Tableau1[[#This Row],[Potential (PJ)]]/3.6</f>
        <v>0.29423888888888888</v>
      </c>
      <c r="F15">
        <v>0</v>
      </c>
      <c r="G15">
        <f>Tableau1[[#This Row],[Cost (€/GJ)]]*3.6</f>
        <v>0</v>
      </c>
      <c r="H15">
        <v>3.86607608129234</v>
      </c>
      <c r="I15">
        <f>Tableau1[[#This Row],[GHG (kgCO2eq/GJ)]]*3.6</f>
        <v>13.917873892652425</v>
      </c>
      <c r="J15" t="s">
        <v>104</v>
      </c>
      <c r="K15" t="s">
        <v>108</v>
      </c>
    </row>
    <row r="16" spans="1:11" hidden="1" x14ac:dyDescent="0.3">
      <c r="A16" t="s">
        <v>7</v>
      </c>
      <c r="B16" t="s">
        <v>54</v>
      </c>
      <c r="C16" t="s">
        <v>78</v>
      </c>
      <c r="D16">
        <v>3.9</v>
      </c>
      <c r="E16">
        <f>Tableau1[[#This Row],[Potential (PJ)]]/3.6</f>
        <v>1.0833333333333333</v>
      </c>
      <c r="F16">
        <v>0</v>
      </c>
      <c r="G16">
        <f>Tableau1[[#This Row],[Cost (€/GJ)]]*3.6</f>
        <v>0</v>
      </c>
      <c r="H16">
        <v>3.86607608129234</v>
      </c>
      <c r="I16">
        <f>Tableau1[[#This Row],[GHG (kgCO2eq/GJ)]]*3.6</f>
        <v>13.917873892652425</v>
      </c>
      <c r="J16" t="s">
        <v>104</v>
      </c>
      <c r="K16" t="s">
        <v>108</v>
      </c>
    </row>
    <row r="17" spans="1:11" hidden="1" x14ac:dyDescent="0.3">
      <c r="A17" t="s">
        <v>8</v>
      </c>
      <c r="B17" t="s">
        <v>46</v>
      </c>
      <c r="C17" t="s">
        <v>79</v>
      </c>
      <c r="D17">
        <v>4.5999999999999996</v>
      </c>
      <c r="E17">
        <f>Tableau1[[#This Row],[Potential (PJ)]]/3.6</f>
        <v>1.2777777777777777</v>
      </c>
      <c r="F17">
        <v>9.3649999999999984</v>
      </c>
      <c r="G17">
        <f>Tableau1[[#This Row],[Cost (€/GJ)]]*3.6</f>
        <v>33.713999999999999</v>
      </c>
      <c r="H17">
        <v>6.8428961748633883</v>
      </c>
      <c r="I17">
        <f>Tableau1[[#This Row],[GHG (kgCO2eq/GJ)]]*3.6</f>
        <v>24.634426229508197</v>
      </c>
      <c r="J17" t="s">
        <v>104</v>
      </c>
      <c r="K17" t="s">
        <v>108</v>
      </c>
    </row>
    <row r="18" spans="1:11" hidden="1" x14ac:dyDescent="0.3">
      <c r="A18" t="s">
        <v>8</v>
      </c>
      <c r="B18" t="s">
        <v>46</v>
      </c>
      <c r="C18" t="s">
        <v>80</v>
      </c>
      <c r="D18">
        <v>6.7324999999999999</v>
      </c>
      <c r="E18">
        <f>Tableau1[[#This Row],[Potential (PJ)]]/3.6</f>
        <v>1.8701388888888888</v>
      </c>
      <c r="F18">
        <v>0.71274443695212408</v>
      </c>
      <c r="G18">
        <f>Tableau1[[#This Row],[Cost (€/GJ)]]*3.6</f>
        <v>2.5658799730276467</v>
      </c>
      <c r="H18">
        <v>28.139870918023309</v>
      </c>
      <c r="I18">
        <f>Tableau1[[#This Row],[GHG (kgCO2eq/GJ)]]*3.6</f>
        <v>101.30353530488391</v>
      </c>
      <c r="J18" t="s">
        <v>105</v>
      </c>
      <c r="K18" t="s">
        <v>108</v>
      </c>
    </row>
    <row r="19" spans="1:11" hidden="1" x14ac:dyDescent="0.3">
      <c r="A19" t="s">
        <v>8</v>
      </c>
      <c r="B19" t="s">
        <v>46</v>
      </c>
      <c r="C19" t="s">
        <v>81</v>
      </c>
      <c r="D19">
        <v>1.5723</v>
      </c>
      <c r="E19">
        <f>Tableau1[[#This Row],[Potential (PJ)]]/3.6</f>
        <v>0.43674999999999997</v>
      </c>
      <c r="F19">
        <v>1.242655699177438</v>
      </c>
      <c r="G19">
        <f>Tableau1[[#This Row],[Cost (€/GJ)]]*3.6</f>
        <v>4.4735605170387771</v>
      </c>
      <c r="H19">
        <v>8.9647473560517046</v>
      </c>
      <c r="I19">
        <f>Tableau1[[#This Row],[GHG (kgCO2eq/GJ)]]*3.6</f>
        <v>32.273090481786134</v>
      </c>
      <c r="J19" t="s">
        <v>105</v>
      </c>
      <c r="K19" t="s">
        <v>108</v>
      </c>
    </row>
    <row r="20" spans="1:11" hidden="1" x14ac:dyDescent="0.3">
      <c r="A20" t="s">
        <v>8</v>
      </c>
      <c r="B20" t="s">
        <v>46</v>
      </c>
      <c r="C20" t="s">
        <v>66</v>
      </c>
      <c r="D20">
        <v>1.1000000000000001</v>
      </c>
      <c r="E20">
        <f>Tableau1[[#This Row],[Potential (PJ)]]/3.6</f>
        <v>0.30555555555555558</v>
      </c>
      <c r="F20">
        <v>9.8734545454545461</v>
      </c>
      <c r="G20">
        <f>Tableau1[[#This Row],[Cost (€/GJ)]]*3.6</f>
        <v>35.544436363636365</v>
      </c>
      <c r="H20">
        <v>6.8428961748633883</v>
      </c>
      <c r="I20">
        <f>Tableau1[[#This Row],[GHG (kgCO2eq/GJ)]]*3.6</f>
        <v>24.634426229508197</v>
      </c>
      <c r="J20" t="s">
        <v>104</v>
      </c>
      <c r="K20" t="s">
        <v>108</v>
      </c>
    </row>
    <row r="21" spans="1:11" hidden="1" x14ac:dyDescent="0.3">
      <c r="A21" t="s">
        <v>8</v>
      </c>
      <c r="B21" t="s">
        <v>46</v>
      </c>
      <c r="C21" t="s">
        <v>82</v>
      </c>
      <c r="D21">
        <v>0.4</v>
      </c>
      <c r="E21">
        <f>Tableau1[[#This Row],[Potential (PJ)]]/3.6</f>
        <v>0.11111111111111112</v>
      </c>
      <c r="F21">
        <v>5.8112499999999994</v>
      </c>
      <c r="G21">
        <f>Tableau1[[#This Row],[Cost (€/GJ)]]*3.6</f>
        <v>20.920499999999997</v>
      </c>
      <c r="H21">
        <v>6.8428961748633883</v>
      </c>
      <c r="I21">
        <f>Tableau1[[#This Row],[GHG (kgCO2eq/GJ)]]*3.6</f>
        <v>24.634426229508197</v>
      </c>
      <c r="J21" t="s">
        <v>104</v>
      </c>
      <c r="K21" t="s">
        <v>108</v>
      </c>
    </row>
    <row r="22" spans="1:11" hidden="1" x14ac:dyDescent="0.3">
      <c r="A22" t="s">
        <v>8</v>
      </c>
      <c r="B22" t="s">
        <v>46</v>
      </c>
      <c r="C22" t="s">
        <v>83</v>
      </c>
      <c r="D22">
        <v>0.1</v>
      </c>
      <c r="E22">
        <f>Tableau1[[#This Row],[Potential (PJ)]]/3.6</f>
        <v>2.777777777777778E-2</v>
      </c>
      <c r="F22">
        <v>0</v>
      </c>
      <c r="G22">
        <f>Tableau1[[#This Row],[Cost (€/GJ)]]*3.6</f>
        <v>0</v>
      </c>
      <c r="H22">
        <v>6.8428961748633883</v>
      </c>
      <c r="I22">
        <f>Tableau1[[#This Row],[GHG (kgCO2eq/GJ)]]*3.6</f>
        <v>24.634426229508197</v>
      </c>
      <c r="J22" t="s">
        <v>104</v>
      </c>
      <c r="K22" t="s">
        <v>108</v>
      </c>
    </row>
    <row r="23" spans="1:11" hidden="1" x14ac:dyDescent="0.3">
      <c r="A23" t="s">
        <v>8</v>
      </c>
      <c r="B23" t="s">
        <v>46</v>
      </c>
      <c r="C23" t="s">
        <v>84</v>
      </c>
      <c r="D23">
        <v>0.1</v>
      </c>
      <c r="E23">
        <f>Tableau1[[#This Row],[Potential (PJ)]]/3.6</f>
        <v>2.777777777777778E-2</v>
      </c>
      <c r="F23">
        <v>4.5339999999999998</v>
      </c>
      <c r="G23">
        <f>Tableau1[[#This Row],[Cost (€/GJ)]]*3.6</f>
        <v>16.322399999999998</v>
      </c>
      <c r="H23">
        <v>28.139870918023309</v>
      </c>
      <c r="I23">
        <f>Tableau1[[#This Row],[GHG (kgCO2eq/GJ)]]*3.6</f>
        <v>101.30353530488391</v>
      </c>
      <c r="J23" t="s">
        <v>105</v>
      </c>
      <c r="K23" t="s">
        <v>108</v>
      </c>
    </row>
    <row r="24" spans="1:11" hidden="1" x14ac:dyDescent="0.3">
      <c r="A24" t="s">
        <v>8</v>
      </c>
      <c r="B24" t="s">
        <v>46</v>
      </c>
      <c r="C24" t="s">
        <v>85</v>
      </c>
      <c r="D24">
        <v>0.1</v>
      </c>
      <c r="E24">
        <f>Tableau1[[#This Row],[Potential (PJ)]]/3.6</f>
        <v>2.777777777777778E-2</v>
      </c>
      <c r="F24">
        <v>3.7989999999999999</v>
      </c>
      <c r="G24">
        <f>Tableau1[[#This Row],[Cost (€/GJ)]]*3.6</f>
        <v>13.676399999999999</v>
      </c>
      <c r="H24">
        <v>2.9521711768407801</v>
      </c>
      <c r="I24">
        <f>Tableau1[[#This Row],[GHG (kgCO2eq/GJ)]]*3.6</f>
        <v>10.627816236626808</v>
      </c>
      <c r="J24" t="s">
        <v>104</v>
      </c>
      <c r="K24" t="s">
        <v>108</v>
      </c>
    </row>
    <row r="25" spans="1:11" hidden="1" x14ac:dyDescent="0.3">
      <c r="A25" t="s">
        <v>8</v>
      </c>
      <c r="B25" t="s">
        <v>55</v>
      </c>
      <c r="C25" t="s">
        <v>86</v>
      </c>
      <c r="D25">
        <v>0.11169999999999999</v>
      </c>
      <c r="E25">
        <f>Tableau1[[#This Row],[Potential (PJ)]]/3.6</f>
        <v>3.1027777777777776E-2</v>
      </c>
      <c r="F25">
        <v>15.507999999999999</v>
      </c>
      <c r="G25">
        <f>Tableau1[[#This Row],[Cost (€/GJ)]]*3.6</f>
        <v>55.828800000000001</v>
      </c>
      <c r="H25">
        <v>9.3000000000000007</v>
      </c>
      <c r="I25">
        <f>Tableau1[[#This Row],[GHG (kgCO2eq/GJ)]]*3.6</f>
        <v>33.480000000000004</v>
      </c>
      <c r="J25" t="s">
        <v>106</v>
      </c>
      <c r="K25" t="s">
        <v>109</v>
      </c>
    </row>
    <row r="26" spans="1:11" hidden="1" x14ac:dyDescent="0.3">
      <c r="A26" t="s">
        <v>8</v>
      </c>
      <c r="B26" t="s">
        <v>55</v>
      </c>
      <c r="C26" t="s">
        <v>87</v>
      </c>
      <c r="D26">
        <v>0.38100000000000001</v>
      </c>
      <c r="E26">
        <f>Tableau1[[#This Row],[Potential (PJ)]]/3.6</f>
        <v>0.10583333333333333</v>
      </c>
      <c r="F26">
        <v>17.648</v>
      </c>
      <c r="G26">
        <f>Tableau1[[#This Row],[Cost (€/GJ)]]*3.6</f>
        <v>63.532800000000002</v>
      </c>
      <c r="H26">
        <v>9.3000000000000007</v>
      </c>
      <c r="I26">
        <f>Tableau1[[#This Row],[GHG (kgCO2eq/GJ)]]*3.6</f>
        <v>33.480000000000004</v>
      </c>
      <c r="J26" t="s">
        <v>106</v>
      </c>
      <c r="K26" t="s">
        <v>109</v>
      </c>
    </row>
    <row r="27" spans="1:11" hidden="1" x14ac:dyDescent="0.3">
      <c r="A27" t="s">
        <v>8</v>
      </c>
      <c r="B27" t="s">
        <v>55</v>
      </c>
      <c r="C27" t="s">
        <v>88</v>
      </c>
      <c r="D27">
        <v>0.74129999999999996</v>
      </c>
      <c r="E27">
        <f>Tableau1[[#This Row],[Potential (PJ)]]/3.6</f>
        <v>0.20591666666666664</v>
      </c>
      <c r="F27">
        <v>15.755000000000001</v>
      </c>
      <c r="G27">
        <f>Tableau1[[#This Row],[Cost (€/GJ)]]*3.6</f>
        <v>56.718000000000004</v>
      </c>
      <c r="H27">
        <v>9.3000000000000007</v>
      </c>
      <c r="I27">
        <f>Tableau1[[#This Row],[GHG (kgCO2eq/GJ)]]*3.6</f>
        <v>33.480000000000004</v>
      </c>
      <c r="J27" t="s">
        <v>106</v>
      </c>
      <c r="K27" t="s">
        <v>109</v>
      </c>
    </row>
    <row r="28" spans="1:11" hidden="1" x14ac:dyDescent="0.3">
      <c r="A28" t="s">
        <v>8</v>
      </c>
      <c r="B28" t="s">
        <v>55</v>
      </c>
      <c r="C28" t="s">
        <v>89</v>
      </c>
      <c r="D28">
        <v>0.1336</v>
      </c>
      <c r="E28">
        <f>Tableau1[[#This Row],[Potential (PJ)]]/3.6</f>
        <v>3.7111111111111109E-2</v>
      </c>
      <c r="F28">
        <v>0</v>
      </c>
      <c r="G28">
        <f>Tableau1[[#This Row],[Cost (€/GJ)]]*3.6</f>
        <v>0</v>
      </c>
      <c r="H28">
        <v>9.3000000000000007</v>
      </c>
      <c r="I28">
        <f>Tableau1[[#This Row],[GHG (kgCO2eq/GJ)]]*3.6</f>
        <v>33.480000000000004</v>
      </c>
      <c r="J28" t="s">
        <v>106</v>
      </c>
      <c r="K28" t="s">
        <v>109</v>
      </c>
    </row>
    <row r="29" spans="1:11" hidden="1" x14ac:dyDescent="0.3">
      <c r="A29" t="s">
        <v>8</v>
      </c>
      <c r="B29" t="s">
        <v>55</v>
      </c>
      <c r="C29" t="s">
        <v>91</v>
      </c>
      <c r="D29">
        <v>9.69E-2</v>
      </c>
      <c r="E29">
        <f>Tableau1[[#This Row],[Potential (PJ)]]/3.6</f>
        <v>2.6916666666666665E-2</v>
      </c>
      <c r="F29">
        <v>14.819000000000001</v>
      </c>
      <c r="G29">
        <f>Tableau1[[#This Row],[Cost (€/GJ)]]*3.6</f>
        <v>53.348400000000005</v>
      </c>
      <c r="H29">
        <v>9.3000000000000007</v>
      </c>
      <c r="I29">
        <f>Tableau1[[#This Row],[GHG (kgCO2eq/GJ)]]*3.6</f>
        <v>33.480000000000004</v>
      </c>
      <c r="J29" t="s">
        <v>106</v>
      </c>
      <c r="K29" t="s">
        <v>109</v>
      </c>
    </row>
    <row r="30" spans="1:11" hidden="1" x14ac:dyDescent="0.3">
      <c r="A30" t="s">
        <v>8</v>
      </c>
      <c r="B30" t="s">
        <v>55</v>
      </c>
      <c r="C30" t="s">
        <v>92</v>
      </c>
      <c r="D30">
        <v>0.49289000000000011</v>
      </c>
      <c r="E30">
        <f>Tableau1[[#This Row],[Potential (PJ)]]/3.6</f>
        <v>0.13691388888888892</v>
      </c>
      <c r="F30">
        <v>17.648</v>
      </c>
      <c r="G30">
        <f>Tableau1[[#This Row],[Cost (€/GJ)]]*3.6</f>
        <v>63.532800000000002</v>
      </c>
      <c r="H30">
        <v>9.3000000000000007</v>
      </c>
      <c r="I30">
        <f>Tableau1[[#This Row],[GHG (kgCO2eq/GJ)]]*3.6</f>
        <v>33.480000000000004</v>
      </c>
      <c r="J30" t="s">
        <v>106</v>
      </c>
      <c r="K30" t="s">
        <v>109</v>
      </c>
    </row>
    <row r="31" spans="1:11" hidden="1" x14ac:dyDescent="0.3">
      <c r="A31" t="s">
        <v>8</v>
      </c>
      <c r="B31" t="s">
        <v>56</v>
      </c>
      <c r="C31" t="s">
        <v>93</v>
      </c>
      <c r="D31">
        <v>14.3353</v>
      </c>
      <c r="E31">
        <f>Tableau1[[#This Row],[Potential (PJ)]]/3.6</f>
        <v>3.9820277777777777</v>
      </c>
      <c r="F31">
        <v>2.939759036144578</v>
      </c>
      <c r="G31">
        <f>Tableau1[[#This Row],[Cost (€/GJ)]]*3.6</f>
        <v>10.583132530120482</v>
      </c>
      <c r="H31">
        <v>16.899999999999999</v>
      </c>
      <c r="I31">
        <f>Tableau1[[#This Row],[GHG (kgCO2eq/GJ)]]*3.6</f>
        <v>60.839999999999996</v>
      </c>
      <c r="J31" t="s">
        <v>106</v>
      </c>
      <c r="K31" t="s">
        <v>109</v>
      </c>
    </row>
    <row r="32" spans="1:11" x14ac:dyDescent="0.3">
      <c r="A32" t="s">
        <v>8</v>
      </c>
      <c r="B32" t="s">
        <v>47</v>
      </c>
      <c r="C32" t="s">
        <v>68</v>
      </c>
      <c r="D32">
        <v>3.5</v>
      </c>
      <c r="E32">
        <f>Tableau1[[#This Row],[Potential (PJ)]]/3.6</f>
        <v>0.97222222222222221</v>
      </c>
      <c r="F32">
        <v>5.5668000000000006</v>
      </c>
      <c r="G32">
        <f>Tableau1[[#This Row],[Cost (€/GJ)]]*3.6</f>
        <v>20.040480000000002</v>
      </c>
      <c r="H32">
        <v>21.1</v>
      </c>
      <c r="I32">
        <f>Tableau1[[#This Row],[GHG (kgCO2eq/GJ)]]*3.6</f>
        <v>75.960000000000008</v>
      </c>
      <c r="J32" t="s">
        <v>104</v>
      </c>
      <c r="K32" t="s">
        <v>109</v>
      </c>
    </row>
    <row r="33" spans="1:11" x14ac:dyDescent="0.3">
      <c r="A33" t="s">
        <v>8</v>
      </c>
      <c r="B33" t="s">
        <v>47</v>
      </c>
      <c r="C33" t="s">
        <v>69</v>
      </c>
      <c r="D33">
        <v>3.9</v>
      </c>
      <c r="E33">
        <f>Tableau1[[#This Row],[Potential (PJ)]]/3.6</f>
        <v>1.0833333333333333</v>
      </c>
      <c r="F33">
        <v>4.9321282051282047</v>
      </c>
      <c r="G33">
        <f>Tableau1[[#This Row],[Cost (€/GJ)]]*3.6</f>
        <v>17.755661538461538</v>
      </c>
      <c r="H33">
        <v>21.1</v>
      </c>
      <c r="I33">
        <f>Tableau1[[#This Row],[GHG (kgCO2eq/GJ)]]*3.6</f>
        <v>75.960000000000008</v>
      </c>
      <c r="J33" t="s">
        <v>104</v>
      </c>
      <c r="K33" t="s">
        <v>109</v>
      </c>
    </row>
    <row r="34" spans="1:11" x14ac:dyDescent="0.3">
      <c r="A34" t="s">
        <v>8</v>
      </c>
      <c r="B34" t="s">
        <v>57</v>
      </c>
      <c r="C34" t="s">
        <v>94</v>
      </c>
      <c r="D34">
        <v>3.3</v>
      </c>
      <c r="E34">
        <f>Tableau1[[#This Row],[Potential (PJ)]]/3.6</f>
        <v>0.91666666666666663</v>
      </c>
      <c r="F34">
        <v>10.41630303030303</v>
      </c>
      <c r="G34">
        <f>Tableau1[[#This Row],[Cost (€/GJ)]]*3.6</f>
        <v>37.498690909090911</v>
      </c>
      <c r="H34">
        <v>14.9</v>
      </c>
      <c r="I34">
        <f>Tableau1[[#This Row],[GHG (kgCO2eq/GJ)]]*3.6</f>
        <v>53.64</v>
      </c>
      <c r="J34" t="s">
        <v>104</v>
      </c>
      <c r="K34" t="s">
        <v>109</v>
      </c>
    </row>
    <row r="35" spans="1:11" hidden="1" x14ac:dyDescent="0.3">
      <c r="A35" t="s">
        <v>8</v>
      </c>
      <c r="B35" t="s">
        <v>49</v>
      </c>
      <c r="C35" t="s">
        <v>71</v>
      </c>
      <c r="D35">
        <v>17.392569999999999</v>
      </c>
      <c r="E35">
        <f>Tableau1[[#This Row],[Potential (PJ)]]/3.6</f>
        <v>4.8312694444444437</v>
      </c>
      <c r="F35">
        <v>4.7068404859086383</v>
      </c>
      <c r="G35">
        <f>Tableau1[[#This Row],[Cost (€/GJ)]]*3.6</f>
        <v>16.944625749271097</v>
      </c>
      <c r="H35">
        <v>3.86607608129234</v>
      </c>
      <c r="I35">
        <f>Tableau1[[#This Row],[GHG (kgCO2eq/GJ)]]*3.6</f>
        <v>13.917873892652425</v>
      </c>
      <c r="J35" t="s">
        <v>104</v>
      </c>
      <c r="K35" t="s">
        <v>108</v>
      </c>
    </row>
    <row r="36" spans="1:11" hidden="1" x14ac:dyDescent="0.3">
      <c r="A36" t="s">
        <v>8</v>
      </c>
      <c r="B36" t="s">
        <v>49</v>
      </c>
      <c r="C36" t="s">
        <v>72</v>
      </c>
      <c r="D36">
        <v>2.1</v>
      </c>
      <c r="E36">
        <f>Tableau1[[#This Row],[Potential (PJ)]]/3.6</f>
        <v>0.58333333333333337</v>
      </c>
      <c r="F36">
        <v>3.7676666666666669</v>
      </c>
      <c r="G36">
        <f>Tableau1[[#This Row],[Cost (€/GJ)]]*3.6</f>
        <v>13.563600000000001</v>
      </c>
      <c r="H36">
        <v>3.86607608129234</v>
      </c>
      <c r="I36">
        <f>Tableau1[[#This Row],[GHG (kgCO2eq/GJ)]]*3.6</f>
        <v>13.917873892652425</v>
      </c>
      <c r="J36" t="s">
        <v>104</v>
      </c>
      <c r="K36" t="s">
        <v>108</v>
      </c>
    </row>
    <row r="37" spans="1:11" hidden="1" x14ac:dyDescent="0.3">
      <c r="A37" t="s">
        <v>8</v>
      </c>
      <c r="B37" t="s">
        <v>58</v>
      </c>
      <c r="C37" t="s">
        <v>95</v>
      </c>
      <c r="D37">
        <v>0.14038</v>
      </c>
      <c r="E37">
        <f>Tableau1[[#This Row],[Potential (PJ)]]/3.6</f>
        <v>3.8994444444444443E-2</v>
      </c>
      <c r="F37">
        <v>2.604294272688418</v>
      </c>
      <c r="G37">
        <f>Tableau1[[#This Row],[Cost (€/GJ)]]*3.6</f>
        <v>9.3754593816783043</v>
      </c>
      <c r="H37">
        <v>2.9521711768407801</v>
      </c>
      <c r="I37">
        <f>Tableau1[[#This Row],[GHG (kgCO2eq/GJ)]]*3.6</f>
        <v>10.627816236626808</v>
      </c>
      <c r="J37" t="s">
        <v>104</v>
      </c>
      <c r="K37" t="s">
        <v>108</v>
      </c>
    </row>
    <row r="38" spans="1:11" hidden="1" x14ac:dyDescent="0.3">
      <c r="A38" t="s">
        <v>8</v>
      </c>
      <c r="B38" t="s">
        <v>50</v>
      </c>
      <c r="C38" t="s">
        <v>74</v>
      </c>
      <c r="D38">
        <v>0.3</v>
      </c>
      <c r="E38">
        <f>Tableau1[[#This Row],[Potential (PJ)]]/3.6</f>
        <v>8.3333333333333329E-2</v>
      </c>
      <c r="F38">
        <v>6.5229999999999997</v>
      </c>
      <c r="G38">
        <f>Tableau1[[#This Row],[Cost (€/GJ)]]*3.6</f>
        <v>23.482800000000001</v>
      </c>
      <c r="H38">
        <v>2.0635593220338988</v>
      </c>
      <c r="I38">
        <f>Tableau1[[#This Row],[GHG (kgCO2eq/GJ)]]*3.6</f>
        <v>7.4288135593220357</v>
      </c>
      <c r="J38" t="s">
        <v>105</v>
      </c>
      <c r="K38" t="s">
        <v>108</v>
      </c>
    </row>
    <row r="39" spans="1:11" hidden="1" x14ac:dyDescent="0.3">
      <c r="A39" t="s">
        <v>8</v>
      </c>
      <c r="B39" t="s">
        <v>59</v>
      </c>
      <c r="C39" t="s">
        <v>96</v>
      </c>
      <c r="D39">
        <v>5.4100000000000002E-2</v>
      </c>
      <c r="E39">
        <f>Tableau1[[#This Row],[Potential (PJ)]]/3.6</f>
        <v>1.5027777777777779E-2</v>
      </c>
      <c r="F39">
        <v>28.414000000000009</v>
      </c>
      <c r="G39">
        <f>Tableau1[[#This Row],[Cost (€/GJ)]]*3.6</f>
        <v>102.29040000000003</v>
      </c>
      <c r="H39">
        <v>16.899999999999999</v>
      </c>
      <c r="I39">
        <f>Tableau1[[#This Row],[GHG (kgCO2eq/GJ)]]*3.6</f>
        <v>60.839999999999996</v>
      </c>
      <c r="J39" t="s">
        <v>107</v>
      </c>
      <c r="K39" t="s">
        <v>109</v>
      </c>
    </row>
    <row r="40" spans="1:11" hidden="1" x14ac:dyDescent="0.3">
      <c r="A40" t="s">
        <v>8</v>
      </c>
      <c r="B40" t="s">
        <v>59</v>
      </c>
      <c r="C40" t="s">
        <v>97</v>
      </c>
      <c r="D40">
        <v>1.5239</v>
      </c>
      <c r="E40">
        <f>Tableau1[[#This Row],[Potential (PJ)]]/3.6</f>
        <v>0.42330555555555555</v>
      </c>
      <c r="F40">
        <v>16.657623440043409</v>
      </c>
      <c r="G40">
        <f>Tableau1[[#This Row],[Cost (€/GJ)]]*3.6</f>
        <v>59.967444384156273</v>
      </c>
      <c r="H40">
        <v>16.899999999999999</v>
      </c>
      <c r="I40">
        <f>Tableau1[[#This Row],[GHG (kgCO2eq/GJ)]]*3.6</f>
        <v>60.839999999999996</v>
      </c>
      <c r="J40" t="s">
        <v>107</v>
      </c>
      <c r="K40" t="s">
        <v>109</v>
      </c>
    </row>
    <row r="41" spans="1:11" hidden="1" x14ac:dyDescent="0.3">
      <c r="A41" t="s">
        <v>8</v>
      </c>
      <c r="B41" t="s">
        <v>51</v>
      </c>
      <c r="C41" t="s">
        <v>75</v>
      </c>
      <c r="D41">
        <v>5.9134289999999998</v>
      </c>
      <c r="E41">
        <f>Tableau1[[#This Row],[Potential (PJ)]]/3.6</f>
        <v>1.6426191666666665</v>
      </c>
      <c r="F41">
        <v>0.121204460168129</v>
      </c>
      <c r="G41">
        <f>Tableau1[[#This Row],[Cost (€/GJ)]]*3.6</f>
        <v>0.43633605660526442</v>
      </c>
      <c r="H41">
        <v>11.74</v>
      </c>
      <c r="I41">
        <f>Tableau1[[#This Row],[GHG (kgCO2eq/GJ)]]*3.6</f>
        <v>42.264000000000003</v>
      </c>
      <c r="J41" t="s">
        <v>104</v>
      </c>
      <c r="K41" t="s">
        <v>108</v>
      </c>
    </row>
    <row r="42" spans="1:11" hidden="1" x14ac:dyDescent="0.3">
      <c r="A42" t="s">
        <v>8</v>
      </c>
      <c r="B42" t="s">
        <v>60</v>
      </c>
      <c r="C42" t="s">
        <v>98</v>
      </c>
      <c r="D42">
        <v>2.7139600000000002</v>
      </c>
      <c r="E42">
        <f>Tableau1[[#This Row],[Potential (PJ)]]/3.6</f>
        <v>0.75387777777777776</v>
      </c>
      <c r="F42">
        <v>20.300751879699249</v>
      </c>
      <c r="G42">
        <f>Tableau1[[#This Row],[Cost (€/GJ)]]*3.6</f>
        <v>73.082706766917298</v>
      </c>
      <c r="H42">
        <v>21</v>
      </c>
      <c r="I42">
        <f>Tableau1[[#This Row],[GHG (kgCO2eq/GJ)]]*3.6</f>
        <v>75.600000000000009</v>
      </c>
      <c r="J42" t="s">
        <v>107</v>
      </c>
      <c r="K42" t="s">
        <v>109</v>
      </c>
    </row>
    <row r="43" spans="1:11" hidden="1" x14ac:dyDescent="0.3">
      <c r="A43" t="s">
        <v>8</v>
      </c>
      <c r="B43" t="s">
        <v>52</v>
      </c>
      <c r="C43" t="s">
        <v>76</v>
      </c>
      <c r="D43">
        <v>3.0510000000000002</v>
      </c>
      <c r="E43">
        <f>Tableau1[[#This Row],[Potential (PJ)]]/3.6</f>
        <v>0.84750000000000003</v>
      </c>
      <c r="F43">
        <v>6.1837425000000001</v>
      </c>
      <c r="G43">
        <f>Tableau1[[#This Row],[Cost (€/GJ)]]*3.6</f>
        <v>22.261473000000002</v>
      </c>
      <c r="H43">
        <v>12.68872359754714</v>
      </c>
      <c r="I43">
        <f>Tableau1[[#This Row],[GHG (kgCO2eq/GJ)]]*3.6</f>
        <v>45.679404951169708</v>
      </c>
      <c r="J43" t="s">
        <v>105</v>
      </c>
      <c r="K43" t="s">
        <v>108</v>
      </c>
    </row>
    <row r="44" spans="1:11" hidden="1" x14ac:dyDescent="0.3">
      <c r="A44" t="s">
        <v>8</v>
      </c>
      <c r="B44" t="s">
        <v>53</v>
      </c>
      <c r="C44" t="s">
        <v>77</v>
      </c>
      <c r="D44">
        <v>11.388439999999999</v>
      </c>
      <c r="E44">
        <f>Tableau1[[#This Row],[Potential (PJ)]]/3.6</f>
        <v>3.1634555555555552</v>
      </c>
      <c r="F44">
        <v>3.7665179014860688</v>
      </c>
      <c r="G44">
        <f>Tableau1[[#This Row],[Cost (€/GJ)]]*3.6</f>
        <v>13.559464445349848</v>
      </c>
      <c r="H44">
        <v>3.86607608129234</v>
      </c>
      <c r="I44">
        <f>Tableau1[[#This Row],[GHG (kgCO2eq/GJ)]]*3.6</f>
        <v>13.917873892652425</v>
      </c>
      <c r="J44" t="s">
        <v>104</v>
      </c>
      <c r="K44" t="s">
        <v>108</v>
      </c>
    </row>
    <row r="45" spans="1:11" hidden="1" x14ac:dyDescent="0.3">
      <c r="A45" t="s">
        <v>8</v>
      </c>
      <c r="B45" t="s">
        <v>61</v>
      </c>
      <c r="C45" t="s">
        <v>99</v>
      </c>
      <c r="D45">
        <v>4.0999999999999996</v>
      </c>
      <c r="E45">
        <f>Tableau1[[#This Row],[Potential (PJ)]]/3.6</f>
        <v>1.1388888888888888</v>
      </c>
      <c r="F45">
        <v>1.974390243902439</v>
      </c>
      <c r="G45">
        <f>Tableau1[[#This Row],[Cost (€/GJ)]]*3.6</f>
        <v>7.1078048780487801</v>
      </c>
      <c r="H45">
        <v>2.9245635910224439</v>
      </c>
      <c r="I45">
        <f>Tableau1[[#This Row],[GHG (kgCO2eq/GJ)]]*3.6</f>
        <v>10.528428927680798</v>
      </c>
      <c r="J45" t="s">
        <v>104</v>
      </c>
      <c r="K45" t="s">
        <v>108</v>
      </c>
    </row>
    <row r="46" spans="1:11" hidden="1" x14ac:dyDescent="0.3">
      <c r="A46" t="s">
        <v>8</v>
      </c>
      <c r="B46" t="s">
        <v>62</v>
      </c>
      <c r="C46" t="s">
        <v>100</v>
      </c>
      <c r="D46">
        <v>1.5</v>
      </c>
      <c r="E46">
        <f>Tableau1[[#This Row],[Potential (PJ)]]/3.6</f>
        <v>0.41666666666666663</v>
      </c>
      <c r="F46">
        <v>0.33333333333333331</v>
      </c>
      <c r="G46">
        <f>Tableau1[[#This Row],[Cost (€/GJ)]]*3.6</f>
        <v>1.2</v>
      </c>
      <c r="H46">
        <v>2.6764106050305911</v>
      </c>
      <c r="I46">
        <f>Tableau1[[#This Row],[GHG (kgCO2eq/GJ)]]*3.6</f>
        <v>9.6350781781101276</v>
      </c>
      <c r="J46" t="s">
        <v>104</v>
      </c>
      <c r="K46" t="s">
        <v>108</v>
      </c>
    </row>
    <row r="47" spans="1:11" hidden="1" x14ac:dyDescent="0.3">
      <c r="A47" t="s">
        <v>8</v>
      </c>
      <c r="B47" t="s">
        <v>54</v>
      </c>
      <c r="C47" t="s">
        <v>78</v>
      </c>
      <c r="D47">
        <v>95.7</v>
      </c>
      <c r="E47">
        <f>Tableau1[[#This Row],[Potential (PJ)]]/3.6</f>
        <v>26.583333333333332</v>
      </c>
      <c r="F47">
        <v>7.8016802507836989</v>
      </c>
      <c r="G47">
        <f>Tableau1[[#This Row],[Cost (€/GJ)]]*3.6</f>
        <v>28.086048902821318</v>
      </c>
      <c r="H47">
        <v>3.86607608129234</v>
      </c>
      <c r="I47">
        <f>Tableau1[[#This Row],[GHG (kgCO2eq/GJ)]]*3.6</f>
        <v>13.917873892652425</v>
      </c>
      <c r="J47" t="s">
        <v>104</v>
      </c>
      <c r="K47" t="s">
        <v>108</v>
      </c>
    </row>
    <row r="48" spans="1:11" hidden="1" x14ac:dyDescent="0.3">
      <c r="A48" t="s">
        <v>9</v>
      </c>
      <c r="B48" t="s">
        <v>46</v>
      </c>
      <c r="C48" t="s">
        <v>63</v>
      </c>
      <c r="D48">
        <v>1E-4</v>
      </c>
      <c r="E48">
        <f>Tableau1[[#This Row],[Potential (PJ)]]/3.6</f>
        <v>2.7777777777777779E-5</v>
      </c>
      <c r="F48">
        <v>2.9286474973375931</v>
      </c>
      <c r="G48">
        <f>Tableau1[[#This Row],[Cost (€/GJ)]]*3.6</f>
        <v>10.543130990415335</v>
      </c>
      <c r="H48">
        <v>3.950479233226837</v>
      </c>
      <c r="I48">
        <f>Tableau1[[#This Row],[GHG (kgCO2eq/GJ)]]*3.6</f>
        <v>14.221725239616614</v>
      </c>
      <c r="J48" t="s">
        <v>104</v>
      </c>
      <c r="K48" t="s">
        <v>108</v>
      </c>
    </row>
    <row r="49" spans="1:11" hidden="1" x14ac:dyDescent="0.3">
      <c r="A49" t="s">
        <v>9</v>
      </c>
      <c r="B49" t="s">
        <v>46</v>
      </c>
      <c r="C49" t="s">
        <v>64</v>
      </c>
      <c r="D49">
        <v>0.17757000000000001</v>
      </c>
      <c r="E49">
        <f>Tableau1[[#This Row],[Potential (PJ)]]/3.6</f>
        <v>4.9325000000000001E-2</v>
      </c>
      <c r="F49">
        <v>5.2389999999999999</v>
      </c>
      <c r="G49">
        <f>Tableau1[[#This Row],[Cost (€/GJ)]]*3.6</f>
        <v>18.860399999999998</v>
      </c>
      <c r="H49">
        <v>2.9521711768407801</v>
      </c>
      <c r="I49">
        <f>Tableau1[[#This Row],[GHG (kgCO2eq/GJ)]]*3.6</f>
        <v>10.627816236626808</v>
      </c>
      <c r="J49" t="s">
        <v>104</v>
      </c>
      <c r="K49" t="s">
        <v>108</v>
      </c>
    </row>
    <row r="50" spans="1:11" hidden="1" x14ac:dyDescent="0.3">
      <c r="A50" t="s">
        <v>9</v>
      </c>
      <c r="B50" t="s">
        <v>46</v>
      </c>
      <c r="C50" t="s">
        <v>65</v>
      </c>
      <c r="D50">
        <v>0.1</v>
      </c>
      <c r="E50">
        <f>Tableau1[[#This Row],[Potential (PJ)]]/3.6</f>
        <v>2.777777777777778E-2</v>
      </c>
      <c r="F50">
        <v>4.4119999999999999</v>
      </c>
      <c r="G50">
        <f>Tableau1[[#This Row],[Cost (€/GJ)]]*3.6</f>
        <v>15.8832</v>
      </c>
      <c r="H50">
        <v>2.9521711768407801</v>
      </c>
      <c r="I50">
        <f>Tableau1[[#This Row],[GHG (kgCO2eq/GJ)]]*3.6</f>
        <v>10.627816236626808</v>
      </c>
      <c r="J50" t="s">
        <v>104</v>
      </c>
      <c r="K50" t="s">
        <v>108</v>
      </c>
    </row>
    <row r="51" spans="1:11" hidden="1" x14ac:dyDescent="0.3">
      <c r="A51" t="s">
        <v>9</v>
      </c>
      <c r="B51" t="s">
        <v>46</v>
      </c>
      <c r="C51" t="s">
        <v>66</v>
      </c>
      <c r="D51">
        <v>0.5</v>
      </c>
      <c r="E51">
        <f>Tableau1[[#This Row],[Potential (PJ)]]/3.6</f>
        <v>0.1388888888888889</v>
      </c>
      <c r="F51">
        <v>2.3980000000000001</v>
      </c>
      <c r="G51">
        <f>Tableau1[[#This Row],[Cost (€/GJ)]]*3.6</f>
        <v>8.6328000000000014</v>
      </c>
      <c r="H51">
        <v>6.8428961748633883</v>
      </c>
      <c r="I51">
        <f>Tableau1[[#This Row],[GHG (kgCO2eq/GJ)]]*3.6</f>
        <v>24.634426229508197</v>
      </c>
      <c r="J51" t="s">
        <v>104</v>
      </c>
      <c r="K51" t="s">
        <v>108</v>
      </c>
    </row>
    <row r="52" spans="1:11" x14ac:dyDescent="0.3">
      <c r="A52" t="s">
        <v>9</v>
      </c>
      <c r="B52" t="s">
        <v>47</v>
      </c>
      <c r="C52" t="s">
        <v>68</v>
      </c>
      <c r="D52">
        <v>37.4</v>
      </c>
      <c r="E52">
        <f>Tableau1[[#This Row],[Potential (PJ)]]/3.6</f>
        <v>10.388888888888888</v>
      </c>
      <c r="F52">
        <v>3.894000000000001</v>
      </c>
      <c r="G52">
        <f>Tableau1[[#This Row],[Cost (€/GJ)]]*3.6</f>
        <v>14.018400000000003</v>
      </c>
      <c r="I52">
        <f>Tableau1[[#This Row],[GHG (kgCO2eq/GJ)]]*3.6</f>
        <v>0</v>
      </c>
      <c r="J52" t="s">
        <v>104</v>
      </c>
      <c r="K52" t="s">
        <v>109</v>
      </c>
    </row>
    <row r="53" spans="1:11" x14ac:dyDescent="0.3">
      <c r="A53" t="s">
        <v>9</v>
      </c>
      <c r="B53" t="s">
        <v>47</v>
      </c>
      <c r="C53" t="s">
        <v>69</v>
      </c>
      <c r="D53">
        <v>26.2</v>
      </c>
      <c r="E53">
        <f>Tableau1[[#This Row],[Potential (PJ)]]/3.6</f>
        <v>7.2777777777777777</v>
      </c>
      <c r="F53">
        <v>3.8809999999999998</v>
      </c>
      <c r="G53">
        <f>Tableau1[[#This Row],[Cost (€/GJ)]]*3.6</f>
        <v>13.971599999999999</v>
      </c>
      <c r="I53">
        <f>Tableau1[[#This Row],[GHG (kgCO2eq/GJ)]]*3.6</f>
        <v>0</v>
      </c>
      <c r="J53" t="s">
        <v>104</v>
      </c>
      <c r="K53" t="s">
        <v>109</v>
      </c>
    </row>
    <row r="54" spans="1:11" x14ac:dyDescent="0.3">
      <c r="A54" t="s">
        <v>9</v>
      </c>
      <c r="B54" t="s">
        <v>48</v>
      </c>
      <c r="C54" t="s">
        <v>70</v>
      </c>
      <c r="D54">
        <v>13.8</v>
      </c>
      <c r="E54">
        <f>Tableau1[[#This Row],[Potential (PJ)]]/3.6</f>
        <v>3.8333333333333335</v>
      </c>
      <c r="F54">
        <v>10.019</v>
      </c>
      <c r="G54">
        <f>Tableau1[[#This Row],[Cost (€/GJ)]]*3.6</f>
        <v>36.068400000000004</v>
      </c>
      <c r="I54">
        <f>Tableau1[[#This Row],[GHG (kgCO2eq/GJ)]]*3.6</f>
        <v>0</v>
      </c>
      <c r="J54" t="s">
        <v>104</v>
      </c>
      <c r="K54" t="s">
        <v>109</v>
      </c>
    </row>
    <row r="55" spans="1:11" hidden="1" x14ac:dyDescent="0.3">
      <c r="A55" t="s">
        <v>9</v>
      </c>
      <c r="B55" t="s">
        <v>49</v>
      </c>
      <c r="C55" t="s">
        <v>71</v>
      </c>
      <c r="D55">
        <v>1.0560799999999999</v>
      </c>
      <c r="E55">
        <f>Tableau1[[#This Row],[Potential (PJ)]]/3.6</f>
        <v>0.29335555555555554</v>
      </c>
      <c r="F55">
        <v>0</v>
      </c>
      <c r="G55">
        <f>Tableau1[[#This Row],[Cost (€/GJ)]]*3.6</f>
        <v>0</v>
      </c>
      <c r="H55">
        <v>3.86607608129234</v>
      </c>
      <c r="I55">
        <f>Tableau1[[#This Row],[GHG (kgCO2eq/GJ)]]*3.6</f>
        <v>13.917873892652425</v>
      </c>
      <c r="J55" t="s">
        <v>104</v>
      </c>
      <c r="K55" t="s">
        <v>108</v>
      </c>
    </row>
    <row r="56" spans="1:11" hidden="1" x14ac:dyDescent="0.3">
      <c r="A56" t="s">
        <v>9</v>
      </c>
      <c r="B56" t="s">
        <v>49</v>
      </c>
      <c r="C56" t="s">
        <v>72</v>
      </c>
      <c r="D56">
        <v>0.4</v>
      </c>
      <c r="E56">
        <f>Tableau1[[#This Row],[Potential (PJ)]]/3.6</f>
        <v>0.11111111111111112</v>
      </c>
      <c r="F56">
        <v>0</v>
      </c>
      <c r="G56">
        <f>Tableau1[[#This Row],[Cost (€/GJ)]]*3.6</f>
        <v>0</v>
      </c>
      <c r="H56">
        <v>3.86607608129234</v>
      </c>
      <c r="I56">
        <f>Tableau1[[#This Row],[GHG (kgCO2eq/GJ)]]*3.6</f>
        <v>13.917873892652425</v>
      </c>
      <c r="J56" t="s">
        <v>104</v>
      </c>
      <c r="K56" t="s">
        <v>108</v>
      </c>
    </row>
    <row r="57" spans="1:11" hidden="1" x14ac:dyDescent="0.3">
      <c r="A57" t="s">
        <v>9</v>
      </c>
      <c r="B57" t="s">
        <v>50</v>
      </c>
      <c r="C57" t="s">
        <v>73</v>
      </c>
      <c r="D57">
        <v>0.2</v>
      </c>
      <c r="E57">
        <f>Tableau1[[#This Row],[Potential (PJ)]]/3.6</f>
        <v>5.5555555555555559E-2</v>
      </c>
      <c r="F57">
        <v>5.4240000000000004</v>
      </c>
      <c r="G57">
        <f>Tableau1[[#This Row],[Cost (€/GJ)]]*3.6</f>
        <v>19.526400000000002</v>
      </c>
      <c r="H57">
        <v>20.723404255319149</v>
      </c>
      <c r="I57">
        <f>Tableau1[[#This Row],[GHG (kgCO2eq/GJ)]]*3.6</f>
        <v>74.604255319148933</v>
      </c>
      <c r="J57" t="s">
        <v>105</v>
      </c>
      <c r="K57" t="s">
        <v>108</v>
      </c>
    </row>
    <row r="58" spans="1:11" hidden="1" x14ac:dyDescent="0.3">
      <c r="A58" t="s">
        <v>9</v>
      </c>
      <c r="B58" t="s">
        <v>50</v>
      </c>
      <c r="C58" t="s">
        <v>74</v>
      </c>
      <c r="D58">
        <v>0.6</v>
      </c>
      <c r="E58">
        <f>Tableau1[[#This Row],[Potential (PJ)]]/3.6</f>
        <v>0.16666666666666666</v>
      </c>
      <c r="F58">
        <v>3.484</v>
      </c>
      <c r="G58">
        <f>Tableau1[[#This Row],[Cost (€/GJ)]]*3.6</f>
        <v>12.542400000000001</v>
      </c>
      <c r="H58">
        <v>2.0635593220338988</v>
      </c>
      <c r="I58">
        <f>Tableau1[[#This Row],[GHG (kgCO2eq/GJ)]]*3.6</f>
        <v>7.4288135593220357</v>
      </c>
      <c r="J58" t="s">
        <v>105</v>
      </c>
      <c r="K58" t="s">
        <v>108</v>
      </c>
    </row>
    <row r="59" spans="1:11" hidden="1" x14ac:dyDescent="0.3">
      <c r="A59" t="s">
        <v>9</v>
      </c>
      <c r="B59" t="s">
        <v>51</v>
      </c>
      <c r="C59" t="s">
        <v>75</v>
      </c>
      <c r="D59">
        <v>1.4822709999999999</v>
      </c>
      <c r="E59">
        <f>Tableau1[[#This Row],[Potential (PJ)]]/3.6</f>
        <v>0.4117419444444444</v>
      </c>
      <c r="F59">
        <v>1.60046712556123E-2</v>
      </c>
      <c r="G59">
        <f>Tableau1[[#This Row],[Cost (€/GJ)]]*3.6</f>
        <v>5.7616816520204284E-2</v>
      </c>
      <c r="H59">
        <v>11.74</v>
      </c>
      <c r="I59">
        <f>Tableau1[[#This Row],[GHG (kgCO2eq/GJ)]]*3.6</f>
        <v>42.264000000000003</v>
      </c>
      <c r="J59" t="s">
        <v>104</v>
      </c>
      <c r="K59" t="s">
        <v>108</v>
      </c>
    </row>
    <row r="60" spans="1:11" hidden="1" x14ac:dyDescent="0.3">
      <c r="A60" t="s">
        <v>9</v>
      </c>
      <c r="B60" t="s">
        <v>52</v>
      </c>
      <c r="C60" t="s">
        <v>76</v>
      </c>
      <c r="D60">
        <v>0.11</v>
      </c>
      <c r="E60">
        <f>Tableau1[[#This Row],[Potential (PJ)]]/3.6</f>
        <v>3.0555555555555555E-2</v>
      </c>
      <c r="F60">
        <v>6.1837425000000001</v>
      </c>
      <c r="G60">
        <f>Tableau1[[#This Row],[Cost (€/GJ)]]*3.6</f>
        <v>22.261473000000002</v>
      </c>
      <c r="H60">
        <v>12.68872359754714</v>
      </c>
      <c r="I60">
        <f>Tableau1[[#This Row],[GHG (kgCO2eq/GJ)]]*3.6</f>
        <v>45.679404951169708</v>
      </c>
      <c r="J60" t="s">
        <v>105</v>
      </c>
      <c r="K60" t="s">
        <v>108</v>
      </c>
    </row>
    <row r="61" spans="1:11" hidden="1" x14ac:dyDescent="0.3">
      <c r="A61" t="s">
        <v>9</v>
      </c>
      <c r="B61" t="s">
        <v>53</v>
      </c>
      <c r="C61" t="s">
        <v>77</v>
      </c>
      <c r="D61">
        <v>4.9986899999999999</v>
      </c>
      <c r="E61">
        <f>Tableau1[[#This Row],[Potential (PJ)]]/3.6</f>
        <v>1.388525</v>
      </c>
      <c r="F61">
        <v>0</v>
      </c>
      <c r="G61">
        <f>Tableau1[[#This Row],[Cost (€/GJ)]]*3.6</f>
        <v>0</v>
      </c>
      <c r="H61">
        <v>3.86607608129234</v>
      </c>
      <c r="I61">
        <f>Tableau1[[#This Row],[GHG (kgCO2eq/GJ)]]*3.6</f>
        <v>13.917873892652425</v>
      </c>
      <c r="J61" t="s">
        <v>104</v>
      </c>
      <c r="K61" t="s">
        <v>108</v>
      </c>
    </row>
    <row r="62" spans="1:11" hidden="1" x14ac:dyDescent="0.3">
      <c r="A62" t="s">
        <v>9</v>
      </c>
      <c r="B62" t="s">
        <v>54</v>
      </c>
      <c r="C62" t="s">
        <v>78</v>
      </c>
      <c r="D62">
        <v>12.2</v>
      </c>
      <c r="E62">
        <f>Tableau1[[#This Row],[Potential (PJ)]]/3.6</f>
        <v>3.3888888888888884</v>
      </c>
      <c r="F62">
        <v>0</v>
      </c>
      <c r="G62">
        <f>Tableau1[[#This Row],[Cost (€/GJ)]]*3.6</f>
        <v>0</v>
      </c>
      <c r="H62">
        <v>3.86607608129234</v>
      </c>
      <c r="I62">
        <f>Tableau1[[#This Row],[GHG (kgCO2eq/GJ)]]*3.6</f>
        <v>13.917873892652425</v>
      </c>
      <c r="J62" t="s">
        <v>104</v>
      </c>
      <c r="K62" t="s">
        <v>108</v>
      </c>
    </row>
    <row r="63" spans="1:11" hidden="1" x14ac:dyDescent="0.3">
      <c r="A63" t="s">
        <v>10</v>
      </c>
      <c r="B63" t="s">
        <v>46</v>
      </c>
      <c r="C63" t="s">
        <v>79</v>
      </c>
      <c r="D63">
        <v>1.3</v>
      </c>
      <c r="E63">
        <f>Tableau1[[#This Row],[Potential (PJ)]]/3.6</f>
        <v>0.3611111111111111</v>
      </c>
      <c r="F63">
        <v>4.3883846153846164</v>
      </c>
      <c r="G63">
        <f>Tableau1[[#This Row],[Cost (€/GJ)]]*3.6</f>
        <v>15.798184615384619</v>
      </c>
      <c r="H63">
        <v>6.8428961748633883</v>
      </c>
      <c r="I63">
        <f>Tableau1[[#This Row],[GHG (kgCO2eq/GJ)]]*3.6</f>
        <v>24.634426229508197</v>
      </c>
      <c r="J63" t="s">
        <v>104</v>
      </c>
      <c r="K63" t="s">
        <v>108</v>
      </c>
    </row>
    <row r="64" spans="1:11" hidden="1" x14ac:dyDescent="0.3">
      <c r="A64" t="s">
        <v>10</v>
      </c>
      <c r="B64" t="s">
        <v>46</v>
      </c>
      <c r="C64" t="s">
        <v>80</v>
      </c>
      <c r="D64">
        <v>0.44130000000000003</v>
      </c>
      <c r="E64">
        <f>Tableau1[[#This Row],[Potential (PJ)]]/3.6</f>
        <v>0.12258333333333334</v>
      </c>
      <c r="F64">
        <v>1.026972353337829</v>
      </c>
      <c r="G64">
        <f>Tableau1[[#This Row],[Cost (€/GJ)]]*3.6</f>
        <v>3.6971004720161846</v>
      </c>
      <c r="H64">
        <v>28.139870918023309</v>
      </c>
      <c r="I64">
        <f>Tableau1[[#This Row],[GHG (kgCO2eq/GJ)]]*3.6</f>
        <v>101.30353530488391</v>
      </c>
      <c r="J64" t="s">
        <v>105</v>
      </c>
      <c r="K64" t="s">
        <v>108</v>
      </c>
    </row>
    <row r="65" spans="1:11" hidden="1" x14ac:dyDescent="0.3">
      <c r="A65" t="s">
        <v>10</v>
      </c>
      <c r="B65" t="s">
        <v>46</v>
      </c>
      <c r="C65" t="s">
        <v>81</v>
      </c>
      <c r="D65">
        <v>0.92369999999999997</v>
      </c>
      <c r="E65">
        <f>Tableau1[[#This Row],[Potential (PJ)]]/3.6</f>
        <v>0.25658333333333333</v>
      </c>
      <c r="F65">
        <v>1.078730904817861</v>
      </c>
      <c r="G65">
        <f>Tableau1[[#This Row],[Cost (€/GJ)]]*3.6</f>
        <v>3.8834312573442999</v>
      </c>
      <c r="H65">
        <v>8.9647473560517046</v>
      </c>
      <c r="I65">
        <f>Tableau1[[#This Row],[GHG (kgCO2eq/GJ)]]*3.6</f>
        <v>32.273090481786134</v>
      </c>
      <c r="J65" t="s">
        <v>105</v>
      </c>
      <c r="K65" t="s">
        <v>108</v>
      </c>
    </row>
    <row r="66" spans="1:11" hidden="1" x14ac:dyDescent="0.3">
      <c r="A66" t="s">
        <v>10</v>
      </c>
      <c r="B66" t="s">
        <v>46</v>
      </c>
      <c r="C66" t="s">
        <v>66</v>
      </c>
      <c r="D66">
        <v>0.3</v>
      </c>
      <c r="E66">
        <f>Tableau1[[#This Row],[Potential (PJ)]]/3.6</f>
        <v>8.3333333333333329E-2</v>
      </c>
      <c r="F66">
        <v>4.6900000000000004</v>
      </c>
      <c r="G66">
        <f>Tableau1[[#This Row],[Cost (€/GJ)]]*3.6</f>
        <v>16.884</v>
      </c>
      <c r="H66">
        <v>6.8428961748633883</v>
      </c>
      <c r="I66">
        <f>Tableau1[[#This Row],[GHG (kgCO2eq/GJ)]]*3.6</f>
        <v>24.634426229508197</v>
      </c>
      <c r="J66" t="s">
        <v>104</v>
      </c>
      <c r="K66" t="s">
        <v>108</v>
      </c>
    </row>
    <row r="67" spans="1:11" hidden="1" x14ac:dyDescent="0.3">
      <c r="A67" t="s">
        <v>10</v>
      </c>
      <c r="B67" t="s">
        <v>46</v>
      </c>
      <c r="C67" t="s">
        <v>83</v>
      </c>
      <c r="D67">
        <v>0.3</v>
      </c>
      <c r="E67">
        <f>Tableau1[[#This Row],[Potential (PJ)]]/3.6</f>
        <v>8.3333333333333329E-2</v>
      </c>
      <c r="F67">
        <v>0</v>
      </c>
      <c r="G67">
        <f>Tableau1[[#This Row],[Cost (€/GJ)]]*3.6</f>
        <v>0</v>
      </c>
      <c r="H67">
        <v>6.8428961748633883</v>
      </c>
      <c r="I67">
        <f>Tableau1[[#This Row],[GHG (kgCO2eq/GJ)]]*3.6</f>
        <v>24.634426229508197</v>
      </c>
      <c r="J67" t="s">
        <v>104</v>
      </c>
      <c r="K67" t="s">
        <v>108</v>
      </c>
    </row>
    <row r="68" spans="1:11" hidden="1" x14ac:dyDescent="0.3">
      <c r="A68" t="s">
        <v>10</v>
      </c>
      <c r="B68" t="s">
        <v>46</v>
      </c>
      <c r="C68" t="s">
        <v>84</v>
      </c>
      <c r="D68">
        <v>0.3</v>
      </c>
      <c r="E68">
        <f>Tableau1[[#This Row],[Potential (PJ)]]/3.6</f>
        <v>8.3333333333333329E-2</v>
      </c>
      <c r="F68">
        <v>2.5766666666666662</v>
      </c>
      <c r="G68">
        <f>Tableau1[[#This Row],[Cost (€/GJ)]]*3.6</f>
        <v>9.275999999999998</v>
      </c>
      <c r="H68">
        <v>28.139870918023309</v>
      </c>
      <c r="I68">
        <f>Tableau1[[#This Row],[GHG (kgCO2eq/GJ)]]*3.6</f>
        <v>101.30353530488391</v>
      </c>
      <c r="J68" t="s">
        <v>105</v>
      </c>
      <c r="K68" t="s">
        <v>108</v>
      </c>
    </row>
    <row r="69" spans="1:11" hidden="1" x14ac:dyDescent="0.3">
      <c r="A69" t="s">
        <v>10</v>
      </c>
      <c r="B69" t="s">
        <v>55</v>
      </c>
      <c r="C69" t="s">
        <v>86</v>
      </c>
      <c r="D69">
        <v>1.1568000000000001</v>
      </c>
      <c r="E69">
        <f>Tableau1[[#This Row],[Potential (PJ)]]/3.6</f>
        <v>0.32133333333333336</v>
      </c>
      <c r="F69">
        <v>16.411999999999999</v>
      </c>
      <c r="G69">
        <f>Tableau1[[#This Row],[Cost (€/GJ)]]*3.6</f>
        <v>59.083199999999998</v>
      </c>
      <c r="H69">
        <v>26.3</v>
      </c>
      <c r="I69">
        <f>Tableau1[[#This Row],[GHG (kgCO2eq/GJ)]]*3.6</f>
        <v>94.68</v>
      </c>
      <c r="J69" t="s">
        <v>106</v>
      </c>
      <c r="K69" t="s">
        <v>109</v>
      </c>
    </row>
    <row r="70" spans="1:11" hidden="1" x14ac:dyDescent="0.3">
      <c r="A70" t="s">
        <v>10</v>
      </c>
      <c r="B70" t="s">
        <v>55</v>
      </c>
      <c r="C70" t="s">
        <v>88</v>
      </c>
      <c r="D70">
        <v>1.1521999999999999</v>
      </c>
      <c r="E70">
        <f>Tableau1[[#This Row],[Potential (PJ)]]/3.6</f>
        <v>0.32005555555555554</v>
      </c>
      <c r="F70">
        <v>10.111000000000001</v>
      </c>
      <c r="G70">
        <f>Tableau1[[#This Row],[Cost (€/GJ)]]*3.6</f>
        <v>36.399600000000007</v>
      </c>
      <c r="H70">
        <v>26.3</v>
      </c>
      <c r="I70">
        <f>Tableau1[[#This Row],[GHG (kgCO2eq/GJ)]]*3.6</f>
        <v>94.68</v>
      </c>
      <c r="J70" t="s">
        <v>106</v>
      </c>
      <c r="K70" t="s">
        <v>109</v>
      </c>
    </row>
    <row r="71" spans="1:11" hidden="1" x14ac:dyDescent="0.3">
      <c r="A71" t="s">
        <v>10</v>
      </c>
      <c r="B71" t="s">
        <v>55</v>
      </c>
      <c r="C71" t="s">
        <v>92</v>
      </c>
      <c r="D71">
        <v>3.2894999999999999</v>
      </c>
      <c r="E71">
        <f>Tableau1[[#This Row],[Potential (PJ)]]/3.6</f>
        <v>0.91374999999999995</v>
      </c>
      <c r="F71">
        <v>17.815999999999999</v>
      </c>
      <c r="G71">
        <f>Tableau1[[#This Row],[Cost (€/GJ)]]*3.6</f>
        <v>64.137599999999992</v>
      </c>
      <c r="H71">
        <v>26.3</v>
      </c>
      <c r="I71">
        <f>Tableau1[[#This Row],[GHG (kgCO2eq/GJ)]]*3.6</f>
        <v>94.68</v>
      </c>
      <c r="J71" t="s">
        <v>106</v>
      </c>
      <c r="K71" t="s">
        <v>109</v>
      </c>
    </row>
    <row r="72" spans="1:11" hidden="1" x14ac:dyDescent="0.3">
      <c r="A72" t="s">
        <v>10</v>
      </c>
      <c r="B72" t="s">
        <v>56</v>
      </c>
      <c r="C72" t="s">
        <v>93</v>
      </c>
      <c r="D72">
        <v>36.4009</v>
      </c>
      <c r="E72">
        <f>Tableau1[[#This Row],[Potential (PJ)]]/3.6</f>
        <v>10.11136111111111</v>
      </c>
      <c r="F72">
        <v>2.939759036144578</v>
      </c>
      <c r="G72">
        <f>Tableau1[[#This Row],[Cost (€/GJ)]]*3.6</f>
        <v>10.583132530120482</v>
      </c>
      <c r="H72">
        <v>31.2</v>
      </c>
      <c r="I72">
        <f>Tableau1[[#This Row],[GHG (kgCO2eq/GJ)]]*3.6</f>
        <v>112.32</v>
      </c>
      <c r="J72" t="s">
        <v>106</v>
      </c>
      <c r="K72" t="s">
        <v>109</v>
      </c>
    </row>
    <row r="73" spans="1:11" x14ac:dyDescent="0.3">
      <c r="A73" t="s">
        <v>10</v>
      </c>
      <c r="B73" t="s">
        <v>47</v>
      </c>
      <c r="C73" t="s">
        <v>68</v>
      </c>
      <c r="D73">
        <v>1.2</v>
      </c>
      <c r="E73">
        <f>Tableau1[[#This Row],[Potential (PJ)]]/3.6</f>
        <v>0.33333333333333331</v>
      </c>
      <c r="F73">
        <v>6.3516666666666666</v>
      </c>
      <c r="G73">
        <f>Tableau1[[#This Row],[Cost (€/GJ)]]*3.6</f>
        <v>22.866</v>
      </c>
      <c r="H73">
        <v>20.5</v>
      </c>
      <c r="I73">
        <f>Tableau1[[#This Row],[GHG (kgCO2eq/GJ)]]*3.6</f>
        <v>73.8</v>
      </c>
      <c r="J73" t="s">
        <v>104</v>
      </c>
      <c r="K73" t="s">
        <v>109</v>
      </c>
    </row>
    <row r="74" spans="1:11" x14ac:dyDescent="0.3">
      <c r="A74" t="s">
        <v>10</v>
      </c>
      <c r="B74" t="s">
        <v>47</v>
      </c>
      <c r="C74" t="s">
        <v>69</v>
      </c>
      <c r="D74">
        <v>1.3</v>
      </c>
      <c r="E74">
        <f>Tableau1[[#This Row],[Potential (PJ)]]/3.6</f>
        <v>0.3611111111111111</v>
      </c>
      <c r="F74">
        <v>5.367</v>
      </c>
      <c r="G74">
        <f>Tableau1[[#This Row],[Cost (€/GJ)]]*3.6</f>
        <v>19.321200000000001</v>
      </c>
      <c r="H74">
        <v>20.5</v>
      </c>
      <c r="I74">
        <f>Tableau1[[#This Row],[GHG (kgCO2eq/GJ)]]*3.6</f>
        <v>73.8</v>
      </c>
      <c r="J74" t="s">
        <v>104</v>
      </c>
      <c r="K74" t="s">
        <v>109</v>
      </c>
    </row>
    <row r="75" spans="1:11" x14ac:dyDescent="0.3">
      <c r="A75" t="s">
        <v>10</v>
      </c>
      <c r="B75" t="s">
        <v>57</v>
      </c>
      <c r="C75" t="s">
        <v>94</v>
      </c>
      <c r="D75">
        <v>1.3</v>
      </c>
      <c r="E75">
        <f>Tableau1[[#This Row],[Potential (PJ)]]/3.6</f>
        <v>0.3611111111111111</v>
      </c>
      <c r="F75">
        <v>10.667538461538459</v>
      </c>
      <c r="G75">
        <f>Tableau1[[#This Row],[Cost (€/GJ)]]*3.6</f>
        <v>38.403138461538454</v>
      </c>
      <c r="H75">
        <v>16.399999999999999</v>
      </c>
      <c r="I75">
        <f>Tableau1[[#This Row],[GHG (kgCO2eq/GJ)]]*3.6</f>
        <v>59.04</v>
      </c>
      <c r="J75" t="s">
        <v>104</v>
      </c>
      <c r="K75" t="s">
        <v>109</v>
      </c>
    </row>
    <row r="76" spans="1:11" hidden="1" x14ac:dyDescent="0.3">
      <c r="A76" t="s">
        <v>10</v>
      </c>
      <c r="B76" t="s">
        <v>49</v>
      </c>
      <c r="C76" t="s">
        <v>71</v>
      </c>
      <c r="D76">
        <v>3.6816900000000001</v>
      </c>
      <c r="E76">
        <f>Tableau1[[#This Row],[Potential (PJ)]]/3.6</f>
        <v>1.0226916666666668</v>
      </c>
      <c r="F76">
        <v>4.797817447965472</v>
      </c>
      <c r="G76">
        <f>Tableau1[[#This Row],[Cost (€/GJ)]]*3.6</f>
        <v>17.2721428126757</v>
      </c>
      <c r="H76">
        <v>3.86607608129234</v>
      </c>
      <c r="I76">
        <f>Tableau1[[#This Row],[GHG (kgCO2eq/GJ)]]*3.6</f>
        <v>13.917873892652425</v>
      </c>
      <c r="J76" t="s">
        <v>104</v>
      </c>
      <c r="K76" t="s">
        <v>108</v>
      </c>
    </row>
    <row r="77" spans="1:11" hidden="1" x14ac:dyDescent="0.3">
      <c r="A77" t="s">
        <v>10</v>
      </c>
      <c r="B77" t="s">
        <v>49</v>
      </c>
      <c r="C77" t="s">
        <v>72</v>
      </c>
      <c r="D77">
        <v>0.4</v>
      </c>
      <c r="E77">
        <f>Tableau1[[#This Row],[Potential (PJ)]]/3.6</f>
        <v>0.11111111111111112</v>
      </c>
      <c r="F77">
        <v>3.8432499999999998</v>
      </c>
      <c r="G77">
        <f>Tableau1[[#This Row],[Cost (€/GJ)]]*3.6</f>
        <v>13.835699999999999</v>
      </c>
      <c r="H77">
        <v>3.86607608129234</v>
      </c>
      <c r="I77">
        <f>Tableau1[[#This Row],[GHG (kgCO2eq/GJ)]]*3.6</f>
        <v>13.917873892652425</v>
      </c>
      <c r="J77" t="s">
        <v>104</v>
      </c>
      <c r="K77" t="s">
        <v>108</v>
      </c>
    </row>
    <row r="78" spans="1:11" hidden="1" x14ac:dyDescent="0.3">
      <c r="A78" t="s">
        <v>10</v>
      </c>
      <c r="B78" t="s">
        <v>58</v>
      </c>
      <c r="C78" t="s">
        <v>95</v>
      </c>
      <c r="D78">
        <v>1.43411</v>
      </c>
      <c r="E78">
        <f>Tableau1[[#This Row],[Potential (PJ)]]/3.6</f>
        <v>0.39836388888888885</v>
      </c>
      <c r="F78">
        <v>2.8526374964263561</v>
      </c>
      <c r="G78">
        <f>Tableau1[[#This Row],[Cost (€/GJ)]]*3.6</f>
        <v>10.269494987134882</v>
      </c>
      <c r="H78">
        <v>2.9521711768407801</v>
      </c>
      <c r="I78">
        <f>Tableau1[[#This Row],[GHG (kgCO2eq/GJ)]]*3.6</f>
        <v>10.627816236626808</v>
      </c>
      <c r="J78" t="s">
        <v>104</v>
      </c>
      <c r="K78" t="s">
        <v>108</v>
      </c>
    </row>
    <row r="79" spans="1:11" hidden="1" x14ac:dyDescent="0.3">
      <c r="A79" t="s">
        <v>10</v>
      </c>
      <c r="B79" t="s">
        <v>50</v>
      </c>
      <c r="C79" t="s">
        <v>73</v>
      </c>
      <c r="D79">
        <v>3.5</v>
      </c>
      <c r="E79">
        <f>Tableau1[[#This Row],[Potential (PJ)]]/3.6</f>
        <v>0.97222222222222221</v>
      </c>
      <c r="F79">
        <v>5.6719428571428576</v>
      </c>
      <c r="G79">
        <f>Tableau1[[#This Row],[Cost (€/GJ)]]*3.6</f>
        <v>20.418994285714287</v>
      </c>
      <c r="H79">
        <v>20.723404255319149</v>
      </c>
      <c r="I79">
        <f>Tableau1[[#This Row],[GHG (kgCO2eq/GJ)]]*3.6</f>
        <v>74.604255319148933</v>
      </c>
      <c r="J79" t="s">
        <v>105</v>
      </c>
      <c r="K79" t="s">
        <v>108</v>
      </c>
    </row>
    <row r="80" spans="1:11" hidden="1" x14ac:dyDescent="0.3">
      <c r="A80" t="s">
        <v>10</v>
      </c>
      <c r="B80" t="s">
        <v>50</v>
      </c>
      <c r="C80" t="s">
        <v>74</v>
      </c>
      <c r="D80">
        <v>7.4</v>
      </c>
      <c r="E80">
        <f>Tableau1[[#This Row],[Potential (PJ)]]/3.6</f>
        <v>2.0555555555555558</v>
      </c>
      <c r="F80">
        <v>6.4680135135135144</v>
      </c>
      <c r="G80">
        <f>Tableau1[[#This Row],[Cost (€/GJ)]]*3.6</f>
        <v>23.284848648648651</v>
      </c>
      <c r="H80">
        <v>2.0635593220338988</v>
      </c>
      <c r="I80">
        <f>Tableau1[[#This Row],[GHG (kgCO2eq/GJ)]]*3.6</f>
        <v>7.4288135593220357</v>
      </c>
      <c r="J80" t="s">
        <v>105</v>
      </c>
      <c r="K80" t="s">
        <v>108</v>
      </c>
    </row>
    <row r="81" spans="1:11" hidden="1" x14ac:dyDescent="0.3">
      <c r="A81" t="s">
        <v>10</v>
      </c>
      <c r="B81" t="s">
        <v>51</v>
      </c>
      <c r="C81" t="s">
        <v>75</v>
      </c>
      <c r="D81">
        <v>29.179120000000001</v>
      </c>
      <c r="E81">
        <f>Tableau1[[#This Row],[Potential (PJ)]]/3.6</f>
        <v>8.1053111111111118</v>
      </c>
      <c r="F81">
        <v>3.8988243619640303E-2</v>
      </c>
      <c r="G81">
        <f>Tableau1[[#This Row],[Cost (€/GJ)]]*3.6</f>
        <v>0.14035767703070509</v>
      </c>
      <c r="H81">
        <v>11.74</v>
      </c>
      <c r="I81">
        <f>Tableau1[[#This Row],[GHG (kgCO2eq/GJ)]]*3.6</f>
        <v>42.264000000000003</v>
      </c>
      <c r="J81" t="s">
        <v>104</v>
      </c>
      <c r="K81" t="s">
        <v>108</v>
      </c>
    </row>
    <row r="82" spans="1:11" hidden="1" x14ac:dyDescent="0.3">
      <c r="A82" t="s">
        <v>10</v>
      </c>
      <c r="B82" t="s">
        <v>60</v>
      </c>
      <c r="C82" t="s">
        <v>98</v>
      </c>
      <c r="D82">
        <v>8.5169999999999996E-2</v>
      </c>
      <c r="E82">
        <f>Tableau1[[#This Row],[Potential (PJ)]]/3.6</f>
        <v>2.365833333333333E-2</v>
      </c>
      <c r="F82">
        <v>24.86573576799141</v>
      </c>
      <c r="G82">
        <f>Tableau1[[#This Row],[Cost (€/GJ)]]*3.6</f>
        <v>89.516648764769073</v>
      </c>
      <c r="H82">
        <v>37.799999999999997</v>
      </c>
      <c r="I82">
        <f>Tableau1[[#This Row],[GHG (kgCO2eq/GJ)]]*3.6</f>
        <v>136.07999999999998</v>
      </c>
      <c r="J82" t="s">
        <v>107</v>
      </c>
      <c r="K82" t="s">
        <v>109</v>
      </c>
    </row>
    <row r="83" spans="1:11" hidden="1" x14ac:dyDescent="0.3">
      <c r="A83" t="s">
        <v>10</v>
      </c>
      <c r="B83" t="s">
        <v>52</v>
      </c>
      <c r="C83" t="s">
        <v>76</v>
      </c>
      <c r="D83">
        <v>10.784000000000001</v>
      </c>
      <c r="E83">
        <f>Tableau1[[#This Row],[Potential (PJ)]]/3.6</f>
        <v>2.9955555555555557</v>
      </c>
      <c r="F83">
        <v>6.1837425000000001</v>
      </c>
      <c r="G83">
        <f>Tableau1[[#This Row],[Cost (€/GJ)]]*3.6</f>
        <v>22.261473000000002</v>
      </c>
      <c r="H83">
        <v>12.68872359754714</v>
      </c>
      <c r="I83">
        <f>Tableau1[[#This Row],[GHG (kgCO2eq/GJ)]]*3.6</f>
        <v>45.679404951169708</v>
      </c>
      <c r="J83" t="s">
        <v>105</v>
      </c>
      <c r="K83" t="s">
        <v>108</v>
      </c>
    </row>
    <row r="84" spans="1:11" hidden="1" x14ac:dyDescent="0.3">
      <c r="A84" t="s">
        <v>10</v>
      </c>
      <c r="B84" t="s">
        <v>53</v>
      </c>
      <c r="C84" t="s">
        <v>77</v>
      </c>
      <c r="D84">
        <v>1.65591</v>
      </c>
      <c r="E84">
        <f>Tableau1[[#This Row],[Potential (PJ)]]/3.6</f>
        <v>0.45997499999999997</v>
      </c>
      <c r="F84">
        <v>3.845241118176713</v>
      </c>
      <c r="G84">
        <f>Tableau1[[#This Row],[Cost (€/GJ)]]*3.6</f>
        <v>13.842868025436166</v>
      </c>
      <c r="H84">
        <v>3.86607608129234</v>
      </c>
      <c r="I84">
        <f>Tableau1[[#This Row],[GHG (kgCO2eq/GJ)]]*3.6</f>
        <v>13.917873892652425</v>
      </c>
      <c r="J84" t="s">
        <v>104</v>
      </c>
      <c r="K84" t="s">
        <v>108</v>
      </c>
    </row>
    <row r="85" spans="1:11" hidden="1" x14ac:dyDescent="0.3">
      <c r="A85" t="s">
        <v>10</v>
      </c>
      <c r="B85" t="s">
        <v>61</v>
      </c>
      <c r="C85" t="s">
        <v>99</v>
      </c>
      <c r="D85">
        <v>2.6</v>
      </c>
      <c r="E85">
        <f>Tableau1[[#This Row],[Potential (PJ)]]/3.6</f>
        <v>0.72222222222222221</v>
      </c>
      <c r="F85">
        <v>1.9930000000000001</v>
      </c>
      <c r="G85">
        <f>Tableau1[[#This Row],[Cost (€/GJ)]]*3.6</f>
        <v>7.1748000000000003</v>
      </c>
      <c r="H85">
        <v>2.9245635910224439</v>
      </c>
      <c r="I85">
        <f>Tableau1[[#This Row],[GHG (kgCO2eq/GJ)]]*3.6</f>
        <v>10.528428927680798</v>
      </c>
      <c r="J85" t="s">
        <v>104</v>
      </c>
      <c r="K85" t="s">
        <v>108</v>
      </c>
    </row>
    <row r="86" spans="1:11" hidden="1" x14ac:dyDescent="0.3">
      <c r="A86" t="s">
        <v>10</v>
      </c>
      <c r="B86" t="s">
        <v>62</v>
      </c>
      <c r="C86" t="s">
        <v>100</v>
      </c>
      <c r="D86">
        <v>1.3</v>
      </c>
      <c r="E86">
        <f>Tableau1[[#This Row],[Potential (PJ)]]/3.6</f>
        <v>0.3611111111111111</v>
      </c>
      <c r="F86">
        <v>0.45384615384615379</v>
      </c>
      <c r="G86">
        <f>Tableau1[[#This Row],[Cost (€/GJ)]]*3.6</f>
        <v>1.6338461538461537</v>
      </c>
      <c r="H86">
        <v>2.6764106050305911</v>
      </c>
      <c r="I86">
        <f>Tableau1[[#This Row],[GHG (kgCO2eq/GJ)]]*3.6</f>
        <v>9.6350781781101276</v>
      </c>
      <c r="J86" t="s">
        <v>104</v>
      </c>
      <c r="K86" t="s">
        <v>108</v>
      </c>
    </row>
    <row r="87" spans="1:11" hidden="1" x14ac:dyDescent="0.3">
      <c r="A87" t="s">
        <v>10</v>
      </c>
      <c r="B87" t="s">
        <v>54</v>
      </c>
      <c r="C87" t="s">
        <v>78</v>
      </c>
      <c r="D87">
        <v>15.9</v>
      </c>
      <c r="E87">
        <f>Tableau1[[#This Row],[Potential (PJ)]]/3.6</f>
        <v>4.416666666666667</v>
      </c>
      <c r="F87">
        <v>7.9604968553459106</v>
      </c>
      <c r="G87">
        <f>Tableau1[[#This Row],[Cost (€/GJ)]]*3.6</f>
        <v>28.657788679245279</v>
      </c>
      <c r="H87">
        <v>3.86607608129234</v>
      </c>
      <c r="I87">
        <f>Tableau1[[#This Row],[GHG (kgCO2eq/GJ)]]*3.6</f>
        <v>13.917873892652425</v>
      </c>
      <c r="J87" t="s">
        <v>104</v>
      </c>
      <c r="K87" t="s">
        <v>108</v>
      </c>
    </row>
    <row r="88" spans="1:11" hidden="1" x14ac:dyDescent="0.3">
      <c r="A88" t="s">
        <v>11</v>
      </c>
      <c r="B88" t="s">
        <v>46</v>
      </c>
      <c r="C88" t="s">
        <v>64</v>
      </c>
      <c r="D88">
        <v>1.277E-2</v>
      </c>
      <c r="E88">
        <f>Tableau1[[#This Row],[Potential (PJ)]]/3.6</f>
        <v>3.547222222222222E-3</v>
      </c>
      <c r="F88">
        <v>4.5469537979639778</v>
      </c>
      <c r="G88">
        <f>Tableau1[[#This Row],[Cost (€/GJ)]]*3.6</f>
        <v>16.369033672670319</v>
      </c>
      <c r="H88">
        <v>2.9521711768407801</v>
      </c>
      <c r="I88">
        <f>Tableau1[[#This Row],[GHG (kgCO2eq/GJ)]]*3.6</f>
        <v>10.627816236626808</v>
      </c>
      <c r="J88" t="s">
        <v>104</v>
      </c>
      <c r="K88" t="s">
        <v>108</v>
      </c>
    </row>
    <row r="89" spans="1:11" hidden="1" x14ac:dyDescent="0.3">
      <c r="A89" t="s">
        <v>11</v>
      </c>
      <c r="B89" t="s">
        <v>46</v>
      </c>
      <c r="C89" t="s">
        <v>79</v>
      </c>
      <c r="D89">
        <v>9.3000000000000007</v>
      </c>
      <c r="E89">
        <f>Tableau1[[#This Row],[Potential (PJ)]]/3.6</f>
        <v>2.5833333333333335</v>
      </c>
      <c r="F89">
        <v>2.5734623655913982</v>
      </c>
      <c r="G89">
        <f>Tableau1[[#This Row],[Cost (€/GJ)]]*3.6</f>
        <v>9.2644645161290331</v>
      </c>
      <c r="H89">
        <v>6.8428961748633883</v>
      </c>
      <c r="I89">
        <f>Tableau1[[#This Row],[GHG (kgCO2eq/GJ)]]*3.6</f>
        <v>24.634426229508197</v>
      </c>
      <c r="J89" t="s">
        <v>104</v>
      </c>
      <c r="K89" t="s">
        <v>108</v>
      </c>
    </row>
    <row r="90" spans="1:11" hidden="1" x14ac:dyDescent="0.3">
      <c r="A90" t="s">
        <v>11</v>
      </c>
      <c r="B90" t="s">
        <v>46</v>
      </c>
      <c r="C90" t="s">
        <v>80</v>
      </c>
      <c r="D90">
        <v>0.30449999999999999</v>
      </c>
      <c r="E90">
        <f>Tableau1[[#This Row],[Potential (PJ)]]/3.6</f>
        <v>8.458333333333333E-2</v>
      </c>
      <c r="F90">
        <v>0.44234659474039112</v>
      </c>
      <c r="G90">
        <f>Tableau1[[#This Row],[Cost (€/GJ)]]*3.6</f>
        <v>1.5924477410654081</v>
      </c>
      <c r="H90">
        <v>28.139870918023309</v>
      </c>
      <c r="I90">
        <f>Tableau1[[#This Row],[GHG (kgCO2eq/GJ)]]*3.6</f>
        <v>101.30353530488391</v>
      </c>
      <c r="J90" t="s">
        <v>105</v>
      </c>
      <c r="K90" t="s">
        <v>108</v>
      </c>
    </row>
    <row r="91" spans="1:11" hidden="1" x14ac:dyDescent="0.3">
      <c r="A91" t="s">
        <v>11</v>
      </c>
      <c r="B91" t="s">
        <v>46</v>
      </c>
      <c r="C91" t="s">
        <v>81</v>
      </c>
      <c r="D91">
        <v>9.7000000000000003E-3</v>
      </c>
      <c r="E91">
        <f>Tableau1[[#This Row],[Potential (PJ)]]/3.6</f>
        <v>2.6944444444444446E-3</v>
      </c>
      <c r="F91">
        <v>2.839600470035252</v>
      </c>
      <c r="G91">
        <f>Tableau1[[#This Row],[Cost (€/GJ)]]*3.6</f>
        <v>10.222561692126908</v>
      </c>
      <c r="H91">
        <v>8.9647473560517046</v>
      </c>
      <c r="I91">
        <f>Tableau1[[#This Row],[GHG (kgCO2eq/GJ)]]*3.6</f>
        <v>32.273090481786134</v>
      </c>
      <c r="J91" t="s">
        <v>105</v>
      </c>
      <c r="K91" t="s">
        <v>108</v>
      </c>
    </row>
    <row r="92" spans="1:11" hidden="1" x14ac:dyDescent="0.3">
      <c r="A92" t="s">
        <v>11</v>
      </c>
      <c r="B92" t="s">
        <v>46</v>
      </c>
      <c r="C92" t="s">
        <v>66</v>
      </c>
      <c r="D92">
        <v>0.8</v>
      </c>
      <c r="E92">
        <f>Tableau1[[#This Row],[Potential (PJ)]]/3.6</f>
        <v>0.22222222222222224</v>
      </c>
      <c r="F92">
        <v>2.70275</v>
      </c>
      <c r="G92">
        <f>Tableau1[[#This Row],[Cost (€/GJ)]]*3.6</f>
        <v>9.7299000000000007</v>
      </c>
      <c r="H92">
        <v>6.8428961748633883</v>
      </c>
      <c r="I92">
        <f>Tableau1[[#This Row],[GHG (kgCO2eq/GJ)]]*3.6</f>
        <v>24.634426229508197</v>
      </c>
      <c r="J92" t="s">
        <v>104</v>
      </c>
      <c r="K92" t="s">
        <v>108</v>
      </c>
    </row>
    <row r="93" spans="1:11" hidden="1" x14ac:dyDescent="0.3">
      <c r="A93" t="s">
        <v>11</v>
      </c>
      <c r="B93" t="s">
        <v>46</v>
      </c>
      <c r="C93" t="s">
        <v>82</v>
      </c>
      <c r="D93">
        <v>2.1</v>
      </c>
      <c r="E93">
        <f>Tableau1[[#This Row],[Potential (PJ)]]/3.6</f>
        <v>0.58333333333333337</v>
      </c>
      <c r="F93">
        <v>1.626095238095238</v>
      </c>
      <c r="G93">
        <f>Tableau1[[#This Row],[Cost (€/GJ)]]*3.6</f>
        <v>5.8539428571428571</v>
      </c>
      <c r="H93">
        <v>6.8428961748633883</v>
      </c>
      <c r="I93">
        <f>Tableau1[[#This Row],[GHG (kgCO2eq/GJ)]]*3.6</f>
        <v>24.634426229508197</v>
      </c>
      <c r="J93" t="s">
        <v>104</v>
      </c>
      <c r="K93" t="s">
        <v>108</v>
      </c>
    </row>
    <row r="94" spans="1:11" hidden="1" x14ac:dyDescent="0.3">
      <c r="A94" t="s">
        <v>11</v>
      </c>
      <c r="B94" t="s">
        <v>46</v>
      </c>
      <c r="C94" t="s">
        <v>83</v>
      </c>
      <c r="D94">
        <v>1.6800000000000001E-3</v>
      </c>
      <c r="E94">
        <f>Tableau1[[#This Row],[Potential (PJ)]]/3.6</f>
        <v>4.6666666666666666E-4</v>
      </c>
      <c r="F94">
        <v>2.5579999999999998</v>
      </c>
      <c r="G94">
        <f>Tableau1[[#This Row],[Cost (€/GJ)]]*3.6</f>
        <v>9.2088000000000001</v>
      </c>
      <c r="H94">
        <v>6.8428961748633883</v>
      </c>
      <c r="I94">
        <f>Tableau1[[#This Row],[GHG (kgCO2eq/GJ)]]*3.6</f>
        <v>24.634426229508197</v>
      </c>
      <c r="J94" t="s">
        <v>104</v>
      </c>
      <c r="K94" t="s">
        <v>108</v>
      </c>
    </row>
    <row r="95" spans="1:11" hidden="1" x14ac:dyDescent="0.3">
      <c r="A95" t="s">
        <v>11</v>
      </c>
      <c r="B95" t="s">
        <v>55</v>
      </c>
      <c r="C95" t="s">
        <v>86</v>
      </c>
      <c r="D95">
        <v>2.4451999999999998</v>
      </c>
      <c r="E95">
        <f>Tableau1[[#This Row],[Potential (PJ)]]/3.6</f>
        <v>0.67922222222222217</v>
      </c>
      <c r="F95">
        <v>15.287000000000001</v>
      </c>
      <c r="G95">
        <f>Tableau1[[#This Row],[Cost (€/GJ)]]*3.6</f>
        <v>55.033200000000001</v>
      </c>
      <c r="H95">
        <v>9.1999999999999993</v>
      </c>
      <c r="I95">
        <f>Tableau1[[#This Row],[GHG (kgCO2eq/GJ)]]*3.6</f>
        <v>33.119999999999997</v>
      </c>
      <c r="J95" t="s">
        <v>106</v>
      </c>
      <c r="K95" t="s">
        <v>109</v>
      </c>
    </row>
    <row r="96" spans="1:11" hidden="1" x14ac:dyDescent="0.3">
      <c r="A96" t="s">
        <v>11</v>
      </c>
      <c r="B96" t="s">
        <v>55</v>
      </c>
      <c r="C96" t="s">
        <v>87</v>
      </c>
      <c r="D96">
        <v>2.1019999999999999</v>
      </c>
      <c r="E96">
        <f>Tableau1[[#This Row],[Potential (PJ)]]/3.6</f>
        <v>0.58388888888888879</v>
      </c>
      <c r="F96">
        <v>15.510999999999999</v>
      </c>
      <c r="G96">
        <f>Tableau1[[#This Row],[Cost (€/GJ)]]*3.6</f>
        <v>55.839599999999997</v>
      </c>
      <c r="H96">
        <v>9.1999999999999993</v>
      </c>
      <c r="I96">
        <f>Tableau1[[#This Row],[GHG (kgCO2eq/GJ)]]*3.6</f>
        <v>33.119999999999997</v>
      </c>
      <c r="J96" t="s">
        <v>106</v>
      </c>
      <c r="K96" t="s">
        <v>109</v>
      </c>
    </row>
    <row r="97" spans="1:11" hidden="1" x14ac:dyDescent="0.3">
      <c r="A97" t="s">
        <v>11</v>
      </c>
      <c r="B97" t="s">
        <v>55</v>
      </c>
      <c r="C97" t="s">
        <v>88</v>
      </c>
      <c r="D97">
        <v>2.8576999999999999</v>
      </c>
      <c r="E97">
        <f>Tableau1[[#This Row],[Potential (PJ)]]/3.6</f>
        <v>0.79380555555555554</v>
      </c>
      <c r="F97">
        <v>16.786000000000001</v>
      </c>
      <c r="G97">
        <f>Tableau1[[#This Row],[Cost (€/GJ)]]*3.6</f>
        <v>60.429600000000008</v>
      </c>
      <c r="H97">
        <v>9.1999999999999993</v>
      </c>
      <c r="I97">
        <f>Tableau1[[#This Row],[GHG (kgCO2eq/GJ)]]*3.6</f>
        <v>33.119999999999997</v>
      </c>
      <c r="J97" t="s">
        <v>106</v>
      </c>
      <c r="K97" t="s">
        <v>109</v>
      </c>
    </row>
    <row r="98" spans="1:11" hidden="1" x14ac:dyDescent="0.3">
      <c r="A98" t="s">
        <v>11</v>
      </c>
      <c r="B98" t="s">
        <v>55</v>
      </c>
      <c r="C98" t="s">
        <v>89</v>
      </c>
      <c r="D98">
        <v>8.9999999999999998E-4</v>
      </c>
      <c r="E98">
        <f>Tableau1[[#This Row],[Potential (PJ)]]/3.6</f>
        <v>2.5000000000000001E-4</v>
      </c>
      <c r="F98">
        <v>0</v>
      </c>
      <c r="G98">
        <f>Tableau1[[#This Row],[Cost (€/GJ)]]*3.6</f>
        <v>0</v>
      </c>
      <c r="H98">
        <v>9.1999999999999993</v>
      </c>
      <c r="I98">
        <f>Tableau1[[#This Row],[GHG (kgCO2eq/GJ)]]*3.6</f>
        <v>33.119999999999997</v>
      </c>
      <c r="J98" t="s">
        <v>106</v>
      </c>
      <c r="K98" t="s">
        <v>109</v>
      </c>
    </row>
    <row r="99" spans="1:11" hidden="1" x14ac:dyDescent="0.3">
      <c r="A99" t="s">
        <v>11</v>
      </c>
      <c r="B99" t="s">
        <v>55</v>
      </c>
      <c r="C99" t="s">
        <v>92</v>
      </c>
      <c r="D99">
        <v>2.2937500000000002</v>
      </c>
      <c r="E99">
        <f>Tableau1[[#This Row],[Potential (PJ)]]/3.6</f>
        <v>0.63715277777777779</v>
      </c>
      <c r="F99">
        <v>15.510999999999999</v>
      </c>
      <c r="G99">
        <f>Tableau1[[#This Row],[Cost (€/GJ)]]*3.6</f>
        <v>55.839599999999997</v>
      </c>
      <c r="H99">
        <v>9.1999999999999993</v>
      </c>
      <c r="I99">
        <f>Tableau1[[#This Row],[GHG (kgCO2eq/GJ)]]*3.6</f>
        <v>33.119999999999997</v>
      </c>
      <c r="J99" t="s">
        <v>106</v>
      </c>
      <c r="K99" t="s">
        <v>109</v>
      </c>
    </row>
    <row r="100" spans="1:11" hidden="1" x14ac:dyDescent="0.3">
      <c r="A100" t="s">
        <v>11</v>
      </c>
      <c r="B100" t="s">
        <v>56</v>
      </c>
      <c r="C100" t="s">
        <v>93</v>
      </c>
      <c r="D100">
        <v>11.674799999999999</v>
      </c>
      <c r="E100">
        <f>Tableau1[[#This Row],[Potential (PJ)]]/3.6</f>
        <v>3.2429999999999999</v>
      </c>
      <c r="F100">
        <v>6.7759036144578308</v>
      </c>
      <c r="G100">
        <f>Tableau1[[#This Row],[Cost (€/GJ)]]*3.6</f>
        <v>24.393253012048191</v>
      </c>
      <c r="H100">
        <v>22.9</v>
      </c>
      <c r="I100">
        <f>Tableau1[[#This Row],[GHG (kgCO2eq/GJ)]]*3.6</f>
        <v>82.44</v>
      </c>
      <c r="J100" t="s">
        <v>106</v>
      </c>
      <c r="K100" t="s">
        <v>109</v>
      </c>
    </row>
    <row r="101" spans="1:11" x14ac:dyDescent="0.3">
      <c r="A101" t="s">
        <v>11</v>
      </c>
      <c r="B101" t="s">
        <v>47</v>
      </c>
      <c r="C101" t="s">
        <v>68</v>
      </c>
      <c r="D101">
        <v>15.7</v>
      </c>
      <c r="E101">
        <f>Tableau1[[#This Row],[Potential (PJ)]]/3.6</f>
        <v>4.3611111111111107</v>
      </c>
      <c r="F101">
        <v>2.9275923566878981</v>
      </c>
      <c r="G101">
        <f>Tableau1[[#This Row],[Cost (€/GJ)]]*3.6</f>
        <v>10.539332484076434</v>
      </c>
      <c r="H101">
        <v>15</v>
      </c>
      <c r="I101">
        <f>Tableau1[[#This Row],[GHG (kgCO2eq/GJ)]]*3.6</f>
        <v>54</v>
      </c>
      <c r="J101" t="s">
        <v>104</v>
      </c>
      <c r="K101" t="s">
        <v>109</v>
      </c>
    </row>
    <row r="102" spans="1:11" x14ac:dyDescent="0.3">
      <c r="A102" t="s">
        <v>11</v>
      </c>
      <c r="B102" t="s">
        <v>47</v>
      </c>
      <c r="C102" t="s">
        <v>69</v>
      </c>
      <c r="D102">
        <v>12.4</v>
      </c>
      <c r="E102">
        <f>Tableau1[[#This Row],[Potential (PJ)]]/3.6</f>
        <v>3.4444444444444446</v>
      </c>
      <c r="F102">
        <v>2.8039999999999998</v>
      </c>
      <c r="G102">
        <f>Tableau1[[#This Row],[Cost (€/GJ)]]*3.6</f>
        <v>10.0944</v>
      </c>
      <c r="H102">
        <v>15</v>
      </c>
      <c r="I102">
        <f>Tableau1[[#This Row],[GHG (kgCO2eq/GJ)]]*3.6</f>
        <v>54</v>
      </c>
      <c r="J102" t="s">
        <v>104</v>
      </c>
      <c r="K102" t="s">
        <v>109</v>
      </c>
    </row>
    <row r="103" spans="1:11" x14ac:dyDescent="0.3">
      <c r="A103" t="s">
        <v>11</v>
      </c>
      <c r="B103" t="s">
        <v>57</v>
      </c>
      <c r="C103" t="s">
        <v>94</v>
      </c>
      <c r="D103">
        <v>9.6999999999999993</v>
      </c>
      <c r="E103">
        <f>Tableau1[[#This Row],[Potential (PJ)]]/3.6</f>
        <v>2.6944444444444442</v>
      </c>
      <c r="F103">
        <v>7.035721649484536</v>
      </c>
      <c r="G103">
        <f>Tableau1[[#This Row],[Cost (€/GJ)]]*3.6</f>
        <v>25.32859793814433</v>
      </c>
      <c r="H103">
        <v>15.6</v>
      </c>
      <c r="I103">
        <f>Tableau1[[#This Row],[GHG (kgCO2eq/GJ)]]*3.6</f>
        <v>56.16</v>
      </c>
      <c r="J103" t="s">
        <v>104</v>
      </c>
      <c r="K103" t="s">
        <v>109</v>
      </c>
    </row>
    <row r="104" spans="1:11" hidden="1" x14ac:dyDescent="0.3">
      <c r="A104" t="s">
        <v>11</v>
      </c>
      <c r="B104" t="s">
        <v>49</v>
      </c>
      <c r="C104" t="s">
        <v>71</v>
      </c>
      <c r="D104">
        <v>8.1647099999999995</v>
      </c>
      <c r="E104">
        <f>Tableau1[[#This Row],[Potential (PJ)]]/3.6</f>
        <v>2.2679749999999999</v>
      </c>
      <c r="F104">
        <v>2.335841350152057</v>
      </c>
      <c r="G104">
        <f>Tableau1[[#This Row],[Cost (€/GJ)]]*3.6</f>
        <v>8.4090288605474051</v>
      </c>
      <c r="H104">
        <v>3.86607608129234</v>
      </c>
      <c r="I104">
        <f>Tableau1[[#This Row],[GHG (kgCO2eq/GJ)]]*3.6</f>
        <v>13.917873892652425</v>
      </c>
      <c r="J104" t="s">
        <v>104</v>
      </c>
      <c r="K104" t="s">
        <v>108</v>
      </c>
    </row>
    <row r="105" spans="1:11" hidden="1" x14ac:dyDescent="0.3">
      <c r="A105" t="s">
        <v>11</v>
      </c>
      <c r="B105" t="s">
        <v>49</v>
      </c>
      <c r="C105" t="s">
        <v>72</v>
      </c>
      <c r="D105">
        <v>1.2</v>
      </c>
      <c r="E105">
        <f>Tableau1[[#This Row],[Potential (PJ)]]/3.6</f>
        <v>0.33333333333333331</v>
      </c>
      <c r="F105">
        <v>3.1644166666666669</v>
      </c>
      <c r="G105">
        <f>Tableau1[[#This Row],[Cost (€/GJ)]]*3.6</f>
        <v>11.391900000000001</v>
      </c>
      <c r="H105">
        <v>3.86607608129234</v>
      </c>
      <c r="I105">
        <f>Tableau1[[#This Row],[GHG (kgCO2eq/GJ)]]*3.6</f>
        <v>13.917873892652425</v>
      </c>
      <c r="J105" t="s">
        <v>104</v>
      </c>
      <c r="K105" t="s">
        <v>108</v>
      </c>
    </row>
    <row r="106" spans="1:11" hidden="1" x14ac:dyDescent="0.3">
      <c r="A106" t="s">
        <v>11</v>
      </c>
      <c r="B106" t="s">
        <v>58</v>
      </c>
      <c r="C106" t="s">
        <v>95</v>
      </c>
      <c r="D106">
        <v>0.88824999999999998</v>
      </c>
      <c r="E106">
        <f>Tableau1[[#This Row],[Potential (PJ)]]/3.6</f>
        <v>0.2467361111111111</v>
      </c>
      <c r="F106">
        <v>2.91</v>
      </c>
      <c r="G106">
        <f>Tableau1[[#This Row],[Cost (€/GJ)]]*3.6</f>
        <v>10.476000000000001</v>
      </c>
      <c r="H106">
        <v>2.9521711768407801</v>
      </c>
      <c r="I106">
        <f>Tableau1[[#This Row],[GHG (kgCO2eq/GJ)]]*3.6</f>
        <v>10.627816236626808</v>
      </c>
      <c r="J106" t="s">
        <v>104</v>
      </c>
      <c r="K106" t="s">
        <v>108</v>
      </c>
    </row>
    <row r="107" spans="1:11" hidden="1" x14ac:dyDescent="0.3">
      <c r="A107" t="s">
        <v>11</v>
      </c>
      <c r="B107" t="s">
        <v>50</v>
      </c>
      <c r="C107" t="s">
        <v>73</v>
      </c>
      <c r="D107">
        <v>0.1</v>
      </c>
      <c r="E107">
        <f>Tableau1[[#This Row],[Potential (PJ)]]/3.6</f>
        <v>2.777777777777778E-2</v>
      </c>
      <c r="F107">
        <v>5.101</v>
      </c>
      <c r="G107">
        <f>Tableau1[[#This Row],[Cost (€/GJ)]]*3.6</f>
        <v>18.363600000000002</v>
      </c>
      <c r="H107">
        <v>20.723404255319149</v>
      </c>
      <c r="I107">
        <f>Tableau1[[#This Row],[GHG (kgCO2eq/GJ)]]*3.6</f>
        <v>74.604255319148933</v>
      </c>
      <c r="J107" t="s">
        <v>105</v>
      </c>
      <c r="K107" t="s">
        <v>108</v>
      </c>
    </row>
    <row r="108" spans="1:11" hidden="1" x14ac:dyDescent="0.3">
      <c r="A108" t="s">
        <v>11</v>
      </c>
      <c r="B108" t="s">
        <v>50</v>
      </c>
      <c r="C108" t="s">
        <v>74</v>
      </c>
      <c r="D108">
        <v>3</v>
      </c>
      <c r="E108">
        <f>Tableau1[[#This Row],[Potential (PJ)]]/3.6</f>
        <v>0.83333333333333326</v>
      </c>
      <c r="F108">
        <v>3.3926333333333329</v>
      </c>
      <c r="G108">
        <f>Tableau1[[#This Row],[Cost (€/GJ)]]*3.6</f>
        <v>12.213479999999999</v>
      </c>
      <c r="H108">
        <v>2.0635593220338988</v>
      </c>
      <c r="I108">
        <f>Tableau1[[#This Row],[GHG (kgCO2eq/GJ)]]*3.6</f>
        <v>7.4288135593220357</v>
      </c>
      <c r="J108" t="s">
        <v>105</v>
      </c>
      <c r="K108" t="s">
        <v>108</v>
      </c>
    </row>
    <row r="109" spans="1:11" hidden="1" x14ac:dyDescent="0.3">
      <c r="A109" t="s">
        <v>11</v>
      </c>
      <c r="B109" t="s">
        <v>59</v>
      </c>
      <c r="C109" t="s">
        <v>96</v>
      </c>
      <c r="D109">
        <v>0.1832</v>
      </c>
      <c r="E109">
        <f>Tableau1[[#This Row],[Potential (PJ)]]/3.6</f>
        <v>5.0888888888888886E-2</v>
      </c>
      <c r="F109">
        <v>31.494</v>
      </c>
      <c r="G109">
        <f>Tableau1[[#This Row],[Cost (€/GJ)]]*3.6</f>
        <v>113.3784</v>
      </c>
      <c r="H109">
        <v>15.4</v>
      </c>
      <c r="I109">
        <f>Tableau1[[#This Row],[GHG (kgCO2eq/GJ)]]*3.6</f>
        <v>55.440000000000005</v>
      </c>
      <c r="J109" t="s">
        <v>107</v>
      </c>
      <c r="K109" t="s">
        <v>109</v>
      </c>
    </row>
    <row r="110" spans="1:11" hidden="1" x14ac:dyDescent="0.3">
      <c r="A110" t="s">
        <v>11</v>
      </c>
      <c r="B110" t="s">
        <v>59</v>
      </c>
      <c r="C110" t="s">
        <v>97</v>
      </c>
      <c r="D110">
        <v>5.2123999999999997</v>
      </c>
      <c r="E110">
        <f>Tableau1[[#This Row],[Potential (PJ)]]/3.6</f>
        <v>1.4478888888888888</v>
      </c>
      <c r="F110">
        <v>13.4020618556701</v>
      </c>
      <c r="G110">
        <f>Tableau1[[#This Row],[Cost (€/GJ)]]*3.6</f>
        <v>48.247422680412363</v>
      </c>
      <c r="H110">
        <v>15.4</v>
      </c>
      <c r="I110">
        <f>Tableau1[[#This Row],[GHG (kgCO2eq/GJ)]]*3.6</f>
        <v>55.440000000000005</v>
      </c>
      <c r="J110" t="s">
        <v>107</v>
      </c>
      <c r="K110" t="s">
        <v>109</v>
      </c>
    </row>
    <row r="111" spans="1:11" hidden="1" x14ac:dyDescent="0.3">
      <c r="A111" t="s">
        <v>11</v>
      </c>
      <c r="B111" t="s">
        <v>51</v>
      </c>
      <c r="C111" t="s">
        <v>75</v>
      </c>
      <c r="D111">
        <v>2.6210589999999998</v>
      </c>
      <c r="E111">
        <f>Tableau1[[#This Row],[Potential (PJ)]]/3.6</f>
        <v>0.72807194444444434</v>
      </c>
      <c r="F111">
        <v>4.6244869946206997E-5</v>
      </c>
      <c r="G111">
        <f>Tableau1[[#This Row],[Cost (€/GJ)]]*3.6</f>
        <v>1.664815318063452E-4</v>
      </c>
      <c r="H111">
        <v>11.74</v>
      </c>
      <c r="I111">
        <f>Tableau1[[#This Row],[GHG (kgCO2eq/GJ)]]*3.6</f>
        <v>42.264000000000003</v>
      </c>
      <c r="J111" t="s">
        <v>104</v>
      </c>
      <c r="K111" t="s">
        <v>108</v>
      </c>
    </row>
    <row r="112" spans="1:11" hidden="1" x14ac:dyDescent="0.3">
      <c r="A112" t="s">
        <v>11</v>
      </c>
      <c r="B112" t="s">
        <v>60</v>
      </c>
      <c r="C112" t="s">
        <v>98</v>
      </c>
      <c r="D112">
        <v>23.229559999999999</v>
      </c>
      <c r="E112">
        <f>Tableau1[[#This Row],[Potential (PJ)]]/3.6</f>
        <v>6.4526555555555554</v>
      </c>
      <c r="F112">
        <v>15.789473684210529</v>
      </c>
      <c r="G112">
        <f>Tableau1[[#This Row],[Cost (€/GJ)]]*3.6</f>
        <v>56.842105263157904</v>
      </c>
      <c r="H112">
        <v>1.5</v>
      </c>
      <c r="I112">
        <f>Tableau1[[#This Row],[GHG (kgCO2eq/GJ)]]*3.6</f>
        <v>5.4</v>
      </c>
      <c r="J112" t="s">
        <v>107</v>
      </c>
      <c r="K112" t="s">
        <v>109</v>
      </c>
    </row>
    <row r="113" spans="1:11" hidden="1" x14ac:dyDescent="0.3">
      <c r="A113" t="s">
        <v>11</v>
      </c>
      <c r="B113" t="s">
        <v>53</v>
      </c>
      <c r="C113" t="s">
        <v>77</v>
      </c>
      <c r="D113">
        <v>3.58108</v>
      </c>
      <c r="E113">
        <f>Tableau1[[#This Row],[Potential (PJ)]]/3.6</f>
        <v>0.99474444444444443</v>
      </c>
      <c r="F113">
        <v>3.1646302623789468</v>
      </c>
      <c r="G113">
        <f>Tableau1[[#This Row],[Cost (€/GJ)]]*3.6</f>
        <v>11.392668944564209</v>
      </c>
      <c r="H113">
        <v>3.86607608129234</v>
      </c>
      <c r="I113">
        <f>Tableau1[[#This Row],[GHG (kgCO2eq/GJ)]]*3.6</f>
        <v>13.917873892652425</v>
      </c>
      <c r="J113" t="s">
        <v>104</v>
      </c>
      <c r="K113" t="s">
        <v>108</v>
      </c>
    </row>
    <row r="114" spans="1:11" hidden="1" x14ac:dyDescent="0.3">
      <c r="A114" t="s">
        <v>11</v>
      </c>
      <c r="B114" t="s">
        <v>61</v>
      </c>
      <c r="C114" t="s">
        <v>99</v>
      </c>
      <c r="D114">
        <v>0.3</v>
      </c>
      <c r="E114">
        <f>Tableau1[[#This Row],[Potential (PJ)]]/3.6</f>
        <v>8.3333333333333329E-2</v>
      </c>
      <c r="F114">
        <v>1.4273333333333329</v>
      </c>
      <c r="G114">
        <f>Tableau1[[#This Row],[Cost (€/GJ)]]*3.6</f>
        <v>5.138399999999999</v>
      </c>
      <c r="H114">
        <v>2.9245635910224439</v>
      </c>
      <c r="I114">
        <f>Tableau1[[#This Row],[GHG (kgCO2eq/GJ)]]*3.6</f>
        <v>10.528428927680798</v>
      </c>
      <c r="J114" t="s">
        <v>104</v>
      </c>
      <c r="K114" t="s">
        <v>108</v>
      </c>
    </row>
    <row r="115" spans="1:11" hidden="1" x14ac:dyDescent="0.3">
      <c r="A115" t="s">
        <v>11</v>
      </c>
      <c r="B115" t="s">
        <v>54</v>
      </c>
      <c r="C115" t="s">
        <v>78</v>
      </c>
      <c r="D115">
        <v>25.6</v>
      </c>
      <c r="E115">
        <f>Tableau1[[#This Row],[Potential (PJ)]]/3.6</f>
        <v>7.1111111111111116</v>
      </c>
      <c r="F115">
        <v>3.1166406250000001</v>
      </c>
      <c r="G115">
        <f>Tableau1[[#This Row],[Cost (€/GJ)]]*3.6</f>
        <v>11.219906250000001</v>
      </c>
      <c r="H115">
        <v>3.86607608129234</v>
      </c>
      <c r="I115">
        <f>Tableau1[[#This Row],[GHG (kgCO2eq/GJ)]]*3.6</f>
        <v>13.917873892652425</v>
      </c>
      <c r="J115" t="s">
        <v>104</v>
      </c>
      <c r="K115" t="s">
        <v>108</v>
      </c>
    </row>
    <row r="116" spans="1:11" hidden="1" x14ac:dyDescent="0.3">
      <c r="A116" t="s">
        <v>12</v>
      </c>
      <c r="B116" t="s">
        <v>49</v>
      </c>
      <c r="C116" t="s">
        <v>71</v>
      </c>
      <c r="D116">
        <v>9.3137299999999996</v>
      </c>
      <c r="E116">
        <f>Tableau1[[#This Row],[Potential (PJ)]]/3.6</f>
        <v>2.5871472222222223</v>
      </c>
      <c r="F116">
        <v>0</v>
      </c>
      <c r="G116">
        <f>Tableau1[[#This Row],[Cost (€/GJ)]]*3.6</f>
        <v>0</v>
      </c>
      <c r="H116">
        <v>3.86607608129234</v>
      </c>
      <c r="I116">
        <f>Tableau1[[#This Row],[GHG (kgCO2eq/GJ)]]*3.6</f>
        <v>13.917873892652425</v>
      </c>
      <c r="J116" t="s">
        <v>104</v>
      </c>
      <c r="K116" t="s">
        <v>108</v>
      </c>
    </row>
    <row r="117" spans="1:11" hidden="1" x14ac:dyDescent="0.3">
      <c r="A117" t="s">
        <v>12</v>
      </c>
      <c r="B117" t="s">
        <v>49</v>
      </c>
      <c r="C117" t="s">
        <v>72</v>
      </c>
      <c r="D117">
        <v>0.8</v>
      </c>
      <c r="E117">
        <f>Tableau1[[#This Row],[Potential (PJ)]]/3.6</f>
        <v>0.22222222222222224</v>
      </c>
      <c r="F117">
        <v>0</v>
      </c>
      <c r="G117">
        <f>Tableau1[[#This Row],[Cost (€/GJ)]]*3.6</f>
        <v>0</v>
      </c>
      <c r="H117">
        <v>3.86607608129234</v>
      </c>
      <c r="I117">
        <f>Tableau1[[#This Row],[GHG (kgCO2eq/GJ)]]*3.6</f>
        <v>13.917873892652425</v>
      </c>
      <c r="J117" t="s">
        <v>104</v>
      </c>
      <c r="K117" t="s">
        <v>108</v>
      </c>
    </row>
    <row r="118" spans="1:11" hidden="1" x14ac:dyDescent="0.3">
      <c r="A118" t="s">
        <v>12</v>
      </c>
      <c r="B118" t="s">
        <v>51</v>
      </c>
      <c r="C118" t="s">
        <v>75</v>
      </c>
      <c r="D118">
        <v>21.234490000000001</v>
      </c>
      <c r="E118">
        <f>Tableau1[[#This Row],[Potential (PJ)]]/3.6</f>
        <v>5.8984694444444443</v>
      </c>
      <c r="F118">
        <v>0.121204460168129</v>
      </c>
      <c r="G118">
        <f>Tableau1[[#This Row],[Cost (€/GJ)]]*3.6</f>
        <v>0.43633605660526442</v>
      </c>
      <c r="H118">
        <v>11.74</v>
      </c>
      <c r="I118">
        <f>Tableau1[[#This Row],[GHG (kgCO2eq/GJ)]]*3.6</f>
        <v>42.264000000000003</v>
      </c>
      <c r="J118" t="s">
        <v>104</v>
      </c>
      <c r="K118" t="s">
        <v>108</v>
      </c>
    </row>
    <row r="119" spans="1:11" hidden="1" x14ac:dyDescent="0.3">
      <c r="A119" t="s">
        <v>12</v>
      </c>
      <c r="B119" t="s">
        <v>53</v>
      </c>
      <c r="C119" t="s">
        <v>77</v>
      </c>
      <c r="D119">
        <v>2.79643</v>
      </c>
      <c r="E119">
        <f>Tableau1[[#This Row],[Potential (PJ)]]/3.6</f>
        <v>0.77678611111111107</v>
      </c>
      <c r="F119">
        <v>0</v>
      </c>
      <c r="G119">
        <f>Tableau1[[#This Row],[Cost (€/GJ)]]*3.6</f>
        <v>0</v>
      </c>
      <c r="H119">
        <v>3.86607608129234</v>
      </c>
      <c r="I119">
        <f>Tableau1[[#This Row],[GHG (kgCO2eq/GJ)]]*3.6</f>
        <v>13.917873892652425</v>
      </c>
      <c r="J119" t="s">
        <v>104</v>
      </c>
      <c r="K119" t="s">
        <v>108</v>
      </c>
    </row>
    <row r="120" spans="1:11" hidden="1" x14ac:dyDescent="0.3">
      <c r="A120" t="s">
        <v>12</v>
      </c>
      <c r="B120" t="s">
        <v>54</v>
      </c>
      <c r="C120" t="s">
        <v>78</v>
      </c>
      <c r="D120">
        <v>34.299999999999997</v>
      </c>
      <c r="E120">
        <f>Tableau1[[#This Row],[Potential (PJ)]]/3.6</f>
        <v>9.5277777777777768</v>
      </c>
      <c r="F120">
        <v>0</v>
      </c>
      <c r="G120">
        <f>Tableau1[[#This Row],[Cost (€/GJ)]]*3.6</f>
        <v>0</v>
      </c>
      <c r="H120">
        <v>3.86607608129234</v>
      </c>
      <c r="I120">
        <f>Tableau1[[#This Row],[GHG (kgCO2eq/GJ)]]*3.6</f>
        <v>13.917873892652425</v>
      </c>
      <c r="J120" t="s">
        <v>104</v>
      </c>
      <c r="K120" t="s">
        <v>108</v>
      </c>
    </row>
    <row r="121" spans="1:11" hidden="1" x14ac:dyDescent="0.3">
      <c r="A121" t="s">
        <v>13</v>
      </c>
      <c r="B121" t="s">
        <v>46</v>
      </c>
      <c r="C121" t="s">
        <v>63</v>
      </c>
      <c r="D121">
        <v>6.8999999999999999E-3</v>
      </c>
      <c r="E121">
        <f>Tableau1[[#This Row],[Potential (PJ)]]/3.6</f>
        <v>1.9166666666666666E-3</v>
      </c>
      <c r="F121">
        <v>2.9286474973375931</v>
      </c>
      <c r="G121">
        <f>Tableau1[[#This Row],[Cost (€/GJ)]]*3.6</f>
        <v>10.543130990415335</v>
      </c>
      <c r="H121">
        <v>3.950479233226837</v>
      </c>
      <c r="I121">
        <f>Tableau1[[#This Row],[GHG (kgCO2eq/GJ)]]*3.6</f>
        <v>14.221725239616614</v>
      </c>
      <c r="J121" t="s">
        <v>104</v>
      </c>
      <c r="K121" t="s">
        <v>108</v>
      </c>
    </row>
    <row r="122" spans="1:11" hidden="1" x14ac:dyDescent="0.3">
      <c r="A122" t="s">
        <v>13</v>
      </c>
      <c r="B122" t="s">
        <v>46</v>
      </c>
      <c r="C122" t="s">
        <v>64</v>
      </c>
      <c r="D122">
        <v>2.1099999999999999E-3</v>
      </c>
      <c r="E122">
        <f>Tableau1[[#This Row],[Potential (PJ)]]/3.6</f>
        <v>5.8611111111111103E-4</v>
      </c>
      <c r="F122">
        <v>4.5860000000000003</v>
      </c>
      <c r="G122">
        <f>Tableau1[[#This Row],[Cost (€/GJ)]]*3.6</f>
        <v>16.509600000000002</v>
      </c>
      <c r="H122">
        <v>2.9521711768407801</v>
      </c>
      <c r="I122">
        <f>Tableau1[[#This Row],[GHG (kgCO2eq/GJ)]]*3.6</f>
        <v>10.627816236626808</v>
      </c>
      <c r="J122" t="s">
        <v>104</v>
      </c>
      <c r="K122" t="s">
        <v>108</v>
      </c>
    </row>
    <row r="123" spans="1:11" hidden="1" x14ac:dyDescent="0.3">
      <c r="A123" t="s">
        <v>13</v>
      </c>
      <c r="B123" t="s">
        <v>46</v>
      </c>
      <c r="C123" t="s">
        <v>80</v>
      </c>
      <c r="D123">
        <v>9.5100000000000004E-2</v>
      </c>
      <c r="E123">
        <f>Tableau1[[#This Row],[Potential (PJ)]]/3.6</f>
        <v>2.6416666666666668E-2</v>
      </c>
      <c r="F123">
        <v>1.2157788267026299</v>
      </c>
      <c r="G123">
        <f>Tableau1[[#This Row],[Cost (€/GJ)]]*3.6</f>
        <v>4.376803776129468</v>
      </c>
      <c r="H123">
        <v>28.139870918023309</v>
      </c>
      <c r="I123">
        <f>Tableau1[[#This Row],[GHG (kgCO2eq/GJ)]]*3.6</f>
        <v>101.30353530488391</v>
      </c>
      <c r="J123" t="s">
        <v>105</v>
      </c>
      <c r="K123" t="s">
        <v>108</v>
      </c>
    </row>
    <row r="124" spans="1:11" hidden="1" x14ac:dyDescent="0.3">
      <c r="A124" t="s">
        <v>13</v>
      </c>
      <c r="B124" t="s">
        <v>46</v>
      </c>
      <c r="C124" t="s">
        <v>81</v>
      </c>
      <c r="D124">
        <v>2.3999999999999998E-3</v>
      </c>
      <c r="E124">
        <f>Tableau1[[#This Row],[Potential (PJ)]]/3.6</f>
        <v>6.6666666666666664E-4</v>
      </c>
      <c r="F124">
        <v>3.252643948296122</v>
      </c>
      <c r="G124">
        <f>Tableau1[[#This Row],[Cost (€/GJ)]]*3.6</f>
        <v>11.709518213866039</v>
      </c>
      <c r="H124">
        <v>8.9647473560517046</v>
      </c>
      <c r="I124">
        <f>Tableau1[[#This Row],[GHG (kgCO2eq/GJ)]]*3.6</f>
        <v>32.273090481786134</v>
      </c>
      <c r="J124" t="s">
        <v>105</v>
      </c>
      <c r="K124" t="s">
        <v>108</v>
      </c>
    </row>
    <row r="125" spans="1:11" x14ac:dyDescent="0.3">
      <c r="A125" t="s">
        <v>13</v>
      </c>
      <c r="B125" t="s">
        <v>47</v>
      </c>
      <c r="C125" t="s">
        <v>68</v>
      </c>
      <c r="D125">
        <v>0.3</v>
      </c>
      <c r="E125">
        <f>Tableau1[[#This Row],[Potential (PJ)]]/3.6</f>
        <v>8.3333333333333329E-2</v>
      </c>
      <c r="F125">
        <v>5.6669999999999998</v>
      </c>
      <c r="G125">
        <f>Tableau1[[#This Row],[Cost (€/GJ)]]*3.6</f>
        <v>20.401199999999999</v>
      </c>
      <c r="H125">
        <v>13.5</v>
      </c>
      <c r="I125">
        <f>Tableau1[[#This Row],[GHG (kgCO2eq/GJ)]]*3.6</f>
        <v>48.6</v>
      </c>
      <c r="J125" t="s">
        <v>104</v>
      </c>
      <c r="K125" t="s">
        <v>109</v>
      </c>
    </row>
    <row r="126" spans="1:11" x14ac:dyDescent="0.3">
      <c r="A126" t="s">
        <v>13</v>
      </c>
      <c r="B126" t="s">
        <v>48</v>
      </c>
      <c r="C126" t="s">
        <v>70</v>
      </c>
      <c r="D126">
        <v>0.1</v>
      </c>
      <c r="E126">
        <f>Tableau1[[#This Row],[Potential (PJ)]]/3.6</f>
        <v>2.777777777777778E-2</v>
      </c>
      <c r="F126">
        <v>13.723000000000001</v>
      </c>
      <c r="G126">
        <f>Tableau1[[#This Row],[Cost (€/GJ)]]*3.6</f>
        <v>49.402800000000006</v>
      </c>
      <c r="H126">
        <v>0</v>
      </c>
      <c r="I126">
        <f>Tableau1[[#This Row],[GHG (kgCO2eq/GJ)]]*3.6</f>
        <v>0</v>
      </c>
      <c r="J126" t="s">
        <v>104</v>
      </c>
      <c r="K126" t="s">
        <v>109</v>
      </c>
    </row>
    <row r="127" spans="1:11" hidden="1" x14ac:dyDescent="0.3">
      <c r="A127" t="s">
        <v>13</v>
      </c>
      <c r="B127" t="s">
        <v>50</v>
      </c>
      <c r="C127" t="s">
        <v>73</v>
      </c>
      <c r="D127">
        <v>0.6</v>
      </c>
      <c r="E127">
        <f>Tableau1[[#This Row],[Potential (PJ)]]/3.6</f>
        <v>0.16666666666666666</v>
      </c>
      <c r="F127">
        <v>5.37</v>
      </c>
      <c r="G127">
        <f>Tableau1[[#This Row],[Cost (€/GJ)]]*3.6</f>
        <v>19.332000000000001</v>
      </c>
      <c r="H127">
        <v>20.723404255319149</v>
      </c>
      <c r="I127">
        <f>Tableau1[[#This Row],[GHG (kgCO2eq/GJ)]]*3.6</f>
        <v>74.604255319148933</v>
      </c>
      <c r="J127" t="s">
        <v>105</v>
      </c>
      <c r="K127" t="s">
        <v>108</v>
      </c>
    </row>
    <row r="128" spans="1:11" hidden="1" x14ac:dyDescent="0.3">
      <c r="A128" t="s">
        <v>13</v>
      </c>
      <c r="B128" t="s">
        <v>50</v>
      </c>
      <c r="C128" t="s">
        <v>74</v>
      </c>
      <c r="D128">
        <v>2.7</v>
      </c>
      <c r="E128">
        <f>Tableau1[[#This Row],[Potential (PJ)]]/3.6</f>
        <v>0.75</v>
      </c>
      <c r="F128">
        <v>4.4320000000000004</v>
      </c>
      <c r="G128">
        <f>Tableau1[[#This Row],[Cost (€/GJ)]]*3.6</f>
        <v>15.955200000000001</v>
      </c>
      <c r="H128">
        <v>2.0635593220338988</v>
      </c>
      <c r="I128">
        <f>Tableau1[[#This Row],[GHG (kgCO2eq/GJ)]]*3.6</f>
        <v>7.4288135593220357</v>
      </c>
      <c r="J128" t="s">
        <v>105</v>
      </c>
      <c r="K128" t="s">
        <v>108</v>
      </c>
    </row>
    <row r="129" spans="1:11" hidden="1" x14ac:dyDescent="0.3">
      <c r="A129" t="s">
        <v>13</v>
      </c>
      <c r="B129" t="s">
        <v>51</v>
      </c>
      <c r="C129" t="s">
        <v>75</v>
      </c>
      <c r="D129">
        <v>1.92526</v>
      </c>
      <c r="E129">
        <f>Tableau1[[#This Row],[Potential (PJ)]]/3.6</f>
        <v>0.53479444444444446</v>
      </c>
      <c r="F129">
        <v>3.49699074910945E-3</v>
      </c>
      <c r="G129">
        <f>Tableau1[[#This Row],[Cost (€/GJ)]]*3.6</f>
        <v>1.2589166696794021E-2</v>
      </c>
      <c r="H129">
        <v>11.74</v>
      </c>
      <c r="I129">
        <f>Tableau1[[#This Row],[GHG (kgCO2eq/GJ)]]*3.6</f>
        <v>42.264000000000003</v>
      </c>
      <c r="J129" t="s">
        <v>104</v>
      </c>
      <c r="K129" t="s">
        <v>108</v>
      </c>
    </row>
    <row r="130" spans="1:11" hidden="1" x14ac:dyDescent="0.3">
      <c r="A130" t="s">
        <v>13</v>
      </c>
      <c r="B130" t="s">
        <v>52</v>
      </c>
      <c r="C130" t="s">
        <v>76</v>
      </c>
      <c r="D130">
        <v>2E-3</v>
      </c>
      <c r="E130">
        <f>Tableau1[[#This Row],[Potential (PJ)]]/3.6</f>
        <v>5.5555555555555556E-4</v>
      </c>
      <c r="F130">
        <v>6.1837425000000001</v>
      </c>
      <c r="G130">
        <f>Tableau1[[#This Row],[Cost (€/GJ)]]*3.6</f>
        <v>22.261473000000002</v>
      </c>
      <c r="H130">
        <v>12.68872359754714</v>
      </c>
      <c r="I130">
        <f>Tableau1[[#This Row],[GHG (kgCO2eq/GJ)]]*3.6</f>
        <v>45.679404951169708</v>
      </c>
      <c r="J130" t="s">
        <v>105</v>
      </c>
      <c r="K130" t="s">
        <v>108</v>
      </c>
    </row>
    <row r="131" spans="1:11" hidden="1" x14ac:dyDescent="0.3">
      <c r="A131" t="s">
        <v>14</v>
      </c>
      <c r="B131" t="s">
        <v>46</v>
      </c>
      <c r="C131" t="s">
        <v>64</v>
      </c>
      <c r="D131">
        <v>2.777E-2</v>
      </c>
      <c r="E131">
        <f>Tableau1[[#This Row],[Potential (PJ)]]/3.6</f>
        <v>7.7138888888888882E-3</v>
      </c>
      <c r="F131">
        <v>4.4511800504141146</v>
      </c>
      <c r="G131">
        <f>Tableau1[[#This Row],[Cost (€/GJ)]]*3.6</f>
        <v>16.024248181490812</v>
      </c>
      <c r="H131">
        <v>2.9521711768407801</v>
      </c>
      <c r="I131">
        <f>Tableau1[[#This Row],[GHG (kgCO2eq/GJ)]]*3.6</f>
        <v>10.627816236626808</v>
      </c>
      <c r="J131" t="s">
        <v>104</v>
      </c>
      <c r="K131" t="s">
        <v>108</v>
      </c>
    </row>
    <row r="132" spans="1:11" hidden="1" x14ac:dyDescent="0.3">
      <c r="A132" t="s">
        <v>14</v>
      </c>
      <c r="B132" t="s">
        <v>46</v>
      </c>
      <c r="C132" t="s">
        <v>79</v>
      </c>
      <c r="D132">
        <v>20.2</v>
      </c>
      <c r="E132">
        <f>Tableau1[[#This Row],[Potential (PJ)]]/3.6</f>
        <v>5.6111111111111107</v>
      </c>
      <c r="F132">
        <v>3.8976336633663369</v>
      </c>
      <c r="G132">
        <f>Tableau1[[#This Row],[Cost (€/GJ)]]*3.6</f>
        <v>14.031481188118812</v>
      </c>
      <c r="H132">
        <v>6.8428961748633883</v>
      </c>
      <c r="I132">
        <f>Tableau1[[#This Row],[GHG (kgCO2eq/GJ)]]*3.6</f>
        <v>24.634426229508197</v>
      </c>
      <c r="J132" t="s">
        <v>104</v>
      </c>
      <c r="K132" t="s">
        <v>108</v>
      </c>
    </row>
    <row r="133" spans="1:11" hidden="1" x14ac:dyDescent="0.3">
      <c r="A133" t="s">
        <v>14</v>
      </c>
      <c r="B133" t="s">
        <v>46</v>
      </c>
      <c r="C133" t="s">
        <v>80</v>
      </c>
      <c r="D133">
        <v>0.38950000000000001</v>
      </c>
      <c r="E133">
        <f>Tableau1[[#This Row],[Potential (PJ)]]/3.6</f>
        <v>0.10819444444444444</v>
      </c>
      <c r="F133">
        <v>0.48482805124747141</v>
      </c>
      <c r="G133">
        <f>Tableau1[[#This Row],[Cost (€/GJ)]]*3.6</f>
        <v>1.7453809844908972</v>
      </c>
      <c r="H133">
        <v>28.139870918023309</v>
      </c>
      <c r="I133">
        <f>Tableau1[[#This Row],[GHG (kgCO2eq/GJ)]]*3.6</f>
        <v>101.30353530488391</v>
      </c>
      <c r="J133" t="s">
        <v>105</v>
      </c>
      <c r="K133" t="s">
        <v>108</v>
      </c>
    </row>
    <row r="134" spans="1:11" hidden="1" x14ac:dyDescent="0.3">
      <c r="A134" t="s">
        <v>14</v>
      </c>
      <c r="B134" t="s">
        <v>46</v>
      </c>
      <c r="C134" t="s">
        <v>81</v>
      </c>
      <c r="D134">
        <v>0.24840000000000001</v>
      </c>
      <c r="E134">
        <f>Tableau1[[#This Row],[Potential (PJ)]]/3.6</f>
        <v>6.9000000000000006E-2</v>
      </c>
      <c r="F134">
        <v>1.2338425381903639</v>
      </c>
      <c r="G134">
        <f>Tableau1[[#This Row],[Cost (€/GJ)]]*3.6</f>
        <v>4.4418331374853102</v>
      </c>
      <c r="H134">
        <v>8.9647473560517046</v>
      </c>
      <c r="I134">
        <f>Tableau1[[#This Row],[GHG (kgCO2eq/GJ)]]*3.6</f>
        <v>32.273090481786134</v>
      </c>
      <c r="J134" t="s">
        <v>105</v>
      </c>
      <c r="K134" t="s">
        <v>108</v>
      </c>
    </row>
    <row r="135" spans="1:11" hidden="1" x14ac:dyDescent="0.3">
      <c r="A135" t="s">
        <v>14</v>
      </c>
      <c r="B135" t="s">
        <v>46</v>
      </c>
      <c r="C135" t="s">
        <v>66</v>
      </c>
      <c r="D135">
        <v>0.2</v>
      </c>
      <c r="E135">
        <f>Tableau1[[#This Row],[Potential (PJ)]]/3.6</f>
        <v>5.5555555555555559E-2</v>
      </c>
      <c r="F135">
        <v>4.1859999999999999</v>
      </c>
      <c r="G135">
        <f>Tableau1[[#This Row],[Cost (€/GJ)]]*3.6</f>
        <v>15.069599999999999</v>
      </c>
      <c r="H135">
        <v>6.8428961748633883</v>
      </c>
      <c r="I135">
        <f>Tableau1[[#This Row],[GHG (kgCO2eq/GJ)]]*3.6</f>
        <v>24.634426229508197</v>
      </c>
      <c r="J135" t="s">
        <v>104</v>
      </c>
      <c r="K135" t="s">
        <v>108</v>
      </c>
    </row>
    <row r="136" spans="1:11" hidden="1" x14ac:dyDescent="0.3">
      <c r="A136" t="s">
        <v>14</v>
      </c>
      <c r="B136" t="s">
        <v>46</v>
      </c>
      <c r="C136" t="s">
        <v>82</v>
      </c>
      <c r="D136">
        <v>1.2</v>
      </c>
      <c r="E136">
        <f>Tableau1[[#This Row],[Potential (PJ)]]/3.6</f>
        <v>0.33333333333333331</v>
      </c>
      <c r="F136">
        <v>2.444</v>
      </c>
      <c r="G136">
        <f>Tableau1[[#This Row],[Cost (€/GJ)]]*3.6</f>
        <v>8.7984000000000009</v>
      </c>
      <c r="H136">
        <v>6.8428961748633883</v>
      </c>
      <c r="I136">
        <f>Tableau1[[#This Row],[GHG (kgCO2eq/GJ)]]*3.6</f>
        <v>24.634426229508197</v>
      </c>
      <c r="J136" t="s">
        <v>104</v>
      </c>
      <c r="K136" t="s">
        <v>108</v>
      </c>
    </row>
    <row r="137" spans="1:11" hidden="1" x14ac:dyDescent="0.3">
      <c r="A137" t="s">
        <v>14</v>
      </c>
      <c r="B137" t="s">
        <v>46</v>
      </c>
      <c r="C137" t="s">
        <v>84</v>
      </c>
      <c r="D137">
        <v>0.4</v>
      </c>
      <c r="E137">
        <f>Tableau1[[#This Row],[Potential (PJ)]]/3.6</f>
        <v>0.11111111111111112</v>
      </c>
      <c r="F137">
        <v>2.2362500000000001</v>
      </c>
      <c r="G137">
        <f>Tableau1[[#This Row],[Cost (€/GJ)]]*3.6</f>
        <v>8.0505000000000013</v>
      </c>
      <c r="H137">
        <v>28.139870918023309</v>
      </c>
      <c r="I137">
        <f>Tableau1[[#This Row],[GHG (kgCO2eq/GJ)]]*3.6</f>
        <v>101.30353530488391</v>
      </c>
      <c r="J137" t="s">
        <v>105</v>
      </c>
      <c r="K137" t="s">
        <v>108</v>
      </c>
    </row>
    <row r="138" spans="1:11" hidden="1" x14ac:dyDescent="0.3">
      <c r="A138" t="s">
        <v>14</v>
      </c>
      <c r="B138" t="s">
        <v>55</v>
      </c>
      <c r="C138" t="s">
        <v>86</v>
      </c>
      <c r="D138">
        <v>0.8508</v>
      </c>
      <c r="E138">
        <f>Tableau1[[#This Row],[Potential (PJ)]]/3.6</f>
        <v>0.23633333333333334</v>
      </c>
      <c r="F138">
        <v>16.027000000000001</v>
      </c>
      <c r="G138">
        <f>Tableau1[[#This Row],[Cost (€/GJ)]]*3.6</f>
        <v>57.697200000000002</v>
      </c>
      <c r="H138">
        <v>11.7</v>
      </c>
      <c r="I138">
        <f>Tableau1[[#This Row],[GHG (kgCO2eq/GJ)]]*3.6</f>
        <v>42.12</v>
      </c>
      <c r="J138" t="s">
        <v>106</v>
      </c>
      <c r="K138" t="s">
        <v>109</v>
      </c>
    </row>
    <row r="139" spans="1:11" hidden="1" x14ac:dyDescent="0.3">
      <c r="A139" t="s">
        <v>14</v>
      </c>
      <c r="B139" t="s">
        <v>55</v>
      </c>
      <c r="C139" t="s">
        <v>88</v>
      </c>
      <c r="D139">
        <v>0.79759999999999998</v>
      </c>
      <c r="E139">
        <f>Tableau1[[#This Row],[Potential (PJ)]]/3.6</f>
        <v>0.22155555555555553</v>
      </c>
      <c r="F139">
        <v>16.309999999999999</v>
      </c>
      <c r="G139">
        <f>Tableau1[[#This Row],[Cost (€/GJ)]]*3.6</f>
        <v>58.715999999999994</v>
      </c>
      <c r="H139">
        <v>11.7</v>
      </c>
      <c r="I139">
        <f>Tableau1[[#This Row],[GHG (kgCO2eq/GJ)]]*3.6</f>
        <v>42.12</v>
      </c>
      <c r="J139" t="s">
        <v>106</v>
      </c>
      <c r="K139" t="s">
        <v>109</v>
      </c>
    </row>
    <row r="140" spans="1:11" hidden="1" x14ac:dyDescent="0.3">
      <c r="A140" t="s">
        <v>14</v>
      </c>
      <c r="B140" t="s">
        <v>55</v>
      </c>
      <c r="C140" t="s">
        <v>89</v>
      </c>
      <c r="D140">
        <v>0.1061</v>
      </c>
      <c r="E140">
        <f>Tableau1[[#This Row],[Potential (PJ)]]/3.6</f>
        <v>2.9472222222222223E-2</v>
      </c>
      <c r="F140">
        <v>0</v>
      </c>
      <c r="G140">
        <f>Tableau1[[#This Row],[Cost (€/GJ)]]*3.6</f>
        <v>0</v>
      </c>
      <c r="H140">
        <v>11.7</v>
      </c>
      <c r="I140">
        <f>Tableau1[[#This Row],[GHG (kgCO2eq/GJ)]]*3.6</f>
        <v>42.12</v>
      </c>
      <c r="J140" t="s">
        <v>106</v>
      </c>
      <c r="K140" t="s">
        <v>109</v>
      </c>
    </row>
    <row r="141" spans="1:11" hidden="1" x14ac:dyDescent="0.3">
      <c r="A141" t="s">
        <v>14</v>
      </c>
      <c r="B141" t="s">
        <v>55</v>
      </c>
      <c r="C141" t="s">
        <v>90</v>
      </c>
      <c r="D141">
        <v>7.1999999999999998E-3</v>
      </c>
      <c r="E141">
        <f>Tableau1[[#This Row],[Potential (PJ)]]/3.6</f>
        <v>2E-3</v>
      </c>
      <c r="F141">
        <v>13.617000000000001</v>
      </c>
      <c r="G141">
        <f>Tableau1[[#This Row],[Cost (€/GJ)]]*3.6</f>
        <v>49.021200000000007</v>
      </c>
      <c r="H141">
        <v>11.7</v>
      </c>
      <c r="I141">
        <f>Tableau1[[#This Row],[GHG (kgCO2eq/GJ)]]*3.6</f>
        <v>42.12</v>
      </c>
      <c r="J141" t="s">
        <v>106</v>
      </c>
      <c r="K141" t="s">
        <v>109</v>
      </c>
    </row>
    <row r="142" spans="1:11" hidden="1" x14ac:dyDescent="0.3">
      <c r="A142" t="s">
        <v>14</v>
      </c>
      <c r="B142" t="s">
        <v>55</v>
      </c>
      <c r="C142" t="s">
        <v>91</v>
      </c>
      <c r="D142">
        <v>0.33069999999999999</v>
      </c>
      <c r="E142">
        <f>Tableau1[[#This Row],[Potential (PJ)]]/3.6</f>
        <v>9.1861111111111102E-2</v>
      </c>
      <c r="F142">
        <v>14.637</v>
      </c>
      <c r="G142">
        <f>Tableau1[[#This Row],[Cost (€/GJ)]]*3.6</f>
        <v>52.693200000000004</v>
      </c>
      <c r="H142">
        <v>11.7</v>
      </c>
      <c r="I142">
        <f>Tableau1[[#This Row],[GHG (kgCO2eq/GJ)]]*3.6</f>
        <v>42.12</v>
      </c>
      <c r="J142" t="s">
        <v>106</v>
      </c>
      <c r="K142" t="s">
        <v>109</v>
      </c>
    </row>
    <row r="143" spans="1:11" hidden="1" x14ac:dyDescent="0.3">
      <c r="A143" t="s">
        <v>14</v>
      </c>
      <c r="B143" t="s">
        <v>55</v>
      </c>
      <c r="C143" t="s">
        <v>92</v>
      </c>
      <c r="D143">
        <v>0.87702000000000002</v>
      </c>
      <c r="E143">
        <f>Tableau1[[#This Row],[Potential (PJ)]]/3.6</f>
        <v>0.24361666666666668</v>
      </c>
      <c r="F143">
        <v>14.288</v>
      </c>
      <c r="G143">
        <f>Tableau1[[#This Row],[Cost (€/GJ)]]*3.6</f>
        <v>51.436800000000005</v>
      </c>
      <c r="H143">
        <v>11.7</v>
      </c>
      <c r="I143">
        <f>Tableau1[[#This Row],[GHG (kgCO2eq/GJ)]]*3.6</f>
        <v>42.12</v>
      </c>
      <c r="J143" t="s">
        <v>106</v>
      </c>
      <c r="K143" t="s">
        <v>109</v>
      </c>
    </row>
    <row r="144" spans="1:11" hidden="1" x14ac:dyDescent="0.3">
      <c r="A144" t="s">
        <v>14</v>
      </c>
      <c r="B144" t="s">
        <v>56</v>
      </c>
      <c r="C144" t="s">
        <v>93</v>
      </c>
      <c r="D144">
        <v>34.388100000000001</v>
      </c>
      <c r="E144">
        <f>Tableau1[[#This Row],[Potential (PJ)]]/3.6</f>
        <v>9.5522500000000008</v>
      </c>
      <c r="F144">
        <v>2.9493975903614462</v>
      </c>
      <c r="G144">
        <f>Tableau1[[#This Row],[Cost (€/GJ)]]*3.6</f>
        <v>10.617831325301207</v>
      </c>
      <c r="H144">
        <v>20.3</v>
      </c>
      <c r="I144">
        <f>Tableau1[[#This Row],[GHG (kgCO2eq/GJ)]]*3.6</f>
        <v>73.08</v>
      </c>
      <c r="J144" t="s">
        <v>106</v>
      </c>
      <c r="K144" t="s">
        <v>109</v>
      </c>
    </row>
    <row r="145" spans="1:11" x14ac:dyDescent="0.3">
      <c r="A145" t="s">
        <v>14</v>
      </c>
      <c r="B145" t="s">
        <v>47</v>
      </c>
      <c r="C145" t="s">
        <v>68</v>
      </c>
      <c r="D145">
        <v>5.2</v>
      </c>
      <c r="E145">
        <f>Tableau1[[#This Row],[Potential (PJ)]]/3.6</f>
        <v>1.4444444444444444</v>
      </c>
      <c r="F145">
        <v>3.3403461538461539</v>
      </c>
      <c r="G145">
        <f>Tableau1[[#This Row],[Cost (€/GJ)]]*3.6</f>
        <v>12.025246153846155</v>
      </c>
      <c r="H145">
        <v>18.100000000000001</v>
      </c>
      <c r="I145">
        <f>Tableau1[[#This Row],[GHG (kgCO2eq/GJ)]]*3.6</f>
        <v>65.160000000000011</v>
      </c>
      <c r="J145" t="s">
        <v>104</v>
      </c>
      <c r="K145" t="s">
        <v>109</v>
      </c>
    </row>
    <row r="146" spans="1:11" x14ac:dyDescent="0.3">
      <c r="A146" t="s">
        <v>14</v>
      </c>
      <c r="B146" t="s">
        <v>47</v>
      </c>
      <c r="C146" t="s">
        <v>69</v>
      </c>
      <c r="D146">
        <v>4.7</v>
      </c>
      <c r="E146">
        <f>Tableau1[[#This Row],[Potential (PJ)]]/3.6</f>
        <v>1.3055555555555556</v>
      </c>
      <c r="F146">
        <v>2.9682127659574471</v>
      </c>
      <c r="G146">
        <f>Tableau1[[#This Row],[Cost (€/GJ)]]*3.6</f>
        <v>10.68556595744681</v>
      </c>
      <c r="H146">
        <v>18.100000000000001</v>
      </c>
      <c r="I146">
        <f>Tableau1[[#This Row],[GHG (kgCO2eq/GJ)]]*3.6</f>
        <v>65.160000000000011</v>
      </c>
      <c r="J146" t="s">
        <v>104</v>
      </c>
      <c r="K146" t="s">
        <v>109</v>
      </c>
    </row>
    <row r="147" spans="1:11" x14ac:dyDescent="0.3">
      <c r="A147" t="s">
        <v>14</v>
      </c>
      <c r="B147" t="s">
        <v>57</v>
      </c>
      <c r="C147" t="s">
        <v>94</v>
      </c>
      <c r="D147">
        <v>4</v>
      </c>
      <c r="E147">
        <f>Tableau1[[#This Row],[Potential (PJ)]]/3.6</f>
        <v>1.1111111111111112</v>
      </c>
      <c r="F147">
        <v>7.1358250000000014</v>
      </c>
      <c r="G147">
        <f>Tableau1[[#This Row],[Cost (€/GJ)]]*3.6</f>
        <v>25.688970000000005</v>
      </c>
      <c r="H147">
        <v>14.2</v>
      </c>
      <c r="I147">
        <f>Tableau1[[#This Row],[GHG (kgCO2eq/GJ)]]*3.6</f>
        <v>51.12</v>
      </c>
      <c r="J147" t="s">
        <v>104</v>
      </c>
      <c r="K147" t="s">
        <v>109</v>
      </c>
    </row>
    <row r="148" spans="1:11" hidden="1" x14ac:dyDescent="0.3">
      <c r="A148" t="s">
        <v>14</v>
      </c>
      <c r="B148" t="s">
        <v>49</v>
      </c>
      <c r="C148" t="s">
        <v>71</v>
      </c>
      <c r="D148">
        <v>11.684839999999999</v>
      </c>
      <c r="E148">
        <f>Tableau1[[#This Row],[Potential (PJ)]]/3.6</f>
        <v>3.2457888888888888</v>
      </c>
      <c r="F148">
        <v>4.4674316730053647</v>
      </c>
      <c r="G148">
        <f>Tableau1[[#This Row],[Cost (€/GJ)]]*3.6</f>
        <v>16.082754022819312</v>
      </c>
      <c r="H148">
        <v>3.86607608129234</v>
      </c>
      <c r="I148">
        <f>Tableau1[[#This Row],[GHG (kgCO2eq/GJ)]]*3.6</f>
        <v>13.917873892652425</v>
      </c>
      <c r="J148" t="s">
        <v>104</v>
      </c>
      <c r="K148" t="s">
        <v>108</v>
      </c>
    </row>
    <row r="149" spans="1:11" hidden="1" x14ac:dyDescent="0.3">
      <c r="A149" t="s">
        <v>14</v>
      </c>
      <c r="B149" t="s">
        <v>49</v>
      </c>
      <c r="C149" t="s">
        <v>72</v>
      </c>
      <c r="D149">
        <v>0.8</v>
      </c>
      <c r="E149">
        <f>Tableau1[[#This Row],[Potential (PJ)]]/3.6</f>
        <v>0.22222222222222224</v>
      </c>
      <c r="F149">
        <v>3.5843750000000001</v>
      </c>
      <c r="G149">
        <f>Tableau1[[#This Row],[Cost (€/GJ)]]*3.6</f>
        <v>12.90375</v>
      </c>
      <c r="H149">
        <v>3.86607608129234</v>
      </c>
      <c r="I149">
        <f>Tableau1[[#This Row],[GHG (kgCO2eq/GJ)]]*3.6</f>
        <v>13.917873892652425</v>
      </c>
      <c r="J149" t="s">
        <v>104</v>
      </c>
      <c r="K149" t="s">
        <v>108</v>
      </c>
    </row>
    <row r="150" spans="1:11" hidden="1" x14ac:dyDescent="0.3">
      <c r="A150" t="s">
        <v>14</v>
      </c>
      <c r="B150" t="s">
        <v>58</v>
      </c>
      <c r="C150" t="s">
        <v>95</v>
      </c>
      <c r="D150">
        <v>1.7742199999999999</v>
      </c>
      <c r="E150">
        <f>Tableau1[[#This Row],[Potential (PJ)]]/3.6</f>
        <v>0.49283888888888883</v>
      </c>
      <c r="F150">
        <v>3.0483154851145851</v>
      </c>
      <c r="G150">
        <f>Tableau1[[#This Row],[Cost (€/GJ)]]*3.6</f>
        <v>10.973935746412506</v>
      </c>
      <c r="H150">
        <v>2.9521711768407801</v>
      </c>
      <c r="I150">
        <f>Tableau1[[#This Row],[GHG (kgCO2eq/GJ)]]*3.6</f>
        <v>10.627816236626808</v>
      </c>
      <c r="J150" t="s">
        <v>104</v>
      </c>
      <c r="K150" t="s">
        <v>108</v>
      </c>
    </row>
    <row r="151" spans="1:11" hidden="1" x14ac:dyDescent="0.3">
      <c r="A151" t="s">
        <v>14</v>
      </c>
      <c r="B151" t="s">
        <v>50</v>
      </c>
      <c r="C151" t="s">
        <v>73</v>
      </c>
      <c r="D151">
        <v>3.5</v>
      </c>
      <c r="E151">
        <f>Tableau1[[#This Row],[Potential (PJ)]]/3.6</f>
        <v>0.97222222222222221</v>
      </c>
      <c r="F151">
        <v>5.0970285714285719</v>
      </c>
      <c r="G151">
        <f>Tableau1[[#This Row],[Cost (€/GJ)]]*3.6</f>
        <v>18.34930285714286</v>
      </c>
      <c r="H151">
        <v>20.723404255319149</v>
      </c>
      <c r="I151">
        <f>Tableau1[[#This Row],[GHG (kgCO2eq/GJ)]]*3.6</f>
        <v>74.604255319148933</v>
      </c>
      <c r="J151" t="s">
        <v>105</v>
      </c>
      <c r="K151" t="s">
        <v>108</v>
      </c>
    </row>
    <row r="152" spans="1:11" hidden="1" x14ac:dyDescent="0.3">
      <c r="A152" t="s">
        <v>14</v>
      </c>
      <c r="B152" t="s">
        <v>50</v>
      </c>
      <c r="C152" t="s">
        <v>74</v>
      </c>
      <c r="D152">
        <v>31.2</v>
      </c>
      <c r="E152">
        <f>Tableau1[[#This Row],[Potential (PJ)]]/3.6</f>
        <v>8.6666666666666661</v>
      </c>
      <c r="F152">
        <v>3.652397435897436</v>
      </c>
      <c r="G152">
        <f>Tableau1[[#This Row],[Cost (€/GJ)]]*3.6</f>
        <v>13.14863076923077</v>
      </c>
      <c r="H152">
        <v>2.0635593220338988</v>
      </c>
      <c r="I152">
        <f>Tableau1[[#This Row],[GHG (kgCO2eq/GJ)]]*3.6</f>
        <v>7.4288135593220357</v>
      </c>
      <c r="J152" t="s">
        <v>105</v>
      </c>
      <c r="K152" t="s">
        <v>108</v>
      </c>
    </row>
    <row r="153" spans="1:11" hidden="1" x14ac:dyDescent="0.3">
      <c r="A153" t="s">
        <v>14</v>
      </c>
      <c r="B153" t="s">
        <v>59</v>
      </c>
      <c r="C153" t="s">
        <v>96</v>
      </c>
      <c r="D153">
        <v>0.19889999999999999</v>
      </c>
      <c r="E153">
        <f>Tableau1[[#This Row],[Potential (PJ)]]/3.6</f>
        <v>5.5249999999999994E-2</v>
      </c>
      <c r="F153">
        <v>30.024000000000001</v>
      </c>
      <c r="G153">
        <f>Tableau1[[#This Row],[Cost (€/GJ)]]*3.6</f>
        <v>108.08640000000001</v>
      </c>
      <c r="H153">
        <v>8.4</v>
      </c>
      <c r="I153">
        <f>Tableau1[[#This Row],[GHG (kgCO2eq/GJ)]]*3.6</f>
        <v>30.240000000000002</v>
      </c>
      <c r="J153" t="s">
        <v>107</v>
      </c>
      <c r="K153" t="s">
        <v>109</v>
      </c>
    </row>
    <row r="154" spans="1:11" hidden="1" x14ac:dyDescent="0.3">
      <c r="A154" t="s">
        <v>14</v>
      </c>
      <c r="B154" t="s">
        <v>59</v>
      </c>
      <c r="C154" t="s">
        <v>97</v>
      </c>
      <c r="D154">
        <v>0.1095</v>
      </c>
      <c r="E154">
        <f>Tableau1[[#This Row],[Potential (PJ)]]/3.6</f>
        <v>3.0416666666666665E-2</v>
      </c>
      <c r="F154">
        <v>14.81280520889853</v>
      </c>
      <c r="G154">
        <f>Tableau1[[#This Row],[Cost (€/GJ)]]*3.6</f>
        <v>53.32609875203471</v>
      </c>
      <c r="H154">
        <v>8.4</v>
      </c>
      <c r="I154">
        <f>Tableau1[[#This Row],[GHG (kgCO2eq/GJ)]]*3.6</f>
        <v>30.240000000000002</v>
      </c>
      <c r="J154" t="s">
        <v>107</v>
      </c>
      <c r="K154" t="s">
        <v>109</v>
      </c>
    </row>
    <row r="155" spans="1:11" hidden="1" x14ac:dyDescent="0.3">
      <c r="A155" t="s">
        <v>14</v>
      </c>
      <c r="B155" t="s">
        <v>51</v>
      </c>
      <c r="C155" t="s">
        <v>75</v>
      </c>
      <c r="D155">
        <v>2.9046249999999998</v>
      </c>
      <c r="E155">
        <f>Tableau1[[#This Row],[Potential (PJ)]]/3.6</f>
        <v>0.80684027777777767</v>
      </c>
      <c r="F155">
        <v>1.6564974598615601E-4</v>
      </c>
      <c r="G155">
        <f>Tableau1[[#This Row],[Cost (€/GJ)]]*3.6</f>
        <v>5.9633908555016167E-4</v>
      </c>
      <c r="H155">
        <v>11.74</v>
      </c>
      <c r="I155">
        <f>Tableau1[[#This Row],[GHG (kgCO2eq/GJ)]]*3.6</f>
        <v>42.264000000000003</v>
      </c>
      <c r="J155" t="s">
        <v>104</v>
      </c>
      <c r="K155" t="s">
        <v>108</v>
      </c>
    </row>
    <row r="156" spans="1:11" hidden="1" x14ac:dyDescent="0.3">
      <c r="A156" t="s">
        <v>14</v>
      </c>
      <c r="B156" t="s">
        <v>60</v>
      </c>
      <c r="C156" t="s">
        <v>98</v>
      </c>
      <c r="D156">
        <v>2.9122499999999998</v>
      </c>
      <c r="E156">
        <f>Tableau1[[#This Row],[Potential (PJ)]]/3.6</f>
        <v>0.80895833333333322</v>
      </c>
      <c r="F156">
        <v>16.380236305048339</v>
      </c>
      <c r="G156">
        <f>Tableau1[[#This Row],[Cost (€/GJ)]]*3.6</f>
        <v>58.968850698174023</v>
      </c>
      <c r="H156">
        <v>27.8</v>
      </c>
      <c r="I156">
        <f>Tableau1[[#This Row],[GHG (kgCO2eq/GJ)]]*3.6</f>
        <v>100.08</v>
      </c>
      <c r="J156" t="s">
        <v>107</v>
      </c>
      <c r="K156" t="s">
        <v>109</v>
      </c>
    </row>
    <row r="157" spans="1:11" hidden="1" x14ac:dyDescent="0.3">
      <c r="A157" t="s">
        <v>14</v>
      </c>
      <c r="B157" t="s">
        <v>52</v>
      </c>
      <c r="C157" t="s">
        <v>76</v>
      </c>
      <c r="D157">
        <v>0.34799999999999998</v>
      </c>
      <c r="E157">
        <f>Tableau1[[#This Row],[Potential (PJ)]]/3.6</f>
        <v>9.6666666666666651E-2</v>
      </c>
      <c r="F157">
        <v>6.1837425000000001</v>
      </c>
      <c r="G157">
        <f>Tableau1[[#This Row],[Cost (€/GJ)]]*3.6</f>
        <v>22.261473000000002</v>
      </c>
      <c r="H157">
        <v>12.68872359754714</v>
      </c>
      <c r="I157">
        <f>Tableau1[[#This Row],[GHG (kgCO2eq/GJ)]]*3.6</f>
        <v>45.679404951169708</v>
      </c>
      <c r="J157" t="s">
        <v>105</v>
      </c>
      <c r="K157" t="s">
        <v>108</v>
      </c>
    </row>
    <row r="158" spans="1:11" hidden="1" x14ac:dyDescent="0.3">
      <c r="A158" t="s">
        <v>14</v>
      </c>
      <c r="B158" t="s">
        <v>53</v>
      </c>
      <c r="C158" t="s">
        <v>77</v>
      </c>
      <c r="D158">
        <v>4.2085900000000001</v>
      </c>
      <c r="E158">
        <f>Tableau1[[#This Row],[Potential (PJ)]]/3.6</f>
        <v>1.1690527777777777</v>
      </c>
      <c r="F158">
        <v>3.5846269154277319</v>
      </c>
      <c r="G158">
        <f>Tableau1[[#This Row],[Cost (€/GJ)]]*3.6</f>
        <v>12.904656895539835</v>
      </c>
      <c r="H158">
        <v>3.86607608129234</v>
      </c>
      <c r="I158">
        <f>Tableau1[[#This Row],[GHG (kgCO2eq/GJ)]]*3.6</f>
        <v>13.917873892652425</v>
      </c>
      <c r="J158" t="s">
        <v>104</v>
      </c>
      <c r="K158" t="s">
        <v>108</v>
      </c>
    </row>
    <row r="159" spans="1:11" hidden="1" x14ac:dyDescent="0.3">
      <c r="A159" t="s">
        <v>14</v>
      </c>
      <c r="B159" t="s">
        <v>61</v>
      </c>
      <c r="C159" t="s">
        <v>99</v>
      </c>
      <c r="D159">
        <v>3.7</v>
      </c>
      <c r="E159">
        <f>Tableau1[[#This Row],[Potential (PJ)]]/3.6</f>
        <v>1.0277777777777779</v>
      </c>
      <c r="F159">
        <v>1.54954054054054</v>
      </c>
      <c r="G159">
        <f>Tableau1[[#This Row],[Cost (€/GJ)]]*3.6</f>
        <v>5.5783459459459444</v>
      </c>
      <c r="H159">
        <v>2.9245635910224439</v>
      </c>
      <c r="I159">
        <f>Tableau1[[#This Row],[GHG (kgCO2eq/GJ)]]*3.6</f>
        <v>10.528428927680798</v>
      </c>
      <c r="J159" t="s">
        <v>104</v>
      </c>
      <c r="K159" t="s">
        <v>108</v>
      </c>
    </row>
    <row r="160" spans="1:11" hidden="1" x14ac:dyDescent="0.3">
      <c r="A160" t="s">
        <v>14</v>
      </c>
      <c r="B160" t="s">
        <v>62</v>
      </c>
      <c r="C160" t="s">
        <v>100</v>
      </c>
      <c r="D160">
        <v>1.5</v>
      </c>
      <c r="E160">
        <f>Tableau1[[#This Row],[Potential (PJ)]]/3.6</f>
        <v>0.41666666666666663</v>
      </c>
      <c r="F160">
        <v>0.43999999999999989</v>
      </c>
      <c r="G160">
        <f>Tableau1[[#This Row],[Cost (€/GJ)]]*3.6</f>
        <v>1.5839999999999996</v>
      </c>
      <c r="H160">
        <v>2.6764106050305911</v>
      </c>
      <c r="I160">
        <f>Tableau1[[#This Row],[GHG (kgCO2eq/GJ)]]*3.6</f>
        <v>9.6350781781101276</v>
      </c>
      <c r="J160" t="s">
        <v>104</v>
      </c>
      <c r="K160" t="s">
        <v>108</v>
      </c>
    </row>
    <row r="161" spans="1:11" hidden="1" x14ac:dyDescent="0.3">
      <c r="A161" t="s">
        <v>14</v>
      </c>
      <c r="B161" t="s">
        <v>54</v>
      </c>
      <c r="C161" t="s">
        <v>78</v>
      </c>
      <c r="D161">
        <v>61.4</v>
      </c>
      <c r="E161">
        <f>Tableau1[[#This Row],[Potential (PJ)]]/3.6</f>
        <v>17.055555555555554</v>
      </c>
      <c r="F161">
        <v>7.495597719869707</v>
      </c>
      <c r="G161">
        <f>Tableau1[[#This Row],[Cost (€/GJ)]]*3.6</f>
        <v>26.984151791530945</v>
      </c>
      <c r="H161">
        <v>3.86607608129234</v>
      </c>
      <c r="I161">
        <f>Tableau1[[#This Row],[GHG (kgCO2eq/GJ)]]*3.6</f>
        <v>13.917873892652425</v>
      </c>
      <c r="J161" t="s">
        <v>104</v>
      </c>
      <c r="K161" t="s">
        <v>108</v>
      </c>
    </row>
    <row r="162" spans="1:11" hidden="1" x14ac:dyDescent="0.3">
      <c r="A162" t="s">
        <v>15</v>
      </c>
      <c r="B162" t="s">
        <v>46</v>
      </c>
      <c r="C162" t="s">
        <v>64</v>
      </c>
      <c r="D162">
        <v>5.407E-2</v>
      </c>
      <c r="E162">
        <f>Tableau1[[#This Row],[Potential (PJ)]]/3.6</f>
        <v>1.5019444444444445E-2</v>
      </c>
      <c r="F162">
        <v>2.5210889587571672</v>
      </c>
      <c r="G162">
        <f>Tableau1[[#This Row],[Cost (€/GJ)]]*3.6</f>
        <v>9.0759202515258028</v>
      </c>
      <c r="H162">
        <v>2.9521711768407801</v>
      </c>
      <c r="I162">
        <f>Tableau1[[#This Row],[GHG (kgCO2eq/GJ)]]*3.6</f>
        <v>10.627816236626808</v>
      </c>
      <c r="J162" t="s">
        <v>104</v>
      </c>
      <c r="K162" t="s">
        <v>108</v>
      </c>
    </row>
    <row r="163" spans="1:11" hidden="1" x14ac:dyDescent="0.3">
      <c r="A163" t="s">
        <v>15</v>
      </c>
      <c r="B163" t="s">
        <v>46</v>
      </c>
      <c r="C163" t="s">
        <v>79</v>
      </c>
      <c r="D163">
        <v>48.9</v>
      </c>
      <c r="E163">
        <f>Tableau1[[#This Row],[Potential (PJ)]]/3.6</f>
        <v>13.583333333333332</v>
      </c>
      <c r="F163">
        <v>5.1067341513292437</v>
      </c>
      <c r="G163">
        <f>Tableau1[[#This Row],[Cost (€/GJ)]]*3.6</f>
        <v>18.384242944785278</v>
      </c>
      <c r="H163">
        <v>6.8428961748633883</v>
      </c>
      <c r="I163">
        <f>Tableau1[[#This Row],[GHG (kgCO2eq/GJ)]]*3.6</f>
        <v>24.634426229508197</v>
      </c>
      <c r="J163" t="s">
        <v>104</v>
      </c>
      <c r="K163" t="s">
        <v>108</v>
      </c>
    </row>
    <row r="164" spans="1:11" hidden="1" x14ac:dyDescent="0.3">
      <c r="A164" t="s">
        <v>15</v>
      </c>
      <c r="B164" t="s">
        <v>46</v>
      </c>
      <c r="C164" t="s">
        <v>80</v>
      </c>
      <c r="D164">
        <v>22.206199999999999</v>
      </c>
      <c r="E164">
        <f>Tableau1[[#This Row],[Potential (PJ)]]/3.6</f>
        <v>6.168388888888888</v>
      </c>
      <c r="F164">
        <v>1.21105866486851</v>
      </c>
      <c r="G164">
        <f>Tableau1[[#This Row],[Cost (€/GJ)]]*3.6</f>
        <v>4.3598111935266362</v>
      </c>
      <c r="H164">
        <v>28.139870918023309</v>
      </c>
      <c r="I164">
        <f>Tableau1[[#This Row],[GHG (kgCO2eq/GJ)]]*3.6</f>
        <v>101.30353530488391</v>
      </c>
      <c r="J164" t="s">
        <v>105</v>
      </c>
      <c r="K164" t="s">
        <v>108</v>
      </c>
    </row>
    <row r="165" spans="1:11" hidden="1" x14ac:dyDescent="0.3">
      <c r="A165" t="s">
        <v>15</v>
      </c>
      <c r="B165" t="s">
        <v>46</v>
      </c>
      <c r="C165" t="s">
        <v>81</v>
      </c>
      <c r="D165">
        <v>47.450099999999999</v>
      </c>
      <c r="E165">
        <f>Tableau1[[#This Row],[Potential (PJ)]]/3.6</f>
        <v>13.180583333333333</v>
      </c>
      <c r="F165">
        <v>1.7549941245593419</v>
      </c>
      <c r="G165">
        <f>Tableau1[[#This Row],[Cost (€/GJ)]]*3.6</f>
        <v>6.317978848413631</v>
      </c>
      <c r="H165">
        <v>8.9647473560517046</v>
      </c>
      <c r="I165">
        <f>Tableau1[[#This Row],[GHG (kgCO2eq/GJ)]]*3.6</f>
        <v>32.273090481786134</v>
      </c>
      <c r="J165" t="s">
        <v>105</v>
      </c>
      <c r="K165" t="s">
        <v>108</v>
      </c>
    </row>
    <row r="166" spans="1:11" hidden="1" x14ac:dyDescent="0.3">
      <c r="A166" t="s">
        <v>15</v>
      </c>
      <c r="B166" t="s">
        <v>46</v>
      </c>
      <c r="C166" t="s">
        <v>66</v>
      </c>
      <c r="D166">
        <v>2</v>
      </c>
      <c r="E166">
        <f>Tableau1[[#This Row],[Potential (PJ)]]/3.6</f>
        <v>0.55555555555555558</v>
      </c>
      <c r="F166">
        <v>5.3141499999999997</v>
      </c>
      <c r="G166">
        <f>Tableau1[[#This Row],[Cost (€/GJ)]]*3.6</f>
        <v>19.130939999999999</v>
      </c>
      <c r="H166">
        <v>6.8428961748633883</v>
      </c>
      <c r="I166">
        <f>Tableau1[[#This Row],[GHG (kgCO2eq/GJ)]]*3.6</f>
        <v>24.634426229508197</v>
      </c>
      <c r="J166" t="s">
        <v>104</v>
      </c>
      <c r="K166" t="s">
        <v>108</v>
      </c>
    </row>
    <row r="167" spans="1:11" hidden="1" x14ac:dyDescent="0.3">
      <c r="A167" t="s">
        <v>15</v>
      </c>
      <c r="B167" t="s">
        <v>46</v>
      </c>
      <c r="C167" t="s">
        <v>82</v>
      </c>
      <c r="D167">
        <v>1.9</v>
      </c>
      <c r="E167">
        <f>Tableau1[[#This Row],[Potential (PJ)]]/3.6</f>
        <v>0.52777777777777779</v>
      </c>
      <c r="F167">
        <v>3.2055789473684211</v>
      </c>
      <c r="G167">
        <f>Tableau1[[#This Row],[Cost (€/GJ)]]*3.6</f>
        <v>11.540084210526317</v>
      </c>
      <c r="H167">
        <v>6.8428961748633883</v>
      </c>
      <c r="I167">
        <f>Tableau1[[#This Row],[GHG (kgCO2eq/GJ)]]*3.6</f>
        <v>24.634426229508197</v>
      </c>
      <c r="J167" t="s">
        <v>104</v>
      </c>
      <c r="K167" t="s">
        <v>108</v>
      </c>
    </row>
    <row r="168" spans="1:11" hidden="1" x14ac:dyDescent="0.3">
      <c r="A168" t="s">
        <v>15</v>
      </c>
      <c r="B168" t="s">
        <v>46</v>
      </c>
      <c r="C168" t="s">
        <v>84</v>
      </c>
      <c r="D168">
        <v>0.60000000000000009</v>
      </c>
      <c r="E168">
        <f>Tableau1[[#This Row],[Potential (PJ)]]/3.6</f>
        <v>0.16666666666666669</v>
      </c>
      <c r="F168">
        <v>2.9535</v>
      </c>
      <c r="G168">
        <f>Tableau1[[#This Row],[Cost (€/GJ)]]*3.6</f>
        <v>10.6326</v>
      </c>
      <c r="H168">
        <v>28.139870918023309</v>
      </c>
      <c r="I168">
        <f>Tableau1[[#This Row],[GHG (kgCO2eq/GJ)]]*3.6</f>
        <v>101.30353530488391</v>
      </c>
      <c r="J168" t="s">
        <v>105</v>
      </c>
      <c r="K168" t="s">
        <v>108</v>
      </c>
    </row>
    <row r="169" spans="1:11" hidden="1" x14ac:dyDescent="0.3">
      <c r="A169" t="s">
        <v>15</v>
      </c>
      <c r="B169" t="s">
        <v>46</v>
      </c>
      <c r="C169" t="s">
        <v>85</v>
      </c>
      <c r="D169">
        <v>0.1</v>
      </c>
      <c r="E169">
        <f>Tableau1[[#This Row],[Potential (PJ)]]/3.6</f>
        <v>2.777777777777778E-2</v>
      </c>
      <c r="F169">
        <v>3.867</v>
      </c>
      <c r="G169">
        <f>Tableau1[[#This Row],[Cost (€/GJ)]]*3.6</f>
        <v>13.921200000000001</v>
      </c>
      <c r="H169">
        <v>2.9521711768407801</v>
      </c>
      <c r="I169">
        <f>Tableau1[[#This Row],[GHG (kgCO2eq/GJ)]]*3.6</f>
        <v>10.627816236626808</v>
      </c>
      <c r="J169" t="s">
        <v>104</v>
      </c>
      <c r="K169" t="s">
        <v>108</v>
      </c>
    </row>
    <row r="170" spans="1:11" hidden="1" x14ac:dyDescent="0.3">
      <c r="A170" t="s">
        <v>15</v>
      </c>
      <c r="B170" t="s">
        <v>55</v>
      </c>
      <c r="C170" t="s">
        <v>86</v>
      </c>
      <c r="D170">
        <v>0.19040000000000001</v>
      </c>
      <c r="E170">
        <f>Tableau1[[#This Row],[Potential (PJ)]]/3.6</f>
        <v>5.2888888888888888E-2</v>
      </c>
      <c r="F170">
        <v>17.73800000000001</v>
      </c>
      <c r="G170">
        <f>Tableau1[[#This Row],[Cost (€/GJ)]]*3.6</f>
        <v>63.856800000000035</v>
      </c>
      <c r="H170">
        <v>6.7</v>
      </c>
      <c r="I170">
        <f>Tableau1[[#This Row],[GHG (kgCO2eq/GJ)]]*3.6</f>
        <v>24.12</v>
      </c>
      <c r="J170" t="s">
        <v>106</v>
      </c>
      <c r="K170" t="s">
        <v>109</v>
      </c>
    </row>
    <row r="171" spans="1:11" hidden="1" x14ac:dyDescent="0.3">
      <c r="A171" t="s">
        <v>15</v>
      </c>
      <c r="B171" t="s">
        <v>55</v>
      </c>
      <c r="C171" t="s">
        <v>87</v>
      </c>
      <c r="D171">
        <v>0.1348</v>
      </c>
      <c r="E171">
        <f>Tableau1[[#This Row],[Potential (PJ)]]/3.6</f>
        <v>3.7444444444444447E-2</v>
      </c>
      <c r="F171">
        <v>18.88999999999999</v>
      </c>
      <c r="G171">
        <f>Tableau1[[#This Row],[Cost (€/GJ)]]*3.6</f>
        <v>68.003999999999962</v>
      </c>
      <c r="H171">
        <v>6.7</v>
      </c>
      <c r="I171">
        <f>Tableau1[[#This Row],[GHG (kgCO2eq/GJ)]]*3.6</f>
        <v>24.12</v>
      </c>
      <c r="J171" t="s">
        <v>106</v>
      </c>
      <c r="K171" t="s">
        <v>109</v>
      </c>
    </row>
    <row r="172" spans="1:11" hidden="1" x14ac:dyDescent="0.3">
      <c r="A172" t="s">
        <v>15</v>
      </c>
      <c r="B172" t="s">
        <v>55</v>
      </c>
      <c r="C172" t="s">
        <v>88</v>
      </c>
      <c r="D172">
        <v>0.77980000000000005</v>
      </c>
      <c r="E172">
        <f>Tableau1[[#This Row],[Potential (PJ)]]/3.6</f>
        <v>0.21661111111111112</v>
      </c>
      <c r="F172">
        <v>18.000999999999991</v>
      </c>
      <c r="G172">
        <f>Tableau1[[#This Row],[Cost (€/GJ)]]*3.6</f>
        <v>64.803599999999975</v>
      </c>
      <c r="H172">
        <v>6.7</v>
      </c>
      <c r="I172">
        <f>Tableau1[[#This Row],[GHG (kgCO2eq/GJ)]]*3.6</f>
        <v>24.12</v>
      </c>
      <c r="J172" t="s">
        <v>106</v>
      </c>
      <c r="K172" t="s">
        <v>109</v>
      </c>
    </row>
    <row r="173" spans="1:11" hidden="1" x14ac:dyDescent="0.3">
      <c r="A173" t="s">
        <v>15</v>
      </c>
      <c r="B173" t="s">
        <v>55</v>
      </c>
      <c r="C173" t="s">
        <v>89</v>
      </c>
      <c r="D173">
        <v>0.24660000000000001</v>
      </c>
      <c r="E173">
        <f>Tableau1[[#This Row],[Potential (PJ)]]/3.6</f>
        <v>6.8500000000000005E-2</v>
      </c>
      <c r="F173">
        <v>0</v>
      </c>
      <c r="G173">
        <f>Tableau1[[#This Row],[Cost (€/GJ)]]*3.6</f>
        <v>0</v>
      </c>
      <c r="H173">
        <v>6.7</v>
      </c>
      <c r="I173">
        <f>Tableau1[[#This Row],[GHG (kgCO2eq/GJ)]]*3.6</f>
        <v>24.12</v>
      </c>
      <c r="J173" t="s">
        <v>106</v>
      </c>
      <c r="K173" t="s">
        <v>109</v>
      </c>
    </row>
    <row r="174" spans="1:11" hidden="1" x14ac:dyDescent="0.3">
      <c r="A174" t="s">
        <v>15</v>
      </c>
      <c r="B174" t="s">
        <v>55</v>
      </c>
      <c r="C174" t="s">
        <v>90</v>
      </c>
      <c r="D174">
        <v>0.1022</v>
      </c>
      <c r="E174">
        <f>Tableau1[[#This Row],[Potential (PJ)]]/3.6</f>
        <v>2.8388888888888887E-2</v>
      </c>
      <c r="F174">
        <v>19.126999999999988</v>
      </c>
      <c r="G174">
        <f>Tableau1[[#This Row],[Cost (€/GJ)]]*3.6</f>
        <v>68.857199999999963</v>
      </c>
      <c r="H174">
        <v>6.7</v>
      </c>
      <c r="I174">
        <f>Tableau1[[#This Row],[GHG (kgCO2eq/GJ)]]*3.6</f>
        <v>24.12</v>
      </c>
      <c r="J174" t="s">
        <v>106</v>
      </c>
      <c r="K174" t="s">
        <v>109</v>
      </c>
    </row>
    <row r="175" spans="1:11" hidden="1" x14ac:dyDescent="0.3">
      <c r="A175" t="s">
        <v>15</v>
      </c>
      <c r="B175" t="s">
        <v>55</v>
      </c>
      <c r="C175" t="s">
        <v>91</v>
      </c>
      <c r="D175">
        <v>4.5792999999999999</v>
      </c>
      <c r="E175">
        <f>Tableau1[[#This Row],[Potential (PJ)]]/3.6</f>
        <v>1.2720277777777778</v>
      </c>
      <c r="F175">
        <v>16.501999999999999</v>
      </c>
      <c r="G175">
        <f>Tableau1[[#This Row],[Cost (€/GJ)]]*3.6</f>
        <v>59.407199999999996</v>
      </c>
      <c r="H175">
        <v>6.7</v>
      </c>
      <c r="I175">
        <f>Tableau1[[#This Row],[GHG (kgCO2eq/GJ)]]*3.6</f>
        <v>24.12</v>
      </c>
      <c r="J175" t="s">
        <v>106</v>
      </c>
      <c r="K175" t="s">
        <v>109</v>
      </c>
    </row>
    <row r="176" spans="1:11" hidden="1" x14ac:dyDescent="0.3">
      <c r="A176" t="s">
        <v>15</v>
      </c>
      <c r="B176" t="s">
        <v>55</v>
      </c>
      <c r="C176" t="s">
        <v>92</v>
      </c>
      <c r="D176">
        <v>2.2654000000000001</v>
      </c>
      <c r="E176">
        <f>Tableau1[[#This Row],[Potential (PJ)]]/3.6</f>
        <v>0.62927777777777782</v>
      </c>
      <c r="F176">
        <v>18.88999999999999</v>
      </c>
      <c r="G176">
        <f>Tableau1[[#This Row],[Cost (€/GJ)]]*3.6</f>
        <v>68.003999999999962</v>
      </c>
      <c r="H176">
        <v>6.7</v>
      </c>
      <c r="I176">
        <f>Tableau1[[#This Row],[GHG (kgCO2eq/GJ)]]*3.6</f>
        <v>24.12</v>
      </c>
      <c r="J176" t="s">
        <v>106</v>
      </c>
      <c r="K176" t="s">
        <v>109</v>
      </c>
    </row>
    <row r="177" spans="1:11" hidden="1" x14ac:dyDescent="0.3">
      <c r="A177" t="s">
        <v>15</v>
      </c>
      <c r="B177" t="s">
        <v>56</v>
      </c>
      <c r="C177" t="s">
        <v>93</v>
      </c>
      <c r="D177">
        <v>43.513800000000003</v>
      </c>
      <c r="E177">
        <f>Tableau1[[#This Row],[Potential (PJ)]]/3.6</f>
        <v>12.087166666666667</v>
      </c>
      <c r="F177">
        <v>2.939759036144578</v>
      </c>
      <c r="G177">
        <f>Tableau1[[#This Row],[Cost (€/GJ)]]*3.6</f>
        <v>10.583132530120482</v>
      </c>
      <c r="H177">
        <v>22.3</v>
      </c>
      <c r="I177">
        <f>Tableau1[[#This Row],[GHG (kgCO2eq/GJ)]]*3.6</f>
        <v>80.28</v>
      </c>
      <c r="J177" t="s">
        <v>106</v>
      </c>
      <c r="K177" t="s">
        <v>109</v>
      </c>
    </row>
    <row r="178" spans="1:11" x14ac:dyDescent="0.3">
      <c r="A178" t="s">
        <v>15</v>
      </c>
      <c r="B178" t="s">
        <v>47</v>
      </c>
      <c r="C178" t="s">
        <v>68</v>
      </c>
      <c r="D178">
        <v>55.5</v>
      </c>
      <c r="E178">
        <f>Tableau1[[#This Row],[Potential (PJ)]]/3.6</f>
        <v>15.416666666666666</v>
      </c>
      <c r="F178">
        <v>5.7367927927927926</v>
      </c>
      <c r="G178">
        <f>Tableau1[[#This Row],[Cost (€/GJ)]]*3.6</f>
        <v>20.652454054054054</v>
      </c>
      <c r="H178">
        <v>25.4</v>
      </c>
      <c r="I178">
        <f>Tableau1[[#This Row],[GHG (kgCO2eq/GJ)]]*3.6</f>
        <v>91.44</v>
      </c>
      <c r="J178" t="s">
        <v>104</v>
      </c>
      <c r="K178" t="s">
        <v>109</v>
      </c>
    </row>
    <row r="179" spans="1:11" x14ac:dyDescent="0.3">
      <c r="A179" t="s">
        <v>15</v>
      </c>
      <c r="B179" t="s">
        <v>47</v>
      </c>
      <c r="C179" t="s">
        <v>69</v>
      </c>
      <c r="D179">
        <v>59.7</v>
      </c>
      <c r="E179">
        <f>Tableau1[[#This Row],[Potential (PJ)]]/3.6</f>
        <v>16.583333333333332</v>
      </c>
      <c r="F179">
        <v>4.9387403685092126</v>
      </c>
      <c r="G179">
        <f>Tableau1[[#This Row],[Cost (€/GJ)]]*3.6</f>
        <v>17.779465326633165</v>
      </c>
      <c r="H179">
        <v>25.4</v>
      </c>
      <c r="I179">
        <f>Tableau1[[#This Row],[GHG (kgCO2eq/GJ)]]*3.6</f>
        <v>91.44</v>
      </c>
      <c r="J179" t="s">
        <v>104</v>
      </c>
      <c r="K179" t="s">
        <v>109</v>
      </c>
    </row>
    <row r="180" spans="1:11" x14ac:dyDescent="0.3">
      <c r="A180" t="s">
        <v>15</v>
      </c>
      <c r="B180" t="s">
        <v>57</v>
      </c>
      <c r="C180" t="s">
        <v>94</v>
      </c>
      <c r="D180">
        <v>45.7</v>
      </c>
      <c r="E180">
        <f>Tableau1[[#This Row],[Potential (PJ)]]/3.6</f>
        <v>12.694444444444445</v>
      </c>
      <c r="F180">
        <v>9.3249015317286652</v>
      </c>
      <c r="G180">
        <f>Tableau1[[#This Row],[Cost (€/GJ)]]*3.6</f>
        <v>33.569645514223197</v>
      </c>
      <c r="H180">
        <v>23.7</v>
      </c>
      <c r="I180">
        <f>Tableau1[[#This Row],[GHG (kgCO2eq/GJ)]]*3.6</f>
        <v>85.32</v>
      </c>
      <c r="J180" t="s">
        <v>104</v>
      </c>
      <c r="K180" t="s">
        <v>109</v>
      </c>
    </row>
    <row r="181" spans="1:11" hidden="1" x14ac:dyDescent="0.3">
      <c r="A181" t="s">
        <v>15</v>
      </c>
      <c r="B181" t="s">
        <v>49</v>
      </c>
      <c r="C181" t="s">
        <v>71</v>
      </c>
      <c r="D181">
        <v>71.281379999999999</v>
      </c>
      <c r="E181">
        <f>Tableau1[[#This Row],[Potential (PJ)]]/3.6</f>
        <v>19.800383333333333</v>
      </c>
      <c r="F181">
        <v>4.7643773726041783</v>
      </c>
      <c r="G181">
        <f>Tableau1[[#This Row],[Cost (€/GJ)]]*3.6</f>
        <v>17.151758541375042</v>
      </c>
      <c r="H181">
        <v>3.86607608129234</v>
      </c>
      <c r="I181">
        <f>Tableau1[[#This Row],[GHG (kgCO2eq/GJ)]]*3.6</f>
        <v>13.917873892652425</v>
      </c>
      <c r="J181" t="s">
        <v>104</v>
      </c>
      <c r="K181" t="s">
        <v>108</v>
      </c>
    </row>
    <row r="182" spans="1:11" hidden="1" x14ac:dyDescent="0.3">
      <c r="A182" t="s">
        <v>15</v>
      </c>
      <c r="B182" t="s">
        <v>49</v>
      </c>
      <c r="C182" t="s">
        <v>72</v>
      </c>
      <c r="D182">
        <v>4.7</v>
      </c>
      <c r="E182">
        <f>Tableau1[[#This Row],[Potential (PJ)]]/3.6</f>
        <v>1.3055555555555556</v>
      </c>
      <c r="F182">
        <v>3.819914893617022</v>
      </c>
      <c r="G182">
        <f>Tableau1[[#This Row],[Cost (€/GJ)]]*3.6</f>
        <v>13.75169361702128</v>
      </c>
      <c r="H182">
        <v>3.86607608129234</v>
      </c>
      <c r="I182">
        <f>Tableau1[[#This Row],[GHG (kgCO2eq/GJ)]]*3.6</f>
        <v>13.917873892652425</v>
      </c>
      <c r="J182" t="s">
        <v>104</v>
      </c>
      <c r="K182" t="s">
        <v>108</v>
      </c>
    </row>
    <row r="183" spans="1:11" hidden="1" x14ac:dyDescent="0.3">
      <c r="A183" t="s">
        <v>15</v>
      </c>
      <c r="B183" t="s">
        <v>58</v>
      </c>
      <c r="C183" t="s">
        <v>95</v>
      </c>
      <c r="D183">
        <v>3.34802</v>
      </c>
      <c r="E183">
        <f>Tableau1[[#This Row],[Potential (PJ)]]/3.6</f>
        <v>0.93000555555555553</v>
      </c>
      <c r="F183">
        <v>2.623656256533712</v>
      </c>
      <c r="G183">
        <f>Tableau1[[#This Row],[Cost (€/GJ)]]*3.6</f>
        <v>9.445162523521363</v>
      </c>
      <c r="H183">
        <v>2.9521711768407801</v>
      </c>
      <c r="I183">
        <f>Tableau1[[#This Row],[GHG (kgCO2eq/GJ)]]*3.6</f>
        <v>10.627816236626808</v>
      </c>
      <c r="J183" t="s">
        <v>104</v>
      </c>
      <c r="K183" t="s">
        <v>108</v>
      </c>
    </row>
    <row r="184" spans="1:11" hidden="1" x14ac:dyDescent="0.3">
      <c r="A184" t="s">
        <v>15</v>
      </c>
      <c r="B184" t="s">
        <v>50</v>
      </c>
      <c r="C184" t="s">
        <v>73</v>
      </c>
      <c r="D184">
        <v>18.399999999999999</v>
      </c>
      <c r="E184">
        <f>Tableau1[[#This Row],[Potential (PJ)]]/3.6</f>
        <v>5.1111111111111107</v>
      </c>
      <c r="F184">
        <v>5.6635108695652177</v>
      </c>
      <c r="G184">
        <f>Tableau1[[#This Row],[Cost (€/GJ)]]*3.6</f>
        <v>20.388639130434782</v>
      </c>
      <c r="H184">
        <v>20.723404255319149</v>
      </c>
      <c r="I184">
        <f>Tableau1[[#This Row],[GHG (kgCO2eq/GJ)]]*3.6</f>
        <v>74.604255319148933</v>
      </c>
      <c r="J184" t="s">
        <v>105</v>
      </c>
      <c r="K184" t="s">
        <v>108</v>
      </c>
    </row>
    <row r="185" spans="1:11" hidden="1" x14ac:dyDescent="0.3">
      <c r="A185" t="s">
        <v>15</v>
      </c>
      <c r="B185" t="s">
        <v>50</v>
      </c>
      <c r="C185" t="s">
        <v>74</v>
      </c>
      <c r="D185">
        <v>27.4</v>
      </c>
      <c r="E185">
        <f>Tableau1[[#This Row],[Potential (PJ)]]/3.6</f>
        <v>7.6111111111111107</v>
      </c>
      <c r="F185">
        <v>6.4772116788321163</v>
      </c>
      <c r="G185">
        <f>Tableau1[[#This Row],[Cost (€/GJ)]]*3.6</f>
        <v>23.317962043795621</v>
      </c>
      <c r="H185">
        <v>2.0635593220338988</v>
      </c>
      <c r="I185">
        <f>Tableau1[[#This Row],[GHG (kgCO2eq/GJ)]]*3.6</f>
        <v>7.4288135593220357</v>
      </c>
      <c r="J185" t="s">
        <v>105</v>
      </c>
      <c r="K185" t="s">
        <v>108</v>
      </c>
    </row>
    <row r="186" spans="1:11" hidden="1" x14ac:dyDescent="0.3">
      <c r="A186" t="s">
        <v>15</v>
      </c>
      <c r="B186" t="s">
        <v>51</v>
      </c>
      <c r="C186" t="s">
        <v>75</v>
      </c>
      <c r="D186">
        <v>76.357590000000002</v>
      </c>
      <c r="E186">
        <f>Tableau1[[#This Row],[Potential (PJ)]]/3.6</f>
        <v>21.210441666666668</v>
      </c>
      <c r="F186">
        <v>5.3936652779759599E-2</v>
      </c>
      <c r="G186">
        <f>Tableau1[[#This Row],[Cost (€/GJ)]]*3.6</f>
        <v>0.19417195000713455</v>
      </c>
      <c r="H186">
        <v>11.74</v>
      </c>
      <c r="I186">
        <f>Tableau1[[#This Row],[GHG (kgCO2eq/GJ)]]*3.6</f>
        <v>42.264000000000003</v>
      </c>
      <c r="J186" t="s">
        <v>104</v>
      </c>
      <c r="K186" t="s">
        <v>108</v>
      </c>
    </row>
    <row r="187" spans="1:11" hidden="1" x14ac:dyDescent="0.3">
      <c r="A187" t="s">
        <v>15</v>
      </c>
      <c r="B187" t="s">
        <v>60</v>
      </c>
      <c r="C187" t="s">
        <v>98</v>
      </c>
      <c r="D187">
        <v>93.683350000000004</v>
      </c>
      <c r="E187">
        <f>Tableau1[[#This Row],[Potential (PJ)]]/3.6</f>
        <v>26.023152777777778</v>
      </c>
      <c r="F187">
        <v>18.259935553168631</v>
      </c>
      <c r="G187">
        <f>Tableau1[[#This Row],[Cost (€/GJ)]]*3.6</f>
        <v>65.735767991407073</v>
      </c>
      <c r="H187">
        <v>19.399999999999999</v>
      </c>
      <c r="I187">
        <f>Tableau1[[#This Row],[GHG (kgCO2eq/GJ)]]*3.6</f>
        <v>69.84</v>
      </c>
      <c r="J187" t="s">
        <v>107</v>
      </c>
      <c r="K187" t="s">
        <v>109</v>
      </c>
    </row>
    <row r="188" spans="1:11" hidden="1" x14ac:dyDescent="0.3">
      <c r="A188" t="s">
        <v>15</v>
      </c>
      <c r="B188" t="s">
        <v>52</v>
      </c>
      <c r="C188" t="s">
        <v>76</v>
      </c>
      <c r="D188">
        <v>6.2220000000000004</v>
      </c>
      <c r="E188">
        <f>Tableau1[[#This Row],[Potential (PJ)]]/3.6</f>
        <v>1.7283333333333335</v>
      </c>
      <c r="F188">
        <v>6.1837425000000001</v>
      </c>
      <c r="G188">
        <f>Tableau1[[#This Row],[Cost (€/GJ)]]*3.6</f>
        <v>22.261473000000002</v>
      </c>
      <c r="H188">
        <v>12.68872359754714</v>
      </c>
      <c r="I188">
        <f>Tableau1[[#This Row],[GHG (kgCO2eq/GJ)]]*3.6</f>
        <v>45.679404951169708</v>
      </c>
      <c r="J188" t="s">
        <v>105</v>
      </c>
      <c r="K188" t="s">
        <v>108</v>
      </c>
    </row>
    <row r="189" spans="1:11" hidden="1" x14ac:dyDescent="0.3">
      <c r="A189" t="s">
        <v>15</v>
      </c>
      <c r="B189" t="s">
        <v>53</v>
      </c>
      <c r="C189" t="s">
        <v>77</v>
      </c>
      <c r="D189">
        <v>18.420649999999998</v>
      </c>
      <c r="E189">
        <f>Tableau1[[#This Row],[Potential (PJ)]]/3.6</f>
        <v>5.1168472222222219</v>
      </c>
      <c r="F189">
        <v>3.8197631049935801</v>
      </c>
      <c r="G189">
        <f>Tableau1[[#This Row],[Cost (€/GJ)]]*3.6</f>
        <v>13.751147177976888</v>
      </c>
      <c r="H189">
        <v>3.86607608129234</v>
      </c>
      <c r="I189">
        <f>Tableau1[[#This Row],[GHG (kgCO2eq/GJ)]]*3.6</f>
        <v>13.917873892652425</v>
      </c>
      <c r="J189" t="s">
        <v>104</v>
      </c>
      <c r="K189" t="s">
        <v>108</v>
      </c>
    </row>
    <row r="190" spans="1:11" hidden="1" x14ac:dyDescent="0.3">
      <c r="A190" t="s">
        <v>15</v>
      </c>
      <c r="B190" t="s">
        <v>61</v>
      </c>
      <c r="C190" t="s">
        <v>99</v>
      </c>
      <c r="D190">
        <v>10.4</v>
      </c>
      <c r="E190">
        <f>Tableau1[[#This Row],[Potential (PJ)]]/3.6</f>
        <v>2.8888888888888888</v>
      </c>
      <c r="F190">
        <v>1.977740384615384</v>
      </c>
      <c r="G190">
        <f>Tableau1[[#This Row],[Cost (€/GJ)]]*3.6</f>
        <v>7.119865384615383</v>
      </c>
      <c r="H190">
        <v>2.9245635910224439</v>
      </c>
      <c r="I190">
        <f>Tableau1[[#This Row],[GHG (kgCO2eq/GJ)]]*3.6</f>
        <v>10.528428927680798</v>
      </c>
      <c r="J190" t="s">
        <v>104</v>
      </c>
      <c r="K190" t="s">
        <v>108</v>
      </c>
    </row>
    <row r="191" spans="1:11" hidden="1" x14ac:dyDescent="0.3">
      <c r="A191" t="s">
        <v>15</v>
      </c>
      <c r="B191" t="s">
        <v>62</v>
      </c>
      <c r="C191" t="s">
        <v>100</v>
      </c>
      <c r="D191">
        <v>2.8</v>
      </c>
      <c r="E191">
        <f>Tableau1[[#This Row],[Potential (PJ)]]/3.6</f>
        <v>0.77777777777777768</v>
      </c>
      <c r="F191">
        <v>8.9285714285714302E-2</v>
      </c>
      <c r="G191">
        <f>Tableau1[[#This Row],[Cost (€/GJ)]]*3.6</f>
        <v>0.32142857142857151</v>
      </c>
      <c r="H191">
        <v>2.6764106050305911</v>
      </c>
      <c r="I191">
        <f>Tableau1[[#This Row],[GHG (kgCO2eq/GJ)]]*3.6</f>
        <v>9.6350781781101276</v>
      </c>
      <c r="J191" t="s">
        <v>104</v>
      </c>
      <c r="K191" t="s">
        <v>108</v>
      </c>
    </row>
    <row r="192" spans="1:11" hidden="1" x14ac:dyDescent="0.3">
      <c r="A192" t="s">
        <v>15</v>
      </c>
      <c r="B192" t="s">
        <v>54</v>
      </c>
      <c r="C192" t="s">
        <v>78</v>
      </c>
      <c r="D192">
        <v>290</v>
      </c>
      <c r="E192">
        <f>Tableau1[[#This Row],[Potential (PJ)]]/3.6</f>
        <v>80.555555555555557</v>
      </c>
      <c r="F192">
        <v>7.4677996551724144</v>
      </c>
      <c r="G192">
        <f>Tableau1[[#This Row],[Cost (€/GJ)]]*3.6</f>
        <v>26.884078758620692</v>
      </c>
      <c r="H192">
        <v>3.86607608129234</v>
      </c>
      <c r="I192">
        <f>Tableau1[[#This Row],[GHG (kgCO2eq/GJ)]]*3.6</f>
        <v>13.917873892652425</v>
      </c>
      <c r="J192" t="s">
        <v>104</v>
      </c>
      <c r="K192" t="s">
        <v>108</v>
      </c>
    </row>
    <row r="193" spans="1:11" hidden="1" x14ac:dyDescent="0.3">
      <c r="A193" t="s">
        <v>16</v>
      </c>
      <c r="B193" t="s">
        <v>46</v>
      </c>
      <c r="C193" t="s">
        <v>64</v>
      </c>
      <c r="D193">
        <v>2.4599999999999999E-3</v>
      </c>
      <c r="E193">
        <f>Tableau1[[#This Row],[Potential (PJ)]]/3.6</f>
        <v>6.8333333333333332E-4</v>
      </c>
      <c r="F193">
        <v>5.3040487804878049</v>
      </c>
      <c r="G193">
        <f>Tableau1[[#This Row],[Cost (€/GJ)]]*3.6</f>
        <v>19.094575609756099</v>
      </c>
      <c r="H193">
        <v>2.9521711768407801</v>
      </c>
      <c r="I193">
        <f>Tableau1[[#This Row],[GHG (kgCO2eq/GJ)]]*3.6</f>
        <v>10.627816236626808</v>
      </c>
      <c r="J193" t="s">
        <v>104</v>
      </c>
      <c r="K193" t="s">
        <v>108</v>
      </c>
    </row>
    <row r="194" spans="1:11" hidden="1" x14ac:dyDescent="0.3">
      <c r="A194" t="s">
        <v>16</v>
      </c>
      <c r="B194" t="s">
        <v>46</v>
      </c>
      <c r="C194" t="s">
        <v>79</v>
      </c>
      <c r="D194">
        <v>7.6999999999999993</v>
      </c>
      <c r="E194">
        <f>Tableau1[[#This Row],[Potential (PJ)]]/3.6</f>
        <v>2.1388888888888888</v>
      </c>
      <c r="F194">
        <v>4.2991948051948059</v>
      </c>
      <c r="G194">
        <f>Tableau1[[#This Row],[Cost (€/GJ)]]*3.6</f>
        <v>15.477101298701301</v>
      </c>
      <c r="H194">
        <v>6.8428961748633883</v>
      </c>
      <c r="I194">
        <f>Tableau1[[#This Row],[GHG (kgCO2eq/GJ)]]*3.6</f>
        <v>24.634426229508197</v>
      </c>
      <c r="J194" t="s">
        <v>104</v>
      </c>
      <c r="K194" t="s">
        <v>108</v>
      </c>
    </row>
    <row r="195" spans="1:11" hidden="1" x14ac:dyDescent="0.3">
      <c r="A195" t="s">
        <v>16</v>
      </c>
      <c r="B195" t="s">
        <v>46</v>
      </c>
      <c r="C195" t="s">
        <v>80</v>
      </c>
      <c r="D195">
        <v>0.1628</v>
      </c>
      <c r="E195">
        <f>Tableau1[[#This Row],[Potential (PJ)]]/3.6</f>
        <v>4.5222222222222219E-2</v>
      </c>
      <c r="F195">
        <v>0.58125421443020897</v>
      </c>
      <c r="G195">
        <f>Tableau1[[#This Row],[Cost (€/GJ)]]*3.6</f>
        <v>2.0925151719487523</v>
      </c>
      <c r="H195">
        <v>28.139870918023309</v>
      </c>
      <c r="I195">
        <f>Tableau1[[#This Row],[GHG (kgCO2eq/GJ)]]*3.6</f>
        <v>101.30353530488391</v>
      </c>
      <c r="J195" t="s">
        <v>105</v>
      </c>
      <c r="K195" t="s">
        <v>108</v>
      </c>
    </row>
    <row r="196" spans="1:11" hidden="1" x14ac:dyDescent="0.3">
      <c r="A196" t="s">
        <v>16</v>
      </c>
      <c r="B196" t="s">
        <v>46</v>
      </c>
      <c r="C196" t="s">
        <v>81</v>
      </c>
      <c r="D196">
        <v>1.7349000000000001</v>
      </c>
      <c r="E196">
        <f>Tableau1[[#This Row],[Potential (PJ)]]/3.6</f>
        <v>0.48191666666666666</v>
      </c>
      <c r="F196">
        <v>1.7121034077555819</v>
      </c>
      <c r="G196">
        <f>Tableau1[[#This Row],[Cost (€/GJ)]]*3.6</f>
        <v>6.1635722679200953</v>
      </c>
      <c r="H196">
        <v>8.9647473560517046</v>
      </c>
      <c r="I196">
        <f>Tableau1[[#This Row],[GHG (kgCO2eq/GJ)]]*3.6</f>
        <v>32.273090481786134</v>
      </c>
      <c r="J196" t="s">
        <v>105</v>
      </c>
      <c r="K196" t="s">
        <v>108</v>
      </c>
    </row>
    <row r="197" spans="1:11" hidden="1" x14ac:dyDescent="0.3">
      <c r="A197" t="s">
        <v>16</v>
      </c>
      <c r="B197" t="s">
        <v>55</v>
      </c>
      <c r="C197" t="s">
        <v>86</v>
      </c>
      <c r="D197">
        <v>1.0725</v>
      </c>
      <c r="E197">
        <f>Tableau1[[#This Row],[Potential (PJ)]]/3.6</f>
        <v>0.29791666666666666</v>
      </c>
      <c r="F197">
        <v>18.36</v>
      </c>
      <c r="G197">
        <f>Tableau1[[#This Row],[Cost (€/GJ)]]*3.6</f>
        <v>66.096000000000004</v>
      </c>
      <c r="H197">
        <v>22.2</v>
      </c>
      <c r="I197">
        <f>Tableau1[[#This Row],[GHG (kgCO2eq/GJ)]]*3.6</f>
        <v>79.92</v>
      </c>
      <c r="J197" t="s">
        <v>106</v>
      </c>
      <c r="K197" t="s">
        <v>109</v>
      </c>
    </row>
    <row r="198" spans="1:11" hidden="1" x14ac:dyDescent="0.3">
      <c r="A198" t="s">
        <v>16</v>
      </c>
      <c r="B198" t="s">
        <v>55</v>
      </c>
      <c r="C198" t="s">
        <v>91</v>
      </c>
      <c r="D198">
        <v>3.3999999999999998E-3</v>
      </c>
      <c r="E198">
        <f>Tableau1[[#This Row],[Potential (PJ)]]/3.6</f>
        <v>9.4444444444444437E-4</v>
      </c>
      <c r="F198">
        <v>15.871</v>
      </c>
      <c r="G198">
        <f>Tableau1[[#This Row],[Cost (€/GJ)]]*3.6</f>
        <v>57.135600000000004</v>
      </c>
      <c r="H198">
        <v>22.2</v>
      </c>
      <c r="I198">
        <f>Tableau1[[#This Row],[GHG (kgCO2eq/GJ)]]*3.6</f>
        <v>79.92</v>
      </c>
      <c r="J198" t="s">
        <v>106</v>
      </c>
      <c r="K198" t="s">
        <v>109</v>
      </c>
    </row>
    <row r="199" spans="1:11" hidden="1" x14ac:dyDescent="0.3">
      <c r="A199" t="s">
        <v>16</v>
      </c>
      <c r="B199" t="s">
        <v>55</v>
      </c>
      <c r="C199" t="s">
        <v>92</v>
      </c>
      <c r="D199">
        <v>0.64588000000000001</v>
      </c>
      <c r="E199">
        <f>Tableau1[[#This Row],[Potential (PJ)]]/3.6</f>
        <v>0.1794111111111111</v>
      </c>
      <c r="F199">
        <v>17.760000000000002</v>
      </c>
      <c r="G199">
        <f>Tableau1[[#This Row],[Cost (€/GJ)]]*3.6</f>
        <v>63.936000000000007</v>
      </c>
      <c r="H199">
        <v>22.2</v>
      </c>
      <c r="I199">
        <f>Tableau1[[#This Row],[GHG (kgCO2eq/GJ)]]*3.6</f>
        <v>79.92</v>
      </c>
      <c r="J199" t="s">
        <v>106</v>
      </c>
      <c r="K199" t="s">
        <v>109</v>
      </c>
    </row>
    <row r="200" spans="1:11" hidden="1" x14ac:dyDescent="0.3">
      <c r="A200" t="s">
        <v>16</v>
      </c>
      <c r="B200" t="s">
        <v>56</v>
      </c>
      <c r="C200" t="s">
        <v>93</v>
      </c>
      <c r="D200">
        <v>2.6991000000000001</v>
      </c>
      <c r="E200">
        <f>Tableau1[[#This Row],[Potential (PJ)]]/3.6</f>
        <v>0.74975000000000003</v>
      </c>
      <c r="F200">
        <v>4.3084337349397588</v>
      </c>
      <c r="G200">
        <f>Tableau1[[#This Row],[Cost (€/GJ)]]*3.6</f>
        <v>15.510361445783133</v>
      </c>
      <c r="H200">
        <v>29.8</v>
      </c>
      <c r="I200">
        <f>Tableau1[[#This Row],[GHG (kgCO2eq/GJ)]]*3.6</f>
        <v>107.28</v>
      </c>
      <c r="J200" t="s">
        <v>106</v>
      </c>
      <c r="K200" t="s">
        <v>109</v>
      </c>
    </row>
    <row r="201" spans="1:11" hidden="1" x14ac:dyDescent="0.3">
      <c r="A201" t="s">
        <v>16</v>
      </c>
      <c r="B201" t="s">
        <v>49</v>
      </c>
      <c r="C201" t="s">
        <v>71</v>
      </c>
      <c r="D201">
        <v>3.7393200000000002</v>
      </c>
      <c r="E201">
        <f>Tableau1[[#This Row],[Potential (PJ)]]/3.6</f>
        <v>1.0387</v>
      </c>
      <c r="F201">
        <v>4.1204238364194561</v>
      </c>
      <c r="G201">
        <f>Tableau1[[#This Row],[Cost (€/GJ)]]*3.6</f>
        <v>14.833525811110043</v>
      </c>
      <c r="H201">
        <v>3.86607608129234</v>
      </c>
      <c r="I201">
        <f>Tableau1[[#This Row],[GHG (kgCO2eq/GJ)]]*3.6</f>
        <v>13.917873892652425</v>
      </c>
      <c r="J201" t="s">
        <v>104</v>
      </c>
      <c r="K201" t="s">
        <v>108</v>
      </c>
    </row>
    <row r="202" spans="1:11" hidden="1" x14ac:dyDescent="0.3">
      <c r="A202" t="s">
        <v>16</v>
      </c>
      <c r="B202" t="s">
        <v>49</v>
      </c>
      <c r="C202" t="s">
        <v>72</v>
      </c>
      <c r="D202">
        <v>1</v>
      </c>
      <c r="E202">
        <f>Tableau1[[#This Row],[Potential (PJ)]]/3.6</f>
        <v>0.27777777777777779</v>
      </c>
      <c r="F202">
        <v>3.3142999999999998</v>
      </c>
      <c r="G202">
        <f>Tableau1[[#This Row],[Cost (€/GJ)]]*3.6</f>
        <v>11.931479999999999</v>
      </c>
      <c r="H202">
        <v>3.86607608129234</v>
      </c>
      <c r="I202">
        <f>Tableau1[[#This Row],[GHG (kgCO2eq/GJ)]]*3.6</f>
        <v>13.917873892652425</v>
      </c>
      <c r="J202" t="s">
        <v>104</v>
      </c>
      <c r="K202" t="s">
        <v>108</v>
      </c>
    </row>
    <row r="203" spans="1:11" hidden="1" x14ac:dyDescent="0.3">
      <c r="A203" t="s">
        <v>16</v>
      </c>
      <c r="B203" t="s">
        <v>58</v>
      </c>
      <c r="C203" t="s">
        <v>95</v>
      </c>
      <c r="D203">
        <v>0.74134999999999995</v>
      </c>
      <c r="E203">
        <f>Tableau1[[#This Row],[Potential (PJ)]]/3.6</f>
        <v>0.20593055555555553</v>
      </c>
      <c r="F203">
        <v>2.6909999999999998</v>
      </c>
      <c r="G203">
        <f>Tableau1[[#This Row],[Cost (€/GJ)]]*3.6</f>
        <v>9.6875999999999998</v>
      </c>
      <c r="H203">
        <v>2.9521711768407801</v>
      </c>
      <c r="I203">
        <f>Tableau1[[#This Row],[GHG (kgCO2eq/GJ)]]*3.6</f>
        <v>10.627816236626808</v>
      </c>
      <c r="J203" t="s">
        <v>104</v>
      </c>
      <c r="K203" t="s">
        <v>108</v>
      </c>
    </row>
    <row r="204" spans="1:11" hidden="1" x14ac:dyDescent="0.3">
      <c r="A204" t="s">
        <v>16</v>
      </c>
      <c r="B204" t="s">
        <v>50</v>
      </c>
      <c r="C204" t="s">
        <v>73</v>
      </c>
      <c r="D204">
        <v>12.6</v>
      </c>
      <c r="E204">
        <f>Tableau1[[#This Row],[Potential (PJ)]]/3.6</f>
        <v>3.5</v>
      </c>
      <c r="F204">
        <v>6.6304365079365084</v>
      </c>
      <c r="G204">
        <f>Tableau1[[#This Row],[Cost (€/GJ)]]*3.6</f>
        <v>23.86957142857143</v>
      </c>
      <c r="H204">
        <v>20.723404255319149</v>
      </c>
      <c r="I204">
        <f>Tableau1[[#This Row],[GHG (kgCO2eq/GJ)]]*3.6</f>
        <v>74.604255319148933</v>
      </c>
      <c r="J204" t="s">
        <v>105</v>
      </c>
      <c r="K204" t="s">
        <v>108</v>
      </c>
    </row>
    <row r="205" spans="1:11" hidden="1" x14ac:dyDescent="0.3">
      <c r="A205" t="s">
        <v>16</v>
      </c>
      <c r="B205" t="s">
        <v>50</v>
      </c>
      <c r="C205" t="s">
        <v>74</v>
      </c>
      <c r="D205">
        <v>18.8</v>
      </c>
      <c r="E205">
        <f>Tableau1[[#This Row],[Potential (PJ)]]/3.6</f>
        <v>5.2222222222222223</v>
      </c>
      <c r="F205">
        <v>7.2406914893617031</v>
      </c>
      <c r="G205">
        <f>Tableau1[[#This Row],[Cost (€/GJ)]]*3.6</f>
        <v>26.066489361702132</v>
      </c>
      <c r="H205">
        <v>2.0635593220338988</v>
      </c>
      <c r="I205">
        <f>Tableau1[[#This Row],[GHG (kgCO2eq/GJ)]]*3.6</f>
        <v>7.4288135593220357</v>
      </c>
      <c r="J205" t="s">
        <v>105</v>
      </c>
      <c r="K205" t="s">
        <v>108</v>
      </c>
    </row>
    <row r="206" spans="1:11" hidden="1" x14ac:dyDescent="0.3">
      <c r="A206" t="s">
        <v>16</v>
      </c>
      <c r="B206" t="s">
        <v>51</v>
      </c>
      <c r="C206" t="s">
        <v>75</v>
      </c>
      <c r="D206">
        <v>19.639279999999999</v>
      </c>
      <c r="E206">
        <f>Tableau1[[#This Row],[Potential (PJ)]]/3.6</f>
        <v>5.4553555555555553</v>
      </c>
      <c r="F206">
        <v>2.7633642890676998E-3</v>
      </c>
      <c r="G206">
        <f>Tableau1[[#This Row],[Cost (€/GJ)]]*3.6</f>
        <v>9.9481114406437202E-3</v>
      </c>
      <c r="H206">
        <v>11.74</v>
      </c>
      <c r="I206">
        <f>Tableau1[[#This Row],[GHG (kgCO2eq/GJ)]]*3.6</f>
        <v>42.264000000000003</v>
      </c>
      <c r="J206" t="s">
        <v>104</v>
      </c>
      <c r="K206" t="s">
        <v>108</v>
      </c>
    </row>
    <row r="207" spans="1:11" hidden="1" x14ac:dyDescent="0.3">
      <c r="A207" t="s">
        <v>16</v>
      </c>
      <c r="B207" t="s">
        <v>60</v>
      </c>
      <c r="C207" t="s">
        <v>98</v>
      </c>
      <c r="D207">
        <v>7.1599999999999997E-3</v>
      </c>
      <c r="E207">
        <f>Tableau1[[#This Row],[Potential (PJ)]]/3.6</f>
        <v>1.9888888888888886E-3</v>
      </c>
      <c r="F207">
        <v>18.421052631578949</v>
      </c>
      <c r="G207">
        <f>Tableau1[[#This Row],[Cost (€/GJ)]]*3.6</f>
        <v>66.31578947368422</v>
      </c>
      <c r="H207">
        <v>32.6</v>
      </c>
      <c r="I207">
        <f>Tableau1[[#This Row],[GHG (kgCO2eq/GJ)]]*3.6</f>
        <v>117.36000000000001</v>
      </c>
      <c r="J207" t="s">
        <v>107</v>
      </c>
      <c r="K207" t="s">
        <v>109</v>
      </c>
    </row>
    <row r="208" spans="1:11" hidden="1" x14ac:dyDescent="0.3">
      <c r="A208" t="s">
        <v>16</v>
      </c>
      <c r="B208" t="s">
        <v>52</v>
      </c>
      <c r="C208" t="s">
        <v>76</v>
      </c>
      <c r="D208">
        <v>0.20399999999999999</v>
      </c>
      <c r="E208">
        <f>Tableau1[[#This Row],[Potential (PJ)]]/3.6</f>
        <v>5.6666666666666664E-2</v>
      </c>
      <c r="F208">
        <v>6.1837425000000001</v>
      </c>
      <c r="G208">
        <f>Tableau1[[#This Row],[Cost (€/GJ)]]*3.6</f>
        <v>22.261473000000002</v>
      </c>
      <c r="H208">
        <v>12.68872359754714</v>
      </c>
      <c r="I208">
        <f>Tableau1[[#This Row],[GHG (kgCO2eq/GJ)]]*3.6</f>
        <v>45.679404951169708</v>
      </c>
      <c r="J208" t="s">
        <v>105</v>
      </c>
      <c r="K208" t="s">
        <v>108</v>
      </c>
    </row>
    <row r="209" spans="1:11" hidden="1" x14ac:dyDescent="0.3">
      <c r="A209" t="s">
        <v>16</v>
      </c>
      <c r="B209" t="s">
        <v>53</v>
      </c>
      <c r="C209" t="s">
        <v>77</v>
      </c>
      <c r="D209">
        <v>3.3347099999999998</v>
      </c>
      <c r="E209">
        <f>Tableau1[[#This Row],[Potential (PJ)]]/3.6</f>
        <v>0.92630833333333329</v>
      </c>
      <c r="F209">
        <v>3.3153336691946231</v>
      </c>
      <c r="G209">
        <f>Tableau1[[#This Row],[Cost (€/GJ)]]*3.6</f>
        <v>11.935201209100644</v>
      </c>
      <c r="H209">
        <v>3.86607608129234</v>
      </c>
      <c r="I209">
        <f>Tableau1[[#This Row],[GHG (kgCO2eq/GJ)]]*3.6</f>
        <v>13.917873892652425</v>
      </c>
      <c r="J209" t="s">
        <v>104</v>
      </c>
      <c r="K209" t="s">
        <v>108</v>
      </c>
    </row>
    <row r="210" spans="1:11" hidden="1" x14ac:dyDescent="0.3">
      <c r="A210" t="s">
        <v>16</v>
      </c>
      <c r="B210" t="s">
        <v>61</v>
      </c>
      <c r="C210" t="s">
        <v>99</v>
      </c>
      <c r="D210">
        <v>0.1</v>
      </c>
      <c r="E210">
        <f>Tableau1[[#This Row],[Potential (PJ)]]/3.6</f>
        <v>2.777777777777778E-2</v>
      </c>
      <c r="F210">
        <v>2.008</v>
      </c>
      <c r="G210">
        <f>Tableau1[[#This Row],[Cost (€/GJ)]]*3.6</f>
        <v>7.2288000000000006</v>
      </c>
      <c r="H210">
        <v>2.9245635910224439</v>
      </c>
      <c r="I210">
        <f>Tableau1[[#This Row],[GHG (kgCO2eq/GJ)]]*3.6</f>
        <v>10.528428927680798</v>
      </c>
      <c r="J210" t="s">
        <v>104</v>
      </c>
      <c r="K210" t="s">
        <v>108</v>
      </c>
    </row>
    <row r="211" spans="1:11" hidden="1" x14ac:dyDescent="0.3">
      <c r="A211" t="s">
        <v>16</v>
      </c>
      <c r="B211" t="s">
        <v>54</v>
      </c>
      <c r="C211" t="s">
        <v>78</v>
      </c>
      <c r="D211">
        <v>13</v>
      </c>
      <c r="E211">
        <f>Tableau1[[#This Row],[Potential (PJ)]]/3.6</f>
        <v>3.6111111111111112</v>
      </c>
      <c r="F211">
        <v>6.3090846153846156</v>
      </c>
      <c r="G211">
        <f>Tableau1[[#This Row],[Cost (€/GJ)]]*3.6</f>
        <v>22.712704615384617</v>
      </c>
      <c r="H211">
        <v>3.86607608129234</v>
      </c>
      <c r="I211">
        <f>Tableau1[[#This Row],[GHG (kgCO2eq/GJ)]]*3.6</f>
        <v>13.917873892652425</v>
      </c>
      <c r="J211" t="s">
        <v>104</v>
      </c>
      <c r="K211" t="s">
        <v>108</v>
      </c>
    </row>
    <row r="212" spans="1:11" hidden="1" x14ac:dyDescent="0.3">
      <c r="A212" t="s">
        <v>17</v>
      </c>
      <c r="B212" t="s">
        <v>46</v>
      </c>
      <c r="C212" t="s">
        <v>64</v>
      </c>
      <c r="D212">
        <v>4.2999999999999999E-4</v>
      </c>
      <c r="E212">
        <f>Tableau1[[#This Row],[Potential (PJ)]]/3.6</f>
        <v>1.1944444444444444E-4</v>
      </c>
      <c r="F212">
        <v>5.2389999999999999</v>
      </c>
      <c r="G212">
        <f>Tableau1[[#This Row],[Cost (€/GJ)]]*3.6</f>
        <v>18.860399999999998</v>
      </c>
      <c r="H212">
        <v>2.9521711768407801</v>
      </c>
      <c r="I212">
        <f>Tableau1[[#This Row],[GHG (kgCO2eq/GJ)]]*3.6</f>
        <v>10.627816236626808</v>
      </c>
      <c r="J212" t="s">
        <v>104</v>
      </c>
      <c r="K212" t="s">
        <v>108</v>
      </c>
    </row>
    <row r="213" spans="1:11" hidden="1" x14ac:dyDescent="0.3">
      <c r="A213" t="s">
        <v>17</v>
      </c>
      <c r="B213" t="s">
        <v>46</v>
      </c>
      <c r="C213" t="s">
        <v>79</v>
      </c>
      <c r="D213">
        <v>3.7</v>
      </c>
      <c r="E213">
        <f>Tableau1[[#This Row],[Potential (PJ)]]/3.6</f>
        <v>1.0277777777777779</v>
      </c>
      <c r="F213">
        <v>2.427</v>
      </c>
      <c r="G213">
        <f>Tableau1[[#This Row],[Cost (€/GJ)]]*3.6</f>
        <v>8.7371999999999996</v>
      </c>
      <c r="H213">
        <v>6.8428961748633883</v>
      </c>
      <c r="I213">
        <f>Tableau1[[#This Row],[GHG (kgCO2eq/GJ)]]*3.6</f>
        <v>24.634426229508197</v>
      </c>
      <c r="J213" t="s">
        <v>104</v>
      </c>
      <c r="K213" t="s">
        <v>108</v>
      </c>
    </row>
    <row r="214" spans="1:11" hidden="1" x14ac:dyDescent="0.3">
      <c r="A214" t="s">
        <v>17</v>
      </c>
      <c r="B214" t="s">
        <v>46</v>
      </c>
      <c r="C214" t="s">
        <v>80</v>
      </c>
      <c r="D214">
        <v>2.5499999999999998E-2</v>
      </c>
      <c r="E214">
        <f>Tableau1[[#This Row],[Potential (PJ)]]/3.6</f>
        <v>7.083333333333333E-3</v>
      </c>
      <c r="F214">
        <v>0.28186109238031021</v>
      </c>
      <c r="G214">
        <f>Tableau1[[#This Row],[Cost (€/GJ)]]*3.6</f>
        <v>1.0146999325691168</v>
      </c>
      <c r="H214">
        <v>28.139870918023309</v>
      </c>
      <c r="I214">
        <f>Tableau1[[#This Row],[GHG (kgCO2eq/GJ)]]*3.6</f>
        <v>101.30353530488391</v>
      </c>
      <c r="J214" t="s">
        <v>105</v>
      </c>
      <c r="K214" t="s">
        <v>108</v>
      </c>
    </row>
    <row r="215" spans="1:11" hidden="1" x14ac:dyDescent="0.3">
      <c r="A215" t="s">
        <v>17</v>
      </c>
      <c r="B215" t="s">
        <v>46</v>
      </c>
      <c r="C215" t="s">
        <v>81</v>
      </c>
      <c r="D215">
        <v>0.39400000000000002</v>
      </c>
      <c r="E215">
        <f>Tableau1[[#This Row],[Potential (PJ)]]/3.6</f>
        <v>0.10944444444444444</v>
      </c>
      <c r="F215">
        <v>2.0681551116333732</v>
      </c>
      <c r="G215">
        <f>Tableau1[[#This Row],[Cost (€/GJ)]]*3.6</f>
        <v>7.445358401880144</v>
      </c>
      <c r="H215">
        <v>8.9647473560517046</v>
      </c>
      <c r="I215">
        <f>Tableau1[[#This Row],[GHG (kgCO2eq/GJ)]]*3.6</f>
        <v>32.273090481786134</v>
      </c>
      <c r="J215" t="s">
        <v>105</v>
      </c>
      <c r="K215" t="s">
        <v>108</v>
      </c>
    </row>
    <row r="216" spans="1:11" hidden="1" x14ac:dyDescent="0.3">
      <c r="A216" t="s">
        <v>17</v>
      </c>
      <c r="B216" t="s">
        <v>55</v>
      </c>
      <c r="C216" t="s">
        <v>86</v>
      </c>
      <c r="D216">
        <v>4.5873999999999997</v>
      </c>
      <c r="E216">
        <f>Tableau1[[#This Row],[Potential (PJ)]]/3.6</f>
        <v>1.2742777777777776</v>
      </c>
      <c r="F216">
        <v>13.441000000000001</v>
      </c>
      <c r="G216">
        <f>Tableau1[[#This Row],[Cost (€/GJ)]]*3.6</f>
        <v>48.387600000000006</v>
      </c>
      <c r="H216">
        <v>27</v>
      </c>
      <c r="I216">
        <f>Tableau1[[#This Row],[GHG (kgCO2eq/GJ)]]*3.6</f>
        <v>97.2</v>
      </c>
      <c r="J216" t="s">
        <v>106</v>
      </c>
      <c r="K216" t="s">
        <v>109</v>
      </c>
    </row>
    <row r="217" spans="1:11" hidden="1" x14ac:dyDescent="0.3">
      <c r="A217" t="s">
        <v>17</v>
      </c>
      <c r="B217" t="s">
        <v>55</v>
      </c>
      <c r="C217" t="s">
        <v>89</v>
      </c>
      <c r="D217">
        <v>1.1900000000000001E-2</v>
      </c>
      <c r="E217">
        <f>Tableau1[[#This Row],[Potential (PJ)]]/3.6</f>
        <v>3.3055555555555555E-3</v>
      </c>
      <c r="F217">
        <v>0</v>
      </c>
      <c r="G217">
        <f>Tableau1[[#This Row],[Cost (€/GJ)]]*3.6</f>
        <v>0</v>
      </c>
      <c r="H217">
        <v>27</v>
      </c>
      <c r="I217">
        <f>Tableau1[[#This Row],[GHG (kgCO2eq/GJ)]]*3.6</f>
        <v>97.2</v>
      </c>
      <c r="J217" t="s">
        <v>106</v>
      </c>
      <c r="K217" t="s">
        <v>109</v>
      </c>
    </row>
    <row r="218" spans="1:11" hidden="1" x14ac:dyDescent="0.3">
      <c r="A218" t="s">
        <v>17</v>
      </c>
      <c r="B218" t="s">
        <v>55</v>
      </c>
      <c r="C218" t="s">
        <v>91</v>
      </c>
      <c r="D218">
        <v>4.2643000000000004</v>
      </c>
      <c r="E218">
        <f>Tableau1[[#This Row],[Potential (PJ)]]/3.6</f>
        <v>1.1845277777777778</v>
      </c>
      <c r="F218">
        <v>14.701000000000001</v>
      </c>
      <c r="G218">
        <f>Tableau1[[#This Row],[Cost (€/GJ)]]*3.6</f>
        <v>52.9236</v>
      </c>
      <c r="H218">
        <v>27</v>
      </c>
      <c r="I218">
        <f>Tableau1[[#This Row],[GHG (kgCO2eq/GJ)]]*3.6</f>
        <v>97.2</v>
      </c>
      <c r="J218" t="s">
        <v>106</v>
      </c>
      <c r="K218" t="s">
        <v>109</v>
      </c>
    </row>
    <row r="219" spans="1:11" hidden="1" x14ac:dyDescent="0.3">
      <c r="A219" t="s">
        <v>17</v>
      </c>
      <c r="B219" t="s">
        <v>55</v>
      </c>
      <c r="C219" t="s">
        <v>92</v>
      </c>
      <c r="D219">
        <v>5.2555899999999998</v>
      </c>
      <c r="E219">
        <f>Tableau1[[#This Row],[Potential (PJ)]]/3.6</f>
        <v>1.459886111111111</v>
      </c>
      <c r="F219">
        <v>15.894</v>
      </c>
      <c r="G219">
        <f>Tableau1[[#This Row],[Cost (€/GJ)]]*3.6</f>
        <v>57.218400000000003</v>
      </c>
      <c r="H219">
        <v>27</v>
      </c>
      <c r="I219">
        <f>Tableau1[[#This Row],[GHG (kgCO2eq/GJ)]]*3.6</f>
        <v>97.2</v>
      </c>
      <c r="J219" t="s">
        <v>106</v>
      </c>
      <c r="K219" t="s">
        <v>109</v>
      </c>
    </row>
    <row r="220" spans="1:11" x14ac:dyDescent="0.3">
      <c r="A220" t="s">
        <v>17</v>
      </c>
      <c r="B220" t="s">
        <v>47</v>
      </c>
      <c r="C220" t="s">
        <v>101</v>
      </c>
      <c r="D220">
        <v>0.9</v>
      </c>
      <c r="E220">
        <f>Tableau1[[#This Row],[Potential (PJ)]]/3.6</f>
        <v>0.25</v>
      </c>
      <c r="F220">
        <v>3.2829999999999999</v>
      </c>
      <c r="G220">
        <f>Tableau1[[#This Row],[Cost (€/GJ)]]*3.6</f>
        <v>11.8188</v>
      </c>
      <c r="H220">
        <v>44</v>
      </c>
      <c r="I220">
        <f>Tableau1[[#This Row],[GHG (kgCO2eq/GJ)]]*3.6</f>
        <v>158.4</v>
      </c>
      <c r="J220" t="s">
        <v>104</v>
      </c>
      <c r="K220" t="s">
        <v>109</v>
      </c>
    </row>
    <row r="221" spans="1:11" x14ac:dyDescent="0.3">
      <c r="A221" t="s">
        <v>17</v>
      </c>
      <c r="B221" t="s">
        <v>57</v>
      </c>
      <c r="C221" t="s">
        <v>94</v>
      </c>
      <c r="D221">
        <v>0.7</v>
      </c>
      <c r="E221">
        <f>Tableau1[[#This Row],[Potential (PJ)]]/3.6</f>
        <v>0.19444444444444442</v>
      </c>
      <c r="F221">
        <v>8.9320000000000004</v>
      </c>
      <c r="G221">
        <f>Tableau1[[#This Row],[Cost (€/GJ)]]*3.6</f>
        <v>32.155200000000001</v>
      </c>
      <c r="H221">
        <v>19.899999999999999</v>
      </c>
      <c r="I221">
        <f>Tableau1[[#This Row],[GHG (kgCO2eq/GJ)]]*3.6</f>
        <v>71.64</v>
      </c>
      <c r="J221" t="s">
        <v>104</v>
      </c>
      <c r="K221" t="s">
        <v>109</v>
      </c>
    </row>
    <row r="222" spans="1:11" hidden="1" x14ac:dyDescent="0.3">
      <c r="A222" t="s">
        <v>17</v>
      </c>
      <c r="B222" t="s">
        <v>49</v>
      </c>
      <c r="C222" t="s">
        <v>71</v>
      </c>
      <c r="D222">
        <v>6.6710000000000003</v>
      </c>
      <c r="E222">
        <f>Tableau1[[#This Row],[Potential (PJ)]]/3.6</f>
        <v>1.8530555555555557</v>
      </c>
      <c r="F222">
        <v>2.4390000000000001</v>
      </c>
      <c r="G222">
        <f>Tableau1[[#This Row],[Cost (€/GJ)]]*3.6</f>
        <v>8.7804000000000002</v>
      </c>
      <c r="H222">
        <v>3.86607608129234</v>
      </c>
      <c r="I222">
        <f>Tableau1[[#This Row],[GHG (kgCO2eq/GJ)]]*3.6</f>
        <v>13.917873892652425</v>
      </c>
      <c r="J222" t="s">
        <v>104</v>
      </c>
      <c r="K222" t="s">
        <v>108</v>
      </c>
    </row>
    <row r="223" spans="1:11" hidden="1" x14ac:dyDescent="0.3">
      <c r="A223" t="s">
        <v>17</v>
      </c>
      <c r="B223" t="s">
        <v>49</v>
      </c>
      <c r="C223" t="s">
        <v>72</v>
      </c>
      <c r="D223">
        <v>0.8</v>
      </c>
      <c r="E223">
        <f>Tableau1[[#This Row],[Potential (PJ)]]/3.6</f>
        <v>0.22222222222222224</v>
      </c>
      <c r="F223">
        <v>3.2690000000000001</v>
      </c>
      <c r="G223">
        <f>Tableau1[[#This Row],[Cost (€/GJ)]]*3.6</f>
        <v>11.768400000000002</v>
      </c>
      <c r="H223">
        <v>3.86607608129234</v>
      </c>
      <c r="I223">
        <f>Tableau1[[#This Row],[GHG (kgCO2eq/GJ)]]*3.6</f>
        <v>13.917873892652425</v>
      </c>
      <c r="J223" t="s">
        <v>104</v>
      </c>
      <c r="K223" t="s">
        <v>108</v>
      </c>
    </row>
    <row r="224" spans="1:11" hidden="1" x14ac:dyDescent="0.3">
      <c r="A224" t="s">
        <v>17</v>
      </c>
      <c r="B224" t="s">
        <v>50</v>
      </c>
      <c r="C224" t="s">
        <v>73</v>
      </c>
      <c r="D224">
        <v>0.9</v>
      </c>
      <c r="E224">
        <f>Tableau1[[#This Row],[Potential (PJ)]]/3.6</f>
        <v>0.25</v>
      </c>
      <c r="F224">
        <v>5.0869999999999997</v>
      </c>
      <c r="G224">
        <f>Tableau1[[#This Row],[Cost (€/GJ)]]*3.6</f>
        <v>18.313199999999998</v>
      </c>
      <c r="H224">
        <v>20.723404255319149</v>
      </c>
      <c r="I224">
        <f>Tableau1[[#This Row],[GHG (kgCO2eq/GJ)]]*3.6</f>
        <v>74.604255319148933</v>
      </c>
      <c r="J224" t="s">
        <v>105</v>
      </c>
      <c r="K224" t="s">
        <v>108</v>
      </c>
    </row>
    <row r="225" spans="1:11" hidden="1" x14ac:dyDescent="0.3">
      <c r="A225" t="s">
        <v>17</v>
      </c>
      <c r="B225" t="s">
        <v>50</v>
      </c>
      <c r="C225" t="s">
        <v>74</v>
      </c>
      <c r="D225">
        <v>5.7</v>
      </c>
      <c r="E225">
        <f>Tableau1[[#This Row],[Potential (PJ)]]/3.6</f>
        <v>1.5833333333333333</v>
      </c>
      <c r="F225">
        <v>3.69</v>
      </c>
      <c r="G225">
        <f>Tableau1[[#This Row],[Cost (€/GJ)]]*3.6</f>
        <v>13.284000000000001</v>
      </c>
      <c r="H225">
        <v>2.0635593220338988</v>
      </c>
      <c r="I225">
        <f>Tableau1[[#This Row],[GHG (kgCO2eq/GJ)]]*3.6</f>
        <v>7.4288135593220357</v>
      </c>
      <c r="J225" t="s">
        <v>105</v>
      </c>
      <c r="K225" t="s">
        <v>108</v>
      </c>
    </row>
    <row r="226" spans="1:11" hidden="1" x14ac:dyDescent="0.3">
      <c r="A226" t="s">
        <v>17</v>
      </c>
      <c r="B226" t="s">
        <v>51</v>
      </c>
      <c r="C226" t="s">
        <v>75</v>
      </c>
      <c r="D226">
        <v>2.5611890000000002</v>
      </c>
      <c r="E226">
        <f>Tableau1[[#This Row],[Potential (PJ)]]/3.6</f>
        <v>0.71144138888888897</v>
      </c>
      <c r="F226">
        <v>2.6144037233426201E-3</v>
      </c>
      <c r="G226">
        <f>Tableau1[[#This Row],[Cost (€/GJ)]]*3.6</f>
        <v>9.411853404033433E-3</v>
      </c>
      <c r="H226">
        <v>11.74</v>
      </c>
      <c r="I226">
        <f>Tableau1[[#This Row],[GHG (kgCO2eq/GJ)]]*3.6</f>
        <v>42.264000000000003</v>
      </c>
      <c r="J226" t="s">
        <v>104</v>
      </c>
      <c r="K226" t="s">
        <v>108</v>
      </c>
    </row>
    <row r="227" spans="1:11" hidden="1" x14ac:dyDescent="0.3">
      <c r="A227" t="s">
        <v>17</v>
      </c>
      <c r="B227" t="s">
        <v>60</v>
      </c>
      <c r="C227" t="s">
        <v>98</v>
      </c>
      <c r="D227">
        <v>6.4700000000000001E-3</v>
      </c>
      <c r="E227">
        <f>Tableau1[[#This Row],[Potential (PJ)]]/3.6</f>
        <v>1.7972222222222222E-3</v>
      </c>
      <c r="F227">
        <v>18.045112781954892</v>
      </c>
      <c r="G227">
        <f>Tableau1[[#This Row],[Cost (€/GJ)]]*3.6</f>
        <v>64.962406015037615</v>
      </c>
      <c r="H227">
        <v>41.8</v>
      </c>
      <c r="I227">
        <f>Tableau1[[#This Row],[GHG (kgCO2eq/GJ)]]*3.6</f>
        <v>150.47999999999999</v>
      </c>
      <c r="J227" t="s">
        <v>107</v>
      </c>
      <c r="K227" t="s">
        <v>109</v>
      </c>
    </row>
    <row r="228" spans="1:11" hidden="1" x14ac:dyDescent="0.3">
      <c r="A228" t="s">
        <v>17</v>
      </c>
      <c r="B228" t="s">
        <v>53</v>
      </c>
      <c r="C228" t="s">
        <v>77</v>
      </c>
      <c r="D228">
        <v>3.8556300000000001</v>
      </c>
      <c r="E228">
        <f>Tableau1[[#This Row],[Potential (PJ)]]/3.6</f>
        <v>1.0710083333333333</v>
      </c>
      <c r="F228">
        <v>3.2690000000000001</v>
      </c>
      <c r="G228">
        <f>Tableau1[[#This Row],[Cost (€/GJ)]]*3.6</f>
        <v>11.768400000000002</v>
      </c>
      <c r="H228">
        <v>3.86607608129234</v>
      </c>
      <c r="I228">
        <f>Tableau1[[#This Row],[GHG (kgCO2eq/GJ)]]*3.6</f>
        <v>13.917873892652425</v>
      </c>
      <c r="J228" t="s">
        <v>104</v>
      </c>
      <c r="K228" t="s">
        <v>108</v>
      </c>
    </row>
    <row r="229" spans="1:11" hidden="1" x14ac:dyDescent="0.3">
      <c r="A229" t="s">
        <v>17</v>
      </c>
      <c r="B229" t="s">
        <v>54</v>
      </c>
      <c r="C229" t="s">
        <v>78</v>
      </c>
      <c r="D229">
        <v>32.200000000000003</v>
      </c>
      <c r="E229">
        <f>Tableau1[[#This Row],[Potential (PJ)]]/3.6</f>
        <v>8.9444444444444446</v>
      </c>
      <c r="F229">
        <v>3.2429999999999999</v>
      </c>
      <c r="G229">
        <f>Tableau1[[#This Row],[Cost (€/GJ)]]*3.6</f>
        <v>11.674799999999999</v>
      </c>
      <c r="H229">
        <v>3.86607608129234</v>
      </c>
      <c r="I229">
        <f>Tableau1[[#This Row],[GHG (kgCO2eq/GJ)]]*3.6</f>
        <v>13.917873892652425</v>
      </c>
      <c r="J229" t="s">
        <v>104</v>
      </c>
      <c r="K229" t="s">
        <v>108</v>
      </c>
    </row>
    <row r="230" spans="1:11" hidden="1" x14ac:dyDescent="0.3">
      <c r="A230" t="s">
        <v>18</v>
      </c>
      <c r="B230" t="s">
        <v>46</v>
      </c>
      <c r="C230" t="s">
        <v>63</v>
      </c>
      <c r="D230">
        <v>0.5363</v>
      </c>
      <c r="E230">
        <f>Tableau1[[#This Row],[Potential (PJ)]]/3.6</f>
        <v>0.14897222222222223</v>
      </c>
      <c r="F230">
        <v>2.9286474973375931</v>
      </c>
      <c r="G230">
        <f>Tableau1[[#This Row],[Cost (€/GJ)]]*3.6</f>
        <v>10.543130990415335</v>
      </c>
      <c r="H230">
        <v>3.950479233226837</v>
      </c>
      <c r="I230">
        <f>Tableau1[[#This Row],[GHG (kgCO2eq/GJ)]]*3.6</f>
        <v>14.221725239616614</v>
      </c>
      <c r="J230" t="s">
        <v>104</v>
      </c>
      <c r="K230" t="s">
        <v>108</v>
      </c>
    </row>
    <row r="231" spans="1:11" hidden="1" x14ac:dyDescent="0.3">
      <c r="A231" t="s">
        <v>18</v>
      </c>
      <c r="B231" t="s">
        <v>46</v>
      </c>
      <c r="C231" t="s">
        <v>64</v>
      </c>
      <c r="D231">
        <v>0.11293</v>
      </c>
      <c r="E231">
        <f>Tableau1[[#This Row],[Potential (PJ)]]/3.6</f>
        <v>3.1369444444444443E-2</v>
      </c>
      <c r="F231">
        <v>5.0455390064641827</v>
      </c>
      <c r="G231">
        <f>Tableau1[[#This Row],[Cost (€/GJ)]]*3.6</f>
        <v>18.163940423271058</v>
      </c>
      <c r="H231">
        <v>2.9521711768407801</v>
      </c>
      <c r="I231">
        <f>Tableau1[[#This Row],[GHG (kgCO2eq/GJ)]]*3.6</f>
        <v>10.627816236626808</v>
      </c>
      <c r="J231" t="s">
        <v>104</v>
      </c>
      <c r="K231" t="s">
        <v>108</v>
      </c>
    </row>
    <row r="232" spans="1:11" hidden="1" x14ac:dyDescent="0.3">
      <c r="A232" t="s">
        <v>18</v>
      </c>
      <c r="B232" t="s">
        <v>46</v>
      </c>
      <c r="C232" t="s">
        <v>79</v>
      </c>
      <c r="D232">
        <v>1.2</v>
      </c>
      <c r="E232">
        <f>Tableau1[[#This Row],[Potential (PJ)]]/3.6</f>
        <v>0.33333333333333331</v>
      </c>
      <c r="F232">
        <v>3.3184999999999998</v>
      </c>
      <c r="G232">
        <f>Tableau1[[#This Row],[Cost (€/GJ)]]*3.6</f>
        <v>11.9466</v>
      </c>
      <c r="H232">
        <v>6.8428961748633883</v>
      </c>
      <c r="I232">
        <f>Tableau1[[#This Row],[GHG (kgCO2eq/GJ)]]*3.6</f>
        <v>24.634426229508197</v>
      </c>
      <c r="J232" t="s">
        <v>104</v>
      </c>
      <c r="K232" t="s">
        <v>108</v>
      </c>
    </row>
    <row r="233" spans="1:11" hidden="1" x14ac:dyDescent="0.3">
      <c r="A233" t="s">
        <v>18</v>
      </c>
      <c r="B233" t="s">
        <v>46</v>
      </c>
      <c r="C233" t="s">
        <v>65</v>
      </c>
      <c r="D233">
        <v>0.1</v>
      </c>
      <c r="E233">
        <f>Tableau1[[#This Row],[Potential (PJ)]]/3.6</f>
        <v>2.777777777777778E-2</v>
      </c>
      <c r="F233">
        <v>4.6619999999999999</v>
      </c>
      <c r="G233">
        <f>Tableau1[[#This Row],[Cost (€/GJ)]]*3.6</f>
        <v>16.783200000000001</v>
      </c>
      <c r="H233">
        <v>2.9521711768407801</v>
      </c>
      <c r="I233">
        <f>Tableau1[[#This Row],[GHG (kgCO2eq/GJ)]]*3.6</f>
        <v>10.627816236626808</v>
      </c>
      <c r="J233" t="s">
        <v>104</v>
      </c>
      <c r="K233" t="s">
        <v>108</v>
      </c>
    </row>
    <row r="234" spans="1:11" hidden="1" x14ac:dyDescent="0.3">
      <c r="A234" t="s">
        <v>18</v>
      </c>
      <c r="B234" t="s">
        <v>46</v>
      </c>
      <c r="C234" t="s">
        <v>80</v>
      </c>
      <c r="D234">
        <v>0.27829999999999999</v>
      </c>
      <c r="E234">
        <f>Tableau1[[#This Row],[Potential (PJ)]]/3.6</f>
        <v>7.7305555555555558E-2</v>
      </c>
      <c r="F234">
        <v>1.2016183412002699</v>
      </c>
      <c r="G234">
        <f>Tableau1[[#This Row],[Cost (€/GJ)]]*3.6</f>
        <v>4.3258260283209715</v>
      </c>
      <c r="H234">
        <v>28.139870918023309</v>
      </c>
      <c r="I234">
        <f>Tableau1[[#This Row],[GHG (kgCO2eq/GJ)]]*3.6</f>
        <v>101.30353530488391</v>
      </c>
      <c r="J234" t="s">
        <v>105</v>
      </c>
      <c r="K234" t="s">
        <v>108</v>
      </c>
    </row>
    <row r="235" spans="1:11" hidden="1" x14ac:dyDescent="0.3">
      <c r="A235" t="s">
        <v>18</v>
      </c>
      <c r="B235" t="s">
        <v>46</v>
      </c>
      <c r="C235" t="s">
        <v>81</v>
      </c>
      <c r="D235">
        <v>0.11840000000000001</v>
      </c>
      <c r="E235">
        <f>Tableau1[[#This Row],[Potential (PJ)]]/3.6</f>
        <v>3.2888888888888891E-2</v>
      </c>
      <c r="F235">
        <v>2.6686251468860172</v>
      </c>
      <c r="G235">
        <f>Tableau1[[#This Row],[Cost (€/GJ)]]*3.6</f>
        <v>9.6070505287896619</v>
      </c>
      <c r="H235">
        <v>8.9647473560517046</v>
      </c>
      <c r="I235">
        <f>Tableau1[[#This Row],[GHG (kgCO2eq/GJ)]]*3.6</f>
        <v>32.273090481786134</v>
      </c>
      <c r="J235" t="s">
        <v>105</v>
      </c>
      <c r="K235" t="s">
        <v>108</v>
      </c>
    </row>
    <row r="236" spans="1:11" hidden="1" x14ac:dyDescent="0.3">
      <c r="A236" t="s">
        <v>18</v>
      </c>
      <c r="B236" t="s">
        <v>46</v>
      </c>
      <c r="C236" t="s">
        <v>66</v>
      </c>
      <c r="D236">
        <v>1</v>
      </c>
      <c r="E236">
        <f>Tableau1[[#This Row],[Potential (PJ)]]/3.6</f>
        <v>0.27777777777777779</v>
      </c>
      <c r="F236">
        <v>3.4626999999999999</v>
      </c>
      <c r="G236">
        <f>Tableau1[[#This Row],[Cost (€/GJ)]]*3.6</f>
        <v>12.465719999999999</v>
      </c>
      <c r="H236">
        <v>6.8428961748633883</v>
      </c>
      <c r="I236">
        <f>Tableau1[[#This Row],[GHG (kgCO2eq/GJ)]]*3.6</f>
        <v>24.634426229508197</v>
      </c>
      <c r="J236" t="s">
        <v>104</v>
      </c>
      <c r="K236" t="s">
        <v>108</v>
      </c>
    </row>
    <row r="237" spans="1:11" hidden="1" x14ac:dyDescent="0.3">
      <c r="A237" t="s">
        <v>18</v>
      </c>
      <c r="B237" t="s">
        <v>46</v>
      </c>
      <c r="C237" t="s">
        <v>67</v>
      </c>
      <c r="D237">
        <v>1.4</v>
      </c>
      <c r="E237">
        <f>Tableau1[[#This Row],[Potential (PJ)]]/3.6</f>
        <v>0.38888888888888884</v>
      </c>
      <c r="F237">
        <v>6.5860714285714286</v>
      </c>
      <c r="G237">
        <f>Tableau1[[#This Row],[Cost (€/GJ)]]*3.6</f>
        <v>23.709857142857143</v>
      </c>
      <c r="H237">
        <v>2.9521711768407801</v>
      </c>
      <c r="I237">
        <f>Tableau1[[#This Row],[GHG (kgCO2eq/GJ)]]*3.6</f>
        <v>10.627816236626808</v>
      </c>
      <c r="J237" t="s">
        <v>104</v>
      </c>
      <c r="K237" t="s">
        <v>108</v>
      </c>
    </row>
    <row r="238" spans="1:11" hidden="1" x14ac:dyDescent="0.3">
      <c r="A238" t="s">
        <v>18</v>
      </c>
      <c r="B238" t="s">
        <v>46</v>
      </c>
      <c r="C238" t="s">
        <v>82</v>
      </c>
      <c r="D238">
        <v>0.1</v>
      </c>
      <c r="E238">
        <f>Tableau1[[#This Row],[Potential (PJ)]]/3.6</f>
        <v>2.777777777777778E-2</v>
      </c>
      <c r="F238">
        <v>2.1059999999999999</v>
      </c>
      <c r="G238">
        <f>Tableau1[[#This Row],[Cost (€/GJ)]]*3.6</f>
        <v>7.5815999999999999</v>
      </c>
      <c r="H238">
        <v>6.8428961748633883</v>
      </c>
      <c r="I238">
        <f>Tableau1[[#This Row],[GHG (kgCO2eq/GJ)]]*3.6</f>
        <v>24.634426229508197</v>
      </c>
      <c r="J238" t="s">
        <v>104</v>
      </c>
      <c r="K238" t="s">
        <v>108</v>
      </c>
    </row>
    <row r="239" spans="1:11" hidden="1" x14ac:dyDescent="0.3">
      <c r="A239" t="s">
        <v>18</v>
      </c>
      <c r="B239" t="s">
        <v>46</v>
      </c>
      <c r="C239" t="s">
        <v>83</v>
      </c>
      <c r="D239">
        <v>0.27040999999999998</v>
      </c>
      <c r="E239">
        <f>Tableau1[[#This Row],[Potential (PJ)]]/3.6</f>
        <v>7.5113888888888883E-2</v>
      </c>
      <c r="F239">
        <v>3.2242706630671938</v>
      </c>
      <c r="G239">
        <f>Tableau1[[#This Row],[Cost (€/GJ)]]*3.6</f>
        <v>11.607374387041897</v>
      </c>
      <c r="H239">
        <v>6.8428961748633883</v>
      </c>
      <c r="I239">
        <f>Tableau1[[#This Row],[GHG (kgCO2eq/GJ)]]*3.6</f>
        <v>24.634426229508197</v>
      </c>
      <c r="J239" t="s">
        <v>104</v>
      </c>
      <c r="K239" t="s">
        <v>108</v>
      </c>
    </row>
    <row r="240" spans="1:11" hidden="1" x14ac:dyDescent="0.3">
      <c r="A240" t="s">
        <v>18</v>
      </c>
      <c r="B240" t="s">
        <v>46</v>
      </c>
      <c r="C240" t="s">
        <v>84</v>
      </c>
      <c r="D240">
        <v>0.1</v>
      </c>
      <c r="E240">
        <f>Tableau1[[#This Row],[Potential (PJ)]]/3.6</f>
        <v>2.777777777777778E-2</v>
      </c>
      <c r="F240">
        <v>2.3239999999999998</v>
      </c>
      <c r="G240">
        <f>Tableau1[[#This Row],[Cost (€/GJ)]]*3.6</f>
        <v>8.3664000000000005</v>
      </c>
      <c r="H240">
        <v>28.139870918023309</v>
      </c>
      <c r="I240">
        <f>Tableau1[[#This Row],[GHG (kgCO2eq/GJ)]]*3.6</f>
        <v>101.30353530488391</v>
      </c>
      <c r="J240" t="s">
        <v>105</v>
      </c>
      <c r="K240" t="s">
        <v>108</v>
      </c>
    </row>
    <row r="241" spans="1:11" hidden="1" x14ac:dyDescent="0.3">
      <c r="A241" t="s">
        <v>18</v>
      </c>
      <c r="B241" t="s">
        <v>55</v>
      </c>
      <c r="C241" t="s">
        <v>86</v>
      </c>
      <c r="D241">
        <v>0.21510000000000001</v>
      </c>
      <c r="E241">
        <f>Tableau1[[#This Row],[Potential (PJ)]]/3.6</f>
        <v>5.9750000000000004E-2</v>
      </c>
      <c r="F241">
        <v>21.38900000000001</v>
      </c>
      <c r="G241">
        <f>Tableau1[[#This Row],[Cost (€/GJ)]]*3.6</f>
        <v>77.000400000000042</v>
      </c>
      <c r="I241">
        <f>Tableau1[[#This Row],[GHG (kgCO2eq/GJ)]]*3.6</f>
        <v>0</v>
      </c>
      <c r="J241" t="s">
        <v>106</v>
      </c>
      <c r="K241" t="s">
        <v>109</v>
      </c>
    </row>
    <row r="242" spans="1:11" hidden="1" x14ac:dyDescent="0.3">
      <c r="A242" t="s">
        <v>18</v>
      </c>
      <c r="B242" t="s">
        <v>55</v>
      </c>
      <c r="C242" t="s">
        <v>87</v>
      </c>
      <c r="D242">
        <v>6.4614000000000003</v>
      </c>
      <c r="E242">
        <f>Tableau1[[#This Row],[Potential (PJ)]]/3.6</f>
        <v>1.7948333333333333</v>
      </c>
      <c r="F242">
        <v>29.125</v>
      </c>
      <c r="G242">
        <f>Tableau1[[#This Row],[Cost (€/GJ)]]*3.6</f>
        <v>104.85000000000001</v>
      </c>
      <c r="I242">
        <f>Tableau1[[#This Row],[GHG (kgCO2eq/GJ)]]*3.6</f>
        <v>0</v>
      </c>
      <c r="J242" t="s">
        <v>106</v>
      </c>
      <c r="K242" t="s">
        <v>109</v>
      </c>
    </row>
    <row r="243" spans="1:11" hidden="1" x14ac:dyDescent="0.3">
      <c r="A243" t="s">
        <v>18</v>
      </c>
      <c r="B243" t="s">
        <v>55</v>
      </c>
      <c r="C243" t="s">
        <v>88</v>
      </c>
      <c r="D243">
        <v>0.214</v>
      </c>
      <c r="E243">
        <f>Tableau1[[#This Row],[Potential (PJ)]]/3.6</f>
        <v>5.9444444444444439E-2</v>
      </c>
      <c r="F243">
        <v>24.968</v>
      </c>
      <c r="G243">
        <f>Tableau1[[#This Row],[Cost (€/GJ)]]*3.6</f>
        <v>89.884799999999998</v>
      </c>
      <c r="I243">
        <f>Tableau1[[#This Row],[GHG (kgCO2eq/GJ)]]*3.6</f>
        <v>0</v>
      </c>
      <c r="J243" t="s">
        <v>106</v>
      </c>
      <c r="K243" t="s">
        <v>109</v>
      </c>
    </row>
    <row r="244" spans="1:11" hidden="1" x14ac:dyDescent="0.3">
      <c r="A244" t="s">
        <v>18</v>
      </c>
      <c r="B244" t="s">
        <v>55</v>
      </c>
      <c r="C244" t="s">
        <v>89</v>
      </c>
      <c r="D244">
        <v>1.78E-2</v>
      </c>
      <c r="E244">
        <f>Tableau1[[#This Row],[Potential (PJ)]]/3.6</f>
        <v>4.944444444444444E-3</v>
      </c>
      <c r="F244">
        <v>0</v>
      </c>
      <c r="G244">
        <f>Tableau1[[#This Row],[Cost (€/GJ)]]*3.6</f>
        <v>0</v>
      </c>
      <c r="I244">
        <f>Tableau1[[#This Row],[GHG (kgCO2eq/GJ)]]*3.6</f>
        <v>0</v>
      </c>
      <c r="J244" t="s">
        <v>106</v>
      </c>
      <c r="K244" t="s">
        <v>109</v>
      </c>
    </row>
    <row r="245" spans="1:11" hidden="1" x14ac:dyDescent="0.3">
      <c r="A245" t="s">
        <v>18</v>
      </c>
      <c r="B245" t="s">
        <v>56</v>
      </c>
      <c r="C245" t="s">
        <v>93</v>
      </c>
      <c r="D245">
        <v>21.774100000000001</v>
      </c>
      <c r="E245">
        <f>Tableau1[[#This Row],[Potential (PJ)]]/3.6</f>
        <v>6.0483611111111113</v>
      </c>
      <c r="F245">
        <v>2.939759036144578</v>
      </c>
      <c r="G245">
        <f>Tableau1[[#This Row],[Cost (€/GJ)]]*3.6</f>
        <v>10.583132530120482</v>
      </c>
      <c r="I245">
        <f>Tableau1[[#This Row],[GHG (kgCO2eq/GJ)]]*3.6</f>
        <v>0</v>
      </c>
      <c r="J245" t="s">
        <v>106</v>
      </c>
      <c r="K245" t="s">
        <v>109</v>
      </c>
    </row>
    <row r="246" spans="1:11" x14ac:dyDescent="0.3">
      <c r="A246" t="s">
        <v>18</v>
      </c>
      <c r="B246" t="s">
        <v>47</v>
      </c>
      <c r="C246" t="s">
        <v>68</v>
      </c>
      <c r="D246">
        <v>7.7</v>
      </c>
      <c r="E246">
        <f>Tableau1[[#This Row],[Potential (PJ)]]/3.6</f>
        <v>2.1388888888888888</v>
      </c>
      <c r="F246">
        <v>6.7157792207792211</v>
      </c>
      <c r="G246">
        <f>Tableau1[[#This Row],[Cost (€/GJ)]]*3.6</f>
        <v>24.176805194805198</v>
      </c>
      <c r="I246">
        <f>Tableau1[[#This Row],[GHG (kgCO2eq/GJ)]]*3.6</f>
        <v>0</v>
      </c>
      <c r="J246" t="s">
        <v>104</v>
      </c>
      <c r="K246" t="s">
        <v>109</v>
      </c>
    </row>
    <row r="247" spans="1:11" x14ac:dyDescent="0.3">
      <c r="A247" t="s">
        <v>18</v>
      </c>
      <c r="B247" t="s">
        <v>47</v>
      </c>
      <c r="C247" t="s">
        <v>69</v>
      </c>
      <c r="D247">
        <v>3.4</v>
      </c>
      <c r="E247">
        <f>Tableau1[[#This Row],[Potential (PJ)]]/3.6</f>
        <v>0.94444444444444442</v>
      </c>
      <c r="F247">
        <v>11.30576470588235</v>
      </c>
      <c r="G247">
        <f>Tableau1[[#This Row],[Cost (€/GJ)]]*3.6</f>
        <v>40.700752941176461</v>
      </c>
      <c r="I247">
        <f>Tableau1[[#This Row],[GHG (kgCO2eq/GJ)]]*3.6</f>
        <v>0</v>
      </c>
      <c r="J247" t="s">
        <v>104</v>
      </c>
      <c r="K247" t="s">
        <v>109</v>
      </c>
    </row>
    <row r="248" spans="1:11" x14ac:dyDescent="0.3">
      <c r="A248" t="s">
        <v>18</v>
      </c>
      <c r="B248" t="s">
        <v>48</v>
      </c>
      <c r="C248" t="s">
        <v>70</v>
      </c>
      <c r="D248">
        <v>3.4</v>
      </c>
      <c r="E248">
        <f>Tableau1[[#This Row],[Potential (PJ)]]/3.6</f>
        <v>0.94444444444444442</v>
      </c>
      <c r="F248">
        <v>15.802882352941181</v>
      </c>
      <c r="G248">
        <f>Tableau1[[#This Row],[Cost (€/GJ)]]*3.6</f>
        <v>56.890376470588251</v>
      </c>
      <c r="I248">
        <f>Tableau1[[#This Row],[GHG (kgCO2eq/GJ)]]*3.6</f>
        <v>0</v>
      </c>
      <c r="J248" t="s">
        <v>104</v>
      </c>
      <c r="K248" t="s">
        <v>109</v>
      </c>
    </row>
    <row r="249" spans="1:11" hidden="1" x14ac:dyDescent="0.3">
      <c r="A249" t="s">
        <v>18</v>
      </c>
      <c r="B249" t="s">
        <v>49</v>
      </c>
      <c r="C249" t="s">
        <v>71</v>
      </c>
      <c r="D249">
        <v>1.6387400000000001</v>
      </c>
      <c r="E249">
        <f>Tableau1[[#This Row],[Potential (PJ)]]/3.6</f>
        <v>0.45520555555555559</v>
      </c>
      <c r="F249">
        <v>4.3552875379865013</v>
      </c>
      <c r="G249">
        <f>Tableau1[[#This Row],[Cost (€/GJ)]]*3.6</f>
        <v>15.679035136751406</v>
      </c>
      <c r="H249">
        <v>3.86607608129234</v>
      </c>
      <c r="I249">
        <f>Tableau1[[#This Row],[GHG (kgCO2eq/GJ)]]*3.6</f>
        <v>13.917873892652425</v>
      </c>
      <c r="J249" t="s">
        <v>104</v>
      </c>
      <c r="K249" t="s">
        <v>108</v>
      </c>
    </row>
    <row r="250" spans="1:11" hidden="1" x14ac:dyDescent="0.3">
      <c r="A250" t="s">
        <v>18</v>
      </c>
      <c r="B250" t="s">
        <v>49</v>
      </c>
      <c r="C250" t="s">
        <v>72</v>
      </c>
      <c r="D250">
        <v>0.2</v>
      </c>
      <c r="E250">
        <f>Tableau1[[#This Row],[Potential (PJ)]]/3.6</f>
        <v>5.5555555555555559E-2</v>
      </c>
      <c r="F250">
        <v>3.49</v>
      </c>
      <c r="G250">
        <f>Tableau1[[#This Row],[Cost (€/GJ)]]*3.6</f>
        <v>12.564000000000002</v>
      </c>
      <c r="H250">
        <v>3.86607608129234</v>
      </c>
      <c r="I250">
        <f>Tableau1[[#This Row],[GHG (kgCO2eq/GJ)]]*3.6</f>
        <v>13.917873892652425</v>
      </c>
      <c r="J250" t="s">
        <v>104</v>
      </c>
      <c r="K250" t="s">
        <v>108</v>
      </c>
    </row>
    <row r="251" spans="1:11" hidden="1" x14ac:dyDescent="0.3">
      <c r="A251" t="s">
        <v>18</v>
      </c>
      <c r="B251" t="s">
        <v>58</v>
      </c>
      <c r="C251" t="s">
        <v>95</v>
      </c>
      <c r="D251">
        <v>1.56128</v>
      </c>
      <c r="E251">
        <f>Tableau1[[#This Row],[Potential (PJ)]]/3.6</f>
        <v>0.4336888888888889</v>
      </c>
      <c r="F251">
        <v>2.6909999999999998</v>
      </c>
      <c r="G251">
        <f>Tableau1[[#This Row],[Cost (€/GJ)]]*3.6</f>
        <v>9.6875999999999998</v>
      </c>
      <c r="H251">
        <v>2.9521711768407801</v>
      </c>
      <c r="I251">
        <f>Tableau1[[#This Row],[GHG (kgCO2eq/GJ)]]*3.6</f>
        <v>10.627816236626808</v>
      </c>
      <c r="J251" t="s">
        <v>104</v>
      </c>
      <c r="K251" t="s">
        <v>108</v>
      </c>
    </row>
    <row r="252" spans="1:11" hidden="1" x14ac:dyDescent="0.3">
      <c r="A252" t="s">
        <v>18</v>
      </c>
      <c r="B252" t="s">
        <v>50</v>
      </c>
      <c r="C252" t="s">
        <v>73</v>
      </c>
      <c r="D252">
        <v>0.60000000000000009</v>
      </c>
      <c r="E252">
        <f>Tableau1[[#This Row],[Potential (PJ)]]/3.6</f>
        <v>0.16666666666666669</v>
      </c>
      <c r="F252">
        <v>5.3504999999999994</v>
      </c>
      <c r="G252">
        <f>Tableau1[[#This Row],[Cost (€/GJ)]]*3.6</f>
        <v>19.261799999999997</v>
      </c>
      <c r="H252">
        <v>20.723404255319149</v>
      </c>
      <c r="I252">
        <f>Tableau1[[#This Row],[GHG (kgCO2eq/GJ)]]*3.6</f>
        <v>74.604255319148933</v>
      </c>
      <c r="J252" t="s">
        <v>105</v>
      </c>
      <c r="K252" t="s">
        <v>108</v>
      </c>
    </row>
    <row r="253" spans="1:11" hidden="1" x14ac:dyDescent="0.3">
      <c r="A253" t="s">
        <v>18</v>
      </c>
      <c r="B253" t="s">
        <v>50</v>
      </c>
      <c r="C253" t="s">
        <v>74</v>
      </c>
      <c r="D253">
        <v>2.8</v>
      </c>
      <c r="E253">
        <f>Tableau1[[#This Row],[Potential (PJ)]]/3.6</f>
        <v>0.77777777777777768</v>
      </c>
      <c r="F253">
        <v>4.6416071428571426</v>
      </c>
      <c r="G253">
        <f>Tableau1[[#This Row],[Cost (€/GJ)]]*3.6</f>
        <v>16.709785714285715</v>
      </c>
      <c r="H253">
        <v>2.0635593220338988</v>
      </c>
      <c r="I253">
        <f>Tableau1[[#This Row],[GHG (kgCO2eq/GJ)]]*3.6</f>
        <v>7.4288135593220357</v>
      </c>
      <c r="J253" t="s">
        <v>105</v>
      </c>
      <c r="K253" t="s">
        <v>108</v>
      </c>
    </row>
    <row r="254" spans="1:11" hidden="1" x14ac:dyDescent="0.3">
      <c r="A254" t="s">
        <v>18</v>
      </c>
      <c r="B254" t="s">
        <v>59</v>
      </c>
      <c r="C254" t="s">
        <v>96</v>
      </c>
      <c r="D254">
        <v>1.7846</v>
      </c>
      <c r="E254">
        <f>Tableau1[[#This Row],[Potential (PJ)]]/3.6</f>
        <v>0.49572222222222218</v>
      </c>
      <c r="F254">
        <v>28.3</v>
      </c>
      <c r="G254">
        <f>Tableau1[[#This Row],[Cost (€/GJ)]]*3.6</f>
        <v>101.88000000000001</v>
      </c>
      <c r="I254">
        <f>Tableau1[[#This Row],[GHG (kgCO2eq/GJ)]]*3.6</f>
        <v>0</v>
      </c>
      <c r="J254" t="s">
        <v>107</v>
      </c>
      <c r="K254" t="s">
        <v>109</v>
      </c>
    </row>
    <row r="255" spans="1:11" hidden="1" x14ac:dyDescent="0.3">
      <c r="A255" t="s">
        <v>18</v>
      </c>
      <c r="B255" t="s">
        <v>59</v>
      </c>
      <c r="C255" t="s">
        <v>97</v>
      </c>
      <c r="D255">
        <v>1.5201</v>
      </c>
      <c r="E255">
        <f>Tableau1[[#This Row],[Potential (PJ)]]/3.6</f>
        <v>0.42225000000000001</v>
      </c>
      <c r="F255">
        <v>19.96744438415627</v>
      </c>
      <c r="G255">
        <f>Tableau1[[#This Row],[Cost (€/GJ)]]*3.6</f>
        <v>71.882799782962579</v>
      </c>
      <c r="I255">
        <f>Tableau1[[#This Row],[GHG (kgCO2eq/GJ)]]*3.6</f>
        <v>0</v>
      </c>
      <c r="J255" t="s">
        <v>107</v>
      </c>
      <c r="K255" t="s">
        <v>109</v>
      </c>
    </row>
    <row r="256" spans="1:11" hidden="1" x14ac:dyDescent="0.3">
      <c r="A256" t="s">
        <v>18</v>
      </c>
      <c r="B256" t="s">
        <v>51</v>
      </c>
      <c r="C256" t="s">
        <v>75</v>
      </c>
      <c r="D256">
        <v>2.3352179999999998</v>
      </c>
      <c r="E256">
        <f>Tableau1[[#This Row],[Potential (PJ)]]/3.6</f>
        <v>0.64867166666666665</v>
      </c>
      <c r="F256">
        <v>5.9742422014761098E-2</v>
      </c>
      <c r="G256">
        <f>Tableau1[[#This Row],[Cost (€/GJ)]]*3.6</f>
        <v>0.21507271925313995</v>
      </c>
      <c r="H256">
        <v>11.74</v>
      </c>
      <c r="I256">
        <f>Tableau1[[#This Row],[GHG (kgCO2eq/GJ)]]*3.6</f>
        <v>42.264000000000003</v>
      </c>
      <c r="J256" t="s">
        <v>104</v>
      </c>
      <c r="K256" t="s">
        <v>108</v>
      </c>
    </row>
    <row r="257" spans="1:11" hidden="1" x14ac:dyDescent="0.3">
      <c r="A257" t="s">
        <v>18</v>
      </c>
      <c r="B257" t="s">
        <v>52</v>
      </c>
      <c r="C257" t="s">
        <v>76</v>
      </c>
      <c r="D257">
        <v>0.39700000000000002</v>
      </c>
      <c r="E257">
        <f>Tableau1[[#This Row],[Potential (PJ)]]/3.6</f>
        <v>0.11027777777777778</v>
      </c>
      <c r="F257">
        <v>0</v>
      </c>
      <c r="G257">
        <f>Tableau1[[#This Row],[Cost (€/GJ)]]*3.6</f>
        <v>0</v>
      </c>
      <c r="H257">
        <v>12.68872359754714</v>
      </c>
      <c r="I257">
        <f>Tableau1[[#This Row],[GHG (kgCO2eq/GJ)]]*3.6</f>
        <v>45.679404951169708</v>
      </c>
      <c r="J257" t="s">
        <v>105</v>
      </c>
      <c r="K257" t="s">
        <v>108</v>
      </c>
    </row>
    <row r="258" spans="1:11" hidden="1" x14ac:dyDescent="0.3">
      <c r="A258" t="s">
        <v>18</v>
      </c>
      <c r="B258" t="s">
        <v>53</v>
      </c>
      <c r="C258" t="s">
        <v>77</v>
      </c>
      <c r="D258">
        <v>2.44815</v>
      </c>
      <c r="E258">
        <f>Tableau1[[#This Row],[Potential (PJ)]]/3.6</f>
        <v>0.68004166666666666</v>
      </c>
      <c r="F258">
        <v>3.491960390498948</v>
      </c>
      <c r="G258">
        <f>Tableau1[[#This Row],[Cost (€/GJ)]]*3.6</f>
        <v>12.571057405796212</v>
      </c>
      <c r="H258">
        <v>3.86607608129234</v>
      </c>
      <c r="I258">
        <f>Tableau1[[#This Row],[GHG (kgCO2eq/GJ)]]*3.6</f>
        <v>13.917873892652425</v>
      </c>
      <c r="J258" t="s">
        <v>104</v>
      </c>
      <c r="K258" t="s">
        <v>108</v>
      </c>
    </row>
    <row r="259" spans="1:11" hidden="1" x14ac:dyDescent="0.3">
      <c r="A259" t="s">
        <v>18</v>
      </c>
      <c r="B259" t="s">
        <v>61</v>
      </c>
      <c r="C259" t="s">
        <v>99</v>
      </c>
      <c r="D259">
        <v>0.1</v>
      </c>
      <c r="E259">
        <f>Tableau1[[#This Row],[Potential (PJ)]]/3.6</f>
        <v>2.777777777777778E-2</v>
      </c>
      <c r="F259">
        <v>1.7</v>
      </c>
      <c r="G259">
        <f>Tableau1[[#This Row],[Cost (€/GJ)]]*3.6</f>
        <v>6.12</v>
      </c>
      <c r="H259">
        <v>2.9245635910224439</v>
      </c>
      <c r="I259">
        <f>Tableau1[[#This Row],[GHG (kgCO2eq/GJ)]]*3.6</f>
        <v>10.528428927680798</v>
      </c>
      <c r="J259" t="s">
        <v>104</v>
      </c>
      <c r="K259" t="s">
        <v>108</v>
      </c>
    </row>
    <row r="260" spans="1:11" hidden="1" x14ac:dyDescent="0.3">
      <c r="A260" t="s">
        <v>18</v>
      </c>
      <c r="B260" t="s">
        <v>54</v>
      </c>
      <c r="C260" t="s">
        <v>78</v>
      </c>
      <c r="D260">
        <v>10.6</v>
      </c>
      <c r="E260">
        <f>Tableau1[[#This Row],[Potential (PJ)]]/3.6</f>
        <v>2.9444444444444442</v>
      </c>
      <c r="F260">
        <v>7.2476415094339623</v>
      </c>
      <c r="G260">
        <f>Tableau1[[#This Row],[Cost (€/GJ)]]*3.6</f>
        <v>26.091509433962266</v>
      </c>
      <c r="H260">
        <v>3.86607608129234</v>
      </c>
      <c r="I260">
        <f>Tableau1[[#This Row],[GHG (kgCO2eq/GJ)]]*3.6</f>
        <v>13.917873892652425</v>
      </c>
      <c r="J260" t="s">
        <v>104</v>
      </c>
      <c r="K260" t="s">
        <v>108</v>
      </c>
    </row>
    <row r="261" spans="1:11" hidden="1" x14ac:dyDescent="0.3">
      <c r="A261" t="s">
        <v>19</v>
      </c>
      <c r="B261" t="s">
        <v>46</v>
      </c>
      <c r="C261" t="s">
        <v>63</v>
      </c>
      <c r="D261">
        <v>1.3144</v>
      </c>
      <c r="E261">
        <f>Tableau1[[#This Row],[Potential (PJ)]]/3.6</f>
        <v>0.36511111111111111</v>
      </c>
      <c r="F261">
        <v>2.9286474973375931</v>
      </c>
      <c r="G261">
        <f>Tableau1[[#This Row],[Cost (€/GJ)]]*3.6</f>
        <v>10.543130990415335</v>
      </c>
      <c r="H261">
        <v>3.950479233226837</v>
      </c>
      <c r="I261">
        <f>Tableau1[[#This Row],[GHG (kgCO2eq/GJ)]]*3.6</f>
        <v>14.221725239616614</v>
      </c>
      <c r="J261" t="s">
        <v>104</v>
      </c>
      <c r="K261" t="s">
        <v>108</v>
      </c>
    </row>
    <row r="262" spans="1:11" hidden="1" x14ac:dyDescent="0.3">
      <c r="A262" t="s">
        <v>19</v>
      </c>
      <c r="B262" t="s">
        <v>46</v>
      </c>
      <c r="C262" t="s">
        <v>64</v>
      </c>
      <c r="D262">
        <v>0.13897999999999999</v>
      </c>
      <c r="E262">
        <f>Tableau1[[#This Row],[Potential (PJ)]]/3.6</f>
        <v>3.8605555555555553E-2</v>
      </c>
      <c r="F262">
        <v>5.2082978126349122</v>
      </c>
      <c r="G262">
        <f>Tableau1[[#This Row],[Cost (€/GJ)]]*3.6</f>
        <v>18.749872125485684</v>
      </c>
      <c r="H262">
        <v>2.9521711768407801</v>
      </c>
      <c r="I262">
        <f>Tableau1[[#This Row],[GHG (kgCO2eq/GJ)]]*3.6</f>
        <v>10.627816236626808</v>
      </c>
      <c r="J262" t="s">
        <v>104</v>
      </c>
      <c r="K262" t="s">
        <v>108</v>
      </c>
    </row>
    <row r="263" spans="1:11" hidden="1" x14ac:dyDescent="0.3">
      <c r="A263" t="s">
        <v>19</v>
      </c>
      <c r="B263" t="s">
        <v>46</v>
      </c>
      <c r="C263" t="s">
        <v>79</v>
      </c>
      <c r="D263">
        <v>18.7</v>
      </c>
      <c r="E263">
        <f>Tableau1[[#This Row],[Potential (PJ)]]/3.6</f>
        <v>5.1944444444444438</v>
      </c>
      <c r="F263">
        <v>2.2454866310160431</v>
      </c>
      <c r="G263">
        <f>Tableau1[[#This Row],[Cost (€/GJ)]]*3.6</f>
        <v>8.0837518716577552</v>
      </c>
      <c r="H263">
        <v>6.8428961748633883</v>
      </c>
      <c r="I263">
        <f>Tableau1[[#This Row],[GHG (kgCO2eq/GJ)]]*3.6</f>
        <v>24.634426229508197</v>
      </c>
      <c r="J263" t="s">
        <v>104</v>
      </c>
      <c r="K263" t="s">
        <v>108</v>
      </c>
    </row>
    <row r="264" spans="1:11" hidden="1" x14ac:dyDescent="0.3">
      <c r="A264" t="s">
        <v>19</v>
      </c>
      <c r="B264" t="s">
        <v>46</v>
      </c>
      <c r="C264" t="s">
        <v>65</v>
      </c>
      <c r="D264">
        <v>1.6</v>
      </c>
      <c r="E264">
        <f>Tableau1[[#This Row],[Potential (PJ)]]/3.6</f>
        <v>0.44444444444444448</v>
      </c>
      <c r="F264">
        <v>5.1907500000000004</v>
      </c>
      <c r="G264">
        <f>Tableau1[[#This Row],[Cost (€/GJ)]]*3.6</f>
        <v>18.686700000000002</v>
      </c>
      <c r="H264">
        <v>2.9521711768407801</v>
      </c>
      <c r="I264">
        <f>Tableau1[[#This Row],[GHG (kgCO2eq/GJ)]]*3.6</f>
        <v>10.627816236626808</v>
      </c>
      <c r="J264" t="s">
        <v>104</v>
      </c>
      <c r="K264" t="s">
        <v>108</v>
      </c>
    </row>
    <row r="265" spans="1:11" hidden="1" x14ac:dyDescent="0.3">
      <c r="A265" t="s">
        <v>19</v>
      </c>
      <c r="B265" t="s">
        <v>46</v>
      </c>
      <c r="C265" t="s">
        <v>102</v>
      </c>
      <c r="D265">
        <v>1</v>
      </c>
      <c r="E265">
        <f>Tableau1[[#This Row],[Potential (PJ)]]/3.6</f>
        <v>0.27777777777777779</v>
      </c>
      <c r="F265">
        <v>4.4396000000000004</v>
      </c>
      <c r="G265">
        <f>Tableau1[[#This Row],[Cost (€/GJ)]]*3.6</f>
        <v>15.982560000000001</v>
      </c>
      <c r="H265">
        <v>2.9521711768407801</v>
      </c>
      <c r="I265">
        <f>Tableau1[[#This Row],[GHG (kgCO2eq/GJ)]]*3.6</f>
        <v>10.627816236626808</v>
      </c>
      <c r="J265" t="s">
        <v>104</v>
      </c>
      <c r="K265" t="s">
        <v>108</v>
      </c>
    </row>
    <row r="266" spans="1:11" hidden="1" x14ac:dyDescent="0.3">
      <c r="A266" t="s">
        <v>19</v>
      </c>
      <c r="B266" t="s">
        <v>46</v>
      </c>
      <c r="C266" t="s">
        <v>80</v>
      </c>
      <c r="D266">
        <v>2.3751000000000002</v>
      </c>
      <c r="E266">
        <f>Tableau1[[#This Row],[Potential (PJ)]]/3.6</f>
        <v>0.65975000000000006</v>
      </c>
      <c r="F266">
        <v>0.53674983142279165</v>
      </c>
      <c r="G266">
        <f>Tableau1[[#This Row],[Cost (€/GJ)]]*3.6</f>
        <v>1.93229939312205</v>
      </c>
      <c r="H266">
        <v>28.139870918023309</v>
      </c>
      <c r="I266">
        <f>Tableau1[[#This Row],[GHG (kgCO2eq/GJ)]]*3.6</f>
        <v>101.30353530488391</v>
      </c>
      <c r="J266" t="s">
        <v>105</v>
      </c>
      <c r="K266" t="s">
        <v>108</v>
      </c>
    </row>
    <row r="267" spans="1:11" hidden="1" x14ac:dyDescent="0.3">
      <c r="A267" t="s">
        <v>19</v>
      </c>
      <c r="B267" t="s">
        <v>46</v>
      </c>
      <c r="C267" t="s">
        <v>81</v>
      </c>
      <c r="D267">
        <v>0.51869999999999994</v>
      </c>
      <c r="E267">
        <f>Tableau1[[#This Row],[Potential (PJ)]]/3.6</f>
        <v>0.14408333333333331</v>
      </c>
      <c r="F267">
        <v>1.0987074030552291</v>
      </c>
      <c r="G267">
        <f>Tableau1[[#This Row],[Cost (€/GJ)]]*3.6</f>
        <v>3.9553466509988247</v>
      </c>
      <c r="H267">
        <v>8.9647473560517046</v>
      </c>
      <c r="I267">
        <f>Tableau1[[#This Row],[GHG (kgCO2eq/GJ)]]*3.6</f>
        <v>32.273090481786134</v>
      </c>
      <c r="J267" t="s">
        <v>105</v>
      </c>
      <c r="K267" t="s">
        <v>108</v>
      </c>
    </row>
    <row r="268" spans="1:11" hidden="1" x14ac:dyDescent="0.3">
      <c r="A268" t="s">
        <v>19</v>
      </c>
      <c r="B268" t="s">
        <v>46</v>
      </c>
      <c r="C268" t="s">
        <v>66</v>
      </c>
      <c r="D268">
        <v>1.3</v>
      </c>
      <c r="E268">
        <f>Tableau1[[#This Row],[Potential (PJ)]]/3.6</f>
        <v>0.3611111111111111</v>
      </c>
      <c r="F268">
        <v>2.3268461538461538</v>
      </c>
      <c r="G268">
        <f>Tableau1[[#This Row],[Cost (€/GJ)]]*3.6</f>
        <v>8.3766461538461545</v>
      </c>
      <c r="H268">
        <v>6.8428961748633883</v>
      </c>
      <c r="I268">
        <f>Tableau1[[#This Row],[GHG (kgCO2eq/GJ)]]*3.6</f>
        <v>24.634426229508197</v>
      </c>
      <c r="J268" t="s">
        <v>104</v>
      </c>
      <c r="K268" t="s">
        <v>108</v>
      </c>
    </row>
    <row r="269" spans="1:11" hidden="1" x14ac:dyDescent="0.3">
      <c r="A269" t="s">
        <v>19</v>
      </c>
      <c r="B269" t="s">
        <v>46</v>
      </c>
      <c r="C269" t="s">
        <v>67</v>
      </c>
      <c r="D269">
        <v>3.4</v>
      </c>
      <c r="E269">
        <f>Tableau1[[#This Row],[Potential (PJ)]]/3.6</f>
        <v>0.94444444444444442</v>
      </c>
      <c r="F269">
        <v>7.7384117647058828</v>
      </c>
      <c r="G269">
        <f>Tableau1[[#This Row],[Cost (€/GJ)]]*3.6</f>
        <v>27.858282352941178</v>
      </c>
      <c r="H269">
        <v>2.9521711768407801</v>
      </c>
      <c r="I269">
        <f>Tableau1[[#This Row],[GHG (kgCO2eq/GJ)]]*3.6</f>
        <v>10.627816236626808</v>
      </c>
      <c r="J269" t="s">
        <v>104</v>
      </c>
      <c r="K269" t="s">
        <v>108</v>
      </c>
    </row>
    <row r="270" spans="1:11" hidden="1" x14ac:dyDescent="0.3">
      <c r="A270" t="s">
        <v>19</v>
      </c>
      <c r="B270" t="s">
        <v>46</v>
      </c>
      <c r="C270" t="s">
        <v>82</v>
      </c>
      <c r="D270">
        <v>0.89999999999999991</v>
      </c>
      <c r="E270">
        <f>Tableau1[[#This Row],[Potential (PJ)]]/3.6</f>
        <v>0.24999999999999997</v>
      </c>
      <c r="F270">
        <v>1.562888888888889</v>
      </c>
      <c r="G270">
        <f>Tableau1[[#This Row],[Cost (€/GJ)]]*3.6</f>
        <v>5.6264000000000003</v>
      </c>
      <c r="H270">
        <v>6.8428961748633883</v>
      </c>
      <c r="I270">
        <f>Tableau1[[#This Row],[GHG (kgCO2eq/GJ)]]*3.6</f>
        <v>24.634426229508197</v>
      </c>
      <c r="J270" t="s">
        <v>104</v>
      </c>
      <c r="K270" t="s">
        <v>108</v>
      </c>
    </row>
    <row r="271" spans="1:11" hidden="1" x14ac:dyDescent="0.3">
      <c r="A271" t="s">
        <v>19</v>
      </c>
      <c r="B271" t="s">
        <v>46</v>
      </c>
      <c r="C271" t="s">
        <v>83</v>
      </c>
      <c r="D271">
        <v>0.76061000000000001</v>
      </c>
      <c r="E271">
        <f>Tableau1[[#This Row],[Potential (PJ)]]/3.6</f>
        <v>0.21128055555555555</v>
      </c>
      <c r="F271">
        <v>2.2062105678337121</v>
      </c>
      <c r="G271">
        <f>Tableau1[[#This Row],[Cost (€/GJ)]]*3.6</f>
        <v>7.9423580442013639</v>
      </c>
      <c r="H271">
        <v>6.8428961748633883</v>
      </c>
      <c r="I271">
        <f>Tableau1[[#This Row],[GHG (kgCO2eq/GJ)]]*3.6</f>
        <v>24.634426229508197</v>
      </c>
      <c r="J271" t="s">
        <v>104</v>
      </c>
      <c r="K271" t="s">
        <v>108</v>
      </c>
    </row>
    <row r="272" spans="1:11" hidden="1" x14ac:dyDescent="0.3">
      <c r="A272" t="s">
        <v>19</v>
      </c>
      <c r="B272" t="s">
        <v>46</v>
      </c>
      <c r="C272" t="s">
        <v>84</v>
      </c>
      <c r="D272">
        <v>0.7</v>
      </c>
      <c r="E272">
        <f>Tableau1[[#This Row],[Potential (PJ)]]/3.6</f>
        <v>0.19444444444444442</v>
      </c>
      <c r="F272">
        <v>1.744285714285714</v>
      </c>
      <c r="G272">
        <f>Tableau1[[#This Row],[Cost (€/GJ)]]*3.6</f>
        <v>6.2794285714285705</v>
      </c>
      <c r="H272">
        <v>28.139870918023309</v>
      </c>
      <c r="I272">
        <f>Tableau1[[#This Row],[GHG (kgCO2eq/GJ)]]*3.6</f>
        <v>101.30353530488391</v>
      </c>
      <c r="J272" t="s">
        <v>105</v>
      </c>
      <c r="K272" t="s">
        <v>108</v>
      </c>
    </row>
    <row r="273" spans="1:11" hidden="1" x14ac:dyDescent="0.3">
      <c r="A273" t="s">
        <v>19</v>
      </c>
      <c r="B273" t="s">
        <v>46</v>
      </c>
      <c r="C273" t="s">
        <v>85</v>
      </c>
      <c r="D273">
        <v>1.4</v>
      </c>
      <c r="E273">
        <f>Tableau1[[#This Row],[Potential (PJ)]]/3.6</f>
        <v>0.38888888888888884</v>
      </c>
      <c r="F273">
        <v>3.7719999999999998</v>
      </c>
      <c r="G273">
        <f>Tableau1[[#This Row],[Cost (€/GJ)]]*3.6</f>
        <v>13.5792</v>
      </c>
      <c r="H273">
        <v>2.9521711768407801</v>
      </c>
      <c r="I273">
        <f>Tableau1[[#This Row],[GHG (kgCO2eq/GJ)]]*3.6</f>
        <v>10.627816236626808</v>
      </c>
      <c r="J273" t="s">
        <v>104</v>
      </c>
      <c r="K273" t="s">
        <v>108</v>
      </c>
    </row>
    <row r="274" spans="1:11" hidden="1" x14ac:dyDescent="0.3">
      <c r="A274" t="s">
        <v>19</v>
      </c>
      <c r="B274" t="s">
        <v>55</v>
      </c>
      <c r="C274" t="s">
        <v>86</v>
      </c>
      <c r="D274">
        <v>13.4678</v>
      </c>
      <c r="E274">
        <f>Tableau1[[#This Row],[Potential (PJ)]]/3.6</f>
        <v>3.7410555555555556</v>
      </c>
      <c r="F274">
        <v>18.76499999999999</v>
      </c>
      <c r="G274">
        <f>Tableau1[[#This Row],[Cost (€/GJ)]]*3.6</f>
        <v>67.553999999999959</v>
      </c>
      <c r="H274">
        <v>13.1</v>
      </c>
      <c r="I274">
        <f>Tableau1[[#This Row],[GHG (kgCO2eq/GJ)]]*3.6</f>
        <v>47.16</v>
      </c>
      <c r="J274" t="s">
        <v>106</v>
      </c>
      <c r="K274" t="s">
        <v>109</v>
      </c>
    </row>
    <row r="275" spans="1:11" hidden="1" x14ac:dyDescent="0.3">
      <c r="A275" t="s">
        <v>19</v>
      </c>
      <c r="B275" t="s">
        <v>55</v>
      </c>
      <c r="C275" t="s">
        <v>87</v>
      </c>
      <c r="D275">
        <v>9.1806999999999999</v>
      </c>
      <c r="E275">
        <f>Tableau1[[#This Row],[Potential (PJ)]]/3.6</f>
        <v>2.5501944444444442</v>
      </c>
      <c r="F275">
        <v>22.024000000000001</v>
      </c>
      <c r="G275">
        <f>Tableau1[[#This Row],[Cost (€/GJ)]]*3.6</f>
        <v>79.2864</v>
      </c>
      <c r="H275">
        <v>13.1</v>
      </c>
      <c r="I275">
        <f>Tableau1[[#This Row],[GHG (kgCO2eq/GJ)]]*3.6</f>
        <v>47.16</v>
      </c>
      <c r="J275" t="s">
        <v>106</v>
      </c>
      <c r="K275" t="s">
        <v>109</v>
      </c>
    </row>
    <row r="276" spans="1:11" hidden="1" x14ac:dyDescent="0.3">
      <c r="A276" t="s">
        <v>19</v>
      </c>
      <c r="B276" t="s">
        <v>55</v>
      </c>
      <c r="C276" t="s">
        <v>88</v>
      </c>
      <c r="D276">
        <v>4.1059000000000001</v>
      </c>
      <c r="E276">
        <f>Tableau1[[#This Row],[Potential (PJ)]]/3.6</f>
        <v>1.1405277777777778</v>
      </c>
      <c r="F276">
        <v>21.882999999999999</v>
      </c>
      <c r="G276">
        <f>Tableau1[[#This Row],[Cost (€/GJ)]]*3.6</f>
        <v>78.778800000000004</v>
      </c>
      <c r="H276">
        <v>13.1</v>
      </c>
      <c r="I276">
        <f>Tableau1[[#This Row],[GHG (kgCO2eq/GJ)]]*3.6</f>
        <v>47.16</v>
      </c>
      <c r="J276" t="s">
        <v>106</v>
      </c>
      <c r="K276" t="s">
        <v>109</v>
      </c>
    </row>
    <row r="277" spans="1:11" hidden="1" x14ac:dyDescent="0.3">
      <c r="A277" t="s">
        <v>19</v>
      </c>
      <c r="B277" t="s">
        <v>55</v>
      </c>
      <c r="C277" t="s">
        <v>89</v>
      </c>
      <c r="D277">
        <v>3.0594000000000001</v>
      </c>
      <c r="E277">
        <f>Tableau1[[#This Row],[Potential (PJ)]]/3.6</f>
        <v>0.84983333333333333</v>
      </c>
      <c r="F277">
        <v>0</v>
      </c>
      <c r="G277">
        <f>Tableau1[[#This Row],[Cost (€/GJ)]]*3.6</f>
        <v>0</v>
      </c>
      <c r="H277">
        <v>13.1</v>
      </c>
      <c r="I277">
        <f>Tableau1[[#This Row],[GHG (kgCO2eq/GJ)]]*3.6</f>
        <v>47.16</v>
      </c>
      <c r="J277" t="s">
        <v>106</v>
      </c>
      <c r="K277" t="s">
        <v>109</v>
      </c>
    </row>
    <row r="278" spans="1:11" hidden="1" x14ac:dyDescent="0.3">
      <c r="A278" t="s">
        <v>19</v>
      </c>
      <c r="B278" t="s">
        <v>55</v>
      </c>
      <c r="C278" t="s">
        <v>90</v>
      </c>
      <c r="D278">
        <v>0.13569999999999999</v>
      </c>
      <c r="E278">
        <f>Tableau1[[#This Row],[Potential (PJ)]]/3.6</f>
        <v>3.769444444444444E-2</v>
      </c>
      <c r="F278">
        <v>22.61099999999999</v>
      </c>
      <c r="G278">
        <f>Tableau1[[#This Row],[Cost (€/GJ)]]*3.6</f>
        <v>81.399599999999964</v>
      </c>
      <c r="H278">
        <v>13.1</v>
      </c>
      <c r="I278">
        <f>Tableau1[[#This Row],[GHG (kgCO2eq/GJ)]]*3.6</f>
        <v>47.16</v>
      </c>
      <c r="J278" t="s">
        <v>106</v>
      </c>
      <c r="K278" t="s">
        <v>109</v>
      </c>
    </row>
    <row r="279" spans="1:11" hidden="1" x14ac:dyDescent="0.3">
      <c r="A279" t="s">
        <v>19</v>
      </c>
      <c r="B279" t="s">
        <v>55</v>
      </c>
      <c r="C279" t="s">
        <v>91</v>
      </c>
      <c r="D279">
        <v>2.0087000000000002</v>
      </c>
      <c r="E279">
        <f>Tableau1[[#This Row],[Potential (PJ)]]/3.6</f>
        <v>0.5579722222222222</v>
      </c>
      <c r="F279">
        <v>18.987000000000009</v>
      </c>
      <c r="G279">
        <f>Tableau1[[#This Row],[Cost (€/GJ)]]*3.6</f>
        <v>68.353200000000029</v>
      </c>
      <c r="H279">
        <v>13.1</v>
      </c>
      <c r="I279">
        <f>Tableau1[[#This Row],[GHG (kgCO2eq/GJ)]]*3.6</f>
        <v>47.16</v>
      </c>
      <c r="J279" t="s">
        <v>106</v>
      </c>
      <c r="K279" t="s">
        <v>109</v>
      </c>
    </row>
    <row r="280" spans="1:11" hidden="1" x14ac:dyDescent="0.3">
      <c r="A280" t="s">
        <v>19</v>
      </c>
      <c r="B280" t="s">
        <v>55</v>
      </c>
      <c r="C280" t="s">
        <v>92</v>
      </c>
      <c r="D280">
        <v>1.2316400000000001</v>
      </c>
      <c r="E280">
        <f>Tableau1[[#This Row],[Potential (PJ)]]/3.6</f>
        <v>0.34212222222222222</v>
      </c>
      <c r="F280">
        <v>22.024000000000001</v>
      </c>
      <c r="G280">
        <f>Tableau1[[#This Row],[Cost (€/GJ)]]*3.6</f>
        <v>79.2864</v>
      </c>
      <c r="H280">
        <v>13.1</v>
      </c>
      <c r="I280">
        <f>Tableau1[[#This Row],[GHG (kgCO2eq/GJ)]]*3.6</f>
        <v>47.16</v>
      </c>
      <c r="J280" t="s">
        <v>106</v>
      </c>
      <c r="K280" t="s">
        <v>109</v>
      </c>
    </row>
    <row r="281" spans="1:11" hidden="1" x14ac:dyDescent="0.3">
      <c r="A281" t="s">
        <v>19</v>
      </c>
      <c r="B281" t="s">
        <v>56</v>
      </c>
      <c r="C281" t="s">
        <v>93</v>
      </c>
      <c r="D281">
        <v>170.00479999999999</v>
      </c>
      <c r="E281">
        <f>Tableau1[[#This Row],[Potential (PJ)]]/3.6</f>
        <v>47.223555555555549</v>
      </c>
      <c r="F281">
        <v>2.939759036144578</v>
      </c>
      <c r="G281">
        <f>Tableau1[[#This Row],[Cost (€/GJ)]]*3.6</f>
        <v>10.583132530120482</v>
      </c>
      <c r="H281">
        <v>23.6</v>
      </c>
      <c r="I281">
        <f>Tableau1[[#This Row],[GHG (kgCO2eq/GJ)]]*3.6</f>
        <v>84.960000000000008</v>
      </c>
      <c r="J281" t="s">
        <v>106</v>
      </c>
      <c r="K281" t="s">
        <v>109</v>
      </c>
    </row>
    <row r="282" spans="1:11" x14ac:dyDescent="0.3">
      <c r="A282" t="s">
        <v>19</v>
      </c>
      <c r="B282" t="s">
        <v>47</v>
      </c>
      <c r="C282" t="s">
        <v>68</v>
      </c>
      <c r="D282">
        <v>119.6</v>
      </c>
      <c r="E282">
        <f>Tableau1[[#This Row],[Potential (PJ)]]/3.6</f>
        <v>33.222222222222221</v>
      </c>
      <c r="F282">
        <v>6.0404247491638792</v>
      </c>
      <c r="G282">
        <f>Tableau1[[#This Row],[Cost (€/GJ)]]*3.6</f>
        <v>21.745529096989966</v>
      </c>
      <c r="H282">
        <v>15</v>
      </c>
      <c r="I282">
        <f>Tableau1[[#This Row],[GHG (kgCO2eq/GJ)]]*3.6</f>
        <v>54</v>
      </c>
      <c r="J282" t="s">
        <v>104</v>
      </c>
      <c r="K282" t="s">
        <v>109</v>
      </c>
    </row>
    <row r="283" spans="1:11" x14ac:dyDescent="0.3">
      <c r="A283" t="s">
        <v>19</v>
      </c>
      <c r="B283" t="s">
        <v>47</v>
      </c>
      <c r="C283" t="s">
        <v>69</v>
      </c>
      <c r="D283">
        <v>53</v>
      </c>
      <c r="E283">
        <f>Tableau1[[#This Row],[Potential (PJ)]]/3.6</f>
        <v>14.722222222222221</v>
      </c>
      <c r="F283">
        <v>9.9720358490566046</v>
      </c>
      <c r="G283">
        <f>Tableau1[[#This Row],[Cost (€/GJ)]]*3.6</f>
        <v>35.899329056603776</v>
      </c>
      <c r="H283">
        <v>15</v>
      </c>
      <c r="I283">
        <f>Tableau1[[#This Row],[GHG (kgCO2eq/GJ)]]*3.6</f>
        <v>54</v>
      </c>
      <c r="J283" t="s">
        <v>104</v>
      </c>
      <c r="K283" t="s">
        <v>109</v>
      </c>
    </row>
    <row r="284" spans="1:11" x14ac:dyDescent="0.3">
      <c r="A284" t="s">
        <v>19</v>
      </c>
      <c r="B284" t="s">
        <v>48</v>
      </c>
      <c r="C284" t="s">
        <v>70</v>
      </c>
      <c r="D284">
        <v>45.9</v>
      </c>
      <c r="E284">
        <f>Tableau1[[#This Row],[Potential (PJ)]]/3.6</f>
        <v>12.75</v>
      </c>
      <c r="F284">
        <v>15.23968845315904</v>
      </c>
      <c r="G284">
        <f>Tableau1[[#This Row],[Cost (€/GJ)]]*3.6</f>
        <v>54.862878431372543</v>
      </c>
      <c r="H284">
        <v>16.8</v>
      </c>
      <c r="I284">
        <f>Tableau1[[#This Row],[GHG (kgCO2eq/GJ)]]*3.6</f>
        <v>60.480000000000004</v>
      </c>
      <c r="J284" t="s">
        <v>104</v>
      </c>
      <c r="K284" t="s">
        <v>109</v>
      </c>
    </row>
    <row r="285" spans="1:11" hidden="1" x14ac:dyDescent="0.3">
      <c r="A285" t="s">
        <v>19</v>
      </c>
      <c r="B285" t="s">
        <v>49</v>
      </c>
      <c r="C285" t="s">
        <v>71</v>
      </c>
      <c r="D285">
        <v>21.427800000000001</v>
      </c>
      <c r="E285">
        <f>Tableau1[[#This Row],[Potential (PJ)]]/3.6</f>
        <v>5.9521666666666668</v>
      </c>
      <c r="F285">
        <v>4.9836506589570551</v>
      </c>
      <c r="G285">
        <f>Tableau1[[#This Row],[Cost (€/GJ)]]*3.6</f>
        <v>17.941142372245398</v>
      </c>
      <c r="H285">
        <v>3.86607608129234</v>
      </c>
      <c r="I285">
        <f>Tableau1[[#This Row],[GHG (kgCO2eq/GJ)]]*3.6</f>
        <v>13.917873892652425</v>
      </c>
      <c r="J285" t="s">
        <v>104</v>
      </c>
      <c r="K285" t="s">
        <v>108</v>
      </c>
    </row>
    <row r="286" spans="1:11" hidden="1" x14ac:dyDescent="0.3">
      <c r="A286" t="s">
        <v>19</v>
      </c>
      <c r="B286" t="s">
        <v>49</v>
      </c>
      <c r="C286" t="s">
        <v>72</v>
      </c>
      <c r="D286">
        <v>2.6</v>
      </c>
      <c r="E286">
        <f>Tableau1[[#This Row],[Potential (PJ)]]/3.6</f>
        <v>0.72222222222222221</v>
      </c>
      <c r="F286">
        <v>3.999884615384615</v>
      </c>
      <c r="G286">
        <f>Tableau1[[#This Row],[Cost (€/GJ)]]*3.6</f>
        <v>14.399584615384615</v>
      </c>
      <c r="H286">
        <v>3.86607608129234</v>
      </c>
      <c r="I286">
        <f>Tableau1[[#This Row],[GHG (kgCO2eq/GJ)]]*3.6</f>
        <v>13.917873892652425</v>
      </c>
      <c r="J286" t="s">
        <v>104</v>
      </c>
      <c r="K286" t="s">
        <v>108</v>
      </c>
    </row>
    <row r="287" spans="1:11" hidden="1" x14ac:dyDescent="0.3">
      <c r="A287" t="s">
        <v>19</v>
      </c>
      <c r="B287" t="s">
        <v>58</v>
      </c>
      <c r="C287" t="s">
        <v>95</v>
      </c>
      <c r="D287">
        <v>6.3496199999999998</v>
      </c>
      <c r="E287">
        <f>Tableau1[[#This Row],[Potential (PJ)]]/3.6</f>
        <v>1.7637833333333333</v>
      </c>
      <c r="F287">
        <v>3.0721974858337981</v>
      </c>
      <c r="G287">
        <f>Tableau1[[#This Row],[Cost (€/GJ)]]*3.6</f>
        <v>11.059910949001674</v>
      </c>
      <c r="H287">
        <v>2.9521711768407801</v>
      </c>
      <c r="I287">
        <f>Tableau1[[#This Row],[GHG (kgCO2eq/GJ)]]*3.6</f>
        <v>10.627816236626808</v>
      </c>
      <c r="J287" t="s">
        <v>104</v>
      </c>
      <c r="K287" t="s">
        <v>108</v>
      </c>
    </row>
    <row r="288" spans="1:11" hidden="1" x14ac:dyDescent="0.3">
      <c r="A288" t="s">
        <v>19</v>
      </c>
      <c r="B288" t="s">
        <v>50</v>
      </c>
      <c r="C288" t="s">
        <v>73</v>
      </c>
      <c r="D288">
        <v>27.2</v>
      </c>
      <c r="E288">
        <f>Tableau1[[#This Row],[Potential (PJ)]]/3.6</f>
        <v>7.5555555555555554</v>
      </c>
      <c r="F288">
        <v>5.4908749999999991</v>
      </c>
      <c r="G288">
        <f>Tableau1[[#This Row],[Cost (€/GJ)]]*3.6</f>
        <v>19.767149999999997</v>
      </c>
      <c r="H288">
        <v>20.723404255319149</v>
      </c>
      <c r="I288">
        <f>Tableau1[[#This Row],[GHG (kgCO2eq/GJ)]]*3.6</f>
        <v>74.604255319148933</v>
      </c>
      <c r="J288" t="s">
        <v>105</v>
      </c>
      <c r="K288" t="s">
        <v>108</v>
      </c>
    </row>
    <row r="289" spans="1:11" hidden="1" x14ac:dyDescent="0.3">
      <c r="A289" t="s">
        <v>19</v>
      </c>
      <c r="B289" t="s">
        <v>50</v>
      </c>
      <c r="C289" t="s">
        <v>74</v>
      </c>
      <c r="D289">
        <v>47.6</v>
      </c>
      <c r="E289">
        <f>Tableau1[[#This Row],[Potential (PJ)]]/3.6</f>
        <v>13.222222222222221</v>
      </c>
      <c r="F289">
        <v>4.3945399159663863</v>
      </c>
      <c r="G289">
        <f>Tableau1[[#This Row],[Cost (€/GJ)]]*3.6</f>
        <v>15.820343697478991</v>
      </c>
      <c r="H289">
        <v>2.0635593220338988</v>
      </c>
      <c r="I289">
        <f>Tableau1[[#This Row],[GHG (kgCO2eq/GJ)]]*3.6</f>
        <v>7.4288135593220357</v>
      </c>
      <c r="J289" t="s">
        <v>105</v>
      </c>
      <c r="K289" t="s">
        <v>108</v>
      </c>
    </row>
    <row r="290" spans="1:11" hidden="1" x14ac:dyDescent="0.3">
      <c r="A290" t="s">
        <v>19</v>
      </c>
      <c r="B290" t="s">
        <v>59</v>
      </c>
      <c r="C290" t="s">
        <v>97</v>
      </c>
      <c r="D290">
        <v>2.6153</v>
      </c>
      <c r="E290">
        <f>Tableau1[[#This Row],[Potential (PJ)]]/3.6</f>
        <v>0.72647222222222219</v>
      </c>
      <c r="F290">
        <v>20.835594139989151</v>
      </c>
      <c r="G290">
        <f>Tableau1[[#This Row],[Cost (€/GJ)]]*3.6</f>
        <v>75.008138903960941</v>
      </c>
      <c r="H290">
        <v>33.700000000000003</v>
      </c>
      <c r="I290">
        <f>Tableau1[[#This Row],[GHG (kgCO2eq/GJ)]]*3.6</f>
        <v>121.32000000000001</v>
      </c>
      <c r="J290" t="s">
        <v>107</v>
      </c>
      <c r="K290" t="s">
        <v>109</v>
      </c>
    </row>
    <row r="291" spans="1:11" hidden="1" x14ac:dyDescent="0.3">
      <c r="A291" t="s">
        <v>19</v>
      </c>
      <c r="B291" t="s">
        <v>51</v>
      </c>
      <c r="C291" t="s">
        <v>75</v>
      </c>
      <c r="D291">
        <v>22.555530000000001</v>
      </c>
      <c r="E291">
        <f>Tableau1[[#This Row],[Potential (PJ)]]/3.6</f>
        <v>6.2654250000000005</v>
      </c>
      <c r="F291">
        <v>1.56138028203651E-4</v>
      </c>
      <c r="G291">
        <f>Tableau1[[#This Row],[Cost (€/GJ)]]*3.6</f>
        <v>5.620969015331436E-4</v>
      </c>
      <c r="H291">
        <v>11.74</v>
      </c>
      <c r="I291">
        <f>Tableau1[[#This Row],[GHG (kgCO2eq/GJ)]]*3.6</f>
        <v>42.264000000000003</v>
      </c>
      <c r="J291" t="s">
        <v>104</v>
      </c>
      <c r="K291" t="s">
        <v>108</v>
      </c>
    </row>
    <row r="292" spans="1:11" hidden="1" x14ac:dyDescent="0.3">
      <c r="A292" t="s">
        <v>19</v>
      </c>
      <c r="B292" t="s">
        <v>60</v>
      </c>
      <c r="C292" t="s">
        <v>98</v>
      </c>
      <c r="D292">
        <v>0.67646000000000006</v>
      </c>
      <c r="E292">
        <f>Tableau1[[#This Row],[Potential (PJ)]]/3.6</f>
        <v>0.18790555555555558</v>
      </c>
      <c r="F292">
        <v>25.563909774436091</v>
      </c>
      <c r="G292">
        <f>Tableau1[[#This Row],[Cost (€/GJ)]]*3.6</f>
        <v>92.030075187969928</v>
      </c>
      <c r="H292">
        <v>19.899999999999999</v>
      </c>
      <c r="I292">
        <f>Tableau1[[#This Row],[GHG (kgCO2eq/GJ)]]*3.6</f>
        <v>71.64</v>
      </c>
      <c r="J292" t="s">
        <v>107</v>
      </c>
      <c r="K292" t="s">
        <v>109</v>
      </c>
    </row>
    <row r="293" spans="1:11" hidden="1" x14ac:dyDescent="0.3">
      <c r="A293" t="s">
        <v>19</v>
      </c>
      <c r="B293" t="s">
        <v>52</v>
      </c>
      <c r="C293" t="s">
        <v>76</v>
      </c>
      <c r="D293">
        <v>1.06</v>
      </c>
      <c r="E293">
        <f>Tableau1[[#This Row],[Potential (PJ)]]/3.6</f>
        <v>0.29444444444444445</v>
      </c>
      <c r="F293">
        <v>6.1837425000000001</v>
      </c>
      <c r="G293">
        <f>Tableau1[[#This Row],[Cost (€/GJ)]]*3.6</f>
        <v>22.261473000000002</v>
      </c>
      <c r="H293">
        <v>12.68872359754714</v>
      </c>
      <c r="I293">
        <f>Tableau1[[#This Row],[GHG (kgCO2eq/GJ)]]*3.6</f>
        <v>45.679404951169708</v>
      </c>
      <c r="J293" t="s">
        <v>105</v>
      </c>
      <c r="K293" t="s">
        <v>108</v>
      </c>
    </row>
    <row r="294" spans="1:11" hidden="1" x14ac:dyDescent="0.3">
      <c r="A294" t="s">
        <v>19</v>
      </c>
      <c r="B294" t="s">
        <v>53</v>
      </c>
      <c r="C294" t="s">
        <v>77</v>
      </c>
      <c r="D294">
        <v>8.9307999999999996</v>
      </c>
      <c r="E294">
        <f>Tableau1[[#This Row],[Potential (PJ)]]/3.6</f>
        <v>2.4807777777777775</v>
      </c>
      <c r="F294">
        <v>3.9999807620817851</v>
      </c>
      <c r="G294">
        <f>Tableau1[[#This Row],[Cost (€/GJ)]]*3.6</f>
        <v>14.399930743494426</v>
      </c>
      <c r="H294">
        <v>3.86607608129234</v>
      </c>
      <c r="I294">
        <f>Tableau1[[#This Row],[GHG (kgCO2eq/GJ)]]*3.6</f>
        <v>13.917873892652425</v>
      </c>
      <c r="J294" t="s">
        <v>104</v>
      </c>
      <c r="K294" t="s">
        <v>108</v>
      </c>
    </row>
    <row r="295" spans="1:11" hidden="1" x14ac:dyDescent="0.3">
      <c r="A295" t="s">
        <v>19</v>
      </c>
      <c r="B295" t="s">
        <v>61</v>
      </c>
      <c r="C295" t="s">
        <v>99</v>
      </c>
      <c r="D295">
        <v>2.9</v>
      </c>
      <c r="E295">
        <f>Tableau1[[#This Row],[Potential (PJ)]]/3.6</f>
        <v>0.80555555555555547</v>
      </c>
      <c r="F295">
        <v>2.0943103448275862</v>
      </c>
      <c r="G295">
        <f>Tableau1[[#This Row],[Cost (€/GJ)]]*3.6</f>
        <v>7.5395172413793103</v>
      </c>
      <c r="H295">
        <v>2.9245635910224439</v>
      </c>
      <c r="I295">
        <f>Tableau1[[#This Row],[GHG (kgCO2eq/GJ)]]*3.6</f>
        <v>10.528428927680798</v>
      </c>
      <c r="J295" t="s">
        <v>104</v>
      </c>
      <c r="K295" t="s">
        <v>108</v>
      </c>
    </row>
    <row r="296" spans="1:11" hidden="1" x14ac:dyDescent="0.3">
      <c r="A296" t="s">
        <v>19</v>
      </c>
      <c r="B296" t="s">
        <v>62</v>
      </c>
      <c r="C296" t="s">
        <v>100</v>
      </c>
      <c r="D296">
        <v>0.5</v>
      </c>
      <c r="E296">
        <f>Tableau1[[#This Row],[Potential (PJ)]]/3.6</f>
        <v>0.1388888888888889</v>
      </c>
      <c r="F296">
        <v>0.32000000000000012</v>
      </c>
      <c r="G296">
        <f>Tableau1[[#This Row],[Cost (€/GJ)]]*3.6</f>
        <v>1.1520000000000004</v>
      </c>
      <c r="H296">
        <v>2.6764106050305911</v>
      </c>
      <c r="I296">
        <f>Tableau1[[#This Row],[GHG (kgCO2eq/GJ)]]*3.6</f>
        <v>9.6350781781101276</v>
      </c>
      <c r="J296" t="s">
        <v>104</v>
      </c>
      <c r="K296" t="s">
        <v>108</v>
      </c>
    </row>
    <row r="297" spans="1:11" hidden="1" x14ac:dyDescent="0.3">
      <c r="A297" t="s">
        <v>19</v>
      </c>
      <c r="B297" t="s">
        <v>54</v>
      </c>
      <c r="C297" t="s">
        <v>78</v>
      </c>
      <c r="D297">
        <v>74.600000000000009</v>
      </c>
      <c r="E297">
        <f>Tableau1[[#This Row],[Potential (PJ)]]/3.6</f>
        <v>20.722222222222225</v>
      </c>
      <c r="F297">
        <v>8.3259316353887396</v>
      </c>
      <c r="G297">
        <f>Tableau1[[#This Row],[Cost (€/GJ)]]*3.6</f>
        <v>29.973353887399462</v>
      </c>
      <c r="H297">
        <v>3.86607608129234</v>
      </c>
      <c r="I297">
        <f>Tableau1[[#This Row],[GHG (kgCO2eq/GJ)]]*3.6</f>
        <v>13.917873892652425</v>
      </c>
      <c r="J297" t="s">
        <v>104</v>
      </c>
      <c r="K297" t="s">
        <v>108</v>
      </c>
    </row>
    <row r="298" spans="1:11" hidden="1" x14ac:dyDescent="0.3">
      <c r="A298" t="s">
        <v>20</v>
      </c>
      <c r="B298" t="s">
        <v>46</v>
      </c>
      <c r="C298" t="s">
        <v>64</v>
      </c>
      <c r="D298">
        <v>3.8999999999999998E-3</v>
      </c>
      <c r="E298">
        <f>Tableau1[[#This Row],[Potential (PJ)]]/3.6</f>
        <v>1.0833333333333333E-3</v>
      </c>
      <c r="F298">
        <v>4.9785076923076916</v>
      </c>
      <c r="G298">
        <f>Tableau1[[#This Row],[Cost (€/GJ)]]*3.6</f>
        <v>17.922627692307689</v>
      </c>
      <c r="H298">
        <v>2.9521711768407801</v>
      </c>
      <c r="I298">
        <f>Tableau1[[#This Row],[GHG (kgCO2eq/GJ)]]*3.6</f>
        <v>10.627816236626808</v>
      </c>
      <c r="J298" t="s">
        <v>104</v>
      </c>
      <c r="K298" t="s">
        <v>108</v>
      </c>
    </row>
    <row r="299" spans="1:11" hidden="1" x14ac:dyDescent="0.3">
      <c r="A299" t="s">
        <v>20</v>
      </c>
      <c r="B299" t="s">
        <v>46</v>
      </c>
      <c r="C299" t="s">
        <v>79</v>
      </c>
      <c r="D299">
        <v>11.8</v>
      </c>
      <c r="E299">
        <f>Tableau1[[#This Row],[Potential (PJ)]]/3.6</f>
        <v>3.2777777777777777</v>
      </c>
      <c r="F299">
        <v>4.0867627118644059</v>
      </c>
      <c r="G299">
        <f>Tableau1[[#This Row],[Cost (€/GJ)]]*3.6</f>
        <v>14.712345762711861</v>
      </c>
      <c r="H299">
        <v>6.8428961748633883</v>
      </c>
      <c r="I299">
        <f>Tableau1[[#This Row],[GHG (kgCO2eq/GJ)]]*3.6</f>
        <v>24.634426229508197</v>
      </c>
      <c r="J299" t="s">
        <v>104</v>
      </c>
      <c r="K299" t="s">
        <v>108</v>
      </c>
    </row>
    <row r="300" spans="1:11" hidden="1" x14ac:dyDescent="0.3">
      <c r="A300" t="s">
        <v>20</v>
      </c>
      <c r="B300" t="s">
        <v>55</v>
      </c>
      <c r="C300" t="s">
        <v>86</v>
      </c>
      <c r="D300">
        <v>0.84650000000000003</v>
      </c>
      <c r="E300">
        <f>Tableau1[[#This Row],[Potential (PJ)]]/3.6</f>
        <v>0.2351388888888889</v>
      </c>
      <c r="F300">
        <v>16.652000000000001</v>
      </c>
      <c r="G300">
        <f>Tableau1[[#This Row],[Cost (€/GJ)]]*3.6</f>
        <v>59.947200000000002</v>
      </c>
      <c r="H300">
        <v>43.2</v>
      </c>
      <c r="I300">
        <f>Tableau1[[#This Row],[GHG (kgCO2eq/GJ)]]*3.6</f>
        <v>155.52000000000001</v>
      </c>
      <c r="J300" t="s">
        <v>106</v>
      </c>
      <c r="K300" t="s">
        <v>109</v>
      </c>
    </row>
    <row r="301" spans="1:11" hidden="1" x14ac:dyDescent="0.3">
      <c r="A301" t="s">
        <v>20</v>
      </c>
      <c r="B301" t="s">
        <v>55</v>
      </c>
      <c r="C301" t="s">
        <v>89</v>
      </c>
      <c r="D301">
        <v>7.7899999999999997E-2</v>
      </c>
      <c r="E301">
        <f>Tableau1[[#This Row],[Potential (PJ)]]/3.6</f>
        <v>2.1638888888888888E-2</v>
      </c>
      <c r="F301">
        <v>0</v>
      </c>
      <c r="G301">
        <f>Tableau1[[#This Row],[Cost (€/GJ)]]*3.6</f>
        <v>0</v>
      </c>
      <c r="H301">
        <v>43.2</v>
      </c>
      <c r="I301">
        <f>Tableau1[[#This Row],[GHG (kgCO2eq/GJ)]]*3.6</f>
        <v>155.52000000000001</v>
      </c>
      <c r="J301" t="s">
        <v>106</v>
      </c>
      <c r="K301" t="s">
        <v>109</v>
      </c>
    </row>
    <row r="302" spans="1:11" hidden="1" x14ac:dyDescent="0.3">
      <c r="A302" t="s">
        <v>20</v>
      </c>
      <c r="B302" t="s">
        <v>55</v>
      </c>
      <c r="C302" t="s">
        <v>91</v>
      </c>
      <c r="D302">
        <v>5.0000000000000001E-4</v>
      </c>
      <c r="E302">
        <f>Tableau1[[#This Row],[Potential (PJ)]]/3.6</f>
        <v>1.3888888888888889E-4</v>
      </c>
      <c r="F302">
        <v>20.088000000000001</v>
      </c>
      <c r="G302">
        <f>Tableau1[[#This Row],[Cost (€/GJ)]]*3.6</f>
        <v>72.316800000000001</v>
      </c>
      <c r="H302">
        <v>43.2</v>
      </c>
      <c r="I302">
        <f>Tableau1[[#This Row],[GHG (kgCO2eq/GJ)]]*3.6</f>
        <v>155.52000000000001</v>
      </c>
      <c r="J302" t="s">
        <v>106</v>
      </c>
      <c r="K302" t="s">
        <v>109</v>
      </c>
    </row>
    <row r="303" spans="1:11" hidden="1" x14ac:dyDescent="0.3">
      <c r="A303" t="s">
        <v>20</v>
      </c>
      <c r="B303" t="s">
        <v>55</v>
      </c>
      <c r="C303" t="s">
        <v>92</v>
      </c>
      <c r="D303">
        <v>0.40116000000000002</v>
      </c>
      <c r="E303">
        <f>Tableau1[[#This Row],[Potential (PJ)]]/3.6</f>
        <v>0.11143333333333333</v>
      </c>
      <c r="F303">
        <v>16.559000000000001</v>
      </c>
      <c r="G303">
        <f>Tableau1[[#This Row],[Cost (€/GJ)]]*3.6</f>
        <v>59.612400000000008</v>
      </c>
      <c r="H303">
        <v>43.2</v>
      </c>
      <c r="I303">
        <f>Tableau1[[#This Row],[GHG (kgCO2eq/GJ)]]*3.6</f>
        <v>155.52000000000001</v>
      </c>
      <c r="J303" t="s">
        <v>106</v>
      </c>
      <c r="K303" t="s">
        <v>109</v>
      </c>
    </row>
    <row r="304" spans="1:11" x14ac:dyDescent="0.3">
      <c r="A304" t="s">
        <v>20</v>
      </c>
      <c r="B304" t="s">
        <v>47</v>
      </c>
      <c r="C304" t="s">
        <v>101</v>
      </c>
      <c r="D304">
        <v>13.6</v>
      </c>
      <c r="E304">
        <f>Tableau1[[#This Row],[Potential (PJ)]]/3.6</f>
        <v>3.7777777777777777</v>
      </c>
      <c r="F304">
        <v>4.7311102941176468</v>
      </c>
      <c r="G304">
        <f>Tableau1[[#This Row],[Cost (€/GJ)]]*3.6</f>
        <v>17.031997058823528</v>
      </c>
      <c r="H304">
        <v>43.1</v>
      </c>
      <c r="I304">
        <f>Tableau1[[#This Row],[GHG (kgCO2eq/GJ)]]*3.6</f>
        <v>155.16</v>
      </c>
      <c r="J304" t="s">
        <v>104</v>
      </c>
      <c r="K304" t="s">
        <v>109</v>
      </c>
    </row>
    <row r="305" spans="1:11" x14ac:dyDescent="0.3">
      <c r="A305" t="s">
        <v>20</v>
      </c>
      <c r="B305" t="s">
        <v>57</v>
      </c>
      <c r="C305" t="s">
        <v>94</v>
      </c>
      <c r="D305">
        <v>5.7</v>
      </c>
      <c r="E305">
        <f>Tableau1[[#This Row],[Potential (PJ)]]/3.6</f>
        <v>1.5833333333333333</v>
      </c>
      <c r="F305">
        <v>11.98701754385965</v>
      </c>
      <c r="G305">
        <f>Tableau1[[#This Row],[Cost (€/GJ)]]*3.6</f>
        <v>43.153263157894742</v>
      </c>
      <c r="H305">
        <v>24.4</v>
      </c>
      <c r="I305">
        <f>Tableau1[[#This Row],[GHG (kgCO2eq/GJ)]]*3.6</f>
        <v>87.84</v>
      </c>
      <c r="J305" t="s">
        <v>104</v>
      </c>
      <c r="K305" t="s">
        <v>109</v>
      </c>
    </row>
    <row r="306" spans="1:11" hidden="1" x14ac:dyDescent="0.3">
      <c r="A306" t="s">
        <v>20</v>
      </c>
      <c r="B306" t="s">
        <v>49</v>
      </c>
      <c r="C306" t="s">
        <v>71</v>
      </c>
      <c r="D306">
        <v>32.500579999999999</v>
      </c>
      <c r="E306">
        <f>Tableau1[[#This Row],[Potential (PJ)]]/3.6</f>
        <v>9.0279388888888885</v>
      </c>
      <c r="F306">
        <v>5.4450430555393172</v>
      </c>
      <c r="G306">
        <f>Tableau1[[#This Row],[Cost (€/GJ)]]*3.6</f>
        <v>19.602154999941543</v>
      </c>
      <c r="H306">
        <v>3.86607608129234</v>
      </c>
      <c r="I306">
        <f>Tableau1[[#This Row],[GHG (kgCO2eq/GJ)]]*3.6</f>
        <v>13.917873892652425</v>
      </c>
      <c r="J306" t="s">
        <v>104</v>
      </c>
      <c r="K306" t="s">
        <v>108</v>
      </c>
    </row>
    <row r="307" spans="1:11" hidden="1" x14ac:dyDescent="0.3">
      <c r="A307" t="s">
        <v>20</v>
      </c>
      <c r="B307" t="s">
        <v>49</v>
      </c>
      <c r="C307" t="s">
        <v>72</v>
      </c>
      <c r="D307">
        <v>2.1</v>
      </c>
      <c r="E307">
        <f>Tableau1[[#This Row],[Potential (PJ)]]/3.6</f>
        <v>0.58333333333333337</v>
      </c>
      <c r="F307">
        <v>4.3571904761904774</v>
      </c>
      <c r="G307">
        <f>Tableau1[[#This Row],[Cost (€/GJ)]]*3.6</f>
        <v>15.685885714285719</v>
      </c>
      <c r="H307">
        <v>3.86607608129234</v>
      </c>
      <c r="I307">
        <f>Tableau1[[#This Row],[GHG (kgCO2eq/GJ)]]*3.6</f>
        <v>13.917873892652425</v>
      </c>
      <c r="J307" t="s">
        <v>104</v>
      </c>
      <c r="K307" t="s">
        <v>108</v>
      </c>
    </row>
    <row r="308" spans="1:11" hidden="1" x14ac:dyDescent="0.3">
      <c r="A308" t="s">
        <v>20</v>
      </c>
      <c r="B308" t="s">
        <v>58</v>
      </c>
      <c r="C308" t="s">
        <v>95</v>
      </c>
      <c r="D308">
        <v>2.1591300000000002</v>
      </c>
      <c r="E308">
        <f>Tableau1[[#This Row],[Potential (PJ)]]/3.6</f>
        <v>0.59975833333333339</v>
      </c>
      <c r="F308">
        <v>2.6429999999999998</v>
      </c>
      <c r="G308">
        <f>Tableau1[[#This Row],[Cost (€/GJ)]]*3.6</f>
        <v>9.5147999999999993</v>
      </c>
      <c r="H308">
        <v>2.9521711768407801</v>
      </c>
      <c r="I308">
        <f>Tableau1[[#This Row],[GHG (kgCO2eq/GJ)]]*3.6</f>
        <v>10.627816236626808</v>
      </c>
      <c r="J308" t="s">
        <v>104</v>
      </c>
      <c r="K308" t="s">
        <v>108</v>
      </c>
    </row>
    <row r="309" spans="1:11" hidden="1" x14ac:dyDescent="0.3">
      <c r="A309" t="s">
        <v>20</v>
      </c>
      <c r="B309" t="s">
        <v>50</v>
      </c>
      <c r="C309" t="s">
        <v>73</v>
      </c>
      <c r="D309">
        <v>0.3</v>
      </c>
      <c r="E309">
        <f>Tableau1[[#This Row],[Potential (PJ)]]/3.6</f>
        <v>8.3333333333333329E-2</v>
      </c>
      <c r="F309">
        <v>5.67</v>
      </c>
      <c r="G309">
        <f>Tableau1[[#This Row],[Cost (€/GJ)]]*3.6</f>
        <v>20.411999999999999</v>
      </c>
      <c r="H309">
        <v>20.723404255319149</v>
      </c>
      <c r="I309">
        <f>Tableau1[[#This Row],[GHG (kgCO2eq/GJ)]]*3.6</f>
        <v>74.604255319148933</v>
      </c>
      <c r="J309" t="s">
        <v>105</v>
      </c>
      <c r="K309" t="s">
        <v>108</v>
      </c>
    </row>
    <row r="310" spans="1:11" hidden="1" x14ac:dyDescent="0.3">
      <c r="A310" t="s">
        <v>20</v>
      </c>
      <c r="B310" t="s">
        <v>50</v>
      </c>
      <c r="C310" t="s">
        <v>74</v>
      </c>
      <c r="D310">
        <v>0.79999999999999993</v>
      </c>
      <c r="E310">
        <f>Tableau1[[#This Row],[Potential (PJ)]]/3.6</f>
        <v>0.22222222222222221</v>
      </c>
      <c r="F310">
        <v>7.0142500000000014</v>
      </c>
      <c r="G310">
        <f>Tableau1[[#This Row],[Cost (€/GJ)]]*3.6</f>
        <v>25.251300000000004</v>
      </c>
      <c r="H310">
        <v>2.0635593220338988</v>
      </c>
      <c r="I310">
        <f>Tableau1[[#This Row],[GHG (kgCO2eq/GJ)]]*3.6</f>
        <v>7.4288135593220357</v>
      </c>
      <c r="J310" t="s">
        <v>105</v>
      </c>
      <c r="K310" t="s">
        <v>108</v>
      </c>
    </row>
    <row r="311" spans="1:11" hidden="1" x14ac:dyDescent="0.3">
      <c r="A311" t="s">
        <v>20</v>
      </c>
      <c r="B311" t="s">
        <v>51</v>
      </c>
      <c r="C311" t="s">
        <v>75</v>
      </c>
      <c r="D311">
        <v>9.9672070000000001</v>
      </c>
      <c r="E311">
        <f>Tableau1[[#This Row],[Potential (PJ)]]/3.6</f>
        <v>2.768668611111111</v>
      </c>
      <c r="F311">
        <v>3.8021542785252598E-2</v>
      </c>
      <c r="G311">
        <f>Tableau1[[#This Row],[Cost (€/GJ)]]*3.6</f>
        <v>0.13687755402690935</v>
      </c>
      <c r="H311">
        <v>11.74</v>
      </c>
      <c r="I311">
        <f>Tableau1[[#This Row],[GHG (kgCO2eq/GJ)]]*3.6</f>
        <v>42.264000000000003</v>
      </c>
      <c r="J311" t="s">
        <v>104</v>
      </c>
      <c r="K311" t="s">
        <v>108</v>
      </c>
    </row>
    <row r="312" spans="1:11" hidden="1" x14ac:dyDescent="0.3">
      <c r="A312" t="s">
        <v>20</v>
      </c>
      <c r="B312" t="s">
        <v>60</v>
      </c>
      <c r="C312" t="s">
        <v>98</v>
      </c>
      <c r="D312">
        <v>0.15962000000000001</v>
      </c>
      <c r="E312">
        <f>Tableau1[[#This Row],[Potential (PJ)]]/3.6</f>
        <v>4.4338888888888893E-2</v>
      </c>
      <c r="F312">
        <v>19.01181525241676</v>
      </c>
      <c r="G312">
        <f>Tableau1[[#This Row],[Cost (€/GJ)]]*3.6</f>
        <v>68.442534908700338</v>
      </c>
      <c r="H312">
        <v>98.1</v>
      </c>
      <c r="I312">
        <f>Tableau1[[#This Row],[GHG (kgCO2eq/GJ)]]*3.6</f>
        <v>353.15999999999997</v>
      </c>
      <c r="J312" t="s">
        <v>107</v>
      </c>
      <c r="K312" t="s">
        <v>109</v>
      </c>
    </row>
    <row r="313" spans="1:11" hidden="1" x14ac:dyDescent="0.3">
      <c r="A313" t="s">
        <v>20</v>
      </c>
      <c r="B313" t="s">
        <v>52</v>
      </c>
      <c r="C313" t="s">
        <v>76</v>
      </c>
      <c r="D313">
        <v>2.5150000000000001</v>
      </c>
      <c r="E313">
        <f>Tableau1[[#This Row],[Potential (PJ)]]/3.6</f>
        <v>0.69861111111111118</v>
      </c>
      <c r="F313">
        <v>6.1837425000000001</v>
      </c>
      <c r="G313">
        <f>Tableau1[[#This Row],[Cost (€/GJ)]]*3.6</f>
        <v>22.261473000000002</v>
      </c>
      <c r="H313">
        <v>12.68872359754714</v>
      </c>
      <c r="I313">
        <f>Tableau1[[#This Row],[GHG (kgCO2eq/GJ)]]*3.6</f>
        <v>45.679404951169708</v>
      </c>
      <c r="J313" t="s">
        <v>105</v>
      </c>
      <c r="K313" t="s">
        <v>108</v>
      </c>
    </row>
    <row r="314" spans="1:11" hidden="1" x14ac:dyDescent="0.3">
      <c r="A314" t="s">
        <v>20</v>
      </c>
      <c r="B314" t="s">
        <v>53</v>
      </c>
      <c r="C314" t="s">
        <v>77</v>
      </c>
      <c r="D314">
        <v>11.20133</v>
      </c>
      <c r="E314">
        <f>Tableau1[[#This Row],[Potential (PJ)]]/3.6</f>
        <v>3.1114805555555556</v>
      </c>
      <c r="F314">
        <v>4.3570673241481144</v>
      </c>
      <c r="G314">
        <f>Tableau1[[#This Row],[Cost (€/GJ)]]*3.6</f>
        <v>15.685442366933213</v>
      </c>
      <c r="H314">
        <v>3.86607608129234</v>
      </c>
      <c r="I314">
        <f>Tableau1[[#This Row],[GHG (kgCO2eq/GJ)]]*3.6</f>
        <v>13.917873892652425</v>
      </c>
      <c r="J314" t="s">
        <v>104</v>
      </c>
      <c r="K314" t="s">
        <v>108</v>
      </c>
    </row>
    <row r="315" spans="1:11" hidden="1" x14ac:dyDescent="0.3">
      <c r="A315" t="s">
        <v>20</v>
      </c>
      <c r="B315" t="s">
        <v>61</v>
      </c>
      <c r="C315" t="s">
        <v>99</v>
      </c>
      <c r="D315">
        <v>7.8999999999999986</v>
      </c>
      <c r="E315">
        <f>Tableau1[[#This Row],[Potential (PJ)]]/3.6</f>
        <v>2.1944444444444442</v>
      </c>
      <c r="F315">
        <v>1.6123797468354431</v>
      </c>
      <c r="G315">
        <f>Tableau1[[#This Row],[Cost (€/GJ)]]*3.6</f>
        <v>5.8045670886075955</v>
      </c>
      <c r="H315">
        <v>2.9245635910224439</v>
      </c>
      <c r="I315">
        <f>Tableau1[[#This Row],[GHG (kgCO2eq/GJ)]]*3.6</f>
        <v>10.528428927680798</v>
      </c>
      <c r="J315" t="s">
        <v>104</v>
      </c>
      <c r="K315" t="s">
        <v>108</v>
      </c>
    </row>
    <row r="316" spans="1:11" hidden="1" x14ac:dyDescent="0.3">
      <c r="A316" t="s">
        <v>20</v>
      </c>
      <c r="B316" t="s">
        <v>62</v>
      </c>
      <c r="C316" t="s">
        <v>100</v>
      </c>
      <c r="D316">
        <v>3.3</v>
      </c>
      <c r="E316">
        <f>Tableau1[[#This Row],[Potential (PJ)]]/3.6</f>
        <v>0.91666666666666663</v>
      </c>
      <c r="F316">
        <v>0.56969696969696981</v>
      </c>
      <c r="G316">
        <f>Tableau1[[#This Row],[Cost (€/GJ)]]*3.6</f>
        <v>2.0509090909090912</v>
      </c>
      <c r="H316">
        <v>2.6764106050305911</v>
      </c>
      <c r="I316">
        <f>Tableau1[[#This Row],[GHG (kgCO2eq/GJ)]]*3.6</f>
        <v>9.6350781781101276</v>
      </c>
      <c r="J316" t="s">
        <v>104</v>
      </c>
      <c r="K316" t="s">
        <v>108</v>
      </c>
    </row>
    <row r="317" spans="1:11" hidden="1" x14ac:dyDescent="0.3">
      <c r="A317" t="s">
        <v>20</v>
      </c>
      <c r="B317" t="s">
        <v>54</v>
      </c>
      <c r="C317" t="s">
        <v>78</v>
      </c>
      <c r="D317">
        <v>168.5</v>
      </c>
      <c r="E317">
        <f>Tableau1[[#This Row],[Potential (PJ)]]/3.6</f>
        <v>46.805555555555557</v>
      </c>
      <c r="F317">
        <v>9.0712350148367946</v>
      </c>
      <c r="G317">
        <f>Tableau1[[#This Row],[Cost (€/GJ)]]*3.6</f>
        <v>32.656446053412459</v>
      </c>
      <c r="H317">
        <v>3.86607608129234</v>
      </c>
      <c r="I317">
        <f>Tableau1[[#This Row],[GHG (kgCO2eq/GJ)]]*3.6</f>
        <v>13.917873892652425</v>
      </c>
      <c r="J317" t="s">
        <v>104</v>
      </c>
      <c r="K317" t="s">
        <v>108</v>
      </c>
    </row>
    <row r="318" spans="1:11" hidden="1" x14ac:dyDescent="0.3">
      <c r="A318" t="s">
        <v>21</v>
      </c>
      <c r="B318" t="s">
        <v>46</v>
      </c>
      <c r="C318" t="s">
        <v>64</v>
      </c>
      <c r="D318">
        <v>4.947E-2</v>
      </c>
      <c r="E318">
        <f>Tableau1[[#This Row],[Potential (PJ)]]/3.6</f>
        <v>1.3741666666666666E-2</v>
      </c>
      <c r="F318">
        <v>5.0881532241762679</v>
      </c>
      <c r="G318">
        <f>Tableau1[[#This Row],[Cost (€/GJ)]]*3.6</f>
        <v>18.317351607034563</v>
      </c>
      <c r="H318">
        <v>2.9521711768407801</v>
      </c>
      <c r="I318">
        <f>Tableau1[[#This Row],[GHG (kgCO2eq/GJ)]]*3.6</f>
        <v>10.627816236626808</v>
      </c>
      <c r="J318" t="s">
        <v>104</v>
      </c>
      <c r="K318" t="s">
        <v>108</v>
      </c>
    </row>
    <row r="319" spans="1:11" hidden="1" x14ac:dyDescent="0.3">
      <c r="A319" t="s">
        <v>21</v>
      </c>
      <c r="B319" t="s">
        <v>46</v>
      </c>
      <c r="C319" t="s">
        <v>79</v>
      </c>
      <c r="D319">
        <v>79.900000000000006</v>
      </c>
      <c r="E319">
        <f>Tableau1[[#This Row],[Potential (PJ)]]/3.6</f>
        <v>22.194444444444446</v>
      </c>
      <c r="F319">
        <v>2.483043804755944</v>
      </c>
      <c r="G319">
        <f>Tableau1[[#This Row],[Cost (€/GJ)]]*3.6</f>
        <v>8.9389576971213991</v>
      </c>
      <c r="H319">
        <v>6.8428961748633883</v>
      </c>
      <c r="I319">
        <f>Tableau1[[#This Row],[GHG (kgCO2eq/GJ)]]*3.6</f>
        <v>24.634426229508197</v>
      </c>
      <c r="J319" t="s">
        <v>104</v>
      </c>
      <c r="K319" t="s">
        <v>108</v>
      </c>
    </row>
    <row r="320" spans="1:11" hidden="1" x14ac:dyDescent="0.3">
      <c r="A320" t="s">
        <v>21</v>
      </c>
      <c r="B320" t="s">
        <v>49</v>
      </c>
      <c r="C320" t="s">
        <v>71</v>
      </c>
      <c r="D320">
        <v>30.724630000000001</v>
      </c>
      <c r="E320">
        <f>Tableau1[[#This Row],[Potential (PJ)]]/3.6</f>
        <v>8.534619444444445</v>
      </c>
      <c r="F320">
        <v>4.4952418746783938</v>
      </c>
      <c r="G320">
        <f>Tableau1[[#This Row],[Cost (€/GJ)]]*3.6</f>
        <v>16.18287074884222</v>
      </c>
      <c r="H320">
        <v>3.86607608129234</v>
      </c>
      <c r="I320">
        <f>Tableau1[[#This Row],[GHG (kgCO2eq/GJ)]]*3.6</f>
        <v>13.917873892652425</v>
      </c>
      <c r="J320" t="s">
        <v>104</v>
      </c>
      <c r="K320" t="s">
        <v>108</v>
      </c>
    </row>
    <row r="321" spans="1:11" hidden="1" x14ac:dyDescent="0.3">
      <c r="A321" t="s">
        <v>21</v>
      </c>
      <c r="B321" t="s">
        <v>46</v>
      </c>
      <c r="C321" t="s">
        <v>80</v>
      </c>
      <c r="D321">
        <v>2.1709000000000001</v>
      </c>
      <c r="E321">
        <f>Tableau1[[#This Row],[Potential (PJ)]]/3.6</f>
        <v>0.60302777777777783</v>
      </c>
      <c r="F321">
        <v>0.72016183412002699</v>
      </c>
      <c r="G321">
        <f>Tableau1[[#This Row],[Cost (€/GJ)]]*3.6</f>
        <v>2.5925826028320973</v>
      </c>
      <c r="H321">
        <v>28.139870918023309</v>
      </c>
      <c r="I321">
        <f>Tableau1[[#This Row],[GHG (kgCO2eq/GJ)]]*3.6</f>
        <v>101.30353530488391</v>
      </c>
      <c r="J321" t="s">
        <v>105</v>
      </c>
      <c r="K321" t="s">
        <v>108</v>
      </c>
    </row>
    <row r="322" spans="1:11" hidden="1" x14ac:dyDescent="0.3">
      <c r="A322" t="s">
        <v>21</v>
      </c>
      <c r="B322" t="s">
        <v>46</v>
      </c>
      <c r="C322" t="s">
        <v>81</v>
      </c>
      <c r="D322">
        <v>6.2740999999999998</v>
      </c>
      <c r="E322">
        <f>Tableau1[[#This Row],[Potential (PJ)]]/3.6</f>
        <v>1.7428055555555555</v>
      </c>
      <c r="F322">
        <v>0.98883666274970616</v>
      </c>
      <c r="G322">
        <f>Tableau1[[#This Row],[Cost (€/GJ)]]*3.6</f>
        <v>3.5598119858989423</v>
      </c>
      <c r="H322">
        <v>8.9647473560517046</v>
      </c>
      <c r="I322">
        <f>Tableau1[[#This Row],[GHG (kgCO2eq/GJ)]]*3.6</f>
        <v>32.273090481786134</v>
      </c>
      <c r="J322" t="s">
        <v>105</v>
      </c>
      <c r="K322" t="s">
        <v>108</v>
      </c>
    </row>
    <row r="323" spans="1:11" hidden="1" x14ac:dyDescent="0.3">
      <c r="A323" t="s">
        <v>21</v>
      </c>
      <c r="B323" t="s">
        <v>54</v>
      </c>
      <c r="C323" t="s">
        <v>78</v>
      </c>
      <c r="D323">
        <v>241.9</v>
      </c>
      <c r="E323">
        <f>Tableau1[[#This Row],[Potential (PJ)]]/3.6</f>
        <v>67.194444444444443</v>
      </c>
      <c r="F323">
        <v>7.439901198842497</v>
      </c>
      <c r="G323">
        <f>Tableau1[[#This Row],[Cost (€/GJ)]]*3.6</f>
        <v>26.783644315832991</v>
      </c>
      <c r="H323">
        <v>3.86607608129234</v>
      </c>
      <c r="I323">
        <f>Tableau1[[#This Row],[GHG (kgCO2eq/GJ)]]*3.6</f>
        <v>13.917873892652425</v>
      </c>
      <c r="J323" t="s">
        <v>104</v>
      </c>
      <c r="K323" t="s">
        <v>108</v>
      </c>
    </row>
    <row r="324" spans="1:11" hidden="1" x14ac:dyDescent="0.3">
      <c r="A324" t="s">
        <v>21</v>
      </c>
      <c r="B324" t="s">
        <v>49</v>
      </c>
      <c r="C324" t="s">
        <v>72</v>
      </c>
      <c r="D324">
        <v>11.4</v>
      </c>
      <c r="E324">
        <f>Tableau1[[#This Row],[Potential (PJ)]]/3.6</f>
        <v>3.1666666666666665</v>
      </c>
      <c r="F324">
        <v>3.599622807017544</v>
      </c>
      <c r="G324">
        <f>Tableau1[[#This Row],[Cost (€/GJ)]]*3.6</f>
        <v>12.958642105263159</v>
      </c>
      <c r="H324">
        <v>3.86607608129234</v>
      </c>
      <c r="I324">
        <f>Tableau1[[#This Row],[GHG (kgCO2eq/GJ)]]*3.6</f>
        <v>13.917873892652425</v>
      </c>
      <c r="J324" t="s">
        <v>104</v>
      </c>
      <c r="K324" t="s">
        <v>108</v>
      </c>
    </row>
    <row r="325" spans="1:11" hidden="1" x14ac:dyDescent="0.3">
      <c r="A325" t="s">
        <v>21</v>
      </c>
      <c r="B325" t="s">
        <v>53</v>
      </c>
      <c r="C325" t="s">
        <v>77</v>
      </c>
      <c r="D325">
        <v>88.955880000000008</v>
      </c>
      <c r="E325">
        <f>Tableau1[[#This Row],[Potential (PJ)]]/3.6</f>
        <v>24.709966666666666</v>
      </c>
      <c r="F325">
        <v>3.5993421761439488</v>
      </c>
      <c r="G325">
        <f>Tableau1[[#This Row],[Cost (€/GJ)]]*3.6</f>
        <v>12.957631834118216</v>
      </c>
      <c r="H325">
        <v>3.86607608129234</v>
      </c>
      <c r="I325">
        <f>Tableau1[[#This Row],[GHG (kgCO2eq/GJ)]]*3.6</f>
        <v>13.917873892652425</v>
      </c>
      <c r="J325" t="s">
        <v>104</v>
      </c>
      <c r="K325" t="s">
        <v>108</v>
      </c>
    </row>
    <row r="326" spans="1:11" hidden="1" x14ac:dyDescent="0.3">
      <c r="A326" t="s">
        <v>21</v>
      </c>
      <c r="B326" t="s">
        <v>46</v>
      </c>
      <c r="C326" t="s">
        <v>84</v>
      </c>
      <c r="D326">
        <v>1.4</v>
      </c>
      <c r="E326">
        <f>Tableau1[[#This Row],[Potential (PJ)]]/3.6</f>
        <v>0.38888888888888884</v>
      </c>
      <c r="F326">
        <v>2.1028571428571432</v>
      </c>
      <c r="G326">
        <f>Tableau1[[#This Row],[Cost (€/GJ)]]*3.6</f>
        <v>7.5702857142857161</v>
      </c>
      <c r="H326">
        <v>28.139870918023309</v>
      </c>
      <c r="I326">
        <f>Tableau1[[#This Row],[GHG (kgCO2eq/GJ)]]*3.6</f>
        <v>101.30353530488391</v>
      </c>
      <c r="J326" t="s">
        <v>105</v>
      </c>
      <c r="K326" t="s">
        <v>108</v>
      </c>
    </row>
    <row r="327" spans="1:11" hidden="1" x14ac:dyDescent="0.3">
      <c r="A327" t="s">
        <v>21</v>
      </c>
      <c r="B327" t="s">
        <v>58</v>
      </c>
      <c r="C327" t="s">
        <v>95</v>
      </c>
      <c r="D327">
        <v>12.7553</v>
      </c>
      <c r="E327">
        <f>Tableau1[[#This Row],[Potential (PJ)]]/3.6</f>
        <v>3.5431388888888886</v>
      </c>
      <c r="F327">
        <v>2.5230544001317101</v>
      </c>
      <c r="G327">
        <f>Tableau1[[#This Row],[Cost (€/GJ)]]*3.6</f>
        <v>9.0829958404741564</v>
      </c>
      <c r="H327">
        <v>2.9521711768407801</v>
      </c>
      <c r="I327">
        <f>Tableau1[[#This Row],[GHG (kgCO2eq/GJ)]]*3.6</f>
        <v>10.627816236626808</v>
      </c>
      <c r="J327" t="s">
        <v>104</v>
      </c>
      <c r="K327" t="s">
        <v>108</v>
      </c>
    </row>
    <row r="328" spans="1:11" hidden="1" x14ac:dyDescent="0.3">
      <c r="A328" t="s">
        <v>21</v>
      </c>
      <c r="B328" t="s">
        <v>55</v>
      </c>
      <c r="C328" t="s">
        <v>86</v>
      </c>
      <c r="D328">
        <v>2.0167000000000002</v>
      </c>
      <c r="E328">
        <f>Tableau1[[#This Row],[Potential (PJ)]]/3.6</f>
        <v>0.56019444444444444</v>
      </c>
      <c r="F328">
        <v>16.649999999999991</v>
      </c>
      <c r="G328">
        <f>Tableau1[[#This Row],[Cost (€/GJ)]]*3.6</f>
        <v>59.939999999999969</v>
      </c>
      <c r="H328">
        <v>18.100000000000001</v>
      </c>
      <c r="I328">
        <f>Tableau1[[#This Row],[GHG (kgCO2eq/GJ)]]*3.6</f>
        <v>65.160000000000011</v>
      </c>
      <c r="J328" t="s">
        <v>106</v>
      </c>
      <c r="K328" t="s">
        <v>109</v>
      </c>
    </row>
    <row r="329" spans="1:11" hidden="1" x14ac:dyDescent="0.3">
      <c r="A329" t="s">
        <v>21</v>
      </c>
      <c r="B329" t="s">
        <v>55</v>
      </c>
      <c r="C329" t="s">
        <v>87</v>
      </c>
      <c r="D329">
        <v>10.718</v>
      </c>
      <c r="E329">
        <f>Tableau1[[#This Row],[Potential (PJ)]]/3.6</f>
        <v>2.9772222222222222</v>
      </c>
      <c r="F329">
        <v>18.841000000000001</v>
      </c>
      <c r="G329">
        <f>Tableau1[[#This Row],[Cost (€/GJ)]]*3.6</f>
        <v>67.827600000000004</v>
      </c>
      <c r="H329">
        <v>18.100000000000001</v>
      </c>
      <c r="I329">
        <f>Tableau1[[#This Row],[GHG (kgCO2eq/GJ)]]*3.6</f>
        <v>65.160000000000011</v>
      </c>
      <c r="J329" t="s">
        <v>106</v>
      </c>
      <c r="K329" t="s">
        <v>109</v>
      </c>
    </row>
    <row r="330" spans="1:11" hidden="1" x14ac:dyDescent="0.3">
      <c r="A330" t="s">
        <v>21</v>
      </c>
      <c r="B330" t="s">
        <v>55</v>
      </c>
      <c r="C330" t="s">
        <v>88</v>
      </c>
      <c r="D330">
        <v>11.6503</v>
      </c>
      <c r="E330">
        <f>Tableau1[[#This Row],[Potential (PJ)]]/3.6</f>
        <v>3.2361944444444442</v>
      </c>
      <c r="F330">
        <v>18.274000000000001</v>
      </c>
      <c r="G330">
        <f>Tableau1[[#This Row],[Cost (€/GJ)]]*3.6</f>
        <v>65.7864</v>
      </c>
      <c r="H330">
        <v>18.100000000000001</v>
      </c>
      <c r="I330">
        <f>Tableau1[[#This Row],[GHG (kgCO2eq/GJ)]]*3.6</f>
        <v>65.160000000000011</v>
      </c>
      <c r="J330" t="s">
        <v>106</v>
      </c>
      <c r="K330" t="s">
        <v>109</v>
      </c>
    </row>
    <row r="331" spans="1:11" hidden="1" x14ac:dyDescent="0.3">
      <c r="A331" t="s">
        <v>21</v>
      </c>
      <c r="B331" t="s">
        <v>55</v>
      </c>
      <c r="C331" t="s">
        <v>92</v>
      </c>
      <c r="D331">
        <v>2.2203400000000002</v>
      </c>
      <c r="E331">
        <f>Tableau1[[#This Row],[Potential (PJ)]]/3.6</f>
        <v>0.6167611111111112</v>
      </c>
      <c r="F331">
        <v>18.841000000000001</v>
      </c>
      <c r="G331">
        <f>Tableau1[[#This Row],[Cost (€/GJ)]]*3.6</f>
        <v>67.827600000000004</v>
      </c>
      <c r="H331">
        <v>18.100000000000001</v>
      </c>
      <c r="I331">
        <f>Tableau1[[#This Row],[GHG (kgCO2eq/GJ)]]*3.6</f>
        <v>65.160000000000011</v>
      </c>
      <c r="J331" t="s">
        <v>106</v>
      </c>
      <c r="K331" t="s">
        <v>109</v>
      </c>
    </row>
    <row r="332" spans="1:11" hidden="1" x14ac:dyDescent="0.3">
      <c r="A332" t="s">
        <v>21</v>
      </c>
      <c r="B332" t="s">
        <v>56</v>
      </c>
      <c r="C332" t="s">
        <v>93</v>
      </c>
      <c r="D332">
        <v>231.88140000000001</v>
      </c>
      <c r="E332">
        <f>Tableau1[[#This Row],[Potential (PJ)]]/3.6</f>
        <v>64.411500000000004</v>
      </c>
      <c r="F332">
        <v>2.939759036144578</v>
      </c>
      <c r="G332">
        <f>Tableau1[[#This Row],[Cost (€/GJ)]]*3.6</f>
        <v>10.583132530120482</v>
      </c>
      <c r="H332">
        <v>25.9</v>
      </c>
      <c r="I332">
        <f>Tableau1[[#This Row],[GHG (kgCO2eq/GJ)]]*3.6</f>
        <v>93.24</v>
      </c>
      <c r="J332" t="s">
        <v>106</v>
      </c>
      <c r="K332" t="s">
        <v>109</v>
      </c>
    </row>
    <row r="333" spans="1:11" hidden="1" x14ac:dyDescent="0.3">
      <c r="A333" t="s">
        <v>21</v>
      </c>
      <c r="B333" t="s">
        <v>46</v>
      </c>
      <c r="C333" t="s">
        <v>66</v>
      </c>
      <c r="D333">
        <v>6.8999999999999986</v>
      </c>
      <c r="E333">
        <f>Tableau1[[#This Row],[Potential (PJ)]]/3.6</f>
        <v>1.9166666666666663</v>
      </c>
      <c r="F333">
        <v>2.5185507246376808</v>
      </c>
      <c r="G333">
        <f>Tableau1[[#This Row],[Cost (€/GJ)]]*3.6</f>
        <v>9.066782608695652</v>
      </c>
      <c r="H333">
        <v>6.8428961748633883</v>
      </c>
      <c r="I333">
        <f>Tableau1[[#This Row],[GHG (kgCO2eq/GJ)]]*3.6</f>
        <v>24.634426229508197</v>
      </c>
      <c r="J333" t="s">
        <v>104</v>
      </c>
      <c r="K333" t="s">
        <v>108</v>
      </c>
    </row>
    <row r="334" spans="1:11" x14ac:dyDescent="0.3">
      <c r="A334" t="s">
        <v>21</v>
      </c>
      <c r="B334" t="s">
        <v>47</v>
      </c>
      <c r="C334" t="s">
        <v>68</v>
      </c>
      <c r="D334">
        <v>77.400000000000006</v>
      </c>
      <c r="E334">
        <f>Tableau1[[#This Row],[Potential (PJ)]]/3.6</f>
        <v>21.5</v>
      </c>
      <c r="F334">
        <v>5.1118113695090432</v>
      </c>
      <c r="G334">
        <f>Tableau1[[#This Row],[Cost (€/GJ)]]*3.6</f>
        <v>18.402520930232555</v>
      </c>
      <c r="H334">
        <v>18.600000000000001</v>
      </c>
      <c r="I334">
        <f>Tableau1[[#This Row],[GHG (kgCO2eq/GJ)]]*3.6</f>
        <v>66.960000000000008</v>
      </c>
      <c r="J334" t="s">
        <v>104</v>
      </c>
      <c r="K334" t="s">
        <v>109</v>
      </c>
    </row>
    <row r="335" spans="1:11" hidden="1" x14ac:dyDescent="0.3">
      <c r="A335" t="s">
        <v>21</v>
      </c>
      <c r="B335" t="s">
        <v>51</v>
      </c>
      <c r="C335" t="s">
        <v>75</v>
      </c>
      <c r="D335">
        <v>66.190160000000006</v>
      </c>
      <c r="E335">
        <f>Tableau1[[#This Row],[Potential (PJ)]]/3.6</f>
        <v>18.386155555555558</v>
      </c>
      <c r="F335">
        <v>6.3058716180166494E-2</v>
      </c>
      <c r="G335">
        <f>Tableau1[[#This Row],[Cost (€/GJ)]]*3.6</f>
        <v>0.22701137824859938</v>
      </c>
      <c r="H335">
        <v>11.74</v>
      </c>
      <c r="I335">
        <f>Tableau1[[#This Row],[GHG (kgCO2eq/GJ)]]*3.6</f>
        <v>42.264000000000003</v>
      </c>
      <c r="J335" t="s">
        <v>104</v>
      </c>
      <c r="K335" t="s">
        <v>108</v>
      </c>
    </row>
    <row r="336" spans="1:11" hidden="1" x14ac:dyDescent="0.3">
      <c r="A336" t="s">
        <v>21</v>
      </c>
      <c r="B336" t="s">
        <v>46</v>
      </c>
      <c r="C336" t="s">
        <v>63</v>
      </c>
      <c r="D336">
        <v>3.2000000000000001E-2</v>
      </c>
      <c r="E336">
        <f>Tableau1[[#This Row],[Potential (PJ)]]/3.6</f>
        <v>8.8888888888888889E-3</v>
      </c>
      <c r="F336">
        <v>2.9286474973375931</v>
      </c>
      <c r="G336">
        <f>Tableau1[[#This Row],[Cost (€/GJ)]]*3.6</f>
        <v>10.543130990415335</v>
      </c>
      <c r="H336">
        <v>3.950479233226837</v>
      </c>
      <c r="I336">
        <f>Tableau1[[#This Row],[GHG (kgCO2eq/GJ)]]*3.6</f>
        <v>14.221725239616614</v>
      </c>
      <c r="J336" t="s">
        <v>104</v>
      </c>
      <c r="K336" t="s">
        <v>108</v>
      </c>
    </row>
    <row r="337" spans="1:11" hidden="1" x14ac:dyDescent="0.3">
      <c r="A337" t="s">
        <v>21</v>
      </c>
      <c r="B337" t="s">
        <v>46</v>
      </c>
      <c r="C337" t="s">
        <v>82</v>
      </c>
      <c r="D337">
        <v>4.5999999999999996</v>
      </c>
      <c r="E337">
        <f>Tableau1[[#This Row],[Potential (PJ)]]/3.6</f>
        <v>1.2777777777777777</v>
      </c>
      <c r="F337">
        <v>1.660521739130435</v>
      </c>
      <c r="G337">
        <f>Tableau1[[#This Row],[Cost (€/GJ)]]*3.6</f>
        <v>5.9778782608695664</v>
      </c>
      <c r="H337">
        <v>6.8428961748633883</v>
      </c>
      <c r="I337">
        <f>Tableau1[[#This Row],[GHG (kgCO2eq/GJ)]]*3.6</f>
        <v>24.634426229508197</v>
      </c>
      <c r="J337" t="s">
        <v>104</v>
      </c>
      <c r="K337" t="s">
        <v>108</v>
      </c>
    </row>
    <row r="338" spans="1:11" hidden="1" x14ac:dyDescent="0.3">
      <c r="A338" t="s">
        <v>21</v>
      </c>
      <c r="B338" t="s">
        <v>61</v>
      </c>
      <c r="C338" t="s">
        <v>99</v>
      </c>
      <c r="D338">
        <v>5.3</v>
      </c>
      <c r="E338">
        <f>Tableau1[[#This Row],[Potential (PJ)]]/3.6</f>
        <v>1.4722222222222221</v>
      </c>
      <c r="F338">
        <v>1.86611320754717</v>
      </c>
      <c r="G338">
        <f>Tableau1[[#This Row],[Cost (€/GJ)]]*3.6</f>
        <v>6.7180075471698126</v>
      </c>
      <c r="H338">
        <v>2.9245635910224439</v>
      </c>
      <c r="I338">
        <f>Tableau1[[#This Row],[GHG (kgCO2eq/GJ)]]*3.6</f>
        <v>10.528428927680798</v>
      </c>
      <c r="J338" t="s">
        <v>104</v>
      </c>
      <c r="K338" t="s">
        <v>108</v>
      </c>
    </row>
    <row r="339" spans="1:11" x14ac:dyDescent="0.3">
      <c r="A339" t="s">
        <v>21</v>
      </c>
      <c r="B339" t="s">
        <v>48</v>
      </c>
      <c r="C339" t="s">
        <v>70</v>
      </c>
      <c r="D339">
        <v>5.8999999999999986</v>
      </c>
      <c r="E339">
        <f>Tableau1[[#This Row],[Potential (PJ)]]/3.6</f>
        <v>1.6388888888888884</v>
      </c>
      <c r="F339">
        <v>10.050186440677971</v>
      </c>
      <c r="G339">
        <f>Tableau1[[#This Row],[Cost (€/GJ)]]*3.6</f>
        <v>36.180671186440698</v>
      </c>
      <c r="H339">
        <v>15.2</v>
      </c>
      <c r="I339">
        <f>Tableau1[[#This Row],[GHG (kgCO2eq/GJ)]]*3.6</f>
        <v>54.72</v>
      </c>
      <c r="J339" t="s">
        <v>104</v>
      </c>
      <c r="K339" t="s">
        <v>109</v>
      </c>
    </row>
    <row r="340" spans="1:11" hidden="1" x14ac:dyDescent="0.3">
      <c r="A340" t="s">
        <v>21</v>
      </c>
      <c r="B340" t="s">
        <v>50</v>
      </c>
      <c r="C340" t="s">
        <v>73</v>
      </c>
      <c r="D340">
        <v>9.5</v>
      </c>
      <c r="E340">
        <f>Tableau1[[#This Row],[Potential (PJ)]]/3.6</f>
        <v>2.6388888888888888</v>
      </c>
      <c r="F340">
        <v>5.5659789473684196</v>
      </c>
      <c r="G340">
        <f>Tableau1[[#This Row],[Cost (€/GJ)]]*3.6</f>
        <v>20.03752421052631</v>
      </c>
      <c r="H340">
        <v>20.723404255319149</v>
      </c>
      <c r="I340">
        <f>Tableau1[[#This Row],[GHG (kgCO2eq/GJ)]]*3.6</f>
        <v>74.604255319148933</v>
      </c>
      <c r="J340" t="s">
        <v>105</v>
      </c>
      <c r="K340" t="s">
        <v>108</v>
      </c>
    </row>
    <row r="341" spans="1:11" hidden="1" x14ac:dyDescent="0.3">
      <c r="A341" t="s">
        <v>21</v>
      </c>
      <c r="B341" t="s">
        <v>50</v>
      </c>
      <c r="C341" t="s">
        <v>74</v>
      </c>
      <c r="D341">
        <v>46.5</v>
      </c>
      <c r="E341">
        <f>Tableau1[[#This Row],[Potential (PJ)]]/3.6</f>
        <v>12.916666666666666</v>
      </c>
      <c r="F341">
        <v>6.3327440860215054</v>
      </c>
      <c r="G341">
        <f>Tableau1[[#This Row],[Cost (€/GJ)]]*3.6</f>
        <v>22.79787870967742</v>
      </c>
      <c r="H341">
        <v>2.0635593220338988</v>
      </c>
      <c r="I341">
        <f>Tableau1[[#This Row],[GHG (kgCO2eq/GJ)]]*3.6</f>
        <v>7.4288135593220357</v>
      </c>
      <c r="J341" t="s">
        <v>105</v>
      </c>
      <c r="K341" t="s">
        <v>108</v>
      </c>
    </row>
    <row r="342" spans="1:11" hidden="1" x14ac:dyDescent="0.3">
      <c r="A342" t="s">
        <v>21</v>
      </c>
      <c r="B342" t="s">
        <v>59</v>
      </c>
      <c r="C342" t="s">
        <v>96</v>
      </c>
      <c r="D342">
        <v>0.45229999999999998</v>
      </c>
      <c r="E342">
        <f>Tableau1[[#This Row],[Potential (PJ)]]/3.6</f>
        <v>0.12563888888888888</v>
      </c>
      <c r="F342">
        <v>28.434000000000001</v>
      </c>
      <c r="G342">
        <f>Tableau1[[#This Row],[Cost (€/GJ)]]*3.6</f>
        <v>102.36240000000001</v>
      </c>
      <c r="H342">
        <v>24.2</v>
      </c>
      <c r="I342">
        <f>Tableau1[[#This Row],[GHG (kgCO2eq/GJ)]]*3.6</f>
        <v>87.12</v>
      </c>
      <c r="J342" t="s">
        <v>107</v>
      </c>
      <c r="K342" t="s">
        <v>109</v>
      </c>
    </row>
    <row r="343" spans="1:11" hidden="1" x14ac:dyDescent="0.3">
      <c r="A343" t="s">
        <v>21</v>
      </c>
      <c r="B343" t="s">
        <v>59</v>
      </c>
      <c r="C343" t="s">
        <v>97</v>
      </c>
      <c r="D343">
        <v>7.2530000000000001</v>
      </c>
      <c r="E343">
        <f>Tableau1[[#This Row],[Potential (PJ)]]/3.6</f>
        <v>2.0147222222222223</v>
      </c>
      <c r="F343">
        <v>18.393922951709168</v>
      </c>
      <c r="G343">
        <f>Tableau1[[#This Row],[Cost (€/GJ)]]*3.6</f>
        <v>66.218122626153004</v>
      </c>
      <c r="H343">
        <v>24.2</v>
      </c>
      <c r="I343">
        <f>Tableau1[[#This Row],[GHG (kgCO2eq/GJ)]]*3.6</f>
        <v>87.12</v>
      </c>
      <c r="J343" t="s">
        <v>107</v>
      </c>
      <c r="K343" t="s">
        <v>109</v>
      </c>
    </row>
    <row r="344" spans="1:11" hidden="1" x14ac:dyDescent="0.3">
      <c r="A344" t="s">
        <v>21</v>
      </c>
      <c r="B344" t="s">
        <v>46</v>
      </c>
      <c r="C344" t="s">
        <v>83</v>
      </c>
      <c r="D344">
        <v>0.36298000000000002</v>
      </c>
      <c r="E344">
        <f>Tableau1[[#This Row],[Potential (PJ)]]/3.6</f>
        <v>0.10082777777777778</v>
      </c>
      <c r="F344">
        <v>2.3263846492919722</v>
      </c>
      <c r="G344">
        <f>Tableau1[[#This Row],[Cost (€/GJ)]]*3.6</f>
        <v>8.3749847374511006</v>
      </c>
      <c r="H344">
        <v>6.8428961748633883</v>
      </c>
      <c r="I344">
        <f>Tableau1[[#This Row],[GHG (kgCO2eq/GJ)]]*3.6</f>
        <v>24.634426229508197</v>
      </c>
      <c r="J344" t="s">
        <v>104</v>
      </c>
      <c r="K344" t="s">
        <v>108</v>
      </c>
    </row>
    <row r="345" spans="1:11" hidden="1" x14ac:dyDescent="0.3">
      <c r="A345" t="s">
        <v>21</v>
      </c>
      <c r="B345" t="s">
        <v>60</v>
      </c>
      <c r="C345" t="s">
        <v>98</v>
      </c>
      <c r="D345">
        <v>57.40598</v>
      </c>
      <c r="E345">
        <f>Tableau1[[#This Row],[Potential (PJ)]]/3.6</f>
        <v>15.946105555555555</v>
      </c>
      <c r="F345">
        <v>17.3469387755102</v>
      </c>
      <c r="G345">
        <f>Tableau1[[#This Row],[Cost (€/GJ)]]*3.6</f>
        <v>62.448979591836718</v>
      </c>
      <c r="H345">
        <v>26.3</v>
      </c>
      <c r="I345">
        <f>Tableau1[[#This Row],[GHG (kgCO2eq/GJ)]]*3.6</f>
        <v>94.68</v>
      </c>
      <c r="J345" t="s">
        <v>107</v>
      </c>
      <c r="K345" t="s">
        <v>109</v>
      </c>
    </row>
    <row r="346" spans="1:11" hidden="1" x14ac:dyDescent="0.3">
      <c r="A346" t="s">
        <v>21</v>
      </c>
      <c r="B346" t="s">
        <v>52</v>
      </c>
      <c r="C346" t="s">
        <v>76</v>
      </c>
      <c r="D346">
        <v>6.0000000000000001E-3</v>
      </c>
      <c r="E346">
        <f>Tableau1[[#This Row],[Potential (PJ)]]/3.6</f>
        <v>1.6666666666666666E-3</v>
      </c>
      <c r="F346">
        <v>6.1837425000000001</v>
      </c>
      <c r="G346">
        <f>Tableau1[[#This Row],[Cost (€/GJ)]]*3.6</f>
        <v>22.261473000000002</v>
      </c>
      <c r="H346">
        <v>12.68872359754714</v>
      </c>
      <c r="I346">
        <f>Tableau1[[#This Row],[GHG (kgCO2eq/GJ)]]*3.6</f>
        <v>45.679404951169708</v>
      </c>
      <c r="J346" t="s">
        <v>105</v>
      </c>
      <c r="K346" t="s">
        <v>108</v>
      </c>
    </row>
    <row r="347" spans="1:11" hidden="1" x14ac:dyDescent="0.3">
      <c r="A347" t="s">
        <v>21</v>
      </c>
      <c r="B347" t="s">
        <v>62</v>
      </c>
      <c r="C347" t="s">
        <v>100</v>
      </c>
      <c r="D347">
        <v>1.4</v>
      </c>
      <c r="E347">
        <f>Tableau1[[#This Row],[Potential (PJ)]]/3.6</f>
        <v>0.38888888888888884</v>
      </c>
      <c r="F347">
        <v>0.12857142857142859</v>
      </c>
      <c r="G347">
        <f>Tableau1[[#This Row],[Cost (€/GJ)]]*3.6</f>
        <v>0.46285714285714291</v>
      </c>
      <c r="H347">
        <v>2.6764106050305911</v>
      </c>
      <c r="I347">
        <f>Tableau1[[#This Row],[GHG (kgCO2eq/GJ)]]*3.6</f>
        <v>9.6350781781101276</v>
      </c>
      <c r="J347" t="s">
        <v>104</v>
      </c>
      <c r="K347" t="s">
        <v>108</v>
      </c>
    </row>
    <row r="348" spans="1:11" x14ac:dyDescent="0.3">
      <c r="A348" t="s">
        <v>21</v>
      </c>
      <c r="B348" t="s">
        <v>47</v>
      </c>
      <c r="C348" t="s">
        <v>69</v>
      </c>
      <c r="D348">
        <v>74.400000000000006</v>
      </c>
      <c r="E348">
        <f>Tableau1[[#This Row],[Potential (PJ)]]/3.6</f>
        <v>20.666666666666668</v>
      </c>
      <c r="F348">
        <v>4.7767069892473124</v>
      </c>
      <c r="G348">
        <f>Tableau1[[#This Row],[Cost (€/GJ)]]*3.6</f>
        <v>17.196145161290325</v>
      </c>
      <c r="H348">
        <v>18.600000000000001</v>
      </c>
      <c r="I348">
        <f>Tableau1[[#This Row],[GHG (kgCO2eq/GJ)]]*3.6</f>
        <v>66.960000000000008</v>
      </c>
      <c r="J348" t="s">
        <v>104</v>
      </c>
      <c r="K348" t="s">
        <v>109</v>
      </c>
    </row>
    <row r="349" spans="1:11" hidden="1" x14ac:dyDescent="0.3">
      <c r="A349" t="s">
        <v>21</v>
      </c>
      <c r="B349" t="s">
        <v>46</v>
      </c>
      <c r="C349" t="s">
        <v>85</v>
      </c>
      <c r="D349">
        <v>1.3</v>
      </c>
      <c r="E349">
        <f>Tableau1[[#This Row],[Potential (PJ)]]/3.6</f>
        <v>0.3611111111111111</v>
      </c>
      <c r="F349">
        <v>4.1523076923076916</v>
      </c>
      <c r="G349">
        <f>Tableau1[[#This Row],[Cost (€/GJ)]]*3.6</f>
        <v>14.94830769230769</v>
      </c>
      <c r="H349">
        <v>2.9521711768407801</v>
      </c>
      <c r="I349">
        <f>Tableau1[[#This Row],[GHG (kgCO2eq/GJ)]]*3.6</f>
        <v>10.627816236626808</v>
      </c>
      <c r="J349" t="s">
        <v>104</v>
      </c>
      <c r="K349" t="s">
        <v>108</v>
      </c>
    </row>
    <row r="350" spans="1:11" x14ac:dyDescent="0.3">
      <c r="A350" t="s">
        <v>21</v>
      </c>
      <c r="B350" t="s">
        <v>57</v>
      </c>
      <c r="C350" t="s">
        <v>94</v>
      </c>
      <c r="D350">
        <v>61.5</v>
      </c>
      <c r="E350">
        <f>Tableau1[[#This Row],[Potential (PJ)]]/3.6</f>
        <v>17.083333333333332</v>
      </c>
      <c r="F350">
        <v>8.2973414634146341</v>
      </c>
      <c r="G350">
        <f>Tableau1[[#This Row],[Cost (€/GJ)]]*3.6</f>
        <v>29.870429268292682</v>
      </c>
      <c r="H350">
        <v>15.2</v>
      </c>
      <c r="I350">
        <f>Tableau1[[#This Row],[GHG (kgCO2eq/GJ)]]*3.6</f>
        <v>54.72</v>
      </c>
      <c r="J350" t="s">
        <v>104</v>
      </c>
      <c r="K350" t="s">
        <v>109</v>
      </c>
    </row>
    <row r="351" spans="1:11" hidden="1" x14ac:dyDescent="0.3">
      <c r="A351" t="s">
        <v>22</v>
      </c>
      <c r="B351" t="s">
        <v>46</v>
      </c>
      <c r="C351" t="s">
        <v>103</v>
      </c>
      <c r="D351">
        <v>2.7570000000000001</v>
      </c>
      <c r="E351">
        <f>Tableau1[[#This Row],[Potential (PJ)]]/3.6</f>
        <v>0.76583333333333337</v>
      </c>
      <c r="F351">
        <v>0</v>
      </c>
      <c r="G351">
        <f>Tableau1[[#This Row],[Cost (€/GJ)]]*3.6</f>
        <v>0</v>
      </c>
      <c r="I351">
        <f>Tableau1[[#This Row],[GHG (kgCO2eq/GJ)]]*3.6</f>
        <v>0</v>
      </c>
    </row>
    <row r="352" spans="1:11" hidden="1" x14ac:dyDescent="0.3">
      <c r="A352" t="s">
        <v>22</v>
      </c>
      <c r="B352" t="s">
        <v>46</v>
      </c>
      <c r="C352" t="s">
        <v>63</v>
      </c>
      <c r="D352">
        <v>1.06E-2</v>
      </c>
      <c r="E352">
        <f>Tableau1[[#This Row],[Potential (PJ)]]/3.6</f>
        <v>2.9444444444444444E-3</v>
      </c>
      <c r="F352">
        <v>2.9286474973375931</v>
      </c>
      <c r="G352">
        <f>Tableau1[[#This Row],[Cost (€/GJ)]]*3.6</f>
        <v>10.543130990415335</v>
      </c>
      <c r="H352">
        <v>3.950479233226837</v>
      </c>
      <c r="I352">
        <f>Tableau1[[#This Row],[GHG (kgCO2eq/GJ)]]*3.6</f>
        <v>14.221725239616614</v>
      </c>
      <c r="J352" t="s">
        <v>104</v>
      </c>
      <c r="K352" t="s">
        <v>108</v>
      </c>
    </row>
    <row r="353" spans="1:11" hidden="1" x14ac:dyDescent="0.3">
      <c r="A353" t="s">
        <v>22</v>
      </c>
      <c r="B353" t="s">
        <v>46</v>
      </c>
      <c r="C353" t="s">
        <v>80</v>
      </c>
      <c r="D353">
        <v>0.44600000000000012</v>
      </c>
      <c r="E353">
        <f>Tableau1[[#This Row],[Potential (PJ)]]/3.6</f>
        <v>0.12388888888888892</v>
      </c>
      <c r="F353">
        <v>0.91773432231962238</v>
      </c>
      <c r="G353">
        <f>Tableau1[[#This Row],[Cost (€/GJ)]]*3.6</f>
        <v>3.3038435603506406</v>
      </c>
      <c r="H353">
        <v>28.139870918023309</v>
      </c>
      <c r="I353">
        <f>Tableau1[[#This Row],[GHG (kgCO2eq/GJ)]]*3.6</f>
        <v>101.30353530488391</v>
      </c>
      <c r="J353" t="s">
        <v>105</v>
      </c>
      <c r="K353" t="s">
        <v>108</v>
      </c>
    </row>
    <row r="354" spans="1:11" hidden="1" x14ac:dyDescent="0.3">
      <c r="A354" t="s">
        <v>22</v>
      </c>
      <c r="B354" t="s">
        <v>46</v>
      </c>
      <c r="C354" t="s">
        <v>81</v>
      </c>
      <c r="D354">
        <v>0.33939999999999998</v>
      </c>
      <c r="E354">
        <f>Tableau1[[#This Row],[Potential (PJ)]]/3.6</f>
        <v>9.4277777777777766E-2</v>
      </c>
      <c r="F354">
        <v>3.6856639247943601</v>
      </c>
      <c r="G354">
        <f>Tableau1[[#This Row],[Cost (€/GJ)]]*3.6</f>
        <v>13.268390129259696</v>
      </c>
      <c r="H354">
        <v>8.9647473560517046</v>
      </c>
      <c r="I354">
        <f>Tableau1[[#This Row],[GHG (kgCO2eq/GJ)]]*3.6</f>
        <v>32.273090481786134</v>
      </c>
      <c r="J354" t="s">
        <v>105</v>
      </c>
      <c r="K354" t="s">
        <v>108</v>
      </c>
    </row>
    <row r="355" spans="1:11" hidden="1" x14ac:dyDescent="0.3">
      <c r="A355" t="s">
        <v>22</v>
      </c>
      <c r="B355" t="s">
        <v>55</v>
      </c>
      <c r="C355" t="s">
        <v>87</v>
      </c>
      <c r="D355">
        <v>40.159799999999997</v>
      </c>
      <c r="E355">
        <f>Tableau1[[#This Row],[Potential (PJ)]]/3.6</f>
        <v>11.155499999999998</v>
      </c>
      <c r="F355">
        <v>11.885999999999999</v>
      </c>
      <c r="G355">
        <f>Tableau1[[#This Row],[Cost (€/GJ)]]*3.6</f>
        <v>42.7896</v>
      </c>
      <c r="H355">
        <v>11.5</v>
      </c>
      <c r="I355">
        <f>Tableau1[[#This Row],[GHG (kgCO2eq/GJ)]]*3.6</f>
        <v>41.4</v>
      </c>
      <c r="J355" t="s">
        <v>106</v>
      </c>
      <c r="K355" t="s">
        <v>109</v>
      </c>
    </row>
    <row r="356" spans="1:11" hidden="1" x14ac:dyDescent="0.3">
      <c r="A356" t="s">
        <v>22</v>
      </c>
      <c r="B356" t="s">
        <v>55</v>
      </c>
      <c r="C356" t="s">
        <v>88</v>
      </c>
      <c r="D356">
        <v>1.1352</v>
      </c>
      <c r="E356">
        <f>Tableau1[[#This Row],[Potential (PJ)]]/3.6</f>
        <v>0.3153333333333333</v>
      </c>
      <c r="F356">
        <v>12.923999999999999</v>
      </c>
      <c r="G356">
        <f>Tableau1[[#This Row],[Cost (€/GJ)]]*3.6</f>
        <v>46.526400000000002</v>
      </c>
      <c r="H356">
        <v>11.5</v>
      </c>
      <c r="I356">
        <f>Tableau1[[#This Row],[GHG (kgCO2eq/GJ)]]*3.6</f>
        <v>41.4</v>
      </c>
      <c r="J356" t="s">
        <v>106</v>
      </c>
      <c r="K356" t="s">
        <v>109</v>
      </c>
    </row>
    <row r="357" spans="1:11" hidden="1" x14ac:dyDescent="0.3">
      <c r="A357" t="s">
        <v>22</v>
      </c>
      <c r="B357" t="s">
        <v>55</v>
      </c>
      <c r="C357" t="s">
        <v>89</v>
      </c>
      <c r="D357">
        <v>5.0000000000000001E-4</v>
      </c>
      <c r="E357">
        <f>Tableau1[[#This Row],[Potential (PJ)]]/3.6</f>
        <v>1.3888888888888889E-4</v>
      </c>
      <c r="F357">
        <v>0</v>
      </c>
      <c r="G357">
        <f>Tableau1[[#This Row],[Cost (€/GJ)]]*3.6</f>
        <v>0</v>
      </c>
      <c r="H357">
        <v>11.5</v>
      </c>
      <c r="I357">
        <f>Tableau1[[#This Row],[GHG (kgCO2eq/GJ)]]*3.6</f>
        <v>41.4</v>
      </c>
      <c r="J357" t="s">
        <v>106</v>
      </c>
      <c r="K357" t="s">
        <v>109</v>
      </c>
    </row>
    <row r="358" spans="1:11" hidden="1" x14ac:dyDescent="0.3">
      <c r="A358" t="s">
        <v>22</v>
      </c>
      <c r="B358" t="s">
        <v>49</v>
      </c>
      <c r="C358" t="s">
        <v>71</v>
      </c>
      <c r="D358">
        <v>3.3324799999999999</v>
      </c>
      <c r="E358">
        <f>Tableau1[[#This Row],[Potential (PJ)]]/3.6</f>
        <v>0.92568888888888878</v>
      </c>
      <c r="F358">
        <v>2.431</v>
      </c>
      <c r="G358">
        <f>Tableau1[[#This Row],[Cost (€/GJ)]]*3.6</f>
        <v>8.7515999999999998</v>
      </c>
      <c r="H358">
        <v>3.86607608129234</v>
      </c>
      <c r="I358">
        <f>Tableau1[[#This Row],[GHG (kgCO2eq/GJ)]]*3.6</f>
        <v>13.917873892652425</v>
      </c>
      <c r="J358" t="s">
        <v>104</v>
      </c>
      <c r="K358" t="s">
        <v>108</v>
      </c>
    </row>
    <row r="359" spans="1:11" hidden="1" x14ac:dyDescent="0.3">
      <c r="A359" t="s">
        <v>22</v>
      </c>
      <c r="B359" t="s">
        <v>49</v>
      </c>
      <c r="C359" t="s">
        <v>72</v>
      </c>
      <c r="D359">
        <v>0.6</v>
      </c>
      <c r="E359">
        <f>Tableau1[[#This Row],[Potential (PJ)]]/3.6</f>
        <v>0.16666666666666666</v>
      </c>
      <c r="F359">
        <v>1.669</v>
      </c>
      <c r="G359">
        <f>Tableau1[[#This Row],[Cost (€/GJ)]]*3.6</f>
        <v>6.0084</v>
      </c>
      <c r="H359">
        <v>3.86607608129234</v>
      </c>
      <c r="I359">
        <f>Tableau1[[#This Row],[GHG (kgCO2eq/GJ)]]*3.6</f>
        <v>13.917873892652425</v>
      </c>
      <c r="J359" t="s">
        <v>104</v>
      </c>
      <c r="K359" t="s">
        <v>108</v>
      </c>
    </row>
    <row r="360" spans="1:11" hidden="1" x14ac:dyDescent="0.3">
      <c r="A360" t="s">
        <v>22</v>
      </c>
      <c r="B360" t="s">
        <v>58</v>
      </c>
      <c r="C360" t="s">
        <v>103</v>
      </c>
      <c r="D360">
        <v>0.49330000000000002</v>
      </c>
      <c r="E360">
        <f>Tableau1[[#This Row],[Potential (PJ)]]/3.6</f>
        <v>0.13702777777777778</v>
      </c>
      <c r="F360">
        <v>0</v>
      </c>
      <c r="G360">
        <f>Tableau1[[#This Row],[Cost (€/GJ)]]*3.6</f>
        <v>0</v>
      </c>
      <c r="I360">
        <f>Tableau1[[#This Row],[GHG (kgCO2eq/GJ)]]*3.6</f>
        <v>0</v>
      </c>
    </row>
    <row r="361" spans="1:11" hidden="1" x14ac:dyDescent="0.3">
      <c r="A361" t="s">
        <v>22</v>
      </c>
      <c r="B361" t="s">
        <v>50</v>
      </c>
      <c r="C361" t="s">
        <v>103</v>
      </c>
      <c r="D361">
        <v>2.3764059999999998</v>
      </c>
      <c r="E361">
        <f>Tableau1[[#This Row],[Potential (PJ)]]/3.6</f>
        <v>0.66011277777777766</v>
      </c>
      <c r="F361">
        <v>0</v>
      </c>
      <c r="G361">
        <f>Tableau1[[#This Row],[Cost (€/GJ)]]*3.6</f>
        <v>0</v>
      </c>
      <c r="I361">
        <f>Tableau1[[#This Row],[GHG (kgCO2eq/GJ)]]*3.6</f>
        <v>0</v>
      </c>
    </row>
    <row r="362" spans="1:11" hidden="1" x14ac:dyDescent="0.3">
      <c r="A362" t="s">
        <v>22</v>
      </c>
      <c r="B362" t="s">
        <v>51</v>
      </c>
      <c r="C362" t="s">
        <v>75</v>
      </c>
      <c r="D362">
        <v>6.4668000000000003E-2</v>
      </c>
      <c r="E362">
        <f>Tableau1[[#This Row],[Potential (PJ)]]/3.6</f>
        <v>1.7963333333333335E-2</v>
      </c>
      <c r="F362">
        <v>2.77931548993142E-2</v>
      </c>
      <c r="G362">
        <f>Tableau1[[#This Row],[Cost (€/GJ)]]*3.6</f>
        <v>0.10005535763753112</v>
      </c>
      <c r="H362">
        <v>11.74</v>
      </c>
      <c r="I362">
        <f>Tableau1[[#This Row],[GHG (kgCO2eq/GJ)]]*3.6</f>
        <v>42.264000000000003</v>
      </c>
      <c r="J362" t="s">
        <v>104</v>
      </c>
      <c r="K362" t="s">
        <v>108</v>
      </c>
    </row>
    <row r="363" spans="1:11" hidden="1" x14ac:dyDescent="0.3">
      <c r="A363" t="s">
        <v>22</v>
      </c>
      <c r="B363" t="s">
        <v>52</v>
      </c>
      <c r="C363" t="s">
        <v>76</v>
      </c>
      <c r="D363">
        <v>2.7E-2</v>
      </c>
      <c r="E363">
        <f>Tableau1[[#This Row],[Potential (PJ)]]/3.6</f>
        <v>7.4999999999999997E-3</v>
      </c>
      <c r="F363">
        <v>6.1837425000000001</v>
      </c>
      <c r="G363">
        <f>Tableau1[[#This Row],[Cost (€/GJ)]]*3.6</f>
        <v>22.261473000000002</v>
      </c>
      <c r="H363">
        <v>12.68872359754714</v>
      </c>
      <c r="I363">
        <f>Tableau1[[#This Row],[GHG (kgCO2eq/GJ)]]*3.6</f>
        <v>45.679404951169708</v>
      </c>
      <c r="J363" t="s">
        <v>105</v>
      </c>
      <c r="K363" t="s">
        <v>108</v>
      </c>
    </row>
    <row r="364" spans="1:11" hidden="1" x14ac:dyDescent="0.3">
      <c r="A364" t="s">
        <v>22</v>
      </c>
      <c r="B364" t="s">
        <v>53</v>
      </c>
      <c r="C364" t="s">
        <v>77</v>
      </c>
      <c r="D364">
        <v>3.3303099999999999</v>
      </c>
      <c r="E364">
        <f>Tableau1[[#This Row],[Potential (PJ)]]/3.6</f>
        <v>0.92508611111111105</v>
      </c>
      <c r="F364">
        <v>1.669</v>
      </c>
      <c r="G364">
        <f>Tableau1[[#This Row],[Cost (€/GJ)]]*3.6</f>
        <v>6.0084</v>
      </c>
      <c r="H364">
        <v>3.86607608129234</v>
      </c>
      <c r="I364">
        <f>Tableau1[[#This Row],[GHG (kgCO2eq/GJ)]]*3.6</f>
        <v>13.917873892652425</v>
      </c>
      <c r="J364" t="s">
        <v>104</v>
      </c>
      <c r="K364" t="s">
        <v>108</v>
      </c>
    </row>
    <row r="365" spans="1:11" hidden="1" x14ac:dyDescent="0.3">
      <c r="A365" t="s">
        <v>22</v>
      </c>
      <c r="B365" t="s">
        <v>61</v>
      </c>
      <c r="C365" t="s">
        <v>103</v>
      </c>
      <c r="D365">
        <v>0.127697</v>
      </c>
      <c r="E365">
        <f>Tableau1[[#This Row],[Potential (PJ)]]/3.6</f>
        <v>3.5471388888888893E-2</v>
      </c>
      <c r="F365">
        <v>0</v>
      </c>
      <c r="G365">
        <f>Tableau1[[#This Row],[Cost (€/GJ)]]*3.6</f>
        <v>0</v>
      </c>
      <c r="I365">
        <f>Tableau1[[#This Row],[GHG (kgCO2eq/GJ)]]*3.6</f>
        <v>0</v>
      </c>
    </row>
    <row r="366" spans="1:11" hidden="1" x14ac:dyDescent="0.3">
      <c r="A366" t="s">
        <v>22</v>
      </c>
      <c r="B366" t="s">
        <v>62</v>
      </c>
      <c r="C366" t="s">
        <v>103</v>
      </c>
      <c r="D366">
        <v>3.9385000000000003E-2</v>
      </c>
      <c r="E366">
        <f>Tableau1[[#This Row],[Potential (PJ)]]/3.6</f>
        <v>1.0940277777777778E-2</v>
      </c>
      <c r="F366">
        <v>0</v>
      </c>
      <c r="G366">
        <f>Tableau1[[#This Row],[Cost (€/GJ)]]*3.6</f>
        <v>0</v>
      </c>
      <c r="I366">
        <f>Tableau1[[#This Row],[GHG (kgCO2eq/GJ)]]*3.6</f>
        <v>0</v>
      </c>
    </row>
    <row r="367" spans="1:11" hidden="1" x14ac:dyDescent="0.3">
      <c r="A367" t="s">
        <v>22</v>
      </c>
      <c r="B367" t="s">
        <v>54</v>
      </c>
      <c r="C367" t="s">
        <v>78</v>
      </c>
      <c r="D367">
        <v>18.399999999999999</v>
      </c>
      <c r="E367">
        <f>Tableau1[[#This Row],[Potential (PJ)]]/3.6</f>
        <v>5.1111111111111107</v>
      </c>
      <c r="F367">
        <v>3.0169999999999999</v>
      </c>
      <c r="G367">
        <f>Tableau1[[#This Row],[Cost (€/GJ)]]*3.6</f>
        <v>10.8612</v>
      </c>
      <c r="H367">
        <v>3.86607608129234</v>
      </c>
      <c r="I367">
        <f>Tableau1[[#This Row],[GHG (kgCO2eq/GJ)]]*3.6</f>
        <v>13.917873892652425</v>
      </c>
      <c r="J367" t="s">
        <v>104</v>
      </c>
      <c r="K367" t="s">
        <v>108</v>
      </c>
    </row>
    <row r="368" spans="1:11" hidden="1" x14ac:dyDescent="0.3">
      <c r="A368" t="s">
        <v>23</v>
      </c>
      <c r="B368" t="s">
        <v>46</v>
      </c>
      <c r="C368" t="s">
        <v>64</v>
      </c>
      <c r="D368">
        <v>0.12109</v>
      </c>
      <c r="E368">
        <f>Tableau1[[#This Row],[Potential (PJ)]]/3.6</f>
        <v>3.363611111111111E-2</v>
      </c>
      <c r="F368">
        <v>5.0987064992980429</v>
      </c>
      <c r="G368">
        <f>Tableau1[[#This Row],[Cost (€/GJ)]]*3.6</f>
        <v>18.355343397472954</v>
      </c>
      <c r="H368">
        <v>2.9521711768407801</v>
      </c>
      <c r="I368">
        <f>Tableau1[[#This Row],[GHG (kgCO2eq/GJ)]]*3.6</f>
        <v>10.627816236626808</v>
      </c>
      <c r="J368" t="s">
        <v>104</v>
      </c>
      <c r="K368" t="s">
        <v>108</v>
      </c>
    </row>
    <row r="369" spans="1:11" hidden="1" x14ac:dyDescent="0.3">
      <c r="A369" t="s">
        <v>23</v>
      </c>
      <c r="B369" t="s">
        <v>46</v>
      </c>
      <c r="C369" t="s">
        <v>79</v>
      </c>
      <c r="D369">
        <v>14.5</v>
      </c>
      <c r="E369">
        <f>Tableau1[[#This Row],[Potential (PJ)]]/3.6</f>
        <v>4.0277777777777777</v>
      </c>
      <c r="F369">
        <v>3.1965172413793099</v>
      </c>
      <c r="G369">
        <f>Tableau1[[#This Row],[Cost (€/GJ)]]*3.6</f>
        <v>11.507462068965516</v>
      </c>
      <c r="H369">
        <v>6.8428961748633883</v>
      </c>
      <c r="I369">
        <f>Tableau1[[#This Row],[GHG (kgCO2eq/GJ)]]*3.6</f>
        <v>24.634426229508197</v>
      </c>
      <c r="J369" t="s">
        <v>104</v>
      </c>
      <c r="K369" t="s">
        <v>108</v>
      </c>
    </row>
    <row r="370" spans="1:11" hidden="1" x14ac:dyDescent="0.3">
      <c r="A370" t="s">
        <v>23</v>
      </c>
      <c r="B370" t="s">
        <v>46</v>
      </c>
      <c r="C370" t="s">
        <v>80</v>
      </c>
      <c r="D370">
        <v>0.62409999999999999</v>
      </c>
      <c r="E370">
        <f>Tableau1[[#This Row],[Potential (PJ)]]/3.6</f>
        <v>0.1733611111111111</v>
      </c>
      <c r="F370">
        <v>0.26432906271072149</v>
      </c>
      <c r="G370">
        <f>Tableau1[[#This Row],[Cost (€/GJ)]]*3.6</f>
        <v>0.95158462575859737</v>
      </c>
      <c r="H370">
        <v>28.139870918023309</v>
      </c>
      <c r="I370">
        <f>Tableau1[[#This Row],[GHG (kgCO2eq/GJ)]]*3.6</f>
        <v>101.30353530488391</v>
      </c>
      <c r="J370" t="s">
        <v>105</v>
      </c>
      <c r="K370" t="s">
        <v>108</v>
      </c>
    </row>
    <row r="371" spans="1:11" hidden="1" x14ac:dyDescent="0.3">
      <c r="A371" t="s">
        <v>23</v>
      </c>
      <c r="B371" t="s">
        <v>46</v>
      </c>
      <c r="C371" t="s">
        <v>81</v>
      </c>
      <c r="D371">
        <v>0.43659999999999999</v>
      </c>
      <c r="E371">
        <f>Tableau1[[#This Row],[Potential (PJ)]]/3.6</f>
        <v>0.12127777777777778</v>
      </c>
      <c r="F371">
        <v>1.533490011750881</v>
      </c>
      <c r="G371">
        <f>Tableau1[[#This Row],[Cost (€/GJ)]]*3.6</f>
        <v>5.5205640423031719</v>
      </c>
      <c r="H371">
        <v>8.9647473560517046</v>
      </c>
      <c r="I371">
        <f>Tableau1[[#This Row],[GHG (kgCO2eq/GJ)]]*3.6</f>
        <v>32.273090481786134</v>
      </c>
      <c r="J371" t="s">
        <v>105</v>
      </c>
      <c r="K371" t="s">
        <v>108</v>
      </c>
    </row>
    <row r="372" spans="1:11" hidden="1" x14ac:dyDescent="0.3">
      <c r="A372" t="s">
        <v>23</v>
      </c>
      <c r="B372" t="s">
        <v>46</v>
      </c>
      <c r="C372" t="s">
        <v>66</v>
      </c>
      <c r="D372">
        <v>4.8</v>
      </c>
      <c r="E372">
        <f>Tableau1[[#This Row],[Potential (PJ)]]/3.6</f>
        <v>1.3333333333333333</v>
      </c>
      <c r="F372">
        <v>3.3067500000000001</v>
      </c>
      <c r="G372">
        <f>Tableau1[[#This Row],[Cost (€/GJ)]]*3.6</f>
        <v>11.904300000000001</v>
      </c>
      <c r="H372">
        <v>6.8428961748633883</v>
      </c>
      <c r="I372">
        <f>Tableau1[[#This Row],[GHG (kgCO2eq/GJ)]]*3.6</f>
        <v>24.634426229508197</v>
      </c>
      <c r="J372" t="s">
        <v>104</v>
      </c>
      <c r="K372" t="s">
        <v>108</v>
      </c>
    </row>
    <row r="373" spans="1:11" hidden="1" x14ac:dyDescent="0.3">
      <c r="A373" t="s">
        <v>23</v>
      </c>
      <c r="B373" t="s">
        <v>46</v>
      </c>
      <c r="C373" t="s">
        <v>82</v>
      </c>
      <c r="D373">
        <v>1.9</v>
      </c>
      <c r="E373">
        <f>Tableau1[[#This Row],[Potential (PJ)]]/3.6</f>
        <v>0.52777777777777779</v>
      </c>
      <c r="F373">
        <v>2.031842105263157</v>
      </c>
      <c r="G373">
        <f>Tableau1[[#This Row],[Cost (€/GJ)]]*3.6</f>
        <v>7.314631578947365</v>
      </c>
      <c r="H373">
        <v>6.8428961748633883</v>
      </c>
      <c r="I373">
        <f>Tableau1[[#This Row],[GHG (kgCO2eq/GJ)]]*3.6</f>
        <v>24.634426229508197</v>
      </c>
      <c r="J373" t="s">
        <v>104</v>
      </c>
      <c r="K373" t="s">
        <v>108</v>
      </c>
    </row>
    <row r="374" spans="1:11" hidden="1" x14ac:dyDescent="0.3">
      <c r="A374" t="s">
        <v>23</v>
      </c>
      <c r="B374" t="s">
        <v>46</v>
      </c>
      <c r="C374" t="s">
        <v>83</v>
      </c>
      <c r="D374">
        <v>1.4370000000000001E-2</v>
      </c>
      <c r="E374">
        <f>Tableau1[[#This Row],[Potential (PJ)]]/3.6</f>
        <v>3.9916666666666668E-3</v>
      </c>
      <c r="F374">
        <v>0</v>
      </c>
      <c r="G374">
        <f>Tableau1[[#This Row],[Cost (€/GJ)]]*3.6</f>
        <v>0</v>
      </c>
      <c r="H374">
        <v>6.8428961748633883</v>
      </c>
      <c r="I374">
        <f>Tableau1[[#This Row],[GHG (kgCO2eq/GJ)]]*3.6</f>
        <v>24.634426229508197</v>
      </c>
      <c r="J374" t="s">
        <v>104</v>
      </c>
      <c r="K374" t="s">
        <v>108</v>
      </c>
    </row>
    <row r="375" spans="1:11" hidden="1" x14ac:dyDescent="0.3">
      <c r="A375" t="s">
        <v>23</v>
      </c>
      <c r="B375" t="s">
        <v>46</v>
      </c>
      <c r="C375" t="s">
        <v>84</v>
      </c>
      <c r="D375">
        <v>0.1</v>
      </c>
      <c r="E375">
        <f>Tableau1[[#This Row],[Potential (PJ)]]/3.6</f>
        <v>2.777777777777778E-2</v>
      </c>
      <c r="F375">
        <v>1.726</v>
      </c>
      <c r="G375">
        <f>Tableau1[[#This Row],[Cost (€/GJ)]]*3.6</f>
        <v>6.2136000000000005</v>
      </c>
      <c r="H375">
        <v>28.139870918023309</v>
      </c>
      <c r="I375">
        <f>Tableau1[[#This Row],[GHG (kgCO2eq/GJ)]]*3.6</f>
        <v>101.30353530488391</v>
      </c>
      <c r="J375" t="s">
        <v>105</v>
      </c>
      <c r="K375" t="s">
        <v>108</v>
      </c>
    </row>
    <row r="376" spans="1:11" hidden="1" x14ac:dyDescent="0.3">
      <c r="A376" t="s">
        <v>23</v>
      </c>
      <c r="B376" t="s">
        <v>55</v>
      </c>
      <c r="C376" t="s">
        <v>86</v>
      </c>
      <c r="D376">
        <v>1.4192</v>
      </c>
      <c r="E376">
        <f>Tableau1[[#This Row],[Potential (PJ)]]/3.6</f>
        <v>0.3942222222222222</v>
      </c>
      <c r="F376">
        <v>16.266999999999999</v>
      </c>
      <c r="G376">
        <f>Tableau1[[#This Row],[Cost (€/GJ)]]*3.6</f>
        <v>58.561199999999999</v>
      </c>
      <c r="H376">
        <v>22.1</v>
      </c>
      <c r="I376">
        <f>Tableau1[[#This Row],[GHG (kgCO2eq/GJ)]]*3.6</f>
        <v>79.56</v>
      </c>
      <c r="J376" t="s">
        <v>106</v>
      </c>
      <c r="K376" t="s">
        <v>109</v>
      </c>
    </row>
    <row r="377" spans="1:11" hidden="1" x14ac:dyDescent="0.3">
      <c r="A377" t="s">
        <v>23</v>
      </c>
      <c r="B377" t="s">
        <v>55</v>
      </c>
      <c r="C377" t="s">
        <v>87</v>
      </c>
      <c r="D377">
        <v>0.64419999999999999</v>
      </c>
      <c r="E377">
        <f>Tableau1[[#This Row],[Potential (PJ)]]/3.6</f>
        <v>0.17894444444444443</v>
      </c>
      <c r="F377">
        <v>17.521999999999991</v>
      </c>
      <c r="G377">
        <f>Tableau1[[#This Row],[Cost (€/GJ)]]*3.6</f>
        <v>63.079199999999972</v>
      </c>
      <c r="H377">
        <v>22.1</v>
      </c>
      <c r="I377">
        <f>Tableau1[[#This Row],[GHG (kgCO2eq/GJ)]]*3.6</f>
        <v>79.56</v>
      </c>
      <c r="J377" t="s">
        <v>106</v>
      </c>
      <c r="K377" t="s">
        <v>109</v>
      </c>
    </row>
    <row r="378" spans="1:11" hidden="1" x14ac:dyDescent="0.3">
      <c r="A378" t="s">
        <v>23</v>
      </c>
      <c r="B378" t="s">
        <v>55</v>
      </c>
      <c r="C378" t="s">
        <v>88</v>
      </c>
      <c r="D378">
        <v>18.388100000000001</v>
      </c>
      <c r="E378">
        <f>Tableau1[[#This Row],[Potential (PJ)]]/3.6</f>
        <v>5.1078055555555562</v>
      </c>
      <c r="F378">
        <v>15.975</v>
      </c>
      <c r="G378">
        <f>Tableau1[[#This Row],[Cost (€/GJ)]]*3.6</f>
        <v>57.51</v>
      </c>
      <c r="H378">
        <v>22.1</v>
      </c>
      <c r="I378">
        <f>Tableau1[[#This Row],[GHG (kgCO2eq/GJ)]]*3.6</f>
        <v>79.56</v>
      </c>
      <c r="J378" t="s">
        <v>106</v>
      </c>
      <c r="K378" t="s">
        <v>109</v>
      </c>
    </row>
    <row r="379" spans="1:11" hidden="1" x14ac:dyDescent="0.3">
      <c r="A379" t="s">
        <v>23</v>
      </c>
      <c r="B379" t="s">
        <v>55</v>
      </c>
      <c r="C379" t="s">
        <v>89</v>
      </c>
      <c r="D379">
        <v>6.8999999999999999E-3</v>
      </c>
      <c r="E379">
        <f>Tableau1[[#This Row],[Potential (PJ)]]/3.6</f>
        <v>1.9166666666666666E-3</v>
      </c>
      <c r="F379">
        <v>0</v>
      </c>
      <c r="G379">
        <f>Tableau1[[#This Row],[Cost (€/GJ)]]*3.6</f>
        <v>0</v>
      </c>
      <c r="H379">
        <v>22.1</v>
      </c>
      <c r="I379">
        <f>Tableau1[[#This Row],[GHG (kgCO2eq/GJ)]]*3.6</f>
        <v>79.56</v>
      </c>
      <c r="J379" t="s">
        <v>106</v>
      </c>
      <c r="K379" t="s">
        <v>109</v>
      </c>
    </row>
    <row r="380" spans="1:11" hidden="1" x14ac:dyDescent="0.3">
      <c r="A380" t="s">
        <v>23</v>
      </c>
      <c r="B380" t="s">
        <v>55</v>
      </c>
      <c r="C380" t="s">
        <v>90</v>
      </c>
      <c r="D380">
        <v>0.52790000000000004</v>
      </c>
      <c r="E380">
        <f>Tableau1[[#This Row],[Potential (PJ)]]/3.6</f>
        <v>0.1466388888888889</v>
      </c>
      <c r="F380">
        <v>17.138000000000002</v>
      </c>
      <c r="G380">
        <f>Tableau1[[#This Row],[Cost (€/GJ)]]*3.6</f>
        <v>61.69680000000001</v>
      </c>
      <c r="H380">
        <v>22.1</v>
      </c>
      <c r="I380">
        <f>Tableau1[[#This Row],[GHG (kgCO2eq/GJ)]]*3.6</f>
        <v>79.56</v>
      </c>
      <c r="J380" t="s">
        <v>106</v>
      </c>
      <c r="K380" t="s">
        <v>109</v>
      </c>
    </row>
    <row r="381" spans="1:11" hidden="1" x14ac:dyDescent="0.3">
      <c r="A381" t="s">
        <v>23</v>
      </c>
      <c r="B381" t="s">
        <v>55</v>
      </c>
      <c r="C381" t="s">
        <v>92</v>
      </c>
      <c r="D381">
        <v>1.36683</v>
      </c>
      <c r="E381">
        <f>Tableau1[[#This Row],[Potential (PJ)]]/3.6</f>
        <v>0.37967499999999998</v>
      </c>
      <c r="F381">
        <v>17.521999999999991</v>
      </c>
      <c r="G381">
        <f>Tableau1[[#This Row],[Cost (€/GJ)]]*3.6</f>
        <v>63.079199999999972</v>
      </c>
      <c r="H381">
        <v>22.1</v>
      </c>
      <c r="I381">
        <f>Tableau1[[#This Row],[GHG (kgCO2eq/GJ)]]*3.6</f>
        <v>79.56</v>
      </c>
      <c r="J381" t="s">
        <v>106</v>
      </c>
      <c r="K381" t="s">
        <v>109</v>
      </c>
    </row>
    <row r="382" spans="1:11" hidden="1" x14ac:dyDescent="0.3">
      <c r="A382" t="s">
        <v>23</v>
      </c>
      <c r="B382" t="s">
        <v>56</v>
      </c>
      <c r="C382" t="s">
        <v>93</v>
      </c>
      <c r="D382">
        <v>16.997599999999998</v>
      </c>
      <c r="E382">
        <f>Tableau1[[#This Row],[Potential (PJ)]]/3.6</f>
        <v>4.7215555555555548</v>
      </c>
      <c r="F382">
        <v>2.9493975903614462</v>
      </c>
      <c r="G382">
        <f>Tableau1[[#This Row],[Cost (€/GJ)]]*3.6</f>
        <v>10.617831325301207</v>
      </c>
      <c r="H382">
        <v>26.1</v>
      </c>
      <c r="I382">
        <f>Tableau1[[#This Row],[GHG (kgCO2eq/GJ)]]*3.6</f>
        <v>93.960000000000008</v>
      </c>
      <c r="J382" t="s">
        <v>106</v>
      </c>
      <c r="K382" t="s">
        <v>109</v>
      </c>
    </row>
    <row r="383" spans="1:11" x14ac:dyDescent="0.3">
      <c r="A383" t="s">
        <v>23</v>
      </c>
      <c r="B383" t="s">
        <v>47</v>
      </c>
      <c r="C383" t="s">
        <v>68</v>
      </c>
      <c r="D383">
        <v>30</v>
      </c>
      <c r="E383">
        <f>Tableau1[[#This Row],[Potential (PJ)]]/3.6</f>
        <v>8.3333333333333339</v>
      </c>
      <c r="F383">
        <v>2.9668066666666659</v>
      </c>
      <c r="G383">
        <f>Tableau1[[#This Row],[Cost (€/GJ)]]*3.6</f>
        <v>10.680503999999997</v>
      </c>
      <c r="H383">
        <v>43</v>
      </c>
      <c r="I383">
        <f>Tableau1[[#This Row],[GHG (kgCO2eq/GJ)]]*3.6</f>
        <v>154.80000000000001</v>
      </c>
      <c r="J383" t="s">
        <v>104</v>
      </c>
      <c r="K383" t="s">
        <v>109</v>
      </c>
    </row>
    <row r="384" spans="1:11" x14ac:dyDescent="0.3">
      <c r="A384" t="s">
        <v>23</v>
      </c>
      <c r="B384" t="s">
        <v>47</v>
      </c>
      <c r="C384" t="s">
        <v>69</v>
      </c>
      <c r="D384">
        <v>25.8</v>
      </c>
      <c r="E384">
        <f>Tableau1[[#This Row],[Potential (PJ)]]/3.6</f>
        <v>7.166666666666667</v>
      </c>
      <c r="F384">
        <v>2.7870193798449621</v>
      </c>
      <c r="G384">
        <f>Tableau1[[#This Row],[Cost (€/GJ)]]*3.6</f>
        <v>10.033269767441864</v>
      </c>
      <c r="H384">
        <v>43</v>
      </c>
      <c r="I384">
        <f>Tableau1[[#This Row],[GHG (kgCO2eq/GJ)]]*3.6</f>
        <v>154.80000000000001</v>
      </c>
      <c r="J384" t="s">
        <v>104</v>
      </c>
      <c r="K384" t="s">
        <v>109</v>
      </c>
    </row>
    <row r="385" spans="1:11" x14ac:dyDescent="0.3">
      <c r="A385" t="s">
        <v>23</v>
      </c>
      <c r="B385" t="s">
        <v>57</v>
      </c>
      <c r="C385" t="s">
        <v>94</v>
      </c>
      <c r="D385">
        <v>18.8</v>
      </c>
      <c r="E385">
        <f>Tableau1[[#This Row],[Potential (PJ)]]/3.6</f>
        <v>5.2222222222222223</v>
      </c>
      <c r="F385">
        <v>7.0917872340425534</v>
      </c>
      <c r="G385">
        <f>Tableau1[[#This Row],[Cost (€/GJ)]]*3.6</f>
        <v>25.530434042553193</v>
      </c>
      <c r="H385">
        <v>52.3</v>
      </c>
      <c r="I385">
        <f>Tableau1[[#This Row],[GHG (kgCO2eq/GJ)]]*3.6</f>
        <v>188.28</v>
      </c>
      <c r="J385" t="s">
        <v>104</v>
      </c>
      <c r="K385" t="s">
        <v>109</v>
      </c>
    </row>
    <row r="386" spans="1:11" hidden="1" x14ac:dyDescent="0.3">
      <c r="A386" t="s">
        <v>23</v>
      </c>
      <c r="B386" t="s">
        <v>49</v>
      </c>
      <c r="C386" t="s">
        <v>71</v>
      </c>
      <c r="D386">
        <v>10.36745</v>
      </c>
      <c r="E386">
        <f>Tableau1[[#This Row],[Potential (PJ)]]/3.6</f>
        <v>2.8798472222222222</v>
      </c>
      <c r="F386">
        <v>2.0519951820360842</v>
      </c>
      <c r="G386">
        <f>Tableau1[[#This Row],[Cost (€/GJ)]]*3.6</f>
        <v>7.3871826553299034</v>
      </c>
      <c r="H386">
        <v>3.86607608129234</v>
      </c>
      <c r="I386">
        <f>Tableau1[[#This Row],[GHG (kgCO2eq/GJ)]]*3.6</f>
        <v>13.917873892652425</v>
      </c>
      <c r="J386" t="s">
        <v>104</v>
      </c>
      <c r="K386" t="s">
        <v>108</v>
      </c>
    </row>
    <row r="387" spans="1:11" hidden="1" x14ac:dyDescent="0.3">
      <c r="A387" t="s">
        <v>23</v>
      </c>
      <c r="B387" t="s">
        <v>49</v>
      </c>
      <c r="C387" t="s">
        <v>72</v>
      </c>
      <c r="D387">
        <v>2.5</v>
      </c>
      <c r="E387">
        <f>Tableau1[[#This Row],[Potential (PJ)]]/3.6</f>
        <v>0.69444444444444442</v>
      </c>
      <c r="F387">
        <v>2.73488</v>
      </c>
      <c r="G387">
        <f>Tableau1[[#This Row],[Cost (€/GJ)]]*3.6</f>
        <v>9.8455680000000001</v>
      </c>
      <c r="H387">
        <v>3.86607608129234</v>
      </c>
      <c r="I387">
        <f>Tableau1[[#This Row],[GHG (kgCO2eq/GJ)]]*3.6</f>
        <v>13.917873892652425</v>
      </c>
      <c r="J387" t="s">
        <v>104</v>
      </c>
      <c r="K387" t="s">
        <v>108</v>
      </c>
    </row>
    <row r="388" spans="1:11" hidden="1" x14ac:dyDescent="0.3">
      <c r="A388" t="s">
        <v>23</v>
      </c>
      <c r="B388" t="s">
        <v>58</v>
      </c>
      <c r="C388" t="s">
        <v>95</v>
      </c>
      <c r="D388">
        <v>1.43895</v>
      </c>
      <c r="E388">
        <f>Tableau1[[#This Row],[Potential (PJ)]]/3.6</f>
        <v>0.39970833333333333</v>
      </c>
      <c r="F388">
        <v>3.1657496507870322</v>
      </c>
      <c r="G388">
        <f>Tableau1[[#This Row],[Cost (€/GJ)]]*3.6</f>
        <v>11.396698742833316</v>
      </c>
      <c r="H388">
        <v>2.9521711768407801</v>
      </c>
      <c r="I388">
        <f>Tableau1[[#This Row],[GHG (kgCO2eq/GJ)]]*3.6</f>
        <v>10.627816236626808</v>
      </c>
      <c r="J388" t="s">
        <v>104</v>
      </c>
      <c r="K388" t="s">
        <v>108</v>
      </c>
    </row>
    <row r="389" spans="1:11" hidden="1" x14ac:dyDescent="0.3">
      <c r="A389" t="s">
        <v>23</v>
      </c>
      <c r="B389" t="s">
        <v>50</v>
      </c>
      <c r="C389" t="s">
        <v>73</v>
      </c>
      <c r="D389">
        <v>1.9</v>
      </c>
      <c r="E389">
        <f>Tableau1[[#This Row],[Potential (PJ)]]/3.6</f>
        <v>0.52777777777777779</v>
      </c>
      <c r="F389">
        <v>5.1365263157894736</v>
      </c>
      <c r="G389">
        <f>Tableau1[[#This Row],[Cost (€/GJ)]]*3.6</f>
        <v>18.491494736842107</v>
      </c>
      <c r="H389">
        <v>20.723404255319149</v>
      </c>
      <c r="I389">
        <f>Tableau1[[#This Row],[GHG (kgCO2eq/GJ)]]*3.6</f>
        <v>74.604255319148933</v>
      </c>
      <c r="J389" t="s">
        <v>105</v>
      </c>
      <c r="K389" t="s">
        <v>108</v>
      </c>
    </row>
    <row r="390" spans="1:11" hidden="1" x14ac:dyDescent="0.3">
      <c r="A390" t="s">
        <v>23</v>
      </c>
      <c r="B390" t="s">
        <v>50</v>
      </c>
      <c r="C390" t="s">
        <v>74</v>
      </c>
      <c r="D390">
        <v>53.1</v>
      </c>
      <c r="E390">
        <f>Tableau1[[#This Row],[Potential (PJ)]]/3.6</f>
        <v>14.75</v>
      </c>
      <c r="F390">
        <v>3.2882429378531071</v>
      </c>
      <c r="G390">
        <f>Tableau1[[#This Row],[Cost (€/GJ)]]*3.6</f>
        <v>11.837674576271185</v>
      </c>
      <c r="H390">
        <v>2.0635593220338988</v>
      </c>
      <c r="I390">
        <f>Tableau1[[#This Row],[GHG (kgCO2eq/GJ)]]*3.6</f>
        <v>7.4288135593220357</v>
      </c>
      <c r="J390" t="s">
        <v>105</v>
      </c>
      <c r="K390" t="s">
        <v>108</v>
      </c>
    </row>
    <row r="391" spans="1:11" hidden="1" x14ac:dyDescent="0.3">
      <c r="A391" t="s">
        <v>23</v>
      </c>
      <c r="B391" t="s">
        <v>59</v>
      </c>
      <c r="C391" t="s">
        <v>96</v>
      </c>
      <c r="D391">
        <v>1.609</v>
      </c>
      <c r="E391">
        <f>Tableau1[[#This Row],[Potential (PJ)]]/3.6</f>
        <v>0.44694444444444442</v>
      </c>
      <c r="F391">
        <v>29.956</v>
      </c>
      <c r="G391">
        <f>Tableau1[[#This Row],[Cost (€/GJ)]]*3.6</f>
        <v>107.8416</v>
      </c>
      <c r="H391">
        <v>29.4</v>
      </c>
      <c r="I391">
        <f>Tableau1[[#This Row],[GHG (kgCO2eq/GJ)]]*3.6</f>
        <v>105.84</v>
      </c>
      <c r="J391" t="s">
        <v>107</v>
      </c>
      <c r="K391" t="s">
        <v>109</v>
      </c>
    </row>
    <row r="392" spans="1:11" hidden="1" x14ac:dyDescent="0.3">
      <c r="A392" t="s">
        <v>23</v>
      </c>
      <c r="B392" t="s">
        <v>59</v>
      </c>
      <c r="C392" t="s">
        <v>97</v>
      </c>
      <c r="D392">
        <v>5.5587</v>
      </c>
      <c r="E392">
        <f>Tableau1[[#This Row],[Potential (PJ)]]/3.6</f>
        <v>1.5440833333333333</v>
      </c>
      <c r="F392">
        <v>18.55670103092784</v>
      </c>
      <c r="G392">
        <f>Tableau1[[#This Row],[Cost (€/GJ)]]*3.6</f>
        <v>66.804123711340225</v>
      </c>
      <c r="H392">
        <v>29.4</v>
      </c>
      <c r="I392">
        <f>Tableau1[[#This Row],[GHG (kgCO2eq/GJ)]]*3.6</f>
        <v>105.84</v>
      </c>
      <c r="J392" t="s">
        <v>107</v>
      </c>
      <c r="K392" t="s">
        <v>109</v>
      </c>
    </row>
    <row r="393" spans="1:11" hidden="1" x14ac:dyDescent="0.3">
      <c r="A393" t="s">
        <v>23</v>
      </c>
      <c r="B393" t="s">
        <v>51</v>
      </c>
      <c r="C393" t="s">
        <v>75</v>
      </c>
      <c r="D393">
        <v>7.039809</v>
      </c>
      <c r="E393">
        <f>Tableau1[[#This Row],[Potential (PJ)]]/3.6</f>
        <v>1.9555024999999999</v>
      </c>
      <c r="F393">
        <v>2.9695355202759301E-3</v>
      </c>
      <c r="G393">
        <f>Tableau1[[#This Row],[Cost (€/GJ)]]*3.6</f>
        <v>1.0690327872993349E-2</v>
      </c>
      <c r="H393">
        <v>11.74</v>
      </c>
      <c r="I393">
        <f>Tableau1[[#This Row],[GHG (kgCO2eq/GJ)]]*3.6</f>
        <v>42.264000000000003</v>
      </c>
      <c r="J393" t="s">
        <v>104</v>
      </c>
      <c r="K393" t="s">
        <v>108</v>
      </c>
    </row>
    <row r="394" spans="1:11" hidden="1" x14ac:dyDescent="0.3">
      <c r="A394" t="s">
        <v>23</v>
      </c>
      <c r="B394" t="s">
        <v>60</v>
      </c>
      <c r="C394" t="s">
        <v>98</v>
      </c>
      <c r="D394">
        <v>2.8841700000000001</v>
      </c>
      <c r="E394">
        <f>Tableau1[[#This Row],[Potential (PJ)]]/3.6</f>
        <v>0.80115833333333331</v>
      </c>
      <c r="F394">
        <v>18.582169709989259</v>
      </c>
      <c r="G394">
        <f>Tableau1[[#This Row],[Cost (€/GJ)]]*3.6</f>
        <v>66.895810955961338</v>
      </c>
      <c r="H394">
        <v>47.4</v>
      </c>
      <c r="I394">
        <f>Tableau1[[#This Row],[GHG (kgCO2eq/GJ)]]*3.6</f>
        <v>170.64</v>
      </c>
      <c r="J394" t="s">
        <v>107</v>
      </c>
      <c r="K394" t="s">
        <v>109</v>
      </c>
    </row>
    <row r="395" spans="1:11" hidden="1" x14ac:dyDescent="0.3">
      <c r="A395" t="s">
        <v>23</v>
      </c>
      <c r="B395" t="s">
        <v>52</v>
      </c>
      <c r="C395" t="s">
        <v>76</v>
      </c>
      <c r="D395">
        <v>0.21</v>
      </c>
      <c r="E395">
        <f>Tableau1[[#This Row],[Potential (PJ)]]/3.6</f>
        <v>5.8333333333333327E-2</v>
      </c>
      <c r="F395">
        <v>6.1837425000000001</v>
      </c>
      <c r="G395">
        <f>Tableau1[[#This Row],[Cost (€/GJ)]]*3.6</f>
        <v>22.261473000000002</v>
      </c>
      <c r="H395">
        <v>12.68872359754714</v>
      </c>
      <c r="I395">
        <f>Tableau1[[#This Row],[GHG (kgCO2eq/GJ)]]*3.6</f>
        <v>45.679404951169708</v>
      </c>
      <c r="J395" t="s">
        <v>105</v>
      </c>
      <c r="K395" t="s">
        <v>108</v>
      </c>
    </row>
    <row r="396" spans="1:11" hidden="1" x14ac:dyDescent="0.3">
      <c r="A396" t="s">
        <v>23</v>
      </c>
      <c r="B396" t="s">
        <v>53</v>
      </c>
      <c r="C396" t="s">
        <v>77</v>
      </c>
      <c r="D396">
        <v>8.0487900000000003</v>
      </c>
      <c r="E396">
        <f>Tableau1[[#This Row],[Potential (PJ)]]/3.6</f>
        <v>2.2357749999999998</v>
      </c>
      <c r="F396">
        <v>2.7349194748527421</v>
      </c>
      <c r="G396">
        <f>Tableau1[[#This Row],[Cost (€/GJ)]]*3.6</f>
        <v>9.8457101094698718</v>
      </c>
      <c r="H396">
        <v>3.86607608129234</v>
      </c>
      <c r="I396">
        <f>Tableau1[[#This Row],[GHG (kgCO2eq/GJ)]]*3.6</f>
        <v>13.917873892652425</v>
      </c>
      <c r="J396" t="s">
        <v>104</v>
      </c>
      <c r="K396" t="s">
        <v>108</v>
      </c>
    </row>
    <row r="397" spans="1:11" hidden="1" x14ac:dyDescent="0.3">
      <c r="A397" t="s">
        <v>23</v>
      </c>
      <c r="B397" t="s">
        <v>61</v>
      </c>
      <c r="C397" t="s">
        <v>99</v>
      </c>
      <c r="D397">
        <v>0.4</v>
      </c>
      <c r="E397">
        <f>Tableau1[[#This Row],[Potential (PJ)]]/3.6</f>
        <v>0.11111111111111112</v>
      </c>
      <c r="F397">
        <v>1.89625</v>
      </c>
      <c r="G397">
        <f>Tableau1[[#This Row],[Cost (€/GJ)]]*3.6</f>
        <v>6.8265000000000002</v>
      </c>
      <c r="H397">
        <v>2.9245635910224439</v>
      </c>
      <c r="I397">
        <f>Tableau1[[#This Row],[GHG (kgCO2eq/GJ)]]*3.6</f>
        <v>10.528428927680798</v>
      </c>
      <c r="J397" t="s">
        <v>104</v>
      </c>
      <c r="K397" t="s">
        <v>108</v>
      </c>
    </row>
    <row r="398" spans="1:11" hidden="1" x14ac:dyDescent="0.3">
      <c r="A398" t="s">
        <v>23</v>
      </c>
      <c r="B398" t="s">
        <v>54</v>
      </c>
      <c r="C398" t="s">
        <v>78</v>
      </c>
      <c r="D398">
        <v>33.799999999999997</v>
      </c>
      <c r="E398">
        <f>Tableau1[[#This Row],[Potential (PJ)]]/3.6</f>
        <v>9.3888888888888875</v>
      </c>
      <c r="F398">
        <v>2.7122337278106512</v>
      </c>
      <c r="G398">
        <f>Tableau1[[#This Row],[Cost (€/GJ)]]*3.6</f>
        <v>9.7640414201183443</v>
      </c>
      <c r="H398">
        <v>3.86607608129234</v>
      </c>
      <c r="I398">
        <f>Tableau1[[#This Row],[GHG (kgCO2eq/GJ)]]*3.6</f>
        <v>13.917873892652425</v>
      </c>
      <c r="J398" t="s">
        <v>104</v>
      </c>
      <c r="K398" t="s">
        <v>108</v>
      </c>
    </row>
    <row r="399" spans="1:11" hidden="1" x14ac:dyDescent="0.3">
      <c r="A399" t="s">
        <v>24</v>
      </c>
      <c r="B399" t="s">
        <v>46</v>
      </c>
      <c r="C399" t="s">
        <v>80</v>
      </c>
      <c r="D399">
        <v>5.4000000000000013E-2</v>
      </c>
      <c r="E399">
        <f>Tableau1[[#This Row],[Potential (PJ)]]/3.6</f>
        <v>1.5000000000000003E-2</v>
      </c>
      <c r="F399">
        <v>0.33378287255563049</v>
      </c>
      <c r="G399">
        <f>Tableau1[[#This Row],[Cost (€/GJ)]]*3.6</f>
        <v>1.2016183412002699</v>
      </c>
      <c r="H399">
        <v>28.139870918023309</v>
      </c>
      <c r="I399">
        <f>Tableau1[[#This Row],[GHG (kgCO2eq/GJ)]]*3.6</f>
        <v>101.30353530488391</v>
      </c>
      <c r="J399" t="s">
        <v>105</v>
      </c>
      <c r="K399" t="s">
        <v>108</v>
      </c>
    </row>
    <row r="400" spans="1:11" hidden="1" x14ac:dyDescent="0.3">
      <c r="A400" t="s">
        <v>24</v>
      </c>
      <c r="B400" t="s">
        <v>46</v>
      </c>
      <c r="C400" t="s">
        <v>81</v>
      </c>
      <c r="D400">
        <v>3.2899999999999999E-2</v>
      </c>
      <c r="E400">
        <f>Tableau1[[#This Row],[Potential (PJ)]]/3.6</f>
        <v>9.1388888888888891E-3</v>
      </c>
      <c r="F400">
        <v>2.6022326674500591</v>
      </c>
      <c r="G400">
        <f>Tableau1[[#This Row],[Cost (€/GJ)]]*3.6</f>
        <v>9.3680376028202126</v>
      </c>
      <c r="H400">
        <v>8.9647473560517046</v>
      </c>
      <c r="I400">
        <f>Tableau1[[#This Row],[GHG (kgCO2eq/GJ)]]*3.6</f>
        <v>32.273090481786134</v>
      </c>
      <c r="J400" t="s">
        <v>105</v>
      </c>
      <c r="K400" t="s">
        <v>108</v>
      </c>
    </row>
    <row r="401" spans="1:11" hidden="1" x14ac:dyDescent="0.3">
      <c r="A401" t="s">
        <v>24</v>
      </c>
      <c r="B401" t="s">
        <v>55</v>
      </c>
      <c r="C401" t="s">
        <v>86</v>
      </c>
      <c r="D401">
        <v>6.5600000000000006E-2</v>
      </c>
      <c r="E401">
        <f>Tableau1[[#This Row],[Potential (PJ)]]/3.6</f>
        <v>1.8222222222222223E-2</v>
      </c>
      <c r="F401">
        <v>15.132999999999999</v>
      </c>
      <c r="G401">
        <f>Tableau1[[#This Row],[Cost (€/GJ)]]*3.6</f>
        <v>54.4788</v>
      </c>
      <c r="H401">
        <v>9.8000000000000007</v>
      </c>
      <c r="I401">
        <f>Tableau1[[#This Row],[GHG (kgCO2eq/GJ)]]*3.6</f>
        <v>35.28</v>
      </c>
      <c r="J401" t="s">
        <v>106</v>
      </c>
      <c r="K401" t="s">
        <v>109</v>
      </c>
    </row>
    <row r="402" spans="1:11" hidden="1" x14ac:dyDescent="0.3">
      <c r="A402" t="s">
        <v>24</v>
      </c>
      <c r="B402" t="s">
        <v>55</v>
      </c>
      <c r="C402" t="s">
        <v>89</v>
      </c>
      <c r="D402">
        <v>7.4700000000000003E-2</v>
      </c>
      <c r="E402">
        <f>Tableau1[[#This Row],[Potential (PJ)]]/3.6</f>
        <v>2.0750000000000001E-2</v>
      </c>
      <c r="F402">
        <v>0</v>
      </c>
      <c r="G402">
        <f>Tableau1[[#This Row],[Cost (€/GJ)]]*3.6</f>
        <v>0</v>
      </c>
      <c r="H402">
        <v>9.8000000000000007</v>
      </c>
      <c r="I402">
        <f>Tableau1[[#This Row],[GHG (kgCO2eq/GJ)]]*3.6</f>
        <v>35.28</v>
      </c>
      <c r="J402" t="s">
        <v>106</v>
      </c>
      <c r="K402" t="s">
        <v>109</v>
      </c>
    </row>
    <row r="403" spans="1:11" hidden="1" x14ac:dyDescent="0.3">
      <c r="A403" t="s">
        <v>24</v>
      </c>
      <c r="B403" t="s">
        <v>55</v>
      </c>
      <c r="C403" t="s">
        <v>92</v>
      </c>
      <c r="D403">
        <v>7.6840000000000006E-2</v>
      </c>
      <c r="E403">
        <f>Tableau1[[#This Row],[Potential (PJ)]]/3.6</f>
        <v>2.1344444444444447E-2</v>
      </c>
      <c r="F403">
        <v>13.994</v>
      </c>
      <c r="G403">
        <f>Tableau1[[#This Row],[Cost (€/GJ)]]*3.6</f>
        <v>50.378399999999999</v>
      </c>
      <c r="H403">
        <v>9.8000000000000007</v>
      </c>
      <c r="I403">
        <f>Tableau1[[#This Row],[GHG (kgCO2eq/GJ)]]*3.6</f>
        <v>35.28</v>
      </c>
      <c r="J403" t="s">
        <v>106</v>
      </c>
      <c r="K403" t="s">
        <v>109</v>
      </c>
    </row>
    <row r="404" spans="1:11" x14ac:dyDescent="0.3">
      <c r="A404" t="s">
        <v>24</v>
      </c>
      <c r="B404" t="s">
        <v>47</v>
      </c>
      <c r="C404" t="s">
        <v>101</v>
      </c>
      <c r="D404">
        <v>2.7</v>
      </c>
      <c r="E404">
        <f>Tableau1[[#This Row],[Potential (PJ)]]/3.6</f>
        <v>0.75</v>
      </c>
      <c r="F404">
        <v>5.3095185185185176</v>
      </c>
      <c r="G404">
        <f>Tableau1[[#This Row],[Cost (€/GJ)]]*3.6</f>
        <v>19.114266666666666</v>
      </c>
      <c r="H404">
        <v>61.2</v>
      </c>
      <c r="I404">
        <f>Tableau1[[#This Row],[GHG (kgCO2eq/GJ)]]*3.6</f>
        <v>220.32000000000002</v>
      </c>
      <c r="J404" t="s">
        <v>104</v>
      </c>
      <c r="K404" t="s">
        <v>109</v>
      </c>
    </row>
    <row r="405" spans="1:11" x14ac:dyDescent="0.3">
      <c r="A405" t="s">
        <v>24</v>
      </c>
      <c r="B405" t="s">
        <v>57</v>
      </c>
      <c r="C405" t="s">
        <v>94</v>
      </c>
      <c r="D405">
        <v>2.5</v>
      </c>
      <c r="E405">
        <f>Tableau1[[#This Row],[Potential (PJ)]]/3.6</f>
        <v>0.69444444444444442</v>
      </c>
      <c r="F405">
        <v>10.9</v>
      </c>
      <c r="G405">
        <f>Tableau1[[#This Row],[Cost (€/GJ)]]*3.6</f>
        <v>39.24</v>
      </c>
      <c r="H405">
        <v>24.4</v>
      </c>
      <c r="I405">
        <f>Tableau1[[#This Row],[GHG (kgCO2eq/GJ)]]*3.6</f>
        <v>87.84</v>
      </c>
      <c r="J405" t="s">
        <v>104</v>
      </c>
      <c r="K405" t="s">
        <v>109</v>
      </c>
    </row>
    <row r="406" spans="1:11" hidden="1" x14ac:dyDescent="0.3">
      <c r="A406" t="s">
        <v>24</v>
      </c>
      <c r="B406" t="s">
        <v>49</v>
      </c>
      <c r="C406" t="s">
        <v>71</v>
      </c>
      <c r="D406">
        <v>3.5111400000000001</v>
      </c>
      <c r="E406">
        <f>Tableau1[[#This Row],[Potential (PJ)]]/3.6</f>
        <v>0.97531666666666672</v>
      </c>
      <c r="F406">
        <v>4.3609999999999998</v>
      </c>
      <c r="G406">
        <f>Tableau1[[#This Row],[Cost (€/GJ)]]*3.6</f>
        <v>15.6996</v>
      </c>
      <c r="H406">
        <v>3.86607608129234</v>
      </c>
      <c r="I406">
        <f>Tableau1[[#This Row],[GHG (kgCO2eq/GJ)]]*3.6</f>
        <v>13.917873892652425</v>
      </c>
      <c r="J406" t="s">
        <v>104</v>
      </c>
      <c r="K406" t="s">
        <v>108</v>
      </c>
    </row>
    <row r="407" spans="1:11" hidden="1" x14ac:dyDescent="0.3">
      <c r="A407" t="s">
        <v>24</v>
      </c>
      <c r="B407" t="s">
        <v>49</v>
      </c>
      <c r="C407" t="s">
        <v>72</v>
      </c>
      <c r="D407">
        <v>0.2</v>
      </c>
      <c r="E407">
        <f>Tableau1[[#This Row],[Potential (PJ)]]/3.6</f>
        <v>5.5555555555555559E-2</v>
      </c>
      <c r="F407">
        <v>3.4925000000000002</v>
      </c>
      <c r="G407">
        <f>Tableau1[[#This Row],[Cost (€/GJ)]]*3.6</f>
        <v>12.573</v>
      </c>
      <c r="H407">
        <v>3.86607608129234</v>
      </c>
      <c r="I407">
        <f>Tableau1[[#This Row],[GHG (kgCO2eq/GJ)]]*3.6</f>
        <v>13.917873892652425</v>
      </c>
      <c r="J407" t="s">
        <v>104</v>
      </c>
      <c r="K407" t="s">
        <v>108</v>
      </c>
    </row>
    <row r="408" spans="1:11" hidden="1" x14ac:dyDescent="0.3">
      <c r="A408" t="s">
        <v>24</v>
      </c>
      <c r="B408" t="s">
        <v>58</v>
      </c>
      <c r="C408" t="s">
        <v>95</v>
      </c>
      <c r="D408">
        <v>1.0959700000000001</v>
      </c>
      <c r="E408">
        <f>Tableau1[[#This Row],[Potential (PJ)]]/3.6</f>
        <v>0.30443611111111113</v>
      </c>
      <c r="F408">
        <v>3.242</v>
      </c>
      <c r="G408">
        <f>Tableau1[[#This Row],[Cost (€/GJ)]]*3.6</f>
        <v>11.671200000000001</v>
      </c>
      <c r="H408">
        <v>2.9521711768407801</v>
      </c>
      <c r="I408">
        <f>Tableau1[[#This Row],[GHG (kgCO2eq/GJ)]]*3.6</f>
        <v>10.627816236626808</v>
      </c>
      <c r="J408" t="s">
        <v>104</v>
      </c>
      <c r="K408" t="s">
        <v>108</v>
      </c>
    </row>
    <row r="409" spans="1:11" hidden="1" x14ac:dyDescent="0.3">
      <c r="A409" t="s">
        <v>24</v>
      </c>
      <c r="B409" t="s">
        <v>50</v>
      </c>
      <c r="C409" t="s">
        <v>73</v>
      </c>
      <c r="D409">
        <v>2</v>
      </c>
      <c r="E409">
        <f>Tableau1[[#This Row],[Potential (PJ)]]/3.6</f>
        <v>0.55555555555555558</v>
      </c>
      <c r="F409">
        <v>5.6319999999999997</v>
      </c>
      <c r="G409">
        <f>Tableau1[[#This Row],[Cost (€/GJ)]]*3.6</f>
        <v>20.275199999999998</v>
      </c>
      <c r="H409">
        <v>20.723404255319149</v>
      </c>
      <c r="I409">
        <f>Tableau1[[#This Row],[GHG (kgCO2eq/GJ)]]*3.6</f>
        <v>74.604255319148933</v>
      </c>
      <c r="J409" t="s">
        <v>105</v>
      </c>
      <c r="K409" t="s">
        <v>108</v>
      </c>
    </row>
    <row r="410" spans="1:11" hidden="1" x14ac:dyDescent="0.3">
      <c r="A410" t="s">
        <v>24</v>
      </c>
      <c r="B410" t="s">
        <v>50</v>
      </c>
      <c r="C410" t="s">
        <v>74</v>
      </c>
      <c r="D410">
        <v>2</v>
      </c>
      <c r="E410">
        <f>Tableau1[[#This Row],[Potential (PJ)]]/3.6</f>
        <v>0.55555555555555558</v>
      </c>
      <c r="F410">
        <v>6.4499000000000004</v>
      </c>
      <c r="G410">
        <f>Tableau1[[#This Row],[Cost (€/GJ)]]*3.6</f>
        <v>23.219640000000002</v>
      </c>
      <c r="H410">
        <v>2.0635593220338988</v>
      </c>
      <c r="I410">
        <f>Tableau1[[#This Row],[GHG (kgCO2eq/GJ)]]*3.6</f>
        <v>7.4288135593220357</v>
      </c>
      <c r="J410" t="s">
        <v>105</v>
      </c>
      <c r="K410" t="s">
        <v>108</v>
      </c>
    </row>
    <row r="411" spans="1:11" hidden="1" x14ac:dyDescent="0.3">
      <c r="A411" t="s">
        <v>24</v>
      </c>
      <c r="B411" t="s">
        <v>51</v>
      </c>
      <c r="C411" t="s">
        <v>75</v>
      </c>
      <c r="D411">
        <v>1.7215039999999999</v>
      </c>
      <c r="E411">
        <f>Tableau1[[#This Row],[Potential (PJ)]]/3.6</f>
        <v>0.47819555555555554</v>
      </c>
      <c r="F411">
        <v>2.3907900563967199E-2</v>
      </c>
      <c r="G411">
        <f>Tableau1[[#This Row],[Cost (€/GJ)]]*3.6</f>
        <v>8.6068442030281911E-2</v>
      </c>
      <c r="H411">
        <v>11.74</v>
      </c>
      <c r="I411">
        <f>Tableau1[[#This Row],[GHG (kgCO2eq/GJ)]]*3.6</f>
        <v>42.264000000000003</v>
      </c>
      <c r="J411" t="s">
        <v>104</v>
      </c>
      <c r="K411" t="s">
        <v>108</v>
      </c>
    </row>
    <row r="412" spans="1:11" hidden="1" x14ac:dyDescent="0.3">
      <c r="A412" t="s">
        <v>24</v>
      </c>
      <c r="B412" t="s">
        <v>60</v>
      </c>
      <c r="C412" t="s">
        <v>98</v>
      </c>
      <c r="D412">
        <v>0.46355000000000002</v>
      </c>
      <c r="E412">
        <f>Tableau1[[#This Row],[Potential (PJ)]]/3.6</f>
        <v>0.1287638888888889</v>
      </c>
      <c r="F412">
        <v>26.262083780880769</v>
      </c>
      <c r="G412">
        <f>Tableau1[[#This Row],[Cost (€/GJ)]]*3.6</f>
        <v>94.543501611170768</v>
      </c>
      <c r="H412">
        <v>33.200000000000003</v>
      </c>
      <c r="I412">
        <f>Tableau1[[#This Row],[GHG (kgCO2eq/GJ)]]*3.6</f>
        <v>119.52000000000001</v>
      </c>
      <c r="J412" t="s">
        <v>107</v>
      </c>
      <c r="K412" t="s">
        <v>109</v>
      </c>
    </row>
    <row r="413" spans="1:11" hidden="1" x14ac:dyDescent="0.3">
      <c r="A413" t="s">
        <v>24</v>
      </c>
      <c r="B413" t="s">
        <v>52</v>
      </c>
      <c r="C413" t="s">
        <v>76</v>
      </c>
      <c r="D413">
        <v>2E-3</v>
      </c>
      <c r="E413">
        <f>Tableau1[[#This Row],[Potential (PJ)]]/3.6</f>
        <v>5.5555555555555556E-4</v>
      </c>
      <c r="F413">
        <v>6.1837425000000001</v>
      </c>
      <c r="G413">
        <f>Tableau1[[#This Row],[Cost (€/GJ)]]*3.6</f>
        <v>22.261473000000002</v>
      </c>
      <c r="H413">
        <v>12.68872359754714</v>
      </c>
      <c r="I413">
        <f>Tableau1[[#This Row],[GHG (kgCO2eq/GJ)]]*3.6</f>
        <v>45.679404951169708</v>
      </c>
      <c r="J413" t="s">
        <v>105</v>
      </c>
      <c r="K413" t="s">
        <v>108</v>
      </c>
    </row>
    <row r="414" spans="1:11" hidden="1" x14ac:dyDescent="0.3">
      <c r="A414" t="s">
        <v>24</v>
      </c>
      <c r="B414" t="s">
        <v>53</v>
      </c>
      <c r="C414" t="s">
        <v>77</v>
      </c>
      <c r="D414">
        <v>0.80005999999999999</v>
      </c>
      <c r="E414">
        <f>Tableau1[[#This Row],[Potential (PJ)]]/3.6</f>
        <v>0.22223888888888887</v>
      </c>
      <c r="F414">
        <v>3.492611404144689</v>
      </c>
      <c r="G414">
        <f>Tableau1[[#This Row],[Cost (€/GJ)]]*3.6</f>
        <v>12.573401054920881</v>
      </c>
      <c r="H414">
        <v>3.86607608129234</v>
      </c>
      <c r="I414">
        <f>Tableau1[[#This Row],[GHG (kgCO2eq/GJ)]]*3.6</f>
        <v>13.917873892652425</v>
      </c>
      <c r="J414" t="s">
        <v>104</v>
      </c>
      <c r="K414" t="s">
        <v>108</v>
      </c>
    </row>
    <row r="415" spans="1:11" hidden="1" x14ac:dyDescent="0.3">
      <c r="A415" t="s">
        <v>24</v>
      </c>
      <c r="B415" t="s">
        <v>61</v>
      </c>
      <c r="C415" t="s">
        <v>99</v>
      </c>
      <c r="D415">
        <v>0.8</v>
      </c>
      <c r="E415">
        <f>Tableau1[[#This Row],[Potential (PJ)]]/3.6</f>
        <v>0.22222222222222224</v>
      </c>
      <c r="F415">
        <v>2.085</v>
      </c>
      <c r="G415">
        <f>Tableau1[[#This Row],[Cost (€/GJ)]]*3.6</f>
        <v>7.5060000000000002</v>
      </c>
      <c r="H415">
        <v>2.9245635910224439</v>
      </c>
      <c r="I415">
        <f>Tableau1[[#This Row],[GHG (kgCO2eq/GJ)]]*3.6</f>
        <v>10.528428927680798</v>
      </c>
      <c r="J415" t="s">
        <v>104</v>
      </c>
      <c r="K415" t="s">
        <v>108</v>
      </c>
    </row>
    <row r="416" spans="1:11" hidden="1" x14ac:dyDescent="0.3">
      <c r="A416" t="s">
        <v>24</v>
      </c>
      <c r="B416" t="s">
        <v>62</v>
      </c>
      <c r="C416" t="s">
        <v>100</v>
      </c>
      <c r="D416">
        <v>0.3</v>
      </c>
      <c r="E416">
        <f>Tableau1[[#This Row],[Potential (PJ)]]/3.6</f>
        <v>8.3333333333333329E-2</v>
      </c>
      <c r="F416">
        <v>1.1333333333333331</v>
      </c>
      <c r="G416">
        <f>Tableau1[[#This Row],[Cost (€/GJ)]]*3.6</f>
        <v>4.0799999999999992</v>
      </c>
      <c r="H416">
        <v>2.6764106050305911</v>
      </c>
      <c r="I416">
        <f>Tableau1[[#This Row],[GHG (kgCO2eq/GJ)]]*3.6</f>
        <v>9.6350781781101276</v>
      </c>
      <c r="J416" t="s">
        <v>104</v>
      </c>
      <c r="K416" t="s">
        <v>108</v>
      </c>
    </row>
    <row r="417" spans="1:11" hidden="1" x14ac:dyDescent="0.3">
      <c r="A417" t="s">
        <v>24</v>
      </c>
      <c r="B417" t="s">
        <v>54</v>
      </c>
      <c r="C417" t="s">
        <v>78</v>
      </c>
      <c r="D417">
        <v>20</v>
      </c>
      <c r="E417">
        <f>Tableau1[[#This Row],[Potential (PJ)]]/3.6</f>
        <v>5.5555555555555554</v>
      </c>
      <c r="F417">
        <v>7.4269999999999996</v>
      </c>
      <c r="G417">
        <f>Tableau1[[#This Row],[Cost (€/GJ)]]*3.6</f>
        <v>26.737199999999998</v>
      </c>
      <c r="H417">
        <v>3.86607608129234</v>
      </c>
      <c r="I417">
        <f>Tableau1[[#This Row],[GHG (kgCO2eq/GJ)]]*3.6</f>
        <v>13.917873892652425</v>
      </c>
      <c r="J417" t="s">
        <v>104</v>
      </c>
      <c r="K417" t="s">
        <v>108</v>
      </c>
    </row>
    <row r="418" spans="1:11" hidden="1" x14ac:dyDescent="0.3">
      <c r="A418" t="s">
        <v>25</v>
      </c>
      <c r="B418" t="s">
        <v>51</v>
      </c>
      <c r="C418" t="s">
        <v>75</v>
      </c>
      <c r="D418">
        <v>0.80279800000000001</v>
      </c>
      <c r="E418">
        <f>Tableau1[[#This Row],[Potential (PJ)]]/3.6</f>
        <v>0.22299944444444444</v>
      </c>
      <c r="F418">
        <v>2.9714065881842398E-3</v>
      </c>
      <c r="G418">
        <f>Tableau1[[#This Row],[Cost (€/GJ)]]*3.6</f>
        <v>1.0697063717463264E-2</v>
      </c>
      <c r="H418">
        <v>11.74</v>
      </c>
      <c r="I418">
        <f>Tableau1[[#This Row],[GHG (kgCO2eq/GJ)]]*3.6</f>
        <v>42.264000000000003</v>
      </c>
      <c r="J418" t="s">
        <v>104</v>
      </c>
      <c r="K418" t="s">
        <v>108</v>
      </c>
    </row>
    <row r="419" spans="1:11" hidden="1" x14ac:dyDescent="0.3">
      <c r="A419" t="s">
        <v>26</v>
      </c>
      <c r="B419" t="s">
        <v>46</v>
      </c>
      <c r="C419" t="s">
        <v>63</v>
      </c>
      <c r="D419">
        <v>0.69550000000000001</v>
      </c>
      <c r="E419">
        <f>Tableau1[[#This Row],[Potential (PJ)]]/3.6</f>
        <v>0.19319444444444445</v>
      </c>
      <c r="F419">
        <v>2.9286474973375931</v>
      </c>
      <c r="G419">
        <f>Tableau1[[#This Row],[Cost (€/GJ)]]*3.6</f>
        <v>10.543130990415335</v>
      </c>
      <c r="H419">
        <v>3.950479233226837</v>
      </c>
      <c r="I419">
        <f>Tableau1[[#This Row],[GHG (kgCO2eq/GJ)]]*3.6</f>
        <v>14.221725239616614</v>
      </c>
      <c r="J419" t="s">
        <v>104</v>
      </c>
      <c r="K419" t="s">
        <v>108</v>
      </c>
    </row>
    <row r="420" spans="1:11" hidden="1" x14ac:dyDescent="0.3">
      <c r="A420" t="s">
        <v>26</v>
      </c>
      <c r="B420" t="s">
        <v>46</v>
      </c>
      <c r="C420" t="s">
        <v>64</v>
      </c>
      <c r="D420">
        <v>0.10897999999999999</v>
      </c>
      <c r="E420">
        <f>Tableau1[[#This Row],[Potential (PJ)]]/3.6</f>
        <v>3.0272222222222221E-2</v>
      </c>
      <c r="F420">
        <v>5.1362583960359709</v>
      </c>
      <c r="G420">
        <f>Tableau1[[#This Row],[Cost (€/GJ)]]*3.6</f>
        <v>18.490530225729497</v>
      </c>
      <c r="H420">
        <v>2.9521711768407801</v>
      </c>
      <c r="I420">
        <f>Tableau1[[#This Row],[GHG (kgCO2eq/GJ)]]*3.6</f>
        <v>10.627816236626808</v>
      </c>
      <c r="J420" t="s">
        <v>104</v>
      </c>
      <c r="K420" t="s">
        <v>108</v>
      </c>
    </row>
    <row r="421" spans="1:11" hidden="1" x14ac:dyDescent="0.3">
      <c r="A421" t="s">
        <v>26</v>
      </c>
      <c r="B421" t="s">
        <v>46</v>
      </c>
      <c r="C421" t="s">
        <v>79</v>
      </c>
      <c r="D421">
        <v>8.8000000000000007</v>
      </c>
      <c r="E421">
        <f>Tableau1[[#This Row],[Potential (PJ)]]/3.6</f>
        <v>2.4444444444444446</v>
      </c>
      <c r="F421">
        <v>2.701011363636364</v>
      </c>
      <c r="G421">
        <f>Tableau1[[#This Row],[Cost (€/GJ)]]*3.6</f>
        <v>9.7236409090909106</v>
      </c>
      <c r="H421">
        <v>6.8428961748633883</v>
      </c>
      <c r="I421">
        <f>Tableau1[[#This Row],[GHG (kgCO2eq/GJ)]]*3.6</f>
        <v>24.634426229508197</v>
      </c>
      <c r="J421" t="s">
        <v>104</v>
      </c>
      <c r="K421" t="s">
        <v>108</v>
      </c>
    </row>
    <row r="422" spans="1:11" hidden="1" x14ac:dyDescent="0.3">
      <c r="A422" t="s">
        <v>26</v>
      </c>
      <c r="B422" t="s">
        <v>46</v>
      </c>
      <c r="C422" t="s">
        <v>65</v>
      </c>
      <c r="D422">
        <v>0.2</v>
      </c>
      <c r="E422">
        <f>Tableau1[[#This Row],[Potential (PJ)]]/3.6</f>
        <v>5.5555555555555559E-2</v>
      </c>
      <c r="F422">
        <v>5.7729999999999997</v>
      </c>
      <c r="G422">
        <f>Tableau1[[#This Row],[Cost (€/GJ)]]*3.6</f>
        <v>20.782799999999998</v>
      </c>
      <c r="H422">
        <v>2.9521711768407801</v>
      </c>
      <c r="I422">
        <f>Tableau1[[#This Row],[GHG (kgCO2eq/GJ)]]*3.6</f>
        <v>10.627816236626808</v>
      </c>
      <c r="J422" t="s">
        <v>104</v>
      </c>
      <c r="K422" t="s">
        <v>108</v>
      </c>
    </row>
    <row r="423" spans="1:11" hidden="1" x14ac:dyDescent="0.3">
      <c r="A423" t="s">
        <v>26</v>
      </c>
      <c r="B423" t="s">
        <v>46</v>
      </c>
      <c r="C423" t="s">
        <v>102</v>
      </c>
      <c r="D423">
        <v>0.2</v>
      </c>
      <c r="E423">
        <f>Tableau1[[#This Row],[Potential (PJ)]]/3.6</f>
        <v>5.5555555555555559E-2</v>
      </c>
      <c r="F423">
        <v>4.9870000000000001</v>
      </c>
      <c r="G423">
        <f>Tableau1[[#This Row],[Cost (€/GJ)]]*3.6</f>
        <v>17.953200000000002</v>
      </c>
      <c r="H423">
        <v>2.9521711768407801</v>
      </c>
      <c r="I423">
        <f>Tableau1[[#This Row],[GHG (kgCO2eq/GJ)]]*3.6</f>
        <v>10.627816236626808</v>
      </c>
      <c r="J423" t="s">
        <v>104</v>
      </c>
      <c r="K423" t="s">
        <v>108</v>
      </c>
    </row>
    <row r="424" spans="1:11" hidden="1" x14ac:dyDescent="0.3">
      <c r="A424" t="s">
        <v>26</v>
      </c>
      <c r="B424" t="s">
        <v>46</v>
      </c>
      <c r="C424" t="s">
        <v>80</v>
      </c>
      <c r="D424">
        <v>3.4622999999999999</v>
      </c>
      <c r="E424">
        <f>Tableau1[[#This Row],[Potential (PJ)]]/3.6</f>
        <v>0.96174999999999999</v>
      </c>
      <c r="F424">
        <v>0.7329737019554956</v>
      </c>
      <c r="G424">
        <f>Tableau1[[#This Row],[Cost (€/GJ)]]*3.6</f>
        <v>2.6387053270397844</v>
      </c>
      <c r="H424">
        <v>28.139870918023309</v>
      </c>
      <c r="I424">
        <f>Tableau1[[#This Row],[GHG (kgCO2eq/GJ)]]*3.6</f>
        <v>101.30353530488391</v>
      </c>
      <c r="J424" t="s">
        <v>105</v>
      </c>
      <c r="K424" t="s">
        <v>108</v>
      </c>
    </row>
    <row r="425" spans="1:11" hidden="1" x14ac:dyDescent="0.3">
      <c r="A425" t="s">
        <v>26</v>
      </c>
      <c r="B425" t="s">
        <v>46</v>
      </c>
      <c r="C425" t="s">
        <v>81</v>
      </c>
      <c r="D425">
        <v>0.76770000000000005</v>
      </c>
      <c r="E425">
        <f>Tableau1[[#This Row],[Potential (PJ)]]/3.6</f>
        <v>0.21325</v>
      </c>
      <c r="F425">
        <v>1.2708578143360749</v>
      </c>
      <c r="G425">
        <f>Tableau1[[#This Row],[Cost (€/GJ)]]*3.6</f>
        <v>4.5750881316098697</v>
      </c>
      <c r="H425">
        <v>8.9647473560517046</v>
      </c>
      <c r="I425">
        <f>Tableau1[[#This Row],[GHG (kgCO2eq/GJ)]]*3.6</f>
        <v>32.273090481786134</v>
      </c>
      <c r="J425" t="s">
        <v>105</v>
      </c>
      <c r="K425" t="s">
        <v>108</v>
      </c>
    </row>
    <row r="426" spans="1:11" hidden="1" x14ac:dyDescent="0.3">
      <c r="A426" t="s">
        <v>26</v>
      </c>
      <c r="B426" t="s">
        <v>46</v>
      </c>
      <c r="C426" t="s">
        <v>66</v>
      </c>
      <c r="D426">
        <v>4.2</v>
      </c>
      <c r="E426">
        <f>Tableau1[[#This Row],[Potential (PJ)]]/3.6</f>
        <v>1.1666666666666667</v>
      </c>
      <c r="F426">
        <v>2.77097619047619</v>
      </c>
      <c r="G426">
        <f>Tableau1[[#This Row],[Cost (€/GJ)]]*3.6</f>
        <v>9.9755142857142847</v>
      </c>
      <c r="H426">
        <v>6.8428961748633883</v>
      </c>
      <c r="I426">
        <f>Tableau1[[#This Row],[GHG (kgCO2eq/GJ)]]*3.6</f>
        <v>24.634426229508197</v>
      </c>
      <c r="J426" t="s">
        <v>104</v>
      </c>
      <c r="K426" t="s">
        <v>108</v>
      </c>
    </row>
    <row r="427" spans="1:11" hidden="1" x14ac:dyDescent="0.3">
      <c r="A427" t="s">
        <v>26</v>
      </c>
      <c r="B427" t="s">
        <v>46</v>
      </c>
      <c r="C427" t="s">
        <v>67</v>
      </c>
      <c r="D427">
        <v>1.6</v>
      </c>
      <c r="E427">
        <f>Tableau1[[#This Row],[Potential (PJ)]]/3.6</f>
        <v>0.44444444444444448</v>
      </c>
      <c r="F427">
        <v>8.6677499999999998</v>
      </c>
      <c r="G427">
        <f>Tableau1[[#This Row],[Cost (€/GJ)]]*3.6</f>
        <v>31.203900000000001</v>
      </c>
      <c r="H427">
        <v>2.9521711768407801</v>
      </c>
      <c r="I427">
        <f>Tableau1[[#This Row],[GHG (kgCO2eq/GJ)]]*3.6</f>
        <v>10.627816236626808</v>
      </c>
      <c r="J427" t="s">
        <v>104</v>
      </c>
      <c r="K427" t="s">
        <v>108</v>
      </c>
    </row>
    <row r="428" spans="1:11" hidden="1" x14ac:dyDescent="0.3">
      <c r="A428" t="s">
        <v>26</v>
      </c>
      <c r="B428" t="s">
        <v>46</v>
      </c>
      <c r="C428" t="s">
        <v>82</v>
      </c>
      <c r="D428">
        <v>0.2</v>
      </c>
      <c r="E428">
        <f>Tableau1[[#This Row],[Potential (PJ)]]/3.6</f>
        <v>5.5555555555555559E-2</v>
      </c>
      <c r="F428">
        <v>1.7945</v>
      </c>
      <c r="G428">
        <f>Tableau1[[#This Row],[Cost (€/GJ)]]*3.6</f>
        <v>6.4602000000000004</v>
      </c>
      <c r="H428">
        <v>6.8428961748633883</v>
      </c>
      <c r="I428">
        <f>Tableau1[[#This Row],[GHG (kgCO2eq/GJ)]]*3.6</f>
        <v>24.634426229508197</v>
      </c>
      <c r="J428" t="s">
        <v>104</v>
      </c>
      <c r="K428" t="s">
        <v>108</v>
      </c>
    </row>
    <row r="429" spans="1:11" hidden="1" x14ac:dyDescent="0.3">
      <c r="A429" t="s">
        <v>26</v>
      </c>
      <c r="B429" t="s">
        <v>46</v>
      </c>
      <c r="C429" t="s">
        <v>83</v>
      </c>
      <c r="D429">
        <v>1.38486</v>
      </c>
      <c r="E429">
        <f>Tableau1[[#This Row],[Potential (PJ)]]/3.6</f>
        <v>0.38468333333333332</v>
      </c>
      <c r="F429">
        <v>2.6620073870282921</v>
      </c>
      <c r="G429">
        <f>Tableau1[[#This Row],[Cost (€/GJ)]]*3.6</f>
        <v>9.5832265933018519</v>
      </c>
      <c r="H429">
        <v>6.8428961748633883</v>
      </c>
      <c r="I429">
        <f>Tableau1[[#This Row],[GHG (kgCO2eq/GJ)]]*3.6</f>
        <v>24.634426229508197</v>
      </c>
      <c r="J429" t="s">
        <v>104</v>
      </c>
      <c r="K429" t="s">
        <v>108</v>
      </c>
    </row>
    <row r="430" spans="1:11" hidden="1" x14ac:dyDescent="0.3">
      <c r="A430" t="s">
        <v>26</v>
      </c>
      <c r="B430" t="s">
        <v>46</v>
      </c>
      <c r="C430" t="s">
        <v>84</v>
      </c>
      <c r="D430">
        <v>0.8</v>
      </c>
      <c r="E430">
        <f>Tableau1[[#This Row],[Potential (PJ)]]/3.6</f>
        <v>0.22222222222222224</v>
      </c>
      <c r="F430">
        <v>2.085375</v>
      </c>
      <c r="G430">
        <f>Tableau1[[#This Row],[Cost (€/GJ)]]*3.6</f>
        <v>7.5073499999999997</v>
      </c>
      <c r="H430">
        <v>28.139870918023309</v>
      </c>
      <c r="I430">
        <f>Tableau1[[#This Row],[GHG (kgCO2eq/GJ)]]*3.6</f>
        <v>101.30353530488391</v>
      </c>
      <c r="J430" t="s">
        <v>105</v>
      </c>
      <c r="K430" t="s">
        <v>108</v>
      </c>
    </row>
    <row r="431" spans="1:11" hidden="1" x14ac:dyDescent="0.3">
      <c r="A431" t="s">
        <v>26</v>
      </c>
      <c r="B431" t="s">
        <v>46</v>
      </c>
      <c r="C431" t="s">
        <v>85</v>
      </c>
      <c r="D431">
        <v>0.60000000000000009</v>
      </c>
      <c r="E431">
        <f>Tableau1[[#This Row],[Potential (PJ)]]/3.6</f>
        <v>0.16666666666666669</v>
      </c>
      <c r="F431">
        <v>4.0750000000000002</v>
      </c>
      <c r="G431">
        <f>Tableau1[[#This Row],[Cost (€/GJ)]]*3.6</f>
        <v>14.670000000000002</v>
      </c>
      <c r="H431">
        <v>2.9521711768407801</v>
      </c>
      <c r="I431">
        <f>Tableau1[[#This Row],[GHG (kgCO2eq/GJ)]]*3.6</f>
        <v>10.627816236626808</v>
      </c>
      <c r="J431" t="s">
        <v>104</v>
      </c>
      <c r="K431" t="s">
        <v>108</v>
      </c>
    </row>
    <row r="432" spans="1:11" hidden="1" x14ac:dyDescent="0.3">
      <c r="A432" t="s">
        <v>26</v>
      </c>
      <c r="B432" t="s">
        <v>55</v>
      </c>
      <c r="C432" t="s">
        <v>86</v>
      </c>
      <c r="D432">
        <v>0.4708</v>
      </c>
      <c r="E432">
        <f>Tableau1[[#This Row],[Potential (PJ)]]/3.6</f>
        <v>0.13077777777777777</v>
      </c>
      <c r="F432">
        <v>20.170999999999999</v>
      </c>
      <c r="G432">
        <f>Tableau1[[#This Row],[Cost (€/GJ)]]*3.6</f>
        <v>72.615600000000001</v>
      </c>
      <c r="H432">
        <v>16.3</v>
      </c>
      <c r="I432">
        <f>Tableau1[[#This Row],[GHG (kgCO2eq/GJ)]]*3.6</f>
        <v>58.680000000000007</v>
      </c>
      <c r="J432" t="s">
        <v>106</v>
      </c>
      <c r="K432" t="s">
        <v>109</v>
      </c>
    </row>
    <row r="433" spans="1:11" hidden="1" x14ac:dyDescent="0.3">
      <c r="A433" t="s">
        <v>26</v>
      </c>
      <c r="B433" t="s">
        <v>55</v>
      </c>
      <c r="C433" t="s">
        <v>87</v>
      </c>
      <c r="D433">
        <v>9.0221999999999998</v>
      </c>
      <c r="E433">
        <f>Tableau1[[#This Row],[Potential (PJ)]]/3.6</f>
        <v>2.5061666666666667</v>
      </c>
      <c r="F433">
        <v>27.187999999999999</v>
      </c>
      <c r="G433">
        <f>Tableau1[[#This Row],[Cost (€/GJ)]]*3.6</f>
        <v>97.876800000000003</v>
      </c>
      <c r="H433">
        <v>16.3</v>
      </c>
      <c r="I433">
        <f>Tableau1[[#This Row],[GHG (kgCO2eq/GJ)]]*3.6</f>
        <v>58.680000000000007</v>
      </c>
      <c r="J433" t="s">
        <v>106</v>
      </c>
      <c r="K433" t="s">
        <v>109</v>
      </c>
    </row>
    <row r="434" spans="1:11" hidden="1" x14ac:dyDescent="0.3">
      <c r="A434" t="s">
        <v>26</v>
      </c>
      <c r="B434" t="s">
        <v>55</v>
      </c>
      <c r="C434" t="s">
        <v>88</v>
      </c>
      <c r="D434">
        <v>5.4279999999999999</v>
      </c>
      <c r="E434">
        <f>Tableau1[[#This Row],[Potential (PJ)]]/3.6</f>
        <v>1.5077777777777777</v>
      </c>
      <c r="F434">
        <v>21.413999999999991</v>
      </c>
      <c r="G434">
        <f>Tableau1[[#This Row],[Cost (€/GJ)]]*3.6</f>
        <v>77.090399999999974</v>
      </c>
      <c r="H434">
        <v>16.3</v>
      </c>
      <c r="I434">
        <f>Tableau1[[#This Row],[GHG (kgCO2eq/GJ)]]*3.6</f>
        <v>58.680000000000007</v>
      </c>
      <c r="J434" t="s">
        <v>106</v>
      </c>
      <c r="K434" t="s">
        <v>109</v>
      </c>
    </row>
    <row r="435" spans="1:11" hidden="1" x14ac:dyDescent="0.3">
      <c r="A435" t="s">
        <v>26</v>
      </c>
      <c r="B435" t="s">
        <v>55</v>
      </c>
      <c r="C435" t="s">
        <v>92</v>
      </c>
      <c r="D435">
        <v>1.31185</v>
      </c>
      <c r="E435">
        <f>Tableau1[[#This Row],[Potential (PJ)]]/3.6</f>
        <v>0.36440277777777774</v>
      </c>
      <c r="F435">
        <v>27.187999999999999</v>
      </c>
      <c r="G435">
        <f>Tableau1[[#This Row],[Cost (€/GJ)]]*3.6</f>
        <v>97.876800000000003</v>
      </c>
      <c r="H435">
        <v>16.3</v>
      </c>
      <c r="I435">
        <f>Tableau1[[#This Row],[GHG (kgCO2eq/GJ)]]*3.6</f>
        <v>58.680000000000007</v>
      </c>
      <c r="J435" t="s">
        <v>106</v>
      </c>
      <c r="K435" t="s">
        <v>109</v>
      </c>
    </row>
    <row r="436" spans="1:11" hidden="1" x14ac:dyDescent="0.3">
      <c r="A436" t="s">
        <v>26</v>
      </c>
      <c r="B436" t="s">
        <v>56</v>
      </c>
      <c r="C436" t="s">
        <v>93</v>
      </c>
      <c r="D436">
        <v>130.29820000000001</v>
      </c>
      <c r="E436">
        <f>Tableau1[[#This Row],[Potential (PJ)]]/3.6</f>
        <v>36.193944444444448</v>
      </c>
      <c r="F436">
        <v>2.939759036144578</v>
      </c>
      <c r="G436">
        <f>Tableau1[[#This Row],[Cost (€/GJ)]]*3.6</f>
        <v>10.583132530120482</v>
      </c>
      <c r="H436">
        <v>23.4</v>
      </c>
      <c r="I436">
        <f>Tableau1[[#This Row],[GHG (kgCO2eq/GJ)]]*3.6</f>
        <v>84.24</v>
      </c>
      <c r="J436" t="s">
        <v>106</v>
      </c>
      <c r="K436" t="s">
        <v>109</v>
      </c>
    </row>
    <row r="437" spans="1:11" x14ac:dyDescent="0.3">
      <c r="A437" t="s">
        <v>26</v>
      </c>
      <c r="B437" t="s">
        <v>47</v>
      </c>
      <c r="C437" t="s">
        <v>68</v>
      </c>
      <c r="D437">
        <v>37</v>
      </c>
      <c r="E437">
        <f>Tableau1[[#This Row],[Potential (PJ)]]/3.6</f>
        <v>10.277777777777777</v>
      </c>
      <c r="F437">
        <v>6.8317324324324327</v>
      </c>
      <c r="G437">
        <f>Tableau1[[#This Row],[Cost (€/GJ)]]*3.6</f>
        <v>24.594236756756757</v>
      </c>
      <c r="H437">
        <v>20.7</v>
      </c>
      <c r="I437">
        <f>Tableau1[[#This Row],[GHG (kgCO2eq/GJ)]]*3.6</f>
        <v>74.52</v>
      </c>
      <c r="J437" t="s">
        <v>104</v>
      </c>
      <c r="K437" t="s">
        <v>109</v>
      </c>
    </row>
    <row r="438" spans="1:11" x14ac:dyDescent="0.3">
      <c r="A438" t="s">
        <v>26</v>
      </c>
      <c r="B438" t="s">
        <v>47</v>
      </c>
      <c r="C438" t="s">
        <v>69</v>
      </c>
      <c r="D438">
        <v>23.9</v>
      </c>
      <c r="E438">
        <f>Tableau1[[#This Row],[Potential (PJ)]]/3.6</f>
        <v>6.6388888888888884</v>
      </c>
      <c r="F438">
        <v>8.7741004184100415</v>
      </c>
      <c r="G438">
        <f>Tableau1[[#This Row],[Cost (€/GJ)]]*3.6</f>
        <v>31.586761506276151</v>
      </c>
      <c r="H438">
        <v>20.7</v>
      </c>
      <c r="I438">
        <f>Tableau1[[#This Row],[GHG (kgCO2eq/GJ)]]*3.6</f>
        <v>74.52</v>
      </c>
      <c r="J438" t="s">
        <v>104</v>
      </c>
      <c r="K438" t="s">
        <v>109</v>
      </c>
    </row>
    <row r="439" spans="1:11" x14ac:dyDescent="0.3">
      <c r="A439" t="s">
        <v>26</v>
      </c>
      <c r="B439" t="s">
        <v>48</v>
      </c>
      <c r="C439" t="s">
        <v>70</v>
      </c>
      <c r="D439">
        <v>16.5</v>
      </c>
      <c r="E439">
        <f>Tableau1[[#This Row],[Potential (PJ)]]/3.6</f>
        <v>4.583333333333333</v>
      </c>
      <c r="F439">
        <v>15.859557575757581</v>
      </c>
      <c r="G439">
        <f>Tableau1[[#This Row],[Cost (€/GJ)]]*3.6</f>
        <v>57.094407272727295</v>
      </c>
      <c r="H439">
        <v>0</v>
      </c>
      <c r="I439">
        <f>Tableau1[[#This Row],[GHG (kgCO2eq/GJ)]]*3.6</f>
        <v>0</v>
      </c>
      <c r="J439" t="s">
        <v>104</v>
      </c>
      <c r="K439" t="s">
        <v>109</v>
      </c>
    </row>
    <row r="440" spans="1:11" hidden="1" x14ac:dyDescent="0.3">
      <c r="A440" t="s">
        <v>26</v>
      </c>
      <c r="B440" t="s">
        <v>49</v>
      </c>
      <c r="C440" t="s">
        <v>71</v>
      </c>
      <c r="D440">
        <v>26.544129999999999</v>
      </c>
      <c r="E440">
        <f>Tableau1[[#This Row],[Potential (PJ)]]/3.6</f>
        <v>7.3733694444444442</v>
      </c>
      <c r="F440">
        <v>4.4857466592425519</v>
      </c>
      <c r="G440">
        <f>Tableau1[[#This Row],[Cost (€/GJ)]]*3.6</f>
        <v>16.148687973273187</v>
      </c>
      <c r="H440">
        <v>3.86607608129234</v>
      </c>
      <c r="I440">
        <f>Tableau1[[#This Row],[GHG (kgCO2eq/GJ)]]*3.6</f>
        <v>13.917873892652425</v>
      </c>
      <c r="J440" t="s">
        <v>104</v>
      </c>
      <c r="K440" t="s">
        <v>108</v>
      </c>
    </row>
    <row r="441" spans="1:11" hidden="1" x14ac:dyDescent="0.3">
      <c r="A441" t="s">
        <v>26</v>
      </c>
      <c r="B441" t="s">
        <v>49</v>
      </c>
      <c r="C441" t="s">
        <v>72</v>
      </c>
      <c r="D441">
        <v>4.5</v>
      </c>
      <c r="E441">
        <f>Tableau1[[#This Row],[Potential (PJ)]]/3.6</f>
        <v>1.25</v>
      </c>
      <c r="F441">
        <v>3.606933333333334</v>
      </c>
      <c r="G441">
        <f>Tableau1[[#This Row],[Cost (€/GJ)]]*3.6</f>
        <v>12.984960000000003</v>
      </c>
      <c r="H441">
        <v>3.86607608129234</v>
      </c>
      <c r="I441">
        <f>Tableau1[[#This Row],[GHG (kgCO2eq/GJ)]]*3.6</f>
        <v>13.917873892652425</v>
      </c>
      <c r="J441" t="s">
        <v>104</v>
      </c>
      <c r="K441" t="s">
        <v>108</v>
      </c>
    </row>
    <row r="442" spans="1:11" hidden="1" x14ac:dyDescent="0.3">
      <c r="A442" t="s">
        <v>26</v>
      </c>
      <c r="B442" t="s">
        <v>58</v>
      </c>
      <c r="C442" t="s">
        <v>95</v>
      </c>
      <c r="D442">
        <v>3.4129100000000001</v>
      </c>
      <c r="E442">
        <f>Tableau1[[#This Row],[Potential (PJ)]]/3.6</f>
        <v>0.9480305555555556</v>
      </c>
      <c r="F442">
        <v>2.496782218107128</v>
      </c>
      <c r="G442">
        <f>Tableau1[[#This Row],[Cost (€/GJ)]]*3.6</f>
        <v>8.9884159851856609</v>
      </c>
      <c r="H442">
        <v>2.9521711768407801</v>
      </c>
      <c r="I442">
        <f>Tableau1[[#This Row],[GHG (kgCO2eq/GJ)]]*3.6</f>
        <v>10.627816236626808</v>
      </c>
      <c r="J442" t="s">
        <v>104</v>
      </c>
      <c r="K442" t="s">
        <v>108</v>
      </c>
    </row>
    <row r="443" spans="1:11" hidden="1" x14ac:dyDescent="0.3">
      <c r="A443" t="s">
        <v>26</v>
      </c>
      <c r="B443" t="s">
        <v>50</v>
      </c>
      <c r="C443" t="s">
        <v>73</v>
      </c>
      <c r="D443">
        <v>15.3</v>
      </c>
      <c r="E443">
        <f>Tableau1[[#This Row],[Potential (PJ)]]/3.6</f>
        <v>4.25</v>
      </c>
      <c r="F443">
        <v>5.8949607843137262</v>
      </c>
      <c r="G443">
        <f>Tableau1[[#This Row],[Cost (€/GJ)]]*3.6</f>
        <v>21.221858823529416</v>
      </c>
      <c r="H443">
        <v>20.723404255319149</v>
      </c>
      <c r="I443">
        <f>Tableau1[[#This Row],[GHG (kgCO2eq/GJ)]]*3.6</f>
        <v>74.604255319148933</v>
      </c>
      <c r="J443" t="s">
        <v>105</v>
      </c>
      <c r="K443" t="s">
        <v>108</v>
      </c>
    </row>
    <row r="444" spans="1:11" hidden="1" x14ac:dyDescent="0.3">
      <c r="A444" t="s">
        <v>26</v>
      </c>
      <c r="B444" t="s">
        <v>50</v>
      </c>
      <c r="C444" t="s">
        <v>74</v>
      </c>
      <c r="D444">
        <v>39.700000000000003</v>
      </c>
      <c r="E444">
        <f>Tableau1[[#This Row],[Potential (PJ)]]/3.6</f>
        <v>11.027777777777779</v>
      </c>
      <c r="F444">
        <v>4.7059949622166242</v>
      </c>
      <c r="G444">
        <f>Tableau1[[#This Row],[Cost (€/GJ)]]*3.6</f>
        <v>16.941581863979849</v>
      </c>
      <c r="H444">
        <v>2.0635593220338988</v>
      </c>
      <c r="I444">
        <f>Tableau1[[#This Row],[GHG (kgCO2eq/GJ)]]*3.6</f>
        <v>7.4288135593220357</v>
      </c>
      <c r="J444" t="s">
        <v>105</v>
      </c>
      <c r="K444" t="s">
        <v>108</v>
      </c>
    </row>
    <row r="445" spans="1:11" hidden="1" x14ac:dyDescent="0.3">
      <c r="A445" t="s">
        <v>26</v>
      </c>
      <c r="B445" t="s">
        <v>59</v>
      </c>
      <c r="C445" t="s">
        <v>96</v>
      </c>
      <c r="D445">
        <v>1.0176000000000001</v>
      </c>
      <c r="E445">
        <f>Tableau1[[#This Row],[Potential (PJ)]]/3.6</f>
        <v>0.28266666666666668</v>
      </c>
      <c r="F445">
        <v>28.385000000000002</v>
      </c>
      <c r="G445">
        <f>Tableau1[[#This Row],[Cost (€/GJ)]]*3.6</f>
        <v>102.18600000000001</v>
      </c>
      <c r="H445">
        <v>17.7</v>
      </c>
      <c r="I445">
        <f>Tableau1[[#This Row],[GHG (kgCO2eq/GJ)]]*3.6</f>
        <v>63.72</v>
      </c>
      <c r="J445" t="s">
        <v>107</v>
      </c>
      <c r="K445" t="s">
        <v>109</v>
      </c>
    </row>
    <row r="446" spans="1:11" hidden="1" x14ac:dyDescent="0.3">
      <c r="A446" t="s">
        <v>26</v>
      </c>
      <c r="B446" t="s">
        <v>59</v>
      </c>
      <c r="C446" t="s">
        <v>97</v>
      </c>
      <c r="D446">
        <v>1.5349999999999999</v>
      </c>
      <c r="E446">
        <f>Tableau1[[#This Row],[Potential (PJ)]]/3.6</f>
        <v>0.42638888888888887</v>
      </c>
      <c r="F446">
        <v>13.94465545306565</v>
      </c>
      <c r="G446">
        <f>Tableau1[[#This Row],[Cost (€/GJ)]]*3.6</f>
        <v>50.200759631036341</v>
      </c>
      <c r="H446">
        <v>17.7</v>
      </c>
      <c r="I446">
        <f>Tableau1[[#This Row],[GHG (kgCO2eq/GJ)]]*3.6</f>
        <v>63.72</v>
      </c>
      <c r="J446" t="s">
        <v>107</v>
      </c>
      <c r="K446" t="s">
        <v>109</v>
      </c>
    </row>
    <row r="447" spans="1:11" hidden="1" x14ac:dyDescent="0.3">
      <c r="A447" t="s">
        <v>26</v>
      </c>
      <c r="B447" t="s">
        <v>51</v>
      </c>
      <c r="C447" t="s">
        <v>75</v>
      </c>
      <c r="D447">
        <v>25.488479999999999</v>
      </c>
      <c r="E447">
        <f>Tableau1[[#This Row],[Potential (PJ)]]/3.6</f>
        <v>7.0801333333333325</v>
      </c>
      <c r="F447">
        <v>5.9742422014761098E-2</v>
      </c>
      <c r="G447">
        <f>Tableau1[[#This Row],[Cost (€/GJ)]]*3.6</f>
        <v>0.21507271925313995</v>
      </c>
      <c r="H447">
        <v>11.74</v>
      </c>
      <c r="I447">
        <f>Tableau1[[#This Row],[GHG (kgCO2eq/GJ)]]*3.6</f>
        <v>42.264000000000003</v>
      </c>
      <c r="J447" t="s">
        <v>104</v>
      </c>
      <c r="K447" t="s">
        <v>108</v>
      </c>
    </row>
    <row r="448" spans="1:11" hidden="1" x14ac:dyDescent="0.3">
      <c r="A448" t="s">
        <v>26</v>
      </c>
      <c r="B448" t="s">
        <v>60</v>
      </c>
      <c r="C448" t="s">
        <v>98</v>
      </c>
      <c r="D448">
        <v>0.11586</v>
      </c>
      <c r="E448">
        <f>Tableau1[[#This Row],[Potential (PJ)]]/3.6</f>
        <v>3.2183333333333335E-2</v>
      </c>
      <c r="F448">
        <v>10.79484425349087</v>
      </c>
      <c r="G448">
        <f>Tableau1[[#This Row],[Cost (€/GJ)]]*3.6</f>
        <v>38.861439312567136</v>
      </c>
      <c r="H448">
        <v>39</v>
      </c>
      <c r="I448">
        <f>Tableau1[[#This Row],[GHG (kgCO2eq/GJ)]]*3.6</f>
        <v>140.4</v>
      </c>
      <c r="J448" t="s">
        <v>107</v>
      </c>
      <c r="K448" t="s">
        <v>109</v>
      </c>
    </row>
    <row r="449" spans="1:11" hidden="1" x14ac:dyDescent="0.3">
      <c r="A449" t="s">
        <v>26</v>
      </c>
      <c r="B449" t="s">
        <v>52</v>
      </c>
      <c r="C449" t="s">
        <v>76</v>
      </c>
      <c r="D449">
        <v>0.191</v>
      </c>
      <c r="E449">
        <f>Tableau1[[#This Row],[Potential (PJ)]]/3.6</f>
        <v>5.3055555555555557E-2</v>
      </c>
      <c r="F449">
        <v>6.1837425000000001</v>
      </c>
      <c r="G449">
        <f>Tableau1[[#This Row],[Cost (€/GJ)]]*3.6</f>
        <v>22.261473000000002</v>
      </c>
      <c r="H449">
        <v>12.68872359754714</v>
      </c>
      <c r="I449">
        <f>Tableau1[[#This Row],[GHG (kgCO2eq/GJ)]]*3.6</f>
        <v>45.679404951169708</v>
      </c>
      <c r="J449" t="s">
        <v>105</v>
      </c>
      <c r="K449" t="s">
        <v>108</v>
      </c>
    </row>
    <row r="450" spans="1:11" hidden="1" x14ac:dyDescent="0.3">
      <c r="A450" t="s">
        <v>26</v>
      </c>
      <c r="B450" t="s">
        <v>53</v>
      </c>
      <c r="C450" t="s">
        <v>77</v>
      </c>
      <c r="D450">
        <v>14.51877</v>
      </c>
      <c r="E450">
        <f>Tableau1[[#This Row],[Potential (PJ)]]/3.6</f>
        <v>4.0329916666666668</v>
      </c>
      <c r="F450">
        <v>3.6085149912836969</v>
      </c>
      <c r="G450">
        <f>Tableau1[[#This Row],[Cost (€/GJ)]]*3.6</f>
        <v>12.990653968621309</v>
      </c>
      <c r="H450">
        <v>3.86607608129234</v>
      </c>
      <c r="I450">
        <f>Tableau1[[#This Row],[GHG (kgCO2eq/GJ)]]*3.6</f>
        <v>13.917873892652425</v>
      </c>
      <c r="J450" t="s">
        <v>104</v>
      </c>
      <c r="K450" t="s">
        <v>108</v>
      </c>
    </row>
    <row r="451" spans="1:11" hidden="1" x14ac:dyDescent="0.3">
      <c r="A451" t="s">
        <v>26</v>
      </c>
      <c r="B451" t="s">
        <v>61</v>
      </c>
      <c r="C451" t="s">
        <v>99</v>
      </c>
      <c r="D451">
        <v>2.6</v>
      </c>
      <c r="E451">
        <f>Tableau1[[#This Row],[Potential (PJ)]]/3.6</f>
        <v>0.72222222222222221</v>
      </c>
      <c r="F451">
        <v>2.230576923076923</v>
      </c>
      <c r="G451">
        <f>Tableau1[[#This Row],[Cost (€/GJ)]]*3.6</f>
        <v>8.0300769230769227</v>
      </c>
      <c r="H451">
        <v>2.9245635910224439</v>
      </c>
      <c r="I451">
        <f>Tableau1[[#This Row],[GHG (kgCO2eq/GJ)]]*3.6</f>
        <v>10.528428927680798</v>
      </c>
      <c r="J451" t="s">
        <v>104</v>
      </c>
      <c r="K451" t="s">
        <v>108</v>
      </c>
    </row>
    <row r="452" spans="1:11" hidden="1" x14ac:dyDescent="0.3">
      <c r="A452" t="s">
        <v>26</v>
      </c>
      <c r="B452" t="s">
        <v>54</v>
      </c>
      <c r="C452" t="s">
        <v>78</v>
      </c>
      <c r="D452">
        <v>85.7</v>
      </c>
      <c r="E452">
        <f>Tableau1[[#This Row],[Potential (PJ)]]/3.6</f>
        <v>23.805555555555557</v>
      </c>
      <c r="F452">
        <v>7.39855659276546</v>
      </c>
      <c r="G452">
        <f>Tableau1[[#This Row],[Cost (€/GJ)]]*3.6</f>
        <v>26.634803733955657</v>
      </c>
      <c r="H452">
        <v>3.86607608129234</v>
      </c>
      <c r="I452">
        <f>Tableau1[[#This Row],[GHG (kgCO2eq/GJ)]]*3.6</f>
        <v>13.917873892652425</v>
      </c>
      <c r="J452" t="s">
        <v>104</v>
      </c>
      <c r="K452" t="s">
        <v>108</v>
      </c>
    </row>
    <row r="453" spans="1:11" hidden="1" x14ac:dyDescent="0.3">
      <c r="A453" t="s">
        <v>27</v>
      </c>
      <c r="B453" t="s">
        <v>46</v>
      </c>
      <c r="C453" t="s">
        <v>64</v>
      </c>
      <c r="D453">
        <v>4.1200000000000004E-3</v>
      </c>
      <c r="E453">
        <f>Tableau1[[#This Row],[Potential (PJ)]]/3.6</f>
        <v>1.1444444444444445E-3</v>
      </c>
      <c r="F453">
        <v>0</v>
      </c>
      <c r="G453">
        <f>Tableau1[[#This Row],[Cost (€/GJ)]]*3.6</f>
        <v>0</v>
      </c>
      <c r="H453">
        <v>2.9521711768407801</v>
      </c>
      <c r="I453">
        <f>Tableau1[[#This Row],[GHG (kgCO2eq/GJ)]]*3.6</f>
        <v>10.627816236626808</v>
      </c>
      <c r="J453" t="s">
        <v>104</v>
      </c>
      <c r="K453" t="s">
        <v>108</v>
      </c>
    </row>
    <row r="454" spans="1:11" hidden="1" x14ac:dyDescent="0.3">
      <c r="A454" t="s">
        <v>27</v>
      </c>
      <c r="B454" t="s">
        <v>46</v>
      </c>
      <c r="C454" t="s">
        <v>79</v>
      </c>
      <c r="D454">
        <v>11.1</v>
      </c>
      <c r="E454">
        <f>Tableau1[[#This Row],[Potential (PJ)]]/3.6</f>
        <v>3.083333333333333</v>
      </c>
      <c r="F454">
        <v>0</v>
      </c>
      <c r="G454">
        <f>Tableau1[[#This Row],[Cost (€/GJ)]]*3.6</f>
        <v>0</v>
      </c>
      <c r="H454">
        <v>6.8428961748633883</v>
      </c>
      <c r="I454">
        <f>Tableau1[[#This Row],[GHG (kgCO2eq/GJ)]]*3.6</f>
        <v>24.634426229508197</v>
      </c>
      <c r="J454" t="s">
        <v>104</v>
      </c>
      <c r="K454" t="s">
        <v>108</v>
      </c>
    </row>
    <row r="455" spans="1:11" hidden="1" x14ac:dyDescent="0.3">
      <c r="A455" t="s">
        <v>27</v>
      </c>
      <c r="B455" t="s">
        <v>46</v>
      </c>
      <c r="C455" t="s">
        <v>80</v>
      </c>
      <c r="D455">
        <v>1.15E-2</v>
      </c>
      <c r="E455">
        <f>Tableau1[[#This Row],[Potential (PJ)]]/3.6</f>
        <v>3.1944444444444442E-3</v>
      </c>
      <c r="F455">
        <v>0.25084288604180721</v>
      </c>
      <c r="G455">
        <f>Tableau1[[#This Row],[Cost (€/GJ)]]*3.6</f>
        <v>0.90303438975050598</v>
      </c>
      <c r="H455">
        <v>28.139870918023309</v>
      </c>
      <c r="I455">
        <f>Tableau1[[#This Row],[GHG (kgCO2eq/GJ)]]*3.6</f>
        <v>101.30353530488391</v>
      </c>
      <c r="J455" t="s">
        <v>105</v>
      </c>
      <c r="K455" t="s">
        <v>108</v>
      </c>
    </row>
    <row r="456" spans="1:11" hidden="1" x14ac:dyDescent="0.3">
      <c r="A456" t="s">
        <v>27</v>
      </c>
      <c r="B456" t="s">
        <v>46</v>
      </c>
      <c r="C456" t="s">
        <v>81</v>
      </c>
      <c r="D456">
        <v>1E-3</v>
      </c>
      <c r="E456">
        <f>Tableau1[[#This Row],[Potential (PJ)]]/3.6</f>
        <v>2.7777777777777778E-4</v>
      </c>
      <c r="F456">
        <v>1.663924794359577</v>
      </c>
      <c r="G456">
        <f>Tableau1[[#This Row],[Cost (€/GJ)]]*3.6</f>
        <v>5.9901292596944771</v>
      </c>
      <c r="H456">
        <v>8.9647473560517046</v>
      </c>
      <c r="I456">
        <f>Tableau1[[#This Row],[GHG (kgCO2eq/GJ)]]*3.6</f>
        <v>32.273090481786134</v>
      </c>
      <c r="J456" t="s">
        <v>105</v>
      </c>
      <c r="K456" t="s">
        <v>108</v>
      </c>
    </row>
    <row r="457" spans="1:11" hidden="1" x14ac:dyDescent="0.3">
      <c r="A457" t="s">
        <v>27</v>
      </c>
      <c r="B457" t="s">
        <v>46</v>
      </c>
      <c r="C457" t="s">
        <v>66</v>
      </c>
      <c r="D457">
        <v>0.1</v>
      </c>
      <c r="E457">
        <f>Tableau1[[#This Row],[Potential (PJ)]]/3.6</f>
        <v>2.777777777777778E-2</v>
      </c>
      <c r="F457">
        <v>2.54</v>
      </c>
      <c r="G457">
        <f>Tableau1[[#This Row],[Cost (€/GJ)]]*3.6</f>
        <v>9.1440000000000001</v>
      </c>
      <c r="H457">
        <v>6.8428961748633883</v>
      </c>
      <c r="I457">
        <f>Tableau1[[#This Row],[GHG (kgCO2eq/GJ)]]*3.6</f>
        <v>24.634426229508197</v>
      </c>
      <c r="J457" t="s">
        <v>104</v>
      </c>
      <c r="K457" t="s">
        <v>108</v>
      </c>
    </row>
    <row r="458" spans="1:11" hidden="1" x14ac:dyDescent="0.3">
      <c r="A458" t="s">
        <v>27</v>
      </c>
      <c r="B458" t="s">
        <v>46</v>
      </c>
      <c r="C458" t="s">
        <v>82</v>
      </c>
      <c r="D458">
        <v>0.1</v>
      </c>
      <c r="E458">
        <f>Tableau1[[#This Row],[Potential (PJ)]]/3.6</f>
        <v>2.777777777777778E-2</v>
      </c>
      <c r="F458">
        <v>1.677</v>
      </c>
      <c r="G458">
        <f>Tableau1[[#This Row],[Cost (€/GJ)]]*3.6</f>
        <v>6.0372000000000003</v>
      </c>
      <c r="H458">
        <v>6.8428961748633883</v>
      </c>
      <c r="I458">
        <f>Tableau1[[#This Row],[GHG (kgCO2eq/GJ)]]*3.6</f>
        <v>24.634426229508197</v>
      </c>
      <c r="J458" t="s">
        <v>104</v>
      </c>
      <c r="K458" t="s">
        <v>108</v>
      </c>
    </row>
    <row r="459" spans="1:11" hidden="1" x14ac:dyDescent="0.3">
      <c r="A459" t="s">
        <v>27</v>
      </c>
      <c r="B459" t="s">
        <v>46</v>
      </c>
      <c r="C459" t="s">
        <v>84</v>
      </c>
      <c r="D459">
        <v>0.3</v>
      </c>
      <c r="E459">
        <f>Tableau1[[#This Row],[Potential (PJ)]]/3.6</f>
        <v>8.3333333333333329E-2</v>
      </c>
      <c r="F459">
        <v>1.4650000000000001</v>
      </c>
      <c r="G459">
        <f>Tableau1[[#This Row],[Cost (€/GJ)]]*3.6</f>
        <v>5.274</v>
      </c>
      <c r="H459">
        <v>28.139870918023309</v>
      </c>
      <c r="I459">
        <f>Tableau1[[#This Row],[GHG (kgCO2eq/GJ)]]*3.6</f>
        <v>101.30353530488391</v>
      </c>
      <c r="J459" t="s">
        <v>105</v>
      </c>
      <c r="K459" t="s">
        <v>108</v>
      </c>
    </row>
    <row r="460" spans="1:11" hidden="1" x14ac:dyDescent="0.3">
      <c r="A460" t="s">
        <v>27</v>
      </c>
      <c r="B460" t="s">
        <v>55</v>
      </c>
      <c r="C460" t="s">
        <v>86</v>
      </c>
      <c r="D460">
        <v>3.3428</v>
      </c>
      <c r="E460">
        <f>Tableau1[[#This Row],[Potential (PJ)]]/3.6</f>
        <v>0.92855555555555558</v>
      </c>
      <c r="F460">
        <v>15.141</v>
      </c>
      <c r="G460">
        <f>Tableau1[[#This Row],[Cost (€/GJ)]]*3.6</f>
        <v>54.507600000000004</v>
      </c>
      <c r="H460">
        <v>6.5</v>
      </c>
      <c r="I460">
        <f>Tableau1[[#This Row],[GHG (kgCO2eq/GJ)]]*3.6</f>
        <v>23.400000000000002</v>
      </c>
      <c r="J460" t="s">
        <v>106</v>
      </c>
      <c r="K460" t="s">
        <v>109</v>
      </c>
    </row>
    <row r="461" spans="1:11" hidden="1" x14ac:dyDescent="0.3">
      <c r="A461" t="s">
        <v>27</v>
      </c>
      <c r="B461" t="s">
        <v>55</v>
      </c>
      <c r="C461" t="s">
        <v>88</v>
      </c>
      <c r="D461">
        <v>1.4414</v>
      </c>
      <c r="E461">
        <f>Tableau1[[#This Row],[Potential (PJ)]]/3.6</f>
        <v>0.40038888888888891</v>
      </c>
      <c r="F461">
        <v>19.756</v>
      </c>
      <c r="G461">
        <f>Tableau1[[#This Row],[Cost (€/GJ)]]*3.6</f>
        <v>71.121600000000001</v>
      </c>
      <c r="H461">
        <v>6.5</v>
      </c>
      <c r="I461">
        <f>Tableau1[[#This Row],[GHG (kgCO2eq/GJ)]]*3.6</f>
        <v>23.400000000000002</v>
      </c>
      <c r="J461" t="s">
        <v>106</v>
      </c>
      <c r="K461" t="s">
        <v>109</v>
      </c>
    </row>
    <row r="462" spans="1:11" hidden="1" x14ac:dyDescent="0.3">
      <c r="A462" t="s">
        <v>27</v>
      </c>
      <c r="B462" t="s">
        <v>55</v>
      </c>
      <c r="C462" t="s">
        <v>89</v>
      </c>
      <c r="D462">
        <v>2.41E-2</v>
      </c>
      <c r="E462">
        <f>Tableau1[[#This Row],[Potential (PJ)]]/3.6</f>
        <v>6.6944444444444438E-3</v>
      </c>
      <c r="F462">
        <v>0</v>
      </c>
      <c r="G462">
        <f>Tableau1[[#This Row],[Cost (€/GJ)]]*3.6</f>
        <v>0</v>
      </c>
      <c r="H462">
        <v>6.5</v>
      </c>
      <c r="I462">
        <f>Tableau1[[#This Row],[GHG (kgCO2eq/GJ)]]*3.6</f>
        <v>23.400000000000002</v>
      </c>
      <c r="J462" t="s">
        <v>106</v>
      </c>
      <c r="K462" t="s">
        <v>109</v>
      </c>
    </row>
    <row r="463" spans="1:11" hidden="1" x14ac:dyDescent="0.3">
      <c r="A463" t="s">
        <v>27</v>
      </c>
      <c r="B463" t="s">
        <v>55</v>
      </c>
      <c r="C463" t="s">
        <v>90</v>
      </c>
      <c r="D463">
        <v>4.9474999999999998</v>
      </c>
      <c r="E463">
        <f>Tableau1[[#This Row],[Potential (PJ)]]/3.6</f>
        <v>1.3743055555555554</v>
      </c>
      <c r="F463">
        <v>12.864000000000001</v>
      </c>
      <c r="G463">
        <f>Tableau1[[#This Row],[Cost (€/GJ)]]*3.6</f>
        <v>46.310400000000001</v>
      </c>
      <c r="H463">
        <v>6.5</v>
      </c>
      <c r="I463">
        <f>Tableau1[[#This Row],[GHG (kgCO2eq/GJ)]]*3.6</f>
        <v>23.400000000000002</v>
      </c>
      <c r="J463" t="s">
        <v>106</v>
      </c>
      <c r="K463" t="s">
        <v>109</v>
      </c>
    </row>
    <row r="464" spans="1:11" hidden="1" x14ac:dyDescent="0.3">
      <c r="A464" t="s">
        <v>27</v>
      </c>
      <c r="B464" t="s">
        <v>55</v>
      </c>
      <c r="C464" t="s">
        <v>91</v>
      </c>
      <c r="D464">
        <v>1.2281</v>
      </c>
      <c r="E464">
        <f>Tableau1[[#This Row],[Potential (PJ)]]/3.6</f>
        <v>0.34113888888888888</v>
      </c>
      <c r="F464">
        <v>12.228</v>
      </c>
      <c r="G464">
        <f>Tableau1[[#This Row],[Cost (€/GJ)]]*3.6</f>
        <v>44.020800000000001</v>
      </c>
      <c r="H464">
        <v>6.5</v>
      </c>
      <c r="I464">
        <f>Tableau1[[#This Row],[GHG (kgCO2eq/GJ)]]*3.6</f>
        <v>23.400000000000002</v>
      </c>
      <c r="J464" t="s">
        <v>106</v>
      </c>
      <c r="K464" t="s">
        <v>109</v>
      </c>
    </row>
    <row r="465" spans="1:11" hidden="1" x14ac:dyDescent="0.3">
      <c r="A465" t="s">
        <v>27</v>
      </c>
      <c r="B465" t="s">
        <v>55</v>
      </c>
      <c r="C465" t="s">
        <v>92</v>
      </c>
      <c r="D465">
        <v>1.4375199999999999</v>
      </c>
      <c r="E465">
        <f>Tableau1[[#This Row],[Potential (PJ)]]/3.6</f>
        <v>0.39931111111111106</v>
      </c>
      <c r="F465">
        <v>16.170000000000002</v>
      </c>
      <c r="G465">
        <f>Tableau1[[#This Row],[Cost (€/GJ)]]*3.6</f>
        <v>58.21200000000001</v>
      </c>
      <c r="H465">
        <v>6.5</v>
      </c>
      <c r="I465">
        <f>Tableau1[[#This Row],[GHG (kgCO2eq/GJ)]]*3.6</f>
        <v>23.400000000000002</v>
      </c>
      <c r="J465" t="s">
        <v>106</v>
      </c>
      <c r="K465" t="s">
        <v>109</v>
      </c>
    </row>
    <row r="466" spans="1:11" hidden="1" x14ac:dyDescent="0.3">
      <c r="A466" t="s">
        <v>27</v>
      </c>
      <c r="B466" t="s">
        <v>56</v>
      </c>
      <c r="C466" t="s">
        <v>93</v>
      </c>
      <c r="D466">
        <v>41.634799999999998</v>
      </c>
      <c r="E466">
        <f>Tableau1[[#This Row],[Potential (PJ)]]/3.6</f>
        <v>11.565222222222221</v>
      </c>
      <c r="F466">
        <v>2.9493975903614462</v>
      </c>
      <c r="G466">
        <f>Tableau1[[#This Row],[Cost (€/GJ)]]*3.6</f>
        <v>10.617831325301207</v>
      </c>
      <c r="H466">
        <v>18.3</v>
      </c>
      <c r="I466">
        <f>Tableau1[[#This Row],[GHG (kgCO2eq/GJ)]]*3.6</f>
        <v>65.88000000000001</v>
      </c>
      <c r="J466" t="s">
        <v>106</v>
      </c>
      <c r="K466" t="s">
        <v>109</v>
      </c>
    </row>
    <row r="467" spans="1:11" x14ac:dyDescent="0.3">
      <c r="A467" t="s">
        <v>27</v>
      </c>
      <c r="B467" t="s">
        <v>47</v>
      </c>
      <c r="C467" t="s">
        <v>101</v>
      </c>
      <c r="D467">
        <v>6.8</v>
      </c>
      <c r="E467">
        <f>Tableau1[[#This Row],[Potential (PJ)]]/3.6</f>
        <v>1.8888888888888888</v>
      </c>
      <c r="F467">
        <v>2.6869999999999998</v>
      </c>
      <c r="G467">
        <f>Tableau1[[#This Row],[Cost (€/GJ)]]*3.6</f>
        <v>9.6731999999999996</v>
      </c>
      <c r="H467">
        <v>44</v>
      </c>
      <c r="I467">
        <f>Tableau1[[#This Row],[GHG (kgCO2eq/GJ)]]*3.6</f>
        <v>158.4</v>
      </c>
      <c r="J467" t="s">
        <v>104</v>
      </c>
      <c r="K467" t="s">
        <v>109</v>
      </c>
    </row>
    <row r="468" spans="1:11" x14ac:dyDescent="0.3">
      <c r="A468" t="s">
        <v>27</v>
      </c>
      <c r="B468" t="s">
        <v>57</v>
      </c>
      <c r="C468" t="s">
        <v>94</v>
      </c>
      <c r="D468">
        <v>5.3</v>
      </c>
      <c r="E468">
        <f>Tableau1[[#This Row],[Potential (PJ)]]/3.6</f>
        <v>1.4722222222222221</v>
      </c>
      <c r="F468">
        <v>7.9619999999999997</v>
      </c>
      <c r="G468">
        <f>Tableau1[[#This Row],[Cost (€/GJ)]]*3.6</f>
        <v>28.6632</v>
      </c>
      <c r="H468">
        <v>19.899999999999999</v>
      </c>
      <c r="I468">
        <f>Tableau1[[#This Row],[GHG (kgCO2eq/GJ)]]*3.6</f>
        <v>71.64</v>
      </c>
      <c r="J468" t="s">
        <v>104</v>
      </c>
      <c r="K468" t="s">
        <v>109</v>
      </c>
    </row>
    <row r="469" spans="1:11" hidden="1" x14ac:dyDescent="0.3">
      <c r="A469" t="s">
        <v>27</v>
      </c>
      <c r="B469" t="s">
        <v>49</v>
      </c>
      <c r="C469" t="s">
        <v>71</v>
      </c>
      <c r="D469">
        <v>6.1668799999999999</v>
      </c>
      <c r="E469">
        <f>Tableau1[[#This Row],[Potential (PJ)]]/3.6</f>
        <v>1.7130222222222222</v>
      </c>
      <c r="F469">
        <v>0</v>
      </c>
      <c r="G469">
        <f>Tableau1[[#This Row],[Cost (€/GJ)]]*3.6</f>
        <v>0</v>
      </c>
      <c r="H469">
        <v>3.86607608129234</v>
      </c>
      <c r="I469">
        <f>Tableau1[[#This Row],[GHG (kgCO2eq/GJ)]]*3.6</f>
        <v>13.917873892652425</v>
      </c>
      <c r="J469" t="s">
        <v>104</v>
      </c>
      <c r="K469" t="s">
        <v>108</v>
      </c>
    </row>
    <row r="470" spans="1:11" hidden="1" x14ac:dyDescent="0.3">
      <c r="A470" t="s">
        <v>27</v>
      </c>
      <c r="B470" t="s">
        <v>49</v>
      </c>
      <c r="C470" t="s">
        <v>72</v>
      </c>
      <c r="D470">
        <v>0.9</v>
      </c>
      <c r="E470">
        <f>Tableau1[[#This Row],[Potential (PJ)]]/3.6</f>
        <v>0.25</v>
      </c>
      <c r="F470">
        <v>0</v>
      </c>
      <c r="G470">
        <f>Tableau1[[#This Row],[Cost (€/GJ)]]*3.6</f>
        <v>0</v>
      </c>
      <c r="H470">
        <v>3.86607608129234</v>
      </c>
      <c r="I470">
        <f>Tableau1[[#This Row],[GHG (kgCO2eq/GJ)]]*3.6</f>
        <v>13.917873892652425</v>
      </c>
      <c r="J470" t="s">
        <v>104</v>
      </c>
      <c r="K470" t="s">
        <v>108</v>
      </c>
    </row>
    <row r="471" spans="1:11" hidden="1" x14ac:dyDescent="0.3">
      <c r="A471" t="s">
        <v>27</v>
      </c>
      <c r="B471" t="s">
        <v>58</v>
      </c>
      <c r="C471" t="s">
        <v>95</v>
      </c>
      <c r="D471">
        <v>0.97216000000000002</v>
      </c>
      <c r="E471">
        <f>Tableau1[[#This Row],[Potential (PJ)]]/3.6</f>
        <v>0.27004444444444442</v>
      </c>
      <c r="F471">
        <v>2.5590000000000002</v>
      </c>
      <c r="G471">
        <f>Tableau1[[#This Row],[Cost (€/GJ)]]*3.6</f>
        <v>9.2124000000000006</v>
      </c>
      <c r="H471">
        <v>2.9521711768407801</v>
      </c>
      <c r="I471">
        <f>Tableau1[[#This Row],[GHG (kgCO2eq/GJ)]]*3.6</f>
        <v>10.627816236626808</v>
      </c>
      <c r="J471" t="s">
        <v>104</v>
      </c>
      <c r="K471" t="s">
        <v>108</v>
      </c>
    </row>
    <row r="472" spans="1:11" hidden="1" x14ac:dyDescent="0.3">
      <c r="A472" t="s">
        <v>27</v>
      </c>
      <c r="B472" t="s">
        <v>50</v>
      </c>
      <c r="C472" t="s">
        <v>73</v>
      </c>
      <c r="D472">
        <v>1.8</v>
      </c>
      <c r="E472">
        <f>Tableau1[[#This Row],[Potential (PJ)]]/3.6</f>
        <v>0.5</v>
      </c>
      <c r="F472">
        <v>4.976</v>
      </c>
      <c r="G472">
        <f>Tableau1[[#This Row],[Cost (€/GJ)]]*3.6</f>
        <v>17.913599999999999</v>
      </c>
      <c r="H472">
        <v>20.723404255319149</v>
      </c>
      <c r="I472">
        <f>Tableau1[[#This Row],[GHG (kgCO2eq/GJ)]]*3.6</f>
        <v>74.604255319148933</v>
      </c>
      <c r="J472" t="s">
        <v>105</v>
      </c>
      <c r="K472" t="s">
        <v>108</v>
      </c>
    </row>
    <row r="473" spans="1:11" hidden="1" x14ac:dyDescent="0.3">
      <c r="A473" t="s">
        <v>27</v>
      </c>
      <c r="B473" t="s">
        <v>50</v>
      </c>
      <c r="C473" t="s">
        <v>74</v>
      </c>
      <c r="D473">
        <v>13.5</v>
      </c>
      <c r="E473">
        <f>Tableau1[[#This Row],[Potential (PJ)]]/3.6</f>
        <v>3.75</v>
      </c>
      <c r="F473">
        <v>3.8050000000000002</v>
      </c>
      <c r="G473">
        <f>Tableau1[[#This Row],[Cost (€/GJ)]]*3.6</f>
        <v>13.698</v>
      </c>
      <c r="H473">
        <v>2.0635593220338988</v>
      </c>
      <c r="I473">
        <f>Tableau1[[#This Row],[GHG (kgCO2eq/GJ)]]*3.6</f>
        <v>7.4288135593220357</v>
      </c>
      <c r="J473" t="s">
        <v>105</v>
      </c>
      <c r="K473" t="s">
        <v>108</v>
      </c>
    </row>
    <row r="474" spans="1:11" hidden="1" x14ac:dyDescent="0.3">
      <c r="A474" t="s">
        <v>27</v>
      </c>
      <c r="B474" t="s">
        <v>51</v>
      </c>
      <c r="C474" t="s">
        <v>75</v>
      </c>
      <c r="D474">
        <v>1.1162300000000001</v>
      </c>
      <c r="E474">
        <f>Tableau1[[#This Row],[Potential (PJ)]]/3.6</f>
        <v>0.31006388888888892</v>
      </c>
      <c r="F474">
        <v>2.5138977754292899E-2</v>
      </c>
      <c r="G474">
        <f>Tableau1[[#This Row],[Cost (€/GJ)]]*3.6</f>
        <v>9.0500319915454444E-2</v>
      </c>
      <c r="H474">
        <v>11.74</v>
      </c>
      <c r="I474">
        <f>Tableau1[[#This Row],[GHG (kgCO2eq/GJ)]]*3.6</f>
        <v>42.264000000000003</v>
      </c>
      <c r="J474" t="s">
        <v>104</v>
      </c>
      <c r="K474" t="s">
        <v>108</v>
      </c>
    </row>
    <row r="475" spans="1:11" hidden="1" x14ac:dyDescent="0.3">
      <c r="A475" t="s">
        <v>27</v>
      </c>
      <c r="B475" t="s">
        <v>60</v>
      </c>
      <c r="C475" t="s">
        <v>98</v>
      </c>
      <c r="D475">
        <v>0.66973000000000005</v>
      </c>
      <c r="E475">
        <f>Tableau1[[#This Row],[Potential (PJ)]]/3.6</f>
        <v>0.18603611111111112</v>
      </c>
      <c r="F475">
        <v>16.809881847475829</v>
      </c>
      <c r="G475">
        <f>Tableau1[[#This Row],[Cost (€/GJ)]]*3.6</f>
        <v>60.515574650912988</v>
      </c>
      <c r="H475">
        <v>26.9</v>
      </c>
      <c r="I475">
        <f>Tableau1[[#This Row],[GHG (kgCO2eq/GJ)]]*3.6</f>
        <v>96.84</v>
      </c>
      <c r="J475" t="s">
        <v>107</v>
      </c>
      <c r="K475" t="s">
        <v>109</v>
      </c>
    </row>
    <row r="476" spans="1:11" hidden="1" x14ac:dyDescent="0.3">
      <c r="A476" t="s">
        <v>27</v>
      </c>
      <c r="B476" t="s">
        <v>53</v>
      </c>
      <c r="C476" t="s">
        <v>77</v>
      </c>
      <c r="D476">
        <v>4.0393299999999996</v>
      </c>
      <c r="E476">
        <f>Tableau1[[#This Row],[Potential (PJ)]]/3.6</f>
        <v>1.122036111111111</v>
      </c>
      <c r="F476">
        <v>0</v>
      </c>
      <c r="G476">
        <f>Tableau1[[#This Row],[Cost (€/GJ)]]*3.6</f>
        <v>0</v>
      </c>
      <c r="H476">
        <v>3.86607608129234</v>
      </c>
      <c r="I476">
        <f>Tableau1[[#This Row],[GHG (kgCO2eq/GJ)]]*3.6</f>
        <v>13.917873892652425</v>
      </c>
      <c r="J476" t="s">
        <v>104</v>
      </c>
      <c r="K476" t="s">
        <v>108</v>
      </c>
    </row>
    <row r="477" spans="1:11" hidden="1" x14ac:dyDescent="0.3">
      <c r="A477" t="s">
        <v>27</v>
      </c>
      <c r="B477" t="s">
        <v>61</v>
      </c>
      <c r="C477" t="s">
        <v>99</v>
      </c>
      <c r="D477">
        <v>0.9</v>
      </c>
      <c r="E477">
        <f>Tableau1[[#This Row],[Potential (PJ)]]/3.6</f>
        <v>0.25</v>
      </c>
      <c r="F477">
        <v>0</v>
      </c>
      <c r="G477">
        <f>Tableau1[[#This Row],[Cost (€/GJ)]]*3.6</f>
        <v>0</v>
      </c>
      <c r="H477">
        <v>2.9245635910224439</v>
      </c>
      <c r="I477">
        <f>Tableau1[[#This Row],[GHG (kgCO2eq/GJ)]]*3.6</f>
        <v>10.528428927680798</v>
      </c>
      <c r="J477" t="s">
        <v>104</v>
      </c>
      <c r="K477" t="s">
        <v>108</v>
      </c>
    </row>
    <row r="478" spans="1:11" hidden="1" x14ac:dyDescent="0.3">
      <c r="A478" t="s">
        <v>27</v>
      </c>
      <c r="B478" t="s">
        <v>62</v>
      </c>
      <c r="C478" t="s">
        <v>100</v>
      </c>
      <c r="D478">
        <v>0.4</v>
      </c>
      <c r="E478">
        <f>Tableau1[[#This Row],[Potential (PJ)]]/3.6</f>
        <v>0.11111111111111112</v>
      </c>
      <c r="F478">
        <v>1.5</v>
      </c>
      <c r="G478">
        <f>Tableau1[[#This Row],[Cost (€/GJ)]]*3.6</f>
        <v>5.4</v>
      </c>
      <c r="H478">
        <v>2.6764106050305911</v>
      </c>
      <c r="I478">
        <f>Tableau1[[#This Row],[GHG (kgCO2eq/GJ)]]*3.6</f>
        <v>9.6350781781101276</v>
      </c>
      <c r="J478" t="s">
        <v>104</v>
      </c>
      <c r="K478" t="s">
        <v>108</v>
      </c>
    </row>
    <row r="479" spans="1:11" hidden="1" x14ac:dyDescent="0.3">
      <c r="A479" t="s">
        <v>27</v>
      </c>
      <c r="B479" t="s">
        <v>54</v>
      </c>
      <c r="C479" t="s">
        <v>78</v>
      </c>
      <c r="D479">
        <v>26.4</v>
      </c>
      <c r="E479">
        <f>Tableau1[[#This Row],[Potential (PJ)]]/3.6</f>
        <v>7.333333333333333</v>
      </c>
      <c r="F479">
        <v>0</v>
      </c>
      <c r="G479">
        <f>Tableau1[[#This Row],[Cost (€/GJ)]]*3.6</f>
        <v>0</v>
      </c>
      <c r="H479">
        <v>3.86607608129234</v>
      </c>
      <c r="I479">
        <f>Tableau1[[#This Row],[GHG (kgCO2eq/GJ)]]*3.6</f>
        <v>13.917873892652425</v>
      </c>
      <c r="J479" t="s">
        <v>104</v>
      </c>
      <c r="K479" t="s">
        <v>108</v>
      </c>
    </row>
    <row r="480" spans="1:11" hidden="1" x14ac:dyDescent="0.3">
      <c r="A480" t="s">
        <v>28</v>
      </c>
      <c r="B480" t="s">
        <v>46</v>
      </c>
      <c r="C480" t="s">
        <v>103</v>
      </c>
      <c r="D480">
        <v>8.3261000000000002E-2</v>
      </c>
      <c r="E480">
        <f>Tableau1[[#This Row],[Potential (PJ)]]/3.6</f>
        <v>2.3128055555555554E-2</v>
      </c>
      <c r="F480">
        <v>0</v>
      </c>
      <c r="G480">
        <f>Tableau1[[#This Row],[Cost (€/GJ)]]*3.6</f>
        <v>0</v>
      </c>
      <c r="I480">
        <f>Tableau1[[#This Row],[GHG (kgCO2eq/GJ)]]*3.6</f>
        <v>0</v>
      </c>
    </row>
    <row r="481" spans="1:11" hidden="1" x14ac:dyDescent="0.3">
      <c r="A481" t="s">
        <v>28</v>
      </c>
      <c r="B481" t="s">
        <v>46</v>
      </c>
      <c r="C481" t="s">
        <v>80</v>
      </c>
      <c r="D481">
        <v>6.8999999999999999E-3</v>
      </c>
      <c r="E481">
        <f>Tableau1[[#This Row],[Potential (PJ)]]/3.6</f>
        <v>1.9166666666666666E-3</v>
      </c>
      <c r="F481">
        <v>0</v>
      </c>
      <c r="G481">
        <f>Tableau1[[#This Row],[Cost (€/GJ)]]*3.6</f>
        <v>0</v>
      </c>
      <c r="H481">
        <v>28.139870918023309</v>
      </c>
      <c r="I481">
        <f>Tableau1[[#This Row],[GHG (kgCO2eq/GJ)]]*3.6</f>
        <v>101.30353530488391</v>
      </c>
      <c r="J481" t="s">
        <v>105</v>
      </c>
      <c r="K481" t="s">
        <v>108</v>
      </c>
    </row>
    <row r="482" spans="1:11" hidden="1" x14ac:dyDescent="0.3">
      <c r="A482" t="s">
        <v>28</v>
      </c>
      <c r="B482" t="s">
        <v>46</v>
      </c>
      <c r="C482" t="s">
        <v>81</v>
      </c>
      <c r="D482">
        <v>0.02</v>
      </c>
      <c r="E482">
        <f>Tableau1[[#This Row],[Potential (PJ)]]/3.6</f>
        <v>5.5555555555555558E-3</v>
      </c>
      <c r="F482">
        <v>0</v>
      </c>
      <c r="G482">
        <f>Tableau1[[#This Row],[Cost (€/GJ)]]*3.6</f>
        <v>0</v>
      </c>
      <c r="H482">
        <v>8.9647473560517046</v>
      </c>
      <c r="I482">
        <f>Tableau1[[#This Row],[GHG (kgCO2eq/GJ)]]*3.6</f>
        <v>32.273090481786134</v>
      </c>
      <c r="J482" t="s">
        <v>105</v>
      </c>
      <c r="K482" t="s">
        <v>108</v>
      </c>
    </row>
    <row r="483" spans="1:11" hidden="1" x14ac:dyDescent="0.3">
      <c r="A483" t="s">
        <v>28</v>
      </c>
      <c r="B483" t="s">
        <v>55</v>
      </c>
      <c r="C483" t="s">
        <v>86</v>
      </c>
      <c r="D483">
        <v>0.21329999999999999</v>
      </c>
      <c r="E483">
        <f>Tableau1[[#This Row],[Potential (PJ)]]/3.6</f>
        <v>5.9249999999999997E-2</v>
      </c>
      <c r="F483">
        <v>8.2059999999999995</v>
      </c>
      <c r="G483">
        <f>Tableau1[[#This Row],[Cost (€/GJ)]]*3.6</f>
        <v>29.541599999999999</v>
      </c>
      <c r="H483">
        <v>26.3</v>
      </c>
      <c r="I483">
        <f>Tableau1[[#This Row],[GHG (kgCO2eq/GJ)]]*3.6</f>
        <v>94.68</v>
      </c>
      <c r="J483" t="s">
        <v>106</v>
      </c>
      <c r="K483" t="s">
        <v>109</v>
      </c>
    </row>
    <row r="484" spans="1:11" hidden="1" x14ac:dyDescent="0.3">
      <c r="A484" t="s">
        <v>28</v>
      </c>
      <c r="B484" t="s">
        <v>55</v>
      </c>
      <c r="C484" t="s">
        <v>88</v>
      </c>
      <c r="D484">
        <v>6.7999999999999996E-3</v>
      </c>
      <c r="E484">
        <f>Tableau1[[#This Row],[Potential (PJ)]]/3.6</f>
        <v>1.8888888888888887E-3</v>
      </c>
      <c r="F484">
        <v>5.0555000000000003</v>
      </c>
      <c r="G484">
        <f>Tableau1[[#This Row],[Cost (€/GJ)]]*3.6</f>
        <v>18.199800000000003</v>
      </c>
      <c r="H484">
        <v>26.3</v>
      </c>
      <c r="I484">
        <f>Tableau1[[#This Row],[GHG (kgCO2eq/GJ)]]*3.6</f>
        <v>94.68</v>
      </c>
      <c r="J484" t="s">
        <v>106</v>
      </c>
      <c r="K484" t="s">
        <v>109</v>
      </c>
    </row>
    <row r="485" spans="1:11" hidden="1" x14ac:dyDescent="0.3">
      <c r="A485" t="s">
        <v>28</v>
      </c>
      <c r="B485" t="s">
        <v>55</v>
      </c>
      <c r="C485" t="s">
        <v>92</v>
      </c>
      <c r="D485">
        <v>0.2104</v>
      </c>
      <c r="E485">
        <f>Tableau1[[#This Row],[Potential (PJ)]]/3.6</f>
        <v>5.8444444444444445E-2</v>
      </c>
      <c r="F485">
        <v>8.9079999999999995</v>
      </c>
      <c r="G485">
        <f>Tableau1[[#This Row],[Cost (€/GJ)]]*3.6</f>
        <v>32.068799999999996</v>
      </c>
      <c r="H485">
        <v>26.3</v>
      </c>
      <c r="I485">
        <f>Tableau1[[#This Row],[GHG (kgCO2eq/GJ)]]*3.6</f>
        <v>94.68</v>
      </c>
      <c r="J485" t="s">
        <v>106</v>
      </c>
      <c r="K485" t="s">
        <v>109</v>
      </c>
    </row>
    <row r="486" spans="1:11" hidden="1" x14ac:dyDescent="0.3">
      <c r="A486" t="s">
        <v>28</v>
      </c>
      <c r="B486" t="s">
        <v>49</v>
      </c>
      <c r="C486" t="s">
        <v>71</v>
      </c>
      <c r="D486">
        <v>0.46056999999999998</v>
      </c>
      <c r="E486">
        <f>Tableau1[[#This Row],[Potential (PJ)]]/3.6</f>
        <v>0.12793611111111111</v>
      </c>
      <c r="F486">
        <v>0</v>
      </c>
      <c r="G486">
        <f>Tableau1[[#This Row],[Cost (€/GJ)]]*3.6</f>
        <v>0</v>
      </c>
      <c r="H486">
        <v>3.86607608129234</v>
      </c>
      <c r="I486">
        <f>Tableau1[[#This Row],[GHG (kgCO2eq/GJ)]]*3.6</f>
        <v>13.917873892652425</v>
      </c>
      <c r="J486" t="s">
        <v>104</v>
      </c>
      <c r="K486" t="s">
        <v>108</v>
      </c>
    </row>
    <row r="487" spans="1:11" hidden="1" x14ac:dyDescent="0.3">
      <c r="A487" t="s">
        <v>28</v>
      </c>
      <c r="B487" t="s">
        <v>58</v>
      </c>
      <c r="C487" t="s">
        <v>103</v>
      </c>
      <c r="D487">
        <v>2.6709E-2</v>
      </c>
      <c r="E487">
        <f>Tableau1[[#This Row],[Potential (PJ)]]/3.6</f>
        <v>7.4191666666666668E-3</v>
      </c>
      <c r="F487">
        <v>0</v>
      </c>
      <c r="G487">
        <f>Tableau1[[#This Row],[Cost (€/GJ)]]*3.6</f>
        <v>0</v>
      </c>
      <c r="I487">
        <f>Tableau1[[#This Row],[GHG (kgCO2eq/GJ)]]*3.6</f>
        <v>0</v>
      </c>
    </row>
    <row r="488" spans="1:11" hidden="1" x14ac:dyDescent="0.3">
      <c r="A488" t="s">
        <v>28</v>
      </c>
      <c r="B488" t="s">
        <v>51</v>
      </c>
      <c r="C488" t="s">
        <v>75</v>
      </c>
      <c r="D488">
        <v>0.11927500000000001</v>
      </c>
      <c r="E488">
        <f>Tableau1[[#This Row],[Potential (PJ)]]/3.6</f>
        <v>3.3131944444444443E-2</v>
      </c>
      <c r="F488">
        <v>4.4241813749466499E-4</v>
      </c>
      <c r="G488">
        <f>Tableau1[[#This Row],[Cost (€/GJ)]]*3.6</f>
        <v>1.5927052949807939E-3</v>
      </c>
      <c r="H488">
        <v>11.74</v>
      </c>
      <c r="I488">
        <f>Tableau1[[#This Row],[GHG (kgCO2eq/GJ)]]*3.6</f>
        <v>42.264000000000003</v>
      </c>
      <c r="J488" t="s">
        <v>104</v>
      </c>
      <c r="K488" t="s">
        <v>108</v>
      </c>
    </row>
    <row r="489" spans="1:11" hidden="1" x14ac:dyDescent="0.3">
      <c r="A489" t="s">
        <v>28</v>
      </c>
      <c r="B489" t="s">
        <v>60</v>
      </c>
      <c r="C489" t="s">
        <v>98</v>
      </c>
      <c r="D489">
        <v>3.5560000000000001E-2</v>
      </c>
      <c r="E489">
        <f>Tableau1[[#This Row],[Potential (PJ)]]/3.6</f>
        <v>9.8777777777777787E-3</v>
      </c>
      <c r="F489">
        <v>0</v>
      </c>
      <c r="G489">
        <f>Tableau1[[#This Row],[Cost (€/GJ)]]*3.6</f>
        <v>0</v>
      </c>
      <c r="H489">
        <v>37.799999999999997</v>
      </c>
      <c r="I489">
        <f>Tableau1[[#This Row],[GHG (kgCO2eq/GJ)]]*3.6</f>
        <v>136.07999999999998</v>
      </c>
      <c r="J489" t="s">
        <v>107</v>
      </c>
      <c r="K489" t="s">
        <v>109</v>
      </c>
    </row>
    <row r="490" spans="1:11" hidden="1" x14ac:dyDescent="0.3">
      <c r="A490" t="s">
        <v>28</v>
      </c>
      <c r="B490" t="s">
        <v>53</v>
      </c>
      <c r="C490" t="s">
        <v>77</v>
      </c>
      <c r="D490">
        <v>3.6859999999999997E-2</v>
      </c>
      <c r="E490">
        <f>Tableau1[[#This Row],[Potential (PJ)]]/3.6</f>
        <v>1.0238888888888888E-2</v>
      </c>
      <c r="F490">
        <v>0</v>
      </c>
      <c r="G490">
        <f>Tableau1[[#This Row],[Cost (€/GJ)]]*3.6</f>
        <v>0</v>
      </c>
      <c r="H490">
        <v>3.86607608129234</v>
      </c>
      <c r="I490">
        <f>Tableau1[[#This Row],[GHG (kgCO2eq/GJ)]]*3.6</f>
        <v>13.917873892652425</v>
      </c>
      <c r="J490" t="s">
        <v>104</v>
      </c>
      <c r="K490" t="s">
        <v>108</v>
      </c>
    </row>
    <row r="491" spans="1:11" hidden="1" x14ac:dyDescent="0.3">
      <c r="A491" t="s">
        <v>28</v>
      </c>
      <c r="B491" t="s">
        <v>61</v>
      </c>
      <c r="C491" t="s">
        <v>103</v>
      </c>
      <c r="D491">
        <v>0.15969900000000001</v>
      </c>
      <c r="E491">
        <f>Tableau1[[#This Row],[Potential (PJ)]]/3.6</f>
        <v>4.4360833333333335E-2</v>
      </c>
      <c r="F491">
        <v>0</v>
      </c>
      <c r="G491">
        <f>Tableau1[[#This Row],[Cost (€/GJ)]]*3.6</f>
        <v>0</v>
      </c>
      <c r="I491">
        <f>Tableau1[[#This Row],[GHG (kgCO2eq/GJ)]]*3.6</f>
        <v>0</v>
      </c>
    </row>
    <row r="492" spans="1:11" hidden="1" x14ac:dyDescent="0.3">
      <c r="A492" t="s">
        <v>28</v>
      </c>
      <c r="B492" t="s">
        <v>62</v>
      </c>
      <c r="C492" t="s">
        <v>103</v>
      </c>
      <c r="D492">
        <v>2.0268000000000001E-2</v>
      </c>
      <c r="E492">
        <f>Tableau1[[#This Row],[Potential (PJ)]]/3.6</f>
        <v>5.6300000000000005E-3</v>
      </c>
      <c r="F492">
        <v>0</v>
      </c>
      <c r="G492">
        <f>Tableau1[[#This Row],[Cost (€/GJ)]]*3.6</f>
        <v>0</v>
      </c>
      <c r="I492">
        <f>Tableau1[[#This Row],[GHG (kgCO2eq/GJ)]]*3.6</f>
        <v>0</v>
      </c>
    </row>
    <row r="493" spans="1:11" hidden="1" x14ac:dyDescent="0.3">
      <c r="A493" t="s">
        <v>28</v>
      </c>
      <c r="B493" t="s">
        <v>54</v>
      </c>
      <c r="C493" t="s">
        <v>78</v>
      </c>
      <c r="D493">
        <v>2.6</v>
      </c>
      <c r="E493">
        <f>Tableau1[[#This Row],[Potential (PJ)]]/3.6</f>
        <v>0.72222222222222221</v>
      </c>
      <c r="F493">
        <v>0</v>
      </c>
      <c r="G493">
        <f>Tableau1[[#This Row],[Cost (€/GJ)]]*3.6</f>
        <v>0</v>
      </c>
      <c r="H493">
        <v>3.86607608129234</v>
      </c>
      <c r="I493">
        <f>Tableau1[[#This Row],[GHG (kgCO2eq/GJ)]]*3.6</f>
        <v>13.917873892652425</v>
      </c>
      <c r="J493" t="s">
        <v>104</v>
      </c>
      <c r="K493" t="s">
        <v>108</v>
      </c>
    </row>
    <row r="494" spans="1:11" hidden="1" x14ac:dyDescent="0.3">
      <c r="A494" t="s">
        <v>29</v>
      </c>
      <c r="B494" t="s">
        <v>46</v>
      </c>
      <c r="C494" t="s">
        <v>64</v>
      </c>
      <c r="D494">
        <v>2.0000000000000002E-5</v>
      </c>
      <c r="E494">
        <f>Tableau1[[#This Row],[Potential (PJ)]]/3.6</f>
        <v>5.5555555555555558E-6</v>
      </c>
      <c r="F494">
        <v>0</v>
      </c>
      <c r="G494">
        <f>Tableau1[[#This Row],[Cost (€/GJ)]]*3.6</f>
        <v>0</v>
      </c>
      <c r="H494">
        <v>2.9521711768407801</v>
      </c>
      <c r="I494">
        <f>Tableau1[[#This Row],[GHG (kgCO2eq/GJ)]]*3.6</f>
        <v>10.627816236626808</v>
      </c>
      <c r="J494" t="s">
        <v>104</v>
      </c>
      <c r="K494" t="s">
        <v>108</v>
      </c>
    </row>
    <row r="495" spans="1:11" hidden="1" x14ac:dyDescent="0.3">
      <c r="A495" t="s">
        <v>29</v>
      </c>
      <c r="B495" t="s">
        <v>46</v>
      </c>
      <c r="C495" t="s">
        <v>79</v>
      </c>
      <c r="D495">
        <v>4.3</v>
      </c>
      <c r="E495">
        <f>Tableau1[[#This Row],[Potential (PJ)]]/3.6</f>
        <v>1.1944444444444444</v>
      </c>
      <c r="F495">
        <v>0</v>
      </c>
      <c r="G495">
        <f>Tableau1[[#This Row],[Cost (€/GJ)]]*3.6</f>
        <v>0</v>
      </c>
      <c r="H495">
        <v>6.8428961748633883</v>
      </c>
      <c r="I495">
        <f>Tableau1[[#This Row],[GHG (kgCO2eq/GJ)]]*3.6</f>
        <v>24.634426229508197</v>
      </c>
      <c r="J495" t="s">
        <v>104</v>
      </c>
      <c r="K495" t="s">
        <v>108</v>
      </c>
    </row>
    <row r="496" spans="1:11" hidden="1" x14ac:dyDescent="0.3">
      <c r="A496" t="s">
        <v>29</v>
      </c>
      <c r="B496" t="s">
        <v>46</v>
      </c>
      <c r="C496" t="s">
        <v>80</v>
      </c>
      <c r="D496">
        <v>2.7300000000000001E-2</v>
      </c>
      <c r="E496">
        <f>Tableau1[[#This Row],[Potential (PJ)]]/3.6</f>
        <v>7.5833333333333334E-3</v>
      </c>
      <c r="F496">
        <v>0.18071476736345249</v>
      </c>
      <c r="G496">
        <f>Tableau1[[#This Row],[Cost (€/GJ)]]*3.6</f>
        <v>0.650573162508429</v>
      </c>
      <c r="H496">
        <v>28.139870918023309</v>
      </c>
      <c r="I496">
        <f>Tableau1[[#This Row],[GHG (kgCO2eq/GJ)]]*3.6</f>
        <v>101.30353530488391</v>
      </c>
      <c r="J496" t="s">
        <v>105</v>
      </c>
      <c r="K496" t="s">
        <v>108</v>
      </c>
    </row>
    <row r="497" spans="1:11" hidden="1" x14ac:dyDescent="0.3">
      <c r="A497" t="s">
        <v>29</v>
      </c>
      <c r="B497" t="s">
        <v>46</v>
      </c>
      <c r="C497" t="s">
        <v>81</v>
      </c>
      <c r="D497">
        <v>6.3E-3</v>
      </c>
      <c r="E497">
        <f>Tableau1[[#This Row],[Potential (PJ)]]/3.6</f>
        <v>1.75E-3</v>
      </c>
      <c r="F497">
        <v>0.36545240893066983</v>
      </c>
      <c r="G497">
        <f>Tableau1[[#This Row],[Cost (€/GJ)]]*3.6</f>
        <v>1.3156286721504113</v>
      </c>
      <c r="H497">
        <v>8.9647473560517046</v>
      </c>
      <c r="I497">
        <f>Tableau1[[#This Row],[GHG (kgCO2eq/GJ)]]*3.6</f>
        <v>32.273090481786134</v>
      </c>
      <c r="J497" t="s">
        <v>105</v>
      </c>
      <c r="K497" t="s">
        <v>108</v>
      </c>
    </row>
    <row r="498" spans="1:11" hidden="1" x14ac:dyDescent="0.3">
      <c r="A498" t="s">
        <v>29</v>
      </c>
      <c r="B498" t="s">
        <v>46</v>
      </c>
      <c r="C498" t="s">
        <v>82</v>
      </c>
      <c r="D498">
        <v>0.1</v>
      </c>
      <c r="E498">
        <f>Tableau1[[#This Row],[Potential (PJ)]]/3.6</f>
        <v>2.777777777777778E-2</v>
      </c>
      <c r="F498">
        <v>1.6910000000000001</v>
      </c>
      <c r="G498">
        <f>Tableau1[[#This Row],[Cost (€/GJ)]]*3.6</f>
        <v>6.0876000000000001</v>
      </c>
      <c r="H498">
        <v>6.8428961748633883</v>
      </c>
      <c r="I498">
        <f>Tableau1[[#This Row],[GHG (kgCO2eq/GJ)]]*3.6</f>
        <v>24.634426229508197</v>
      </c>
      <c r="J498" t="s">
        <v>104</v>
      </c>
      <c r="K498" t="s">
        <v>108</v>
      </c>
    </row>
    <row r="499" spans="1:11" hidden="1" x14ac:dyDescent="0.3">
      <c r="A499" t="s">
        <v>29</v>
      </c>
      <c r="B499" t="s">
        <v>55</v>
      </c>
      <c r="C499" t="s">
        <v>86</v>
      </c>
      <c r="D499">
        <v>0.98170000000000002</v>
      </c>
      <c r="E499">
        <f>Tableau1[[#This Row],[Potential (PJ)]]/3.6</f>
        <v>0.27269444444444446</v>
      </c>
      <c r="F499">
        <v>13.085000000000001</v>
      </c>
      <c r="G499">
        <f>Tableau1[[#This Row],[Cost (€/GJ)]]*3.6</f>
        <v>47.106000000000002</v>
      </c>
      <c r="H499">
        <v>12.8</v>
      </c>
      <c r="I499">
        <f>Tableau1[[#This Row],[GHG (kgCO2eq/GJ)]]*3.6</f>
        <v>46.080000000000005</v>
      </c>
      <c r="J499" t="s">
        <v>106</v>
      </c>
      <c r="K499" t="s">
        <v>109</v>
      </c>
    </row>
    <row r="500" spans="1:11" hidden="1" x14ac:dyDescent="0.3">
      <c r="A500" t="s">
        <v>29</v>
      </c>
      <c r="B500" t="s">
        <v>55</v>
      </c>
      <c r="C500" t="s">
        <v>89</v>
      </c>
      <c r="D500">
        <v>2.7000000000000001E-3</v>
      </c>
      <c r="E500">
        <f>Tableau1[[#This Row],[Potential (PJ)]]/3.6</f>
        <v>7.5000000000000002E-4</v>
      </c>
      <c r="F500">
        <v>0</v>
      </c>
      <c r="G500">
        <f>Tableau1[[#This Row],[Cost (€/GJ)]]*3.6</f>
        <v>0</v>
      </c>
      <c r="H500">
        <v>12.8</v>
      </c>
      <c r="I500">
        <f>Tableau1[[#This Row],[GHG (kgCO2eq/GJ)]]*3.6</f>
        <v>46.080000000000005</v>
      </c>
      <c r="J500" t="s">
        <v>106</v>
      </c>
      <c r="K500" t="s">
        <v>109</v>
      </c>
    </row>
    <row r="501" spans="1:11" hidden="1" x14ac:dyDescent="0.3">
      <c r="A501" t="s">
        <v>29</v>
      </c>
      <c r="B501" t="s">
        <v>55</v>
      </c>
      <c r="C501" t="s">
        <v>90</v>
      </c>
      <c r="D501">
        <v>0.64090000000000003</v>
      </c>
      <c r="E501">
        <f>Tableau1[[#This Row],[Potential (PJ)]]/3.6</f>
        <v>0.17802777777777778</v>
      </c>
      <c r="F501">
        <v>15.222</v>
      </c>
      <c r="G501">
        <f>Tableau1[[#This Row],[Cost (€/GJ)]]*3.6</f>
        <v>54.799199999999999</v>
      </c>
      <c r="H501">
        <v>12.8</v>
      </c>
      <c r="I501">
        <f>Tableau1[[#This Row],[GHG (kgCO2eq/GJ)]]*3.6</f>
        <v>46.080000000000005</v>
      </c>
      <c r="J501" t="s">
        <v>106</v>
      </c>
      <c r="K501" t="s">
        <v>109</v>
      </c>
    </row>
    <row r="502" spans="1:11" hidden="1" x14ac:dyDescent="0.3">
      <c r="A502" t="s">
        <v>29</v>
      </c>
      <c r="B502" t="s">
        <v>55</v>
      </c>
      <c r="C502" t="s">
        <v>91</v>
      </c>
      <c r="D502">
        <v>0.4995</v>
      </c>
      <c r="E502">
        <f>Tableau1[[#This Row],[Potential (PJ)]]/3.6</f>
        <v>0.13874999999999998</v>
      </c>
      <c r="F502">
        <v>12.984</v>
      </c>
      <c r="G502">
        <f>Tableau1[[#This Row],[Cost (€/GJ)]]*3.6</f>
        <v>46.742400000000004</v>
      </c>
      <c r="H502">
        <v>12.8</v>
      </c>
      <c r="I502">
        <f>Tableau1[[#This Row],[GHG (kgCO2eq/GJ)]]*3.6</f>
        <v>46.080000000000005</v>
      </c>
      <c r="J502" t="s">
        <v>106</v>
      </c>
      <c r="K502" t="s">
        <v>109</v>
      </c>
    </row>
    <row r="503" spans="1:11" hidden="1" x14ac:dyDescent="0.3">
      <c r="A503" t="s">
        <v>29</v>
      </c>
      <c r="B503" t="s">
        <v>55</v>
      </c>
      <c r="C503" t="s">
        <v>92</v>
      </c>
      <c r="D503">
        <v>5.5552999999999999</v>
      </c>
      <c r="E503">
        <f>Tableau1[[#This Row],[Potential (PJ)]]/3.6</f>
        <v>1.5431388888888888</v>
      </c>
      <c r="F503">
        <v>15.595000000000001</v>
      </c>
      <c r="G503">
        <f>Tableau1[[#This Row],[Cost (€/GJ)]]*3.6</f>
        <v>56.142000000000003</v>
      </c>
      <c r="H503">
        <v>12.8</v>
      </c>
      <c r="I503">
        <f>Tableau1[[#This Row],[GHG (kgCO2eq/GJ)]]*3.6</f>
        <v>46.080000000000005</v>
      </c>
      <c r="J503" t="s">
        <v>106</v>
      </c>
      <c r="K503" t="s">
        <v>109</v>
      </c>
    </row>
    <row r="504" spans="1:11" hidden="1" x14ac:dyDescent="0.3">
      <c r="A504" t="s">
        <v>29</v>
      </c>
      <c r="B504" t="s">
        <v>49</v>
      </c>
      <c r="C504" t="s">
        <v>71</v>
      </c>
      <c r="D504">
        <v>11.693339999999999</v>
      </c>
      <c r="E504">
        <f>Tableau1[[#This Row],[Potential (PJ)]]/3.6</f>
        <v>3.2481499999999999</v>
      </c>
      <c r="F504">
        <v>0</v>
      </c>
      <c r="G504">
        <f>Tableau1[[#This Row],[Cost (€/GJ)]]*3.6</f>
        <v>0</v>
      </c>
      <c r="H504">
        <v>3.86607608129234</v>
      </c>
      <c r="I504">
        <f>Tableau1[[#This Row],[GHG (kgCO2eq/GJ)]]*3.6</f>
        <v>13.917873892652425</v>
      </c>
      <c r="J504" t="s">
        <v>104</v>
      </c>
      <c r="K504" t="s">
        <v>108</v>
      </c>
    </row>
    <row r="505" spans="1:11" hidden="1" x14ac:dyDescent="0.3">
      <c r="A505" t="s">
        <v>29</v>
      </c>
      <c r="B505" t="s">
        <v>49</v>
      </c>
      <c r="C505" t="s">
        <v>72</v>
      </c>
      <c r="D505">
        <v>1.3</v>
      </c>
      <c r="E505">
        <f>Tableau1[[#This Row],[Potential (PJ)]]/3.6</f>
        <v>0.3611111111111111</v>
      </c>
      <c r="F505">
        <v>0</v>
      </c>
      <c r="G505">
        <f>Tableau1[[#This Row],[Cost (€/GJ)]]*3.6</f>
        <v>0</v>
      </c>
      <c r="H505">
        <v>3.86607608129234</v>
      </c>
      <c r="I505">
        <f>Tableau1[[#This Row],[GHG (kgCO2eq/GJ)]]*3.6</f>
        <v>13.917873892652425</v>
      </c>
      <c r="J505" t="s">
        <v>104</v>
      </c>
      <c r="K505" t="s">
        <v>108</v>
      </c>
    </row>
    <row r="506" spans="1:11" hidden="1" x14ac:dyDescent="0.3">
      <c r="A506" t="s">
        <v>29</v>
      </c>
      <c r="B506" t="s">
        <v>58</v>
      </c>
      <c r="C506" t="s">
        <v>95</v>
      </c>
      <c r="D506">
        <v>0.89393</v>
      </c>
      <c r="E506">
        <f>Tableau1[[#This Row],[Potential (PJ)]]/3.6</f>
        <v>0.24831388888888889</v>
      </c>
      <c r="F506">
        <v>2.5590000000000002</v>
      </c>
      <c r="G506">
        <f>Tableau1[[#This Row],[Cost (€/GJ)]]*3.6</f>
        <v>9.2124000000000006</v>
      </c>
      <c r="H506">
        <v>2.9521711768407801</v>
      </c>
      <c r="I506">
        <f>Tableau1[[#This Row],[GHG (kgCO2eq/GJ)]]*3.6</f>
        <v>10.627816236626808</v>
      </c>
      <c r="J506" t="s">
        <v>104</v>
      </c>
      <c r="K506" t="s">
        <v>108</v>
      </c>
    </row>
    <row r="507" spans="1:11" hidden="1" x14ac:dyDescent="0.3">
      <c r="A507" t="s">
        <v>29</v>
      </c>
      <c r="B507" t="s">
        <v>50</v>
      </c>
      <c r="C507" t="s">
        <v>73</v>
      </c>
      <c r="D507">
        <v>0.3</v>
      </c>
      <c r="E507">
        <f>Tableau1[[#This Row],[Potential (PJ)]]/3.6</f>
        <v>8.3333333333333329E-2</v>
      </c>
      <c r="F507">
        <v>5.0090000000000003</v>
      </c>
      <c r="G507">
        <f>Tableau1[[#This Row],[Cost (€/GJ)]]*3.6</f>
        <v>18.032400000000003</v>
      </c>
      <c r="H507">
        <v>20.723404255319149</v>
      </c>
      <c r="I507">
        <f>Tableau1[[#This Row],[GHG (kgCO2eq/GJ)]]*3.6</f>
        <v>74.604255319148933</v>
      </c>
      <c r="J507" t="s">
        <v>105</v>
      </c>
      <c r="K507" t="s">
        <v>108</v>
      </c>
    </row>
    <row r="508" spans="1:11" hidden="1" x14ac:dyDescent="0.3">
      <c r="A508" t="s">
        <v>29</v>
      </c>
      <c r="B508" t="s">
        <v>50</v>
      </c>
      <c r="C508" t="s">
        <v>74</v>
      </c>
      <c r="D508">
        <v>6.2</v>
      </c>
      <c r="E508">
        <f>Tableau1[[#This Row],[Potential (PJ)]]/3.6</f>
        <v>1.7222222222222223</v>
      </c>
      <c r="F508">
        <v>3.9449999999999998</v>
      </c>
      <c r="G508">
        <f>Tableau1[[#This Row],[Cost (€/GJ)]]*3.6</f>
        <v>14.202</v>
      </c>
      <c r="H508">
        <v>2.0635593220338988</v>
      </c>
      <c r="I508">
        <f>Tableau1[[#This Row],[GHG (kgCO2eq/GJ)]]*3.6</f>
        <v>7.4288135593220357</v>
      </c>
      <c r="J508" t="s">
        <v>105</v>
      </c>
      <c r="K508" t="s">
        <v>108</v>
      </c>
    </row>
    <row r="509" spans="1:11" hidden="1" x14ac:dyDescent="0.3">
      <c r="A509" t="s">
        <v>29</v>
      </c>
      <c r="B509" t="s">
        <v>51</v>
      </c>
      <c r="C509" t="s">
        <v>75</v>
      </c>
      <c r="D509">
        <v>0.62378900000000004</v>
      </c>
      <c r="E509">
        <f>Tableau1[[#This Row],[Potential (PJ)]]/3.6</f>
        <v>0.17327472222222223</v>
      </c>
      <c r="F509">
        <v>1.0641600670672399E-4</v>
      </c>
      <c r="G509">
        <f>Tableau1[[#This Row],[Cost (€/GJ)]]*3.6</f>
        <v>3.8309762414420637E-4</v>
      </c>
      <c r="H509">
        <v>11.74</v>
      </c>
      <c r="I509">
        <f>Tableau1[[#This Row],[GHG (kgCO2eq/GJ)]]*3.6</f>
        <v>42.264000000000003</v>
      </c>
      <c r="J509" t="s">
        <v>104</v>
      </c>
      <c r="K509" t="s">
        <v>108</v>
      </c>
    </row>
    <row r="510" spans="1:11" hidden="1" x14ac:dyDescent="0.3">
      <c r="A510" t="s">
        <v>29</v>
      </c>
      <c r="B510" t="s">
        <v>60</v>
      </c>
      <c r="C510" t="s">
        <v>98</v>
      </c>
      <c r="D510">
        <v>0.28214</v>
      </c>
      <c r="E510">
        <f>Tableau1[[#This Row],[Potential (PJ)]]/3.6</f>
        <v>7.8372222222222218E-2</v>
      </c>
      <c r="F510">
        <v>16.058002148227711</v>
      </c>
      <c r="G510">
        <f>Tableau1[[#This Row],[Cost (€/GJ)]]*3.6</f>
        <v>57.808807733619759</v>
      </c>
      <c r="H510">
        <v>28.2</v>
      </c>
      <c r="I510">
        <f>Tableau1[[#This Row],[GHG (kgCO2eq/GJ)]]*3.6</f>
        <v>101.52</v>
      </c>
      <c r="J510" t="s">
        <v>107</v>
      </c>
      <c r="K510" t="s">
        <v>109</v>
      </c>
    </row>
    <row r="511" spans="1:11" hidden="1" x14ac:dyDescent="0.3">
      <c r="A511" t="s">
        <v>29</v>
      </c>
      <c r="B511" t="s">
        <v>52</v>
      </c>
      <c r="C511" t="s">
        <v>76</v>
      </c>
      <c r="D511">
        <v>1E-3</v>
      </c>
      <c r="E511">
        <f>Tableau1[[#This Row],[Potential (PJ)]]/3.6</f>
        <v>2.7777777777777778E-4</v>
      </c>
      <c r="F511">
        <v>6.1837425000000001</v>
      </c>
      <c r="G511">
        <f>Tableau1[[#This Row],[Cost (€/GJ)]]*3.6</f>
        <v>22.261473000000002</v>
      </c>
      <c r="H511">
        <v>12.68872359754714</v>
      </c>
      <c r="I511">
        <f>Tableau1[[#This Row],[GHG (kgCO2eq/GJ)]]*3.6</f>
        <v>45.679404951169708</v>
      </c>
      <c r="J511" t="s">
        <v>105</v>
      </c>
      <c r="K511" t="s">
        <v>108</v>
      </c>
    </row>
    <row r="512" spans="1:11" hidden="1" x14ac:dyDescent="0.3">
      <c r="A512" t="s">
        <v>29</v>
      </c>
      <c r="B512" t="s">
        <v>53</v>
      </c>
      <c r="C512" t="s">
        <v>77</v>
      </c>
      <c r="D512">
        <v>6.00223</v>
      </c>
      <c r="E512">
        <f>Tableau1[[#This Row],[Potential (PJ)]]/3.6</f>
        <v>1.667286111111111</v>
      </c>
      <c r="F512">
        <v>0</v>
      </c>
      <c r="G512">
        <f>Tableau1[[#This Row],[Cost (€/GJ)]]*3.6</f>
        <v>0</v>
      </c>
      <c r="H512">
        <v>3.86607608129234</v>
      </c>
      <c r="I512">
        <f>Tableau1[[#This Row],[GHG (kgCO2eq/GJ)]]*3.6</f>
        <v>13.917873892652425</v>
      </c>
      <c r="J512" t="s">
        <v>104</v>
      </c>
      <c r="K512" t="s">
        <v>108</v>
      </c>
    </row>
    <row r="513" spans="1:11" hidden="1" x14ac:dyDescent="0.3">
      <c r="A513" t="s">
        <v>29</v>
      </c>
      <c r="B513" t="s">
        <v>61</v>
      </c>
      <c r="C513" t="s">
        <v>99</v>
      </c>
      <c r="D513">
        <v>2.8</v>
      </c>
      <c r="E513">
        <f>Tableau1[[#This Row],[Potential (PJ)]]/3.6</f>
        <v>0.77777777777777768</v>
      </c>
      <c r="F513">
        <v>0</v>
      </c>
      <c r="G513">
        <f>Tableau1[[#This Row],[Cost (€/GJ)]]*3.6</f>
        <v>0</v>
      </c>
      <c r="H513">
        <v>2.9245635910224439</v>
      </c>
      <c r="I513">
        <f>Tableau1[[#This Row],[GHG (kgCO2eq/GJ)]]*3.6</f>
        <v>10.528428927680798</v>
      </c>
      <c r="J513" t="s">
        <v>104</v>
      </c>
      <c r="K513" t="s">
        <v>108</v>
      </c>
    </row>
    <row r="514" spans="1:11" hidden="1" x14ac:dyDescent="0.3">
      <c r="A514" t="s">
        <v>29</v>
      </c>
      <c r="B514" t="s">
        <v>62</v>
      </c>
      <c r="C514" t="s">
        <v>100</v>
      </c>
      <c r="D514">
        <v>1.2</v>
      </c>
      <c r="E514">
        <f>Tableau1[[#This Row],[Potential (PJ)]]/3.6</f>
        <v>0.33333333333333331</v>
      </c>
      <c r="F514">
        <v>1.5</v>
      </c>
      <c r="G514">
        <f>Tableau1[[#This Row],[Cost (€/GJ)]]*3.6</f>
        <v>5.4</v>
      </c>
      <c r="H514">
        <v>2.6764106050305911</v>
      </c>
      <c r="I514">
        <f>Tableau1[[#This Row],[GHG (kgCO2eq/GJ)]]*3.6</f>
        <v>9.6350781781101276</v>
      </c>
      <c r="J514" t="s">
        <v>104</v>
      </c>
      <c r="K514" t="s">
        <v>108</v>
      </c>
    </row>
    <row r="515" spans="1:11" hidden="1" x14ac:dyDescent="0.3">
      <c r="A515" t="s">
        <v>29</v>
      </c>
      <c r="B515" t="s">
        <v>54</v>
      </c>
      <c r="C515" t="s">
        <v>78</v>
      </c>
      <c r="D515">
        <v>54.7</v>
      </c>
      <c r="E515">
        <f>Tableau1[[#This Row],[Potential (PJ)]]/3.6</f>
        <v>15.194444444444445</v>
      </c>
      <c r="F515">
        <v>0</v>
      </c>
      <c r="G515">
        <f>Tableau1[[#This Row],[Cost (€/GJ)]]*3.6</f>
        <v>0</v>
      </c>
      <c r="H515">
        <v>3.86607608129234</v>
      </c>
      <c r="I515">
        <f>Tableau1[[#This Row],[GHG (kgCO2eq/GJ)]]*3.6</f>
        <v>13.917873892652425</v>
      </c>
      <c r="J515" t="s">
        <v>104</v>
      </c>
      <c r="K515" t="s">
        <v>108</v>
      </c>
    </row>
    <row r="516" spans="1:11" hidden="1" x14ac:dyDescent="0.3">
      <c r="A516" t="s">
        <v>30</v>
      </c>
      <c r="B516" t="s">
        <v>46</v>
      </c>
      <c r="C516" t="s">
        <v>63</v>
      </c>
      <c r="D516">
        <v>5.0000000000000001E-4</v>
      </c>
      <c r="E516">
        <f>Tableau1[[#This Row],[Potential (PJ)]]/3.6</f>
        <v>1.3888888888888889E-4</v>
      </c>
      <c r="F516">
        <v>2.9286474973375931</v>
      </c>
      <c r="G516">
        <f>Tableau1[[#This Row],[Cost (€/GJ)]]*3.6</f>
        <v>10.543130990415335</v>
      </c>
      <c r="H516">
        <v>3.950479233226837</v>
      </c>
      <c r="I516">
        <f>Tableau1[[#This Row],[GHG (kgCO2eq/GJ)]]*3.6</f>
        <v>14.221725239616614</v>
      </c>
      <c r="J516" t="s">
        <v>104</v>
      </c>
      <c r="K516" t="s">
        <v>108</v>
      </c>
    </row>
    <row r="517" spans="1:11" hidden="1" x14ac:dyDescent="0.3">
      <c r="A517" t="s">
        <v>30</v>
      </c>
      <c r="B517" t="s">
        <v>46</v>
      </c>
      <c r="C517" t="s">
        <v>64</v>
      </c>
      <c r="D517">
        <v>6.3600000000000002E-3</v>
      </c>
      <c r="E517">
        <f>Tableau1[[#This Row],[Potential (PJ)]]/3.6</f>
        <v>1.7666666666666666E-3</v>
      </c>
      <c r="F517">
        <v>4.9790000000000001</v>
      </c>
      <c r="G517">
        <f>Tableau1[[#This Row],[Cost (€/GJ)]]*3.6</f>
        <v>17.924400000000002</v>
      </c>
      <c r="H517">
        <v>2.9521711768407801</v>
      </c>
      <c r="I517">
        <f>Tableau1[[#This Row],[GHG (kgCO2eq/GJ)]]*3.6</f>
        <v>10.627816236626808</v>
      </c>
      <c r="J517" t="s">
        <v>104</v>
      </c>
      <c r="K517" t="s">
        <v>108</v>
      </c>
    </row>
    <row r="518" spans="1:11" x14ac:dyDescent="0.3">
      <c r="A518" t="s">
        <v>30</v>
      </c>
      <c r="B518" t="s">
        <v>47</v>
      </c>
      <c r="C518" t="s">
        <v>68</v>
      </c>
      <c r="D518">
        <v>1.5</v>
      </c>
      <c r="E518">
        <f>Tableau1[[#This Row],[Potential (PJ)]]/3.6</f>
        <v>0.41666666666666663</v>
      </c>
      <c r="F518">
        <v>3.8940000000000001</v>
      </c>
      <c r="G518">
        <f>Tableau1[[#This Row],[Cost (€/GJ)]]*3.6</f>
        <v>14.018400000000002</v>
      </c>
      <c r="H518">
        <v>14.1</v>
      </c>
      <c r="I518">
        <f>Tableau1[[#This Row],[GHG (kgCO2eq/GJ)]]*3.6</f>
        <v>50.76</v>
      </c>
      <c r="J518" t="s">
        <v>104</v>
      </c>
      <c r="K518" t="s">
        <v>109</v>
      </c>
    </row>
    <row r="519" spans="1:11" x14ac:dyDescent="0.3">
      <c r="A519" t="s">
        <v>30</v>
      </c>
      <c r="B519" t="s">
        <v>47</v>
      </c>
      <c r="C519" t="s">
        <v>69</v>
      </c>
      <c r="D519">
        <v>1</v>
      </c>
      <c r="E519">
        <f>Tableau1[[#This Row],[Potential (PJ)]]/3.6</f>
        <v>0.27777777777777779</v>
      </c>
      <c r="F519">
        <v>3.8809999999999998</v>
      </c>
      <c r="G519">
        <f>Tableau1[[#This Row],[Cost (€/GJ)]]*3.6</f>
        <v>13.971599999999999</v>
      </c>
      <c r="H519">
        <v>14.1</v>
      </c>
      <c r="I519">
        <f>Tableau1[[#This Row],[GHG (kgCO2eq/GJ)]]*3.6</f>
        <v>50.76</v>
      </c>
      <c r="J519" t="s">
        <v>104</v>
      </c>
      <c r="K519" t="s">
        <v>109</v>
      </c>
    </row>
    <row r="520" spans="1:11" x14ac:dyDescent="0.3">
      <c r="A520" t="s">
        <v>30</v>
      </c>
      <c r="B520" t="s">
        <v>48</v>
      </c>
      <c r="C520" t="s">
        <v>70</v>
      </c>
      <c r="D520">
        <v>0.5</v>
      </c>
      <c r="E520">
        <f>Tableau1[[#This Row],[Potential (PJ)]]/3.6</f>
        <v>0.1388888888888889</v>
      </c>
      <c r="F520">
        <v>10.019</v>
      </c>
      <c r="G520">
        <f>Tableau1[[#This Row],[Cost (€/GJ)]]*3.6</f>
        <v>36.068400000000004</v>
      </c>
      <c r="H520">
        <v>0</v>
      </c>
      <c r="I520">
        <f>Tableau1[[#This Row],[GHG (kgCO2eq/GJ)]]*3.6</f>
        <v>0</v>
      </c>
      <c r="J520" t="s">
        <v>104</v>
      </c>
      <c r="K520" t="s">
        <v>109</v>
      </c>
    </row>
    <row r="521" spans="1:11" hidden="1" x14ac:dyDescent="0.3">
      <c r="A521" t="s">
        <v>30</v>
      </c>
      <c r="B521" t="s">
        <v>49</v>
      </c>
      <c r="C521" t="s">
        <v>72</v>
      </c>
      <c r="D521">
        <v>0.2</v>
      </c>
      <c r="E521">
        <f>Tableau1[[#This Row],[Potential (PJ)]]/3.6</f>
        <v>5.5555555555555559E-2</v>
      </c>
      <c r="F521">
        <v>1.3879999999999999</v>
      </c>
      <c r="G521">
        <f>Tableau1[[#This Row],[Cost (€/GJ)]]*3.6</f>
        <v>4.9967999999999995</v>
      </c>
      <c r="H521">
        <v>3.86607608129234</v>
      </c>
      <c r="I521">
        <f>Tableau1[[#This Row],[GHG (kgCO2eq/GJ)]]*3.6</f>
        <v>13.917873892652425</v>
      </c>
      <c r="J521" t="s">
        <v>104</v>
      </c>
      <c r="K521" t="s">
        <v>108</v>
      </c>
    </row>
    <row r="522" spans="1:11" hidden="1" x14ac:dyDescent="0.3">
      <c r="A522" t="s">
        <v>30</v>
      </c>
      <c r="B522" t="s">
        <v>50</v>
      </c>
      <c r="C522" t="s">
        <v>74</v>
      </c>
      <c r="D522">
        <v>0.1</v>
      </c>
      <c r="E522">
        <f>Tableau1[[#This Row],[Potential (PJ)]]/3.6</f>
        <v>2.777777777777778E-2</v>
      </c>
      <c r="F522">
        <v>4.7690000000000001</v>
      </c>
      <c r="G522">
        <f>Tableau1[[#This Row],[Cost (€/GJ)]]*3.6</f>
        <v>17.168400000000002</v>
      </c>
      <c r="H522">
        <v>2.0635593220338988</v>
      </c>
      <c r="I522">
        <f>Tableau1[[#This Row],[GHG (kgCO2eq/GJ)]]*3.6</f>
        <v>7.4288135593220357</v>
      </c>
      <c r="J522" t="s">
        <v>105</v>
      </c>
      <c r="K522" t="s">
        <v>108</v>
      </c>
    </row>
    <row r="523" spans="1:11" hidden="1" x14ac:dyDescent="0.3">
      <c r="A523" t="s">
        <v>30</v>
      </c>
      <c r="B523" t="s">
        <v>51</v>
      </c>
      <c r="C523" t="s">
        <v>75</v>
      </c>
      <c r="D523">
        <v>0</v>
      </c>
      <c r="E523">
        <f>Tableau1[[#This Row],[Potential (PJ)]]/3.6</f>
        <v>0</v>
      </c>
      <c r="F523">
        <v>8.4863973360258194E-2</v>
      </c>
      <c r="G523">
        <f>Tableau1[[#This Row],[Cost (€/GJ)]]*3.6</f>
        <v>0.30551030409692953</v>
      </c>
      <c r="H523">
        <v>11.74</v>
      </c>
      <c r="I523">
        <f>Tableau1[[#This Row],[GHG (kgCO2eq/GJ)]]*3.6</f>
        <v>42.264000000000003</v>
      </c>
      <c r="J523" t="s">
        <v>104</v>
      </c>
      <c r="K523" t="s">
        <v>108</v>
      </c>
    </row>
    <row r="524" spans="1:11" hidden="1" x14ac:dyDescent="0.3">
      <c r="A524" t="s">
        <v>30</v>
      </c>
      <c r="B524" t="s">
        <v>53</v>
      </c>
      <c r="C524" t="s">
        <v>77</v>
      </c>
      <c r="D524">
        <v>2.3151700000000002</v>
      </c>
      <c r="E524">
        <f>Tableau1[[#This Row],[Potential (PJ)]]/3.6</f>
        <v>0.6431027777777778</v>
      </c>
      <c r="F524">
        <v>1.3879999999999999</v>
      </c>
      <c r="G524">
        <f>Tableau1[[#This Row],[Cost (€/GJ)]]*3.6</f>
        <v>4.9967999999999995</v>
      </c>
      <c r="H524">
        <v>3.86607608129234</v>
      </c>
      <c r="I524">
        <f>Tableau1[[#This Row],[GHG (kgCO2eq/GJ)]]*3.6</f>
        <v>13.917873892652425</v>
      </c>
      <c r="J524" t="s">
        <v>104</v>
      </c>
      <c r="K524" t="s">
        <v>108</v>
      </c>
    </row>
    <row r="525" spans="1:11" hidden="1" x14ac:dyDescent="0.3">
      <c r="A525" t="s">
        <v>31</v>
      </c>
      <c r="B525" t="s">
        <v>46</v>
      </c>
      <c r="C525" t="s">
        <v>63</v>
      </c>
      <c r="D525">
        <v>1.5E-3</v>
      </c>
      <c r="E525">
        <f>Tableau1[[#This Row],[Potential (PJ)]]/3.6</f>
        <v>4.1666666666666664E-4</v>
      </c>
      <c r="F525">
        <v>2.9286474973375931</v>
      </c>
      <c r="G525">
        <f>Tableau1[[#This Row],[Cost (€/GJ)]]*3.6</f>
        <v>10.543130990415335</v>
      </c>
      <c r="H525">
        <v>3.950479233226837</v>
      </c>
      <c r="I525">
        <f>Tableau1[[#This Row],[GHG (kgCO2eq/GJ)]]*3.6</f>
        <v>14.221725239616614</v>
      </c>
      <c r="J525" t="s">
        <v>104</v>
      </c>
      <c r="K525" t="s">
        <v>108</v>
      </c>
    </row>
    <row r="526" spans="1:11" hidden="1" x14ac:dyDescent="0.3">
      <c r="A526" t="s">
        <v>31</v>
      </c>
      <c r="B526" t="s">
        <v>46</v>
      </c>
      <c r="C526" t="s">
        <v>64</v>
      </c>
      <c r="D526">
        <v>5.96E-2</v>
      </c>
      <c r="E526">
        <f>Tableau1[[#This Row],[Potential (PJ)]]/3.6</f>
        <v>1.6555555555555556E-2</v>
      </c>
      <c r="F526">
        <v>5.1109999999999998</v>
      </c>
      <c r="G526">
        <f>Tableau1[[#This Row],[Cost (€/GJ)]]*3.6</f>
        <v>18.3996</v>
      </c>
      <c r="H526">
        <v>2.9521711768407801</v>
      </c>
      <c r="I526">
        <f>Tableau1[[#This Row],[GHG (kgCO2eq/GJ)]]*3.6</f>
        <v>10.627816236626808</v>
      </c>
      <c r="J526" t="s">
        <v>104</v>
      </c>
      <c r="K526" t="s">
        <v>108</v>
      </c>
    </row>
    <row r="527" spans="1:11" hidden="1" x14ac:dyDescent="0.3">
      <c r="A527" t="s">
        <v>31</v>
      </c>
      <c r="B527" t="s">
        <v>46</v>
      </c>
      <c r="C527" t="s">
        <v>65</v>
      </c>
      <c r="D527">
        <v>0.1</v>
      </c>
      <c r="E527">
        <f>Tableau1[[#This Row],[Potential (PJ)]]/3.6</f>
        <v>2.777777777777778E-2</v>
      </c>
      <c r="F527">
        <v>4.407</v>
      </c>
      <c r="G527">
        <f>Tableau1[[#This Row],[Cost (€/GJ)]]*3.6</f>
        <v>15.8652</v>
      </c>
      <c r="H527">
        <v>2.9521711768407801</v>
      </c>
      <c r="I527">
        <f>Tableau1[[#This Row],[GHG (kgCO2eq/GJ)]]*3.6</f>
        <v>10.627816236626808</v>
      </c>
      <c r="J527" t="s">
        <v>104</v>
      </c>
      <c r="K527" t="s">
        <v>108</v>
      </c>
    </row>
    <row r="528" spans="1:11" hidden="1" x14ac:dyDescent="0.3">
      <c r="A528" t="s">
        <v>31</v>
      </c>
      <c r="B528" t="s">
        <v>46</v>
      </c>
      <c r="C528" t="s">
        <v>66</v>
      </c>
      <c r="D528">
        <v>0.1</v>
      </c>
      <c r="E528">
        <f>Tableau1[[#This Row],[Potential (PJ)]]/3.6</f>
        <v>2.777777777777778E-2</v>
      </c>
      <c r="F528">
        <v>0</v>
      </c>
      <c r="G528">
        <f>Tableau1[[#This Row],[Cost (€/GJ)]]*3.6</f>
        <v>0</v>
      </c>
      <c r="H528">
        <v>6.8428961748633883</v>
      </c>
      <c r="I528">
        <f>Tableau1[[#This Row],[GHG (kgCO2eq/GJ)]]*3.6</f>
        <v>24.634426229508197</v>
      </c>
      <c r="J528" t="s">
        <v>104</v>
      </c>
      <c r="K528" t="s">
        <v>108</v>
      </c>
    </row>
    <row r="529" spans="1:11" hidden="1" x14ac:dyDescent="0.3">
      <c r="A529" t="s">
        <v>31</v>
      </c>
      <c r="B529" t="s">
        <v>46</v>
      </c>
      <c r="C529" t="s">
        <v>83</v>
      </c>
      <c r="D529">
        <v>1.9029999999999998E-2</v>
      </c>
      <c r="E529">
        <f>Tableau1[[#This Row],[Potential (PJ)]]/3.6</f>
        <v>5.2861111111111104E-3</v>
      </c>
      <c r="F529">
        <v>0</v>
      </c>
      <c r="G529">
        <f>Tableau1[[#This Row],[Cost (€/GJ)]]*3.6</f>
        <v>0</v>
      </c>
      <c r="H529">
        <v>6.8428961748633883</v>
      </c>
      <c r="I529">
        <f>Tableau1[[#This Row],[GHG (kgCO2eq/GJ)]]*3.6</f>
        <v>24.634426229508197</v>
      </c>
      <c r="J529" t="s">
        <v>104</v>
      </c>
      <c r="K529" t="s">
        <v>108</v>
      </c>
    </row>
    <row r="530" spans="1:11" x14ac:dyDescent="0.3">
      <c r="A530" t="s">
        <v>31</v>
      </c>
      <c r="B530" t="s">
        <v>47</v>
      </c>
      <c r="C530" t="s">
        <v>68</v>
      </c>
      <c r="D530">
        <v>10.6</v>
      </c>
      <c r="E530">
        <f>Tableau1[[#This Row],[Potential (PJ)]]/3.6</f>
        <v>2.9444444444444442</v>
      </c>
      <c r="F530">
        <v>3.894000000000001</v>
      </c>
      <c r="G530">
        <f>Tableau1[[#This Row],[Cost (€/GJ)]]*3.6</f>
        <v>14.018400000000003</v>
      </c>
      <c r="H530">
        <v>14.1</v>
      </c>
      <c r="I530">
        <f>Tableau1[[#This Row],[GHG (kgCO2eq/GJ)]]*3.6</f>
        <v>50.76</v>
      </c>
      <c r="J530" t="s">
        <v>104</v>
      </c>
      <c r="K530" t="s">
        <v>109</v>
      </c>
    </row>
    <row r="531" spans="1:11" x14ac:dyDescent="0.3">
      <c r="A531" t="s">
        <v>31</v>
      </c>
      <c r="B531" t="s">
        <v>47</v>
      </c>
      <c r="C531" t="s">
        <v>69</v>
      </c>
      <c r="D531">
        <v>7.4</v>
      </c>
      <c r="E531">
        <f>Tableau1[[#This Row],[Potential (PJ)]]/3.6</f>
        <v>2.0555555555555558</v>
      </c>
      <c r="F531">
        <v>3.8809999999999998</v>
      </c>
      <c r="G531">
        <f>Tableau1[[#This Row],[Cost (€/GJ)]]*3.6</f>
        <v>13.971599999999999</v>
      </c>
      <c r="H531">
        <v>14.1</v>
      </c>
      <c r="I531">
        <f>Tableau1[[#This Row],[GHG (kgCO2eq/GJ)]]*3.6</f>
        <v>50.76</v>
      </c>
      <c r="J531" t="s">
        <v>104</v>
      </c>
      <c r="K531" t="s">
        <v>109</v>
      </c>
    </row>
    <row r="532" spans="1:11" x14ac:dyDescent="0.3">
      <c r="A532" t="s">
        <v>31</v>
      </c>
      <c r="B532" t="s">
        <v>48</v>
      </c>
      <c r="C532" t="s">
        <v>70</v>
      </c>
      <c r="D532">
        <v>3.9</v>
      </c>
      <c r="E532">
        <f>Tableau1[[#This Row],[Potential (PJ)]]/3.6</f>
        <v>1.0833333333333333</v>
      </c>
      <c r="F532">
        <v>10.019</v>
      </c>
      <c r="G532">
        <f>Tableau1[[#This Row],[Cost (€/GJ)]]*3.6</f>
        <v>36.068400000000004</v>
      </c>
      <c r="H532">
        <v>0</v>
      </c>
      <c r="I532">
        <f>Tableau1[[#This Row],[GHG (kgCO2eq/GJ)]]*3.6</f>
        <v>0</v>
      </c>
      <c r="J532" t="s">
        <v>104</v>
      </c>
      <c r="K532" t="s">
        <v>109</v>
      </c>
    </row>
    <row r="533" spans="1:11" hidden="1" x14ac:dyDescent="0.3">
      <c r="A533" t="s">
        <v>31</v>
      </c>
      <c r="B533" t="s">
        <v>49</v>
      </c>
      <c r="C533" t="s">
        <v>71</v>
      </c>
      <c r="D533">
        <v>0.21351000000000001</v>
      </c>
      <c r="E533">
        <f>Tableau1[[#This Row],[Potential (PJ)]]/3.6</f>
        <v>5.9308333333333331E-2</v>
      </c>
      <c r="F533">
        <v>0</v>
      </c>
      <c r="G533">
        <f>Tableau1[[#This Row],[Cost (€/GJ)]]*3.6</f>
        <v>0</v>
      </c>
      <c r="H533">
        <v>3.86607608129234</v>
      </c>
      <c r="I533">
        <f>Tableau1[[#This Row],[GHG (kgCO2eq/GJ)]]*3.6</f>
        <v>13.917873892652425</v>
      </c>
      <c r="J533" t="s">
        <v>104</v>
      </c>
      <c r="K533" t="s">
        <v>108</v>
      </c>
    </row>
    <row r="534" spans="1:11" hidden="1" x14ac:dyDescent="0.3">
      <c r="A534" t="s">
        <v>31</v>
      </c>
      <c r="B534" t="s">
        <v>49</v>
      </c>
      <c r="C534" t="s">
        <v>72</v>
      </c>
      <c r="D534">
        <v>0.3</v>
      </c>
      <c r="E534">
        <f>Tableau1[[#This Row],[Potential (PJ)]]/3.6</f>
        <v>8.3333333333333329E-2</v>
      </c>
      <c r="F534">
        <v>0</v>
      </c>
      <c r="G534">
        <f>Tableau1[[#This Row],[Cost (€/GJ)]]*3.6</f>
        <v>0</v>
      </c>
      <c r="H534">
        <v>3.86607608129234</v>
      </c>
      <c r="I534">
        <f>Tableau1[[#This Row],[GHG (kgCO2eq/GJ)]]*3.6</f>
        <v>13.917873892652425</v>
      </c>
      <c r="J534" t="s">
        <v>104</v>
      </c>
      <c r="K534" t="s">
        <v>108</v>
      </c>
    </row>
    <row r="535" spans="1:11" hidden="1" x14ac:dyDescent="0.3">
      <c r="A535" t="s">
        <v>31</v>
      </c>
      <c r="B535" t="s">
        <v>50</v>
      </c>
      <c r="C535" t="s">
        <v>73</v>
      </c>
      <c r="D535">
        <v>0.2</v>
      </c>
      <c r="E535">
        <f>Tableau1[[#This Row],[Potential (PJ)]]/3.6</f>
        <v>5.5555555555555559E-2</v>
      </c>
      <c r="F535">
        <v>4.7309999999999999</v>
      </c>
      <c r="G535">
        <f>Tableau1[[#This Row],[Cost (€/GJ)]]*3.6</f>
        <v>17.031600000000001</v>
      </c>
      <c r="H535">
        <v>20.723404255319149</v>
      </c>
      <c r="I535">
        <f>Tableau1[[#This Row],[GHG (kgCO2eq/GJ)]]*3.6</f>
        <v>74.604255319148933</v>
      </c>
      <c r="J535" t="s">
        <v>105</v>
      </c>
      <c r="K535" t="s">
        <v>108</v>
      </c>
    </row>
    <row r="536" spans="1:11" hidden="1" x14ac:dyDescent="0.3">
      <c r="A536" t="s">
        <v>31</v>
      </c>
      <c r="B536" t="s">
        <v>50</v>
      </c>
      <c r="C536" t="s">
        <v>74</v>
      </c>
      <c r="D536">
        <v>0.3</v>
      </c>
      <c r="E536">
        <f>Tableau1[[#This Row],[Potential (PJ)]]/3.6</f>
        <v>8.3333333333333329E-2</v>
      </c>
      <c r="F536">
        <v>4.7690000000000001</v>
      </c>
      <c r="G536">
        <f>Tableau1[[#This Row],[Cost (€/GJ)]]*3.6</f>
        <v>17.168400000000002</v>
      </c>
      <c r="H536">
        <v>2.0635593220338988</v>
      </c>
      <c r="I536">
        <f>Tableau1[[#This Row],[GHG (kgCO2eq/GJ)]]*3.6</f>
        <v>7.4288135593220357</v>
      </c>
      <c r="J536" t="s">
        <v>105</v>
      </c>
      <c r="K536" t="s">
        <v>108</v>
      </c>
    </row>
    <row r="537" spans="1:11" hidden="1" x14ac:dyDescent="0.3">
      <c r="A537" t="s">
        <v>31</v>
      </c>
      <c r="B537" t="s">
        <v>51</v>
      </c>
      <c r="C537" t="s">
        <v>75</v>
      </c>
      <c r="D537">
        <v>0.88236999999999999</v>
      </c>
      <c r="E537">
        <f>Tableau1[[#This Row],[Potential (PJ)]]/3.6</f>
        <v>0.24510277777777778</v>
      </c>
      <c r="F537">
        <v>2.8035351025555801E-2</v>
      </c>
      <c r="G537">
        <f>Tableau1[[#This Row],[Cost (€/GJ)]]*3.6</f>
        <v>0.10092726369200089</v>
      </c>
      <c r="H537">
        <v>11.74</v>
      </c>
      <c r="I537">
        <f>Tableau1[[#This Row],[GHG (kgCO2eq/GJ)]]*3.6</f>
        <v>42.264000000000003</v>
      </c>
      <c r="J537" t="s">
        <v>104</v>
      </c>
      <c r="K537" t="s">
        <v>108</v>
      </c>
    </row>
    <row r="538" spans="1:11" hidden="1" x14ac:dyDescent="0.3">
      <c r="A538" t="s">
        <v>31</v>
      </c>
      <c r="B538" t="s">
        <v>52</v>
      </c>
      <c r="C538" t="s">
        <v>76</v>
      </c>
      <c r="D538">
        <v>7.0000000000000001E-3</v>
      </c>
      <c r="E538">
        <f>Tableau1[[#This Row],[Potential (PJ)]]/3.6</f>
        <v>1.9444444444444444E-3</v>
      </c>
      <c r="F538">
        <v>6.1837425000000001</v>
      </c>
      <c r="G538">
        <f>Tableau1[[#This Row],[Cost (€/GJ)]]*3.6</f>
        <v>22.261473000000002</v>
      </c>
      <c r="H538">
        <v>12.68872359754714</v>
      </c>
      <c r="I538">
        <f>Tableau1[[#This Row],[GHG (kgCO2eq/GJ)]]*3.6</f>
        <v>45.679404951169708</v>
      </c>
      <c r="J538" t="s">
        <v>105</v>
      </c>
      <c r="K538" t="s">
        <v>108</v>
      </c>
    </row>
    <row r="539" spans="1:11" hidden="1" x14ac:dyDescent="0.3">
      <c r="A539" t="s">
        <v>31</v>
      </c>
      <c r="B539" t="s">
        <v>53</v>
      </c>
      <c r="C539" t="s">
        <v>77</v>
      </c>
      <c r="D539">
        <v>3.9466700000000001</v>
      </c>
      <c r="E539">
        <f>Tableau1[[#This Row],[Potential (PJ)]]/3.6</f>
        <v>1.0962972222222223</v>
      </c>
      <c r="F539">
        <v>0</v>
      </c>
      <c r="G539">
        <f>Tableau1[[#This Row],[Cost (€/GJ)]]*3.6</f>
        <v>0</v>
      </c>
      <c r="H539">
        <v>3.86607608129234</v>
      </c>
      <c r="I539">
        <f>Tableau1[[#This Row],[GHG (kgCO2eq/GJ)]]*3.6</f>
        <v>13.917873892652425</v>
      </c>
      <c r="J539" t="s">
        <v>104</v>
      </c>
      <c r="K539" t="s">
        <v>108</v>
      </c>
    </row>
    <row r="540" spans="1:11" hidden="1" x14ac:dyDescent="0.3">
      <c r="A540" t="s">
        <v>31</v>
      </c>
      <c r="B540" t="s">
        <v>54</v>
      </c>
      <c r="C540" t="s">
        <v>78</v>
      </c>
      <c r="D540">
        <v>2.5</v>
      </c>
      <c r="E540">
        <f>Tableau1[[#This Row],[Potential (PJ)]]/3.6</f>
        <v>0.69444444444444442</v>
      </c>
      <c r="F540">
        <v>0</v>
      </c>
      <c r="G540">
        <f>Tableau1[[#This Row],[Cost (€/GJ)]]*3.6</f>
        <v>0</v>
      </c>
      <c r="H540">
        <v>3.86607608129234</v>
      </c>
      <c r="I540">
        <f>Tableau1[[#This Row],[GHG (kgCO2eq/GJ)]]*3.6</f>
        <v>13.917873892652425</v>
      </c>
      <c r="J540" t="s">
        <v>104</v>
      </c>
      <c r="K540" t="s">
        <v>108</v>
      </c>
    </row>
    <row r="541" spans="1:11" hidden="1" x14ac:dyDescent="0.3">
      <c r="A541" t="s">
        <v>32</v>
      </c>
      <c r="B541" t="s">
        <v>46</v>
      </c>
      <c r="C541" t="s">
        <v>103</v>
      </c>
      <c r="D541">
        <v>1.1622E-2</v>
      </c>
      <c r="E541">
        <f>Tableau1[[#This Row],[Potential (PJ)]]/3.6</f>
        <v>3.2283333333333335E-3</v>
      </c>
      <c r="F541">
        <v>0</v>
      </c>
      <c r="G541">
        <f>Tableau1[[#This Row],[Cost (€/GJ)]]*3.6</f>
        <v>0</v>
      </c>
      <c r="I541">
        <f>Tableau1[[#This Row],[GHG (kgCO2eq/GJ)]]*3.6</f>
        <v>0</v>
      </c>
    </row>
    <row r="542" spans="1:11" hidden="1" x14ac:dyDescent="0.3">
      <c r="A542" t="s">
        <v>32</v>
      </c>
      <c r="B542" t="s">
        <v>58</v>
      </c>
      <c r="C542" t="s">
        <v>103</v>
      </c>
      <c r="D542">
        <v>6.8329999999999997E-3</v>
      </c>
      <c r="E542">
        <f>Tableau1[[#This Row],[Potential (PJ)]]/3.6</f>
        <v>1.8980555555555554E-3</v>
      </c>
      <c r="F542">
        <v>0</v>
      </c>
      <c r="G542">
        <f>Tableau1[[#This Row],[Cost (€/GJ)]]*3.6</f>
        <v>0</v>
      </c>
      <c r="I542">
        <f>Tableau1[[#This Row],[GHG (kgCO2eq/GJ)]]*3.6</f>
        <v>0</v>
      </c>
    </row>
    <row r="543" spans="1:11" hidden="1" x14ac:dyDescent="0.3">
      <c r="A543" t="s">
        <v>32</v>
      </c>
      <c r="B543" t="s">
        <v>51</v>
      </c>
      <c r="C543" t="s">
        <v>75</v>
      </c>
      <c r="D543">
        <v>3.8524479999999999</v>
      </c>
      <c r="E543">
        <f>Tableau1[[#This Row],[Potential (PJ)]]/3.6</f>
        <v>1.0701244444444444</v>
      </c>
      <c r="F543">
        <v>1.50761275353164E-5</v>
      </c>
      <c r="G543">
        <f>Tableau1[[#This Row],[Cost (€/GJ)]]*3.6</f>
        <v>5.4274059127139039E-5</v>
      </c>
      <c r="H543">
        <v>11.74</v>
      </c>
      <c r="I543">
        <f>Tableau1[[#This Row],[GHG (kgCO2eq/GJ)]]*3.6</f>
        <v>42.264000000000003</v>
      </c>
      <c r="J543" t="s">
        <v>104</v>
      </c>
      <c r="K543" t="s">
        <v>108</v>
      </c>
    </row>
    <row r="544" spans="1:11" hidden="1" x14ac:dyDescent="0.3">
      <c r="A544" t="s">
        <v>33</v>
      </c>
      <c r="B544" t="s">
        <v>46</v>
      </c>
      <c r="C544" t="s">
        <v>64</v>
      </c>
      <c r="D544">
        <v>2.0899999999999998E-2</v>
      </c>
      <c r="E544">
        <f>Tableau1[[#This Row],[Potential (PJ)]]/3.6</f>
        <v>5.8055555555555551E-3</v>
      </c>
      <c r="F544">
        <v>5.0265363636363638</v>
      </c>
      <c r="G544">
        <f>Tableau1[[#This Row],[Cost (€/GJ)]]*3.6</f>
        <v>18.095530909090911</v>
      </c>
      <c r="H544">
        <v>2.9521711768407801</v>
      </c>
      <c r="I544">
        <f>Tableau1[[#This Row],[GHG (kgCO2eq/GJ)]]*3.6</f>
        <v>10.627816236626808</v>
      </c>
      <c r="J544" t="s">
        <v>104</v>
      </c>
      <c r="K544" t="s">
        <v>108</v>
      </c>
    </row>
    <row r="545" spans="1:11" hidden="1" x14ac:dyDescent="0.3">
      <c r="A545" t="s">
        <v>33</v>
      </c>
      <c r="B545" t="s">
        <v>46</v>
      </c>
      <c r="C545" t="s">
        <v>79</v>
      </c>
      <c r="D545">
        <v>0.4</v>
      </c>
      <c r="E545">
        <f>Tableau1[[#This Row],[Potential (PJ)]]/3.6</f>
        <v>0.11111111111111112</v>
      </c>
      <c r="F545">
        <v>5.8129999999999997</v>
      </c>
      <c r="G545">
        <f>Tableau1[[#This Row],[Cost (€/GJ)]]*3.6</f>
        <v>20.9268</v>
      </c>
      <c r="H545">
        <v>6.8428961748633883</v>
      </c>
      <c r="I545">
        <f>Tableau1[[#This Row],[GHG (kgCO2eq/GJ)]]*3.6</f>
        <v>24.634426229508197</v>
      </c>
      <c r="J545" t="s">
        <v>104</v>
      </c>
      <c r="K545" t="s">
        <v>108</v>
      </c>
    </row>
    <row r="546" spans="1:11" hidden="1" x14ac:dyDescent="0.3">
      <c r="A546" t="s">
        <v>33</v>
      </c>
      <c r="B546" t="s">
        <v>46</v>
      </c>
      <c r="C546" t="s">
        <v>80</v>
      </c>
      <c r="D546">
        <v>1.1052999999999999</v>
      </c>
      <c r="E546">
        <f>Tableau1[[#This Row],[Potential (PJ)]]/3.6</f>
        <v>0.30702777777777773</v>
      </c>
      <c r="F546">
        <v>0.33378287255563049</v>
      </c>
      <c r="G546">
        <f>Tableau1[[#This Row],[Cost (€/GJ)]]*3.6</f>
        <v>1.2016183412002699</v>
      </c>
      <c r="H546">
        <v>28.139870918023309</v>
      </c>
      <c r="I546">
        <f>Tableau1[[#This Row],[GHG (kgCO2eq/GJ)]]*3.6</f>
        <v>101.30353530488391</v>
      </c>
      <c r="J546" t="s">
        <v>105</v>
      </c>
      <c r="K546" t="s">
        <v>108</v>
      </c>
    </row>
    <row r="547" spans="1:11" hidden="1" x14ac:dyDescent="0.3">
      <c r="A547" t="s">
        <v>33</v>
      </c>
      <c r="B547" t="s">
        <v>46</v>
      </c>
      <c r="C547" t="s">
        <v>81</v>
      </c>
      <c r="D547">
        <v>1.1032</v>
      </c>
      <c r="E547">
        <f>Tableau1[[#This Row],[Potential (PJ)]]/3.6</f>
        <v>0.30644444444444441</v>
      </c>
      <c r="F547">
        <v>1.173913043478261</v>
      </c>
      <c r="G547">
        <f>Tableau1[[#This Row],[Cost (€/GJ)]]*3.6</f>
        <v>4.2260869565217396</v>
      </c>
      <c r="H547">
        <v>8.9647473560517046</v>
      </c>
      <c r="I547">
        <f>Tableau1[[#This Row],[GHG (kgCO2eq/GJ)]]*3.6</f>
        <v>32.273090481786134</v>
      </c>
      <c r="J547" t="s">
        <v>105</v>
      </c>
      <c r="K547" t="s">
        <v>108</v>
      </c>
    </row>
    <row r="548" spans="1:11" hidden="1" x14ac:dyDescent="0.3">
      <c r="A548" t="s">
        <v>33</v>
      </c>
      <c r="B548" t="s">
        <v>46</v>
      </c>
      <c r="C548" t="s">
        <v>66</v>
      </c>
      <c r="D548">
        <v>0.4</v>
      </c>
      <c r="E548">
        <f>Tableau1[[#This Row],[Potential (PJ)]]/3.6</f>
        <v>0.11111111111111112</v>
      </c>
      <c r="F548">
        <v>6.0582500000000001</v>
      </c>
      <c r="G548">
        <f>Tableau1[[#This Row],[Cost (€/GJ)]]*3.6</f>
        <v>21.809699999999999</v>
      </c>
      <c r="H548">
        <v>6.8428961748633883</v>
      </c>
      <c r="I548">
        <f>Tableau1[[#This Row],[GHG (kgCO2eq/GJ)]]*3.6</f>
        <v>24.634426229508197</v>
      </c>
      <c r="J548" t="s">
        <v>104</v>
      </c>
      <c r="K548" t="s">
        <v>108</v>
      </c>
    </row>
    <row r="549" spans="1:11" hidden="1" x14ac:dyDescent="0.3">
      <c r="A549" t="s">
        <v>33</v>
      </c>
      <c r="B549" t="s">
        <v>46</v>
      </c>
      <c r="C549" t="s">
        <v>84</v>
      </c>
      <c r="D549">
        <v>0.1</v>
      </c>
      <c r="E549">
        <f>Tableau1[[#This Row],[Potential (PJ)]]/3.6</f>
        <v>2.777777777777778E-2</v>
      </c>
      <c r="F549">
        <v>2.7610000000000001</v>
      </c>
      <c r="G549">
        <f>Tableau1[[#This Row],[Cost (€/GJ)]]*3.6</f>
        <v>9.9396000000000004</v>
      </c>
      <c r="H549">
        <v>28.139870918023309</v>
      </c>
      <c r="I549">
        <f>Tableau1[[#This Row],[GHG (kgCO2eq/GJ)]]*3.6</f>
        <v>101.30353530488391</v>
      </c>
      <c r="J549" t="s">
        <v>105</v>
      </c>
      <c r="K549" t="s">
        <v>108</v>
      </c>
    </row>
    <row r="550" spans="1:11" hidden="1" x14ac:dyDescent="0.3">
      <c r="A550" t="s">
        <v>33</v>
      </c>
      <c r="B550" t="s">
        <v>55</v>
      </c>
      <c r="C550" t="s">
        <v>86</v>
      </c>
      <c r="D550">
        <v>1.2999999999999999E-3</v>
      </c>
      <c r="E550">
        <f>Tableau1[[#This Row],[Potential (PJ)]]/3.6</f>
        <v>3.6111111111111109E-4</v>
      </c>
      <c r="F550">
        <v>17.419</v>
      </c>
      <c r="G550">
        <f>Tableau1[[#This Row],[Cost (€/GJ)]]*3.6</f>
        <v>62.708400000000005</v>
      </c>
      <c r="H550">
        <v>41.1</v>
      </c>
      <c r="I550">
        <f>Tableau1[[#This Row],[GHG (kgCO2eq/GJ)]]*3.6</f>
        <v>147.96</v>
      </c>
      <c r="J550" t="s">
        <v>106</v>
      </c>
      <c r="K550" t="s">
        <v>109</v>
      </c>
    </row>
    <row r="551" spans="1:11" hidden="1" x14ac:dyDescent="0.3">
      <c r="A551" t="s">
        <v>33</v>
      </c>
      <c r="B551" t="s">
        <v>55</v>
      </c>
      <c r="C551" t="s">
        <v>88</v>
      </c>
      <c r="D551">
        <v>0.4713</v>
      </c>
      <c r="E551">
        <f>Tableau1[[#This Row],[Potential (PJ)]]/3.6</f>
        <v>0.13091666666666665</v>
      </c>
      <c r="F551">
        <v>16.597000000000001</v>
      </c>
      <c r="G551">
        <f>Tableau1[[#This Row],[Cost (€/GJ)]]*3.6</f>
        <v>59.749200000000009</v>
      </c>
      <c r="H551">
        <v>41.1</v>
      </c>
      <c r="I551">
        <f>Tableau1[[#This Row],[GHG (kgCO2eq/GJ)]]*3.6</f>
        <v>147.96</v>
      </c>
      <c r="J551" t="s">
        <v>106</v>
      </c>
      <c r="K551" t="s">
        <v>109</v>
      </c>
    </row>
    <row r="552" spans="1:11" hidden="1" x14ac:dyDescent="0.3">
      <c r="A552" t="s">
        <v>33</v>
      </c>
      <c r="B552" t="s">
        <v>55</v>
      </c>
      <c r="C552" t="s">
        <v>89</v>
      </c>
      <c r="D552">
        <v>7.4800000000000005E-2</v>
      </c>
      <c r="E552">
        <f>Tableau1[[#This Row],[Potential (PJ)]]/3.6</f>
        <v>2.077777777777778E-2</v>
      </c>
      <c r="F552">
        <v>0</v>
      </c>
      <c r="G552">
        <f>Tableau1[[#This Row],[Cost (€/GJ)]]*3.6</f>
        <v>0</v>
      </c>
      <c r="H552">
        <v>41.1</v>
      </c>
      <c r="I552">
        <f>Tableau1[[#This Row],[GHG (kgCO2eq/GJ)]]*3.6</f>
        <v>147.96</v>
      </c>
      <c r="J552" t="s">
        <v>106</v>
      </c>
      <c r="K552" t="s">
        <v>109</v>
      </c>
    </row>
    <row r="553" spans="1:11" hidden="1" x14ac:dyDescent="0.3">
      <c r="A553" t="s">
        <v>33</v>
      </c>
      <c r="B553" t="s">
        <v>55</v>
      </c>
      <c r="C553" t="s">
        <v>90</v>
      </c>
      <c r="D553">
        <v>1.8499999999999999E-2</v>
      </c>
      <c r="E553">
        <f>Tableau1[[#This Row],[Potential (PJ)]]/3.6</f>
        <v>5.1388888888888882E-3</v>
      </c>
      <c r="F553">
        <v>22.513000000000002</v>
      </c>
      <c r="G553">
        <f>Tableau1[[#This Row],[Cost (€/GJ)]]*3.6</f>
        <v>81.046800000000005</v>
      </c>
      <c r="H553">
        <v>41.1</v>
      </c>
      <c r="I553">
        <f>Tableau1[[#This Row],[GHG (kgCO2eq/GJ)]]*3.6</f>
        <v>147.96</v>
      </c>
      <c r="J553" t="s">
        <v>106</v>
      </c>
      <c r="K553" t="s">
        <v>109</v>
      </c>
    </row>
    <row r="554" spans="1:11" hidden="1" x14ac:dyDescent="0.3">
      <c r="A554" t="s">
        <v>33</v>
      </c>
      <c r="B554" t="s">
        <v>55</v>
      </c>
      <c r="C554" t="s">
        <v>92</v>
      </c>
      <c r="D554">
        <v>0.42679</v>
      </c>
      <c r="E554">
        <f>Tableau1[[#This Row],[Potential (PJ)]]/3.6</f>
        <v>0.11855277777777777</v>
      </c>
      <c r="F554">
        <v>17.239999999999998</v>
      </c>
      <c r="G554">
        <f>Tableau1[[#This Row],[Cost (€/GJ)]]*3.6</f>
        <v>62.063999999999993</v>
      </c>
      <c r="H554">
        <v>41.1</v>
      </c>
      <c r="I554">
        <f>Tableau1[[#This Row],[GHG (kgCO2eq/GJ)]]*3.6</f>
        <v>147.96</v>
      </c>
      <c r="J554" t="s">
        <v>106</v>
      </c>
      <c r="K554" t="s">
        <v>109</v>
      </c>
    </row>
    <row r="555" spans="1:11" hidden="1" x14ac:dyDescent="0.3">
      <c r="A555" t="s">
        <v>33</v>
      </c>
      <c r="B555" t="s">
        <v>56</v>
      </c>
      <c r="C555" t="s">
        <v>93</v>
      </c>
      <c r="D555">
        <v>14.3583</v>
      </c>
      <c r="E555">
        <f>Tableau1[[#This Row],[Potential (PJ)]]/3.6</f>
        <v>3.9884166666666667</v>
      </c>
      <c r="F555">
        <v>2.939759036144578</v>
      </c>
      <c r="G555">
        <f>Tableau1[[#This Row],[Cost (€/GJ)]]*3.6</f>
        <v>10.583132530120482</v>
      </c>
      <c r="H555">
        <v>53.4</v>
      </c>
      <c r="I555">
        <f>Tableau1[[#This Row],[GHG (kgCO2eq/GJ)]]*3.6</f>
        <v>192.24</v>
      </c>
      <c r="J555" t="s">
        <v>106</v>
      </c>
      <c r="K555" t="s">
        <v>109</v>
      </c>
    </row>
    <row r="556" spans="1:11" x14ac:dyDescent="0.3">
      <c r="A556" t="s">
        <v>33</v>
      </c>
      <c r="B556" t="s">
        <v>47</v>
      </c>
      <c r="C556" t="s">
        <v>68</v>
      </c>
      <c r="D556">
        <v>6</v>
      </c>
      <c r="E556">
        <f>Tableau1[[#This Row],[Potential (PJ)]]/3.6</f>
        <v>1.6666666666666665</v>
      </c>
      <c r="F556">
        <v>7.7944000000000004</v>
      </c>
      <c r="G556">
        <f>Tableau1[[#This Row],[Cost (€/GJ)]]*3.6</f>
        <v>28.059840000000001</v>
      </c>
      <c r="H556">
        <v>23.8</v>
      </c>
      <c r="I556">
        <f>Tableau1[[#This Row],[GHG (kgCO2eq/GJ)]]*3.6</f>
        <v>85.68</v>
      </c>
      <c r="J556" t="s">
        <v>104</v>
      </c>
      <c r="K556" t="s">
        <v>109</v>
      </c>
    </row>
    <row r="557" spans="1:11" x14ac:dyDescent="0.3">
      <c r="A557" t="s">
        <v>33</v>
      </c>
      <c r="B557" t="s">
        <v>47</v>
      </c>
      <c r="C557" t="s">
        <v>69</v>
      </c>
      <c r="D557">
        <v>6.3</v>
      </c>
      <c r="E557">
        <f>Tableau1[[#This Row],[Potential (PJ)]]/3.6</f>
        <v>1.75</v>
      </c>
      <c r="F557">
        <v>7.0211746031746038</v>
      </c>
      <c r="G557">
        <f>Tableau1[[#This Row],[Cost (€/GJ)]]*3.6</f>
        <v>25.276228571428575</v>
      </c>
      <c r="H557">
        <v>23.8</v>
      </c>
      <c r="I557">
        <f>Tableau1[[#This Row],[GHG (kgCO2eq/GJ)]]*3.6</f>
        <v>85.68</v>
      </c>
      <c r="J557" t="s">
        <v>104</v>
      </c>
      <c r="K557" t="s">
        <v>109</v>
      </c>
    </row>
    <row r="558" spans="1:11" x14ac:dyDescent="0.3">
      <c r="A558" t="s">
        <v>33</v>
      </c>
      <c r="B558" t="s">
        <v>57</v>
      </c>
      <c r="C558" t="s">
        <v>94</v>
      </c>
      <c r="D558">
        <v>4.8</v>
      </c>
      <c r="E558">
        <f>Tableau1[[#This Row],[Potential (PJ)]]/3.6</f>
        <v>1.3333333333333333</v>
      </c>
      <c r="F558">
        <v>11.98810416666667</v>
      </c>
      <c r="G558">
        <f>Tableau1[[#This Row],[Cost (€/GJ)]]*3.6</f>
        <v>43.157175000000009</v>
      </c>
      <c r="H558">
        <v>48.3</v>
      </c>
      <c r="I558">
        <f>Tableau1[[#This Row],[GHG (kgCO2eq/GJ)]]*3.6</f>
        <v>173.88</v>
      </c>
      <c r="J558" t="s">
        <v>104</v>
      </c>
      <c r="K558" t="s">
        <v>109</v>
      </c>
    </row>
    <row r="559" spans="1:11" hidden="1" x14ac:dyDescent="0.3">
      <c r="A559" t="s">
        <v>33</v>
      </c>
      <c r="B559" t="s">
        <v>49</v>
      </c>
      <c r="C559" t="s">
        <v>71</v>
      </c>
      <c r="D559">
        <v>1.4834499999999999</v>
      </c>
      <c r="E559">
        <f>Tableau1[[#This Row],[Potential (PJ)]]/3.6</f>
        <v>0.41206944444444443</v>
      </c>
      <c r="F559">
        <v>3.080218389564866</v>
      </c>
      <c r="G559">
        <f>Tableau1[[#This Row],[Cost (€/GJ)]]*3.6</f>
        <v>11.088786202433518</v>
      </c>
      <c r="H559">
        <v>3.86607608129234</v>
      </c>
      <c r="I559">
        <f>Tableau1[[#This Row],[GHG (kgCO2eq/GJ)]]*3.6</f>
        <v>13.917873892652425</v>
      </c>
      <c r="J559" t="s">
        <v>104</v>
      </c>
      <c r="K559" t="s">
        <v>108</v>
      </c>
    </row>
    <row r="560" spans="1:11" hidden="1" x14ac:dyDescent="0.3">
      <c r="A560" t="s">
        <v>33</v>
      </c>
      <c r="B560" t="s">
        <v>49</v>
      </c>
      <c r="C560" t="s">
        <v>72</v>
      </c>
      <c r="D560">
        <v>0.2</v>
      </c>
      <c r="E560">
        <f>Tableau1[[#This Row],[Potential (PJ)]]/3.6</f>
        <v>5.5555555555555559E-2</v>
      </c>
      <c r="F560">
        <v>4.3529999999999998</v>
      </c>
      <c r="G560">
        <f>Tableau1[[#This Row],[Cost (€/GJ)]]*3.6</f>
        <v>15.6708</v>
      </c>
      <c r="H560">
        <v>3.86607608129234</v>
      </c>
      <c r="I560">
        <f>Tableau1[[#This Row],[GHG (kgCO2eq/GJ)]]*3.6</f>
        <v>13.917873892652425</v>
      </c>
      <c r="J560" t="s">
        <v>104</v>
      </c>
      <c r="K560" t="s">
        <v>108</v>
      </c>
    </row>
    <row r="561" spans="1:11" hidden="1" x14ac:dyDescent="0.3">
      <c r="A561" t="s">
        <v>33</v>
      </c>
      <c r="B561" t="s">
        <v>58</v>
      </c>
      <c r="C561" t="s">
        <v>95</v>
      </c>
      <c r="D561">
        <v>0.65800000000000003</v>
      </c>
      <c r="E561">
        <f>Tableau1[[#This Row],[Potential (PJ)]]/3.6</f>
        <v>0.18277777777777779</v>
      </c>
      <c r="F561">
        <v>2.5590000000000002</v>
      </c>
      <c r="G561">
        <f>Tableau1[[#This Row],[Cost (€/GJ)]]*3.6</f>
        <v>9.2124000000000006</v>
      </c>
      <c r="H561">
        <v>2.9521711768407801</v>
      </c>
      <c r="I561">
        <f>Tableau1[[#This Row],[GHG (kgCO2eq/GJ)]]*3.6</f>
        <v>10.627816236626808</v>
      </c>
      <c r="J561" t="s">
        <v>104</v>
      </c>
      <c r="K561" t="s">
        <v>108</v>
      </c>
    </row>
    <row r="562" spans="1:11" hidden="1" x14ac:dyDescent="0.3">
      <c r="A562" t="s">
        <v>33</v>
      </c>
      <c r="B562" t="s">
        <v>50</v>
      </c>
      <c r="C562" t="s">
        <v>73</v>
      </c>
      <c r="D562">
        <v>6.4</v>
      </c>
      <c r="E562">
        <f>Tableau1[[#This Row],[Potential (PJ)]]/3.6</f>
        <v>1.7777777777777779</v>
      </c>
      <c r="F562">
        <v>5.9181562499999991</v>
      </c>
      <c r="G562">
        <f>Tableau1[[#This Row],[Cost (€/GJ)]]*3.6</f>
        <v>21.305362499999998</v>
      </c>
      <c r="H562">
        <v>20.723404255319149</v>
      </c>
      <c r="I562">
        <f>Tableau1[[#This Row],[GHG (kgCO2eq/GJ)]]*3.6</f>
        <v>74.604255319148933</v>
      </c>
      <c r="J562" t="s">
        <v>105</v>
      </c>
      <c r="K562" t="s">
        <v>108</v>
      </c>
    </row>
    <row r="563" spans="1:11" hidden="1" x14ac:dyDescent="0.3">
      <c r="A563" t="s">
        <v>33</v>
      </c>
      <c r="B563" t="s">
        <v>50</v>
      </c>
      <c r="C563" t="s">
        <v>74</v>
      </c>
      <c r="D563">
        <v>19.399999999999999</v>
      </c>
      <c r="E563">
        <f>Tableau1[[#This Row],[Potential (PJ)]]/3.6</f>
        <v>5.3888888888888884</v>
      </c>
      <c r="F563">
        <v>6.5183711340206187</v>
      </c>
      <c r="G563">
        <f>Tableau1[[#This Row],[Cost (€/GJ)]]*3.6</f>
        <v>23.466136082474229</v>
      </c>
      <c r="H563">
        <v>2.0635593220338988</v>
      </c>
      <c r="I563">
        <f>Tableau1[[#This Row],[GHG (kgCO2eq/GJ)]]*3.6</f>
        <v>7.4288135593220357</v>
      </c>
      <c r="J563" t="s">
        <v>105</v>
      </c>
      <c r="K563" t="s">
        <v>108</v>
      </c>
    </row>
    <row r="564" spans="1:11" hidden="1" x14ac:dyDescent="0.3">
      <c r="A564" t="s">
        <v>33</v>
      </c>
      <c r="B564" t="s">
        <v>59</v>
      </c>
      <c r="C564" t="s">
        <v>97</v>
      </c>
      <c r="D564">
        <v>2.7000000000000001E-3</v>
      </c>
      <c r="E564">
        <f>Tableau1[[#This Row],[Potential (PJ)]]/3.6</f>
        <v>7.5000000000000002E-4</v>
      </c>
      <c r="F564">
        <v>20.2930005425936</v>
      </c>
      <c r="G564">
        <f>Tableau1[[#This Row],[Cost (€/GJ)]]*3.6</f>
        <v>73.054801953336963</v>
      </c>
      <c r="H564">
        <v>25.7</v>
      </c>
      <c r="I564">
        <f>Tableau1[[#This Row],[GHG (kgCO2eq/GJ)]]*3.6</f>
        <v>92.52</v>
      </c>
      <c r="J564" t="s">
        <v>107</v>
      </c>
      <c r="K564" t="s">
        <v>109</v>
      </c>
    </row>
    <row r="565" spans="1:11" hidden="1" x14ac:dyDescent="0.3">
      <c r="A565" t="s">
        <v>33</v>
      </c>
      <c r="B565" t="s">
        <v>51</v>
      </c>
      <c r="C565" t="s">
        <v>75</v>
      </c>
      <c r="D565">
        <v>37.287610000000001</v>
      </c>
      <c r="E565">
        <f>Tableau1[[#This Row],[Potential (PJ)]]/3.6</f>
        <v>10.357669444444445</v>
      </c>
      <c r="F565">
        <v>4.3403137822462398E-2</v>
      </c>
      <c r="G565">
        <f>Tableau1[[#This Row],[Cost (€/GJ)]]*3.6</f>
        <v>0.15625129616086464</v>
      </c>
      <c r="H565">
        <v>11.74</v>
      </c>
      <c r="I565">
        <f>Tableau1[[#This Row],[GHG (kgCO2eq/GJ)]]*3.6</f>
        <v>42.264000000000003</v>
      </c>
      <c r="J565" t="s">
        <v>104</v>
      </c>
      <c r="K565" t="s">
        <v>108</v>
      </c>
    </row>
    <row r="566" spans="1:11" hidden="1" x14ac:dyDescent="0.3">
      <c r="A566" t="s">
        <v>33</v>
      </c>
      <c r="B566" t="s">
        <v>60</v>
      </c>
      <c r="C566" t="s">
        <v>98</v>
      </c>
      <c r="D566">
        <v>1.047E-2</v>
      </c>
      <c r="E566">
        <f>Tableau1[[#This Row],[Potential (PJ)]]/3.6</f>
        <v>2.9083333333333335E-3</v>
      </c>
      <c r="F566">
        <v>12.19119226638024</v>
      </c>
      <c r="G566">
        <f>Tableau1[[#This Row],[Cost (€/GJ)]]*3.6</f>
        <v>43.888292158968866</v>
      </c>
      <c r="H566">
        <v>61.8</v>
      </c>
      <c r="I566">
        <f>Tableau1[[#This Row],[GHG (kgCO2eq/GJ)]]*3.6</f>
        <v>222.48</v>
      </c>
      <c r="J566" t="s">
        <v>107</v>
      </c>
      <c r="K566" t="s">
        <v>109</v>
      </c>
    </row>
    <row r="567" spans="1:11" hidden="1" x14ac:dyDescent="0.3">
      <c r="A567" t="s">
        <v>33</v>
      </c>
      <c r="B567" t="s">
        <v>52</v>
      </c>
      <c r="C567" t="s">
        <v>76</v>
      </c>
      <c r="D567">
        <v>0.28000000000000003</v>
      </c>
      <c r="E567">
        <f>Tableau1[[#This Row],[Potential (PJ)]]/3.6</f>
        <v>7.7777777777777779E-2</v>
      </c>
      <c r="F567">
        <v>6.1837425000000001</v>
      </c>
      <c r="G567">
        <f>Tableau1[[#This Row],[Cost (€/GJ)]]*3.6</f>
        <v>22.261473000000002</v>
      </c>
      <c r="H567">
        <v>12.68872359754714</v>
      </c>
      <c r="I567">
        <f>Tableau1[[#This Row],[GHG (kgCO2eq/GJ)]]*3.6</f>
        <v>45.679404951169708</v>
      </c>
      <c r="J567" t="s">
        <v>105</v>
      </c>
      <c r="K567" t="s">
        <v>108</v>
      </c>
    </row>
    <row r="568" spans="1:11" hidden="1" x14ac:dyDescent="0.3">
      <c r="A568" t="s">
        <v>33</v>
      </c>
      <c r="B568" t="s">
        <v>53</v>
      </c>
      <c r="C568" t="s">
        <v>77</v>
      </c>
      <c r="D568">
        <v>0.96850000000000003</v>
      </c>
      <c r="E568">
        <f>Tableau1[[#This Row],[Potential (PJ)]]/3.6</f>
        <v>0.26902777777777775</v>
      </c>
      <c r="F568">
        <v>4.3504527620030977</v>
      </c>
      <c r="G568">
        <f>Tableau1[[#This Row],[Cost (€/GJ)]]*3.6</f>
        <v>15.661629943211151</v>
      </c>
      <c r="H568">
        <v>3.86607608129234</v>
      </c>
      <c r="I568">
        <f>Tableau1[[#This Row],[GHG (kgCO2eq/GJ)]]*3.6</f>
        <v>13.917873892652425</v>
      </c>
      <c r="J568" t="s">
        <v>104</v>
      </c>
      <c r="K568" t="s">
        <v>108</v>
      </c>
    </row>
    <row r="569" spans="1:11" hidden="1" x14ac:dyDescent="0.3">
      <c r="A569" t="s">
        <v>33</v>
      </c>
      <c r="B569" t="s">
        <v>54</v>
      </c>
      <c r="C569" t="s">
        <v>78</v>
      </c>
      <c r="D569">
        <v>5.7</v>
      </c>
      <c r="E569">
        <f>Tableau1[[#This Row],[Potential (PJ)]]/3.6</f>
        <v>1.5833333333333333</v>
      </c>
      <c r="F569">
        <v>9.0371578947368416</v>
      </c>
      <c r="G569">
        <f>Tableau1[[#This Row],[Cost (€/GJ)]]*3.6</f>
        <v>32.533768421052628</v>
      </c>
      <c r="H569">
        <v>3.86607608129234</v>
      </c>
      <c r="I569">
        <f>Tableau1[[#This Row],[GHG (kgCO2eq/GJ)]]*3.6</f>
        <v>13.917873892652425</v>
      </c>
      <c r="J569" t="s">
        <v>104</v>
      </c>
      <c r="K569" t="s">
        <v>108</v>
      </c>
    </row>
    <row r="570" spans="1:11" x14ac:dyDescent="0.3">
      <c r="A570" t="s">
        <v>34</v>
      </c>
      <c r="B570" t="s">
        <v>47</v>
      </c>
      <c r="C570" t="s">
        <v>101</v>
      </c>
      <c r="D570">
        <v>4.3</v>
      </c>
      <c r="E570">
        <f>Tableau1[[#This Row],[Potential (PJ)]]/3.6</f>
        <v>1.1944444444444444</v>
      </c>
      <c r="F570">
        <v>7.399</v>
      </c>
      <c r="G570">
        <f>Tableau1[[#This Row],[Cost (€/GJ)]]*3.6</f>
        <v>26.636400000000002</v>
      </c>
      <c r="H570">
        <v>0</v>
      </c>
      <c r="I570">
        <f>Tableau1[[#This Row],[GHG (kgCO2eq/GJ)]]*3.6</f>
        <v>0</v>
      </c>
      <c r="J570" t="s">
        <v>104</v>
      </c>
      <c r="K570" t="s">
        <v>109</v>
      </c>
    </row>
    <row r="571" spans="1:11" x14ac:dyDescent="0.3">
      <c r="A571" t="s">
        <v>34</v>
      </c>
      <c r="B571" t="s">
        <v>57</v>
      </c>
      <c r="C571" t="s">
        <v>94</v>
      </c>
      <c r="D571">
        <v>4</v>
      </c>
      <c r="E571">
        <f>Tableau1[[#This Row],[Potential (PJ)]]/3.6</f>
        <v>1.1111111111111112</v>
      </c>
      <c r="F571">
        <v>12.893000000000001</v>
      </c>
      <c r="G571">
        <f>Tableau1[[#This Row],[Cost (€/GJ)]]*3.6</f>
        <v>46.414800000000007</v>
      </c>
      <c r="H571">
        <v>0</v>
      </c>
      <c r="I571">
        <f>Tableau1[[#This Row],[GHG (kgCO2eq/GJ)]]*3.6</f>
        <v>0</v>
      </c>
      <c r="J571" t="s">
        <v>104</v>
      </c>
      <c r="K571" t="s">
        <v>109</v>
      </c>
    </row>
    <row r="572" spans="1:11" hidden="1" x14ac:dyDescent="0.3">
      <c r="A572" t="s">
        <v>34</v>
      </c>
      <c r="B572" t="s">
        <v>49</v>
      </c>
      <c r="C572" t="s">
        <v>71</v>
      </c>
      <c r="D572">
        <v>9.8438599999999994</v>
      </c>
      <c r="E572">
        <f>Tableau1[[#This Row],[Potential (PJ)]]/3.6</f>
        <v>2.7344055555555555</v>
      </c>
      <c r="F572">
        <v>4.4158013452040157</v>
      </c>
      <c r="G572">
        <f>Tableau1[[#This Row],[Cost (€/GJ)]]*3.6</f>
        <v>15.896884842734456</v>
      </c>
      <c r="H572">
        <v>3.86607608129234</v>
      </c>
      <c r="I572">
        <f>Tableau1[[#This Row],[GHG (kgCO2eq/GJ)]]*3.6</f>
        <v>13.917873892652425</v>
      </c>
      <c r="J572" t="s">
        <v>104</v>
      </c>
      <c r="K572" t="s">
        <v>108</v>
      </c>
    </row>
    <row r="573" spans="1:11" hidden="1" x14ac:dyDescent="0.3">
      <c r="A573" t="s">
        <v>34</v>
      </c>
      <c r="B573" t="s">
        <v>49</v>
      </c>
      <c r="C573" t="s">
        <v>72</v>
      </c>
      <c r="D573">
        <v>0.9</v>
      </c>
      <c r="E573">
        <f>Tableau1[[#This Row],[Potential (PJ)]]/3.6</f>
        <v>0.25</v>
      </c>
      <c r="F573">
        <v>3.529555555555556</v>
      </c>
      <c r="G573">
        <f>Tableau1[[#This Row],[Cost (€/GJ)]]*3.6</f>
        <v>12.706400000000002</v>
      </c>
      <c r="H573">
        <v>3.86607608129234</v>
      </c>
      <c r="I573">
        <f>Tableau1[[#This Row],[GHG (kgCO2eq/GJ)]]*3.6</f>
        <v>13.917873892652425</v>
      </c>
      <c r="J573" t="s">
        <v>104</v>
      </c>
      <c r="K573" t="s">
        <v>108</v>
      </c>
    </row>
    <row r="574" spans="1:11" hidden="1" x14ac:dyDescent="0.3">
      <c r="A574" t="s">
        <v>34</v>
      </c>
      <c r="B574" t="s">
        <v>51</v>
      </c>
      <c r="C574" t="s">
        <v>75</v>
      </c>
      <c r="D574">
        <v>19.993659999999998</v>
      </c>
      <c r="E574">
        <f>Tableau1[[#This Row],[Potential (PJ)]]/3.6</f>
        <v>5.5537944444444438</v>
      </c>
      <c r="F574">
        <v>2.8543911837744899E-3</v>
      </c>
      <c r="G574">
        <f>Tableau1[[#This Row],[Cost (€/GJ)]]*3.6</f>
        <v>1.0275808261588163E-2</v>
      </c>
      <c r="H574">
        <v>11.74</v>
      </c>
      <c r="I574">
        <f>Tableau1[[#This Row],[GHG (kgCO2eq/GJ)]]*3.6</f>
        <v>42.264000000000003</v>
      </c>
      <c r="J574" t="s">
        <v>104</v>
      </c>
      <c r="K574" t="s">
        <v>108</v>
      </c>
    </row>
    <row r="575" spans="1:11" hidden="1" x14ac:dyDescent="0.3">
      <c r="A575" t="s">
        <v>34</v>
      </c>
      <c r="B575" t="s">
        <v>52</v>
      </c>
      <c r="C575" t="s">
        <v>76</v>
      </c>
      <c r="D575">
        <v>0.59</v>
      </c>
      <c r="E575">
        <f>Tableau1[[#This Row],[Potential (PJ)]]/3.6</f>
        <v>0.16388888888888889</v>
      </c>
      <c r="F575">
        <v>6.1837425000000001</v>
      </c>
      <c r="G575">
        <f>Tableau1[[#This Row],[Cost (€/GJ)]]*3.6</f>
        <v>22.261473000000002</v>
      </c>
      <c r="H575">
        <v>12.68872359754714</v>
      </c>
      <c r="I575">
        <f>Tableau1[[#This Row],[GHG (kgCO2eq/GJ)]]*3.6</f>
        <v>45.679404951169708</v>
      </c>
      <c r="J575" t="s">
        <v>105</v>
      </c>
      <c r="K575" t="s">
        <v>108</v>
      </c>
    </row>
    <row r="576" spans="1:11" hidden="1" x14ac:dyDescent="0.3">
      <c r="A576" t="s">
        <v>34</v>
      </c>
      <c r="B576" t="s">
        <v>53</v>
      </c>
      <c r="C576" t="s">
        <v>77</v>
      </c>
      <c r="D576">
        <v>4.9630999999999998</v>
      </c>
      <c r="E576">
        <f>Tableau1[[#This Row],[Potential (PJ)]]/3.6</f>
        <v>1.3786388888888887</v>
      </c>
      <c r="F576">
        <v>3.5300214704519361</v>
      </c>
      <c r="G576">
        <f>Tableau1[[#This Row],[Cost (€/GJ)]]*3.6</f>
        <v>12.708077293626971</v>
      </c>
      <c r="H576">
        <v>3.86607608129234</v>
      </c>
      <c r="I576">
        <f>Tableau1[[#This Row],[GHG (kgCO2eq/GJ)]]*3.6</f>
        <v>13.917873892652425</v>
      </c>
      <c r="J576" t="s">
        <v>104</v>
      </c>
      <c r="K576" t="s">
        <v>108</v>
      </c>
    </row>
    <row r="577" spans="1:11" hidden="1" x14ac:dyDescent="0.3">
      <c r="A577" t="s">
        <v>34</v>
      </c>
      <c r="B577" t="s">
        <v>54</v>
      </c>
      <c r="C577" t="s">
        <v>78</v>
      </c>
      <c r="D577">
        <v>57.099999999999987</v>
      </c>
      <c r="E577">
        <f>Tableau1[[#This Row],[Potential (PJ)]]/3.6</f>
        <v>15.861111111111107</v>
      </c>
      <c r="F577">
        <v>7.2465306479859892</v>
      </c>
      <c r="G577">
        <f>Tableau1[[#This Row],[Cost (€/GJ)]]*3.6</f>
        <v>26.087510332749563</v>
      </c>
      <c r="H577">
        <v>3.86607608129234</v>
      </c>
      <c r="I577">
        <f>Tableau1[[#This Row],[GHG (kgCO2eq/GJ)]]*3.6</f>
        <v>13.917873892652425</v>
      </c>
      <c r="J577" t="s">
        <v>104</v>
      </c>
      <c r="K577" t="s">
        <v>108</v>
      </c>
    </row>
    <row r="578" spans="1:11" hidden="1" x14ac:dyDescent="0.3">
      <c r="A578" t="s">
        <v>35</v>
      </c>
      <c r="B578" t="s">
        <v>46</v>
      </c>
      <c r="C578" t="s">
        <v>64</v>
      </c>
      <c r="D578">
        <v>0.39818999999999999</v>
      </c>
      <c r="E578">
        <f>Tableau1[[#This Row],[Potential (PJ)]]/3.6</f>
        <v>0.11060833333333332</v>
      </c>
      <c r="F578">
        <v>5.2307054170119791</v>
      </c>
      <c r="G578">
        <f>Tableau1[[#This Row],[Cost (€/GJ)]]*3.6</f>
        <v>18.830539501243127</v>
      </c>
      <c r="H578">
        <v>2.9521711768407801</v>
      </c>
      <c r="I578">
        <f>Tableau1[[#This Row],[GHG (kgCO2eq/GJ)]]*3.6</f>
        <v>10.627816236626808</v>
      </c>
      <c r="J578" t="s">
        <v>104</v>
      </c>
      <c r="K578" t="s">
        <v>108</v>
      </c>
    </row>
    <row r="579" spans="1:11" hidden="1" x14ac:dyDescent="0.3">
      <c r="A579" t="s">
        <v>35</v>
      </c>
      <c r="B579" t="s">
        <v>46</v>
      </c>
      <c r="C579" t="s">
        <v>79</v>
      </c>
      <c r="D579">
        <v>33</v>
      </c>
      <c r="E579">
        <f>Tableau1[[#This Row],[Potential (PJ)]]/3.6</f>
        <v>9.1666666666666661</v>
      </c>
      <c r="F579">
        <v>2.5207393939393938</v>
      </c>
      <c r="G579">
        <f>Tableau1[[#This Row],[Cost (€/GJ)]]*3.6</f>
        <v>9.0746618181818182</v>
      </c>
      <c r="H579">
        <v>6.8428961748633883</v>
      </c>
      <c r="I579">
        <f>Tableau1[[#This Row],[GHG (kgCO2eq/GJ)]]*3.6</f>
        <v>24.634426229508197</v>
      </c>
      <c r="J579" t="s">
        <v>104</v>
      </c>
      <c r="K579" t="s">
        <v>108</v>
      </c>
    </row>
    <row r="580" spans="1:11" hidden="1" x14ac:dyDescent="0.3">
      <c r="A580" t="s">
        <v>35</v>
      </c>
      <c r="B580" t="s">
        <v>46</v>
      </c>
      <c r="C580" t="s">
        <v>65</v>
      </c>
      <c r="D580">
        <v>0.5</v>
      </c>
      <c r="E580">
        <f>Tableau1[[#This Row],[Potential (PJ)]]/3.6</f>
        <v>0.1388888888888889</v>
      </c>
      <c r="F580">
        <v>3.8879999999999999</v>
      </c>
      <c r="G580">
        <f>Tableau1[[#This Row],[Cost (€/GJ)]]*3.6</f>
        <v>13.9968</v>
      </c>
      <c r="H580">
        <v>2.9521711768407801</v>
      </c>
      <c r="I580">
        <f>Tableau1[[#This Row],[GHG (kgCO2eq/GJ)]]*3.6</f>
        <v>10.627816236626808</v>
      </c>
      <c r="J580" t="s">
        <v>104</v>
      </c>
      <c r="K580" t="s">
        <v>108</v>
      </c>
    </row>
    <row r="581" spans="1:11" hidden="1" x14ac:dyDescent="0.3">
      <c r="A581" t="s">
        <v>35</v>
      </c>
      <c r="B581" t="s">
        <v>46</v>
      </c>
      <c r="C581" t="s">
        <v>80</v>
      </c>
      <c r="D581">
        <v>0.88819999999999999</v>
      </c>
      <c r="E581">
        <f>Tableau1[[#This Row],[Potential (PJ)]]/3.6</f>
        <v>0.2467222222222222</v>
      </c>
      <c r="F581">
        <v>0.46459878624409978</v>
      </c>
      <c r="G581">
        <f>Tableau1[[#This Row],[Cost (€/GJ)]]*3.6</f>
        <v>1.6725556304787592</v>
      </c>
      <c r="H581">
        <v>28.139870918023309</v>
      </c>
      <c r="I581">
        <f>Tableau1[[#This Row],[GHG (kgCO2eq/GJ)]]*3.6</f>
        <v>101.30353530488391</v>
      </c>
      <c r="J581" t="s">
        <v>105</v>
      </c>
      <c r="K581" t="s">
        <v>108</v>
      </c>
    </row>
    <row r="582" spans="1:11" hidden="1" x14ac:dyDescent="0.3">
      <c r="A582" t="s">
        <v>35</v>
      </c>
      <c r="B582" t="s">
        <v>46</v>
      </c>
      <c r="C582" t="s">
        <v>81</v>
      </c>
      <c r="D582">
        <v>3.4298999999999999</v>
      </c>
      <c r="E582">
        <f>Tableau1[[#This Row],[Potential (PJ)]]/3.6</f>
        <v>0.95274999999999999</v>
      </c>
      <c r="F582">
        <v>0.69388954171562867</v>
      </c>
      <c r="G582">
        <f>Tableau1[[#This Row],[Cost (€/GJ)]]*3.6</f>
        <v>2.4980023501762632</v>
      </c>
      <c r="H582">
        <v>8.9647473560517046</v>
      </c>
      <c r="I582">
        <f>Tableau1[[#This Row],[GHG (kgCO2eq/GJ)]]*3.6</f>
        <v>32.273090481786134</v>
      </c>
      <c r="J582" t="s">
        <v>105</v>
      </c>
      <c r="K582" t="s">
        <v>108</v>
      </c>
    </row>
    <row r="583" spans="1:11" hidden="1" x14ac:dyDescent="0.3">
      <c r="A583" t="s">
        <v>35</v>
      </c>
      <c r="B583" t="s">
        <v>46</v>
      </c>
      <c r="C583" t="s">
        <v>82</v>
      </c>
      <c r="D583">
        <v>1.2</v>
      </c>
      <c r="E583">
        <f>Tableau1[[#This Row],[Potential (PJ)]]/3.6</f>
        <v>0.33333333333333331</v>
      </c>
      <c r="F583">
        <v>1.613833333333333</v>
      </c>
      <c r="G583">
        <f>Tableau1[[#This Row],[Cost (€/GJ)]]*3.6</f>
        <v>5.8097999999999992</v>
      </c>
      <c r="H583">
        <v>6.8428961748633883</v>
      </c>
      <c r="I583">
        <f>Tableau1[[#This Row],[GHG (kgCO2eq/GJ)]]*3.6</f>
        <v>24.634426229508197</v>
      </c>
      <c r="J583" t="s">
        <v>104</v>
      </c>
      <c r="K583" t="s">
        <v>108</v>
      </c>
    </row>
    <row r="584" spans="1:11" hidden="1" x14ac:dyDescent="0.3">
      <c r="A584" t="s">
        <v>35</v>
      </c>
      <c r="B584" t="s">
        <v>46</v>
      </c>
      <c r="C584" t="s">
        <v>84</v>
      </c>
      <c r="D584">
        <v>1.1000000000000001</v>
      </c>
      <c r="E584">
        <f>Tableau1[[#This Row],[Potential (PJ)]]/3.6</f>
        <v>0.30555555555555558</v>
      </c>
      <c r="F584">
        <v>1.558272727272727</v>
      </c>
      <c r="G584">
        <f>Tableau1[[#This Row],[Cost (€/GJ)]]*3.6</f>
        <v>5.6097818181818173</v>
      </c>
      <c r="H584">
        <v>28.139870918023309</v>
      </c>
      <c r="I584">
        <f>Tableau1[[#This Row],[GHG (kgCO2eq/GJ)]]*3.6</f>
        <v>101.30353530488391</v>
      </c>
      <c r="J584" t="s">
        <v>105</v>
      </c>
      <c r="K584" t="s">
        <v>108</v>
      </c>
    </row>
    <row r="585" spans="1:11" hidden="1" x14ac:dyDescent="0.3">
      <c r="A585" t="s">
        <v>35</v>
      </c>
      <c r="B585" t="s">
        <v>55</v>
      </c>
      <c r="C585" t="s">
        <v>86</v>
      </c>
      <c r="D585">
        <v>5.6150000000000002</v>
      </c>
      <c r="E585">
        <f>Tableau1[[#This Row],[Potential (PJ)]]/3.6</f>
        <v>1.5597222222222222</v>
      </c>
      <c r="F585">
        <v>14.813999999999989</v>
      </c>
      <c r="G585">
        <f>Tableau1[[#This Row],[Cost (€/GJ)]]*3.6</f>
        <v>53.330399999999962</v>
      </c>
      <c r="H585">
        <v>12.3</v>
      </c>
      <c r="I585">
        <f>Tableau1[[#This Row],[GHG (kgCO2eq/GJ)]]*3.6</f>
        <v>44.28</v>
      </c>
      <c r="J585" t="s">
        <v>106</v>
      </c>
      <c r="K585" t="s">
        <v>109</v>
      </c>
    </row>
    <row r="586" spans="1:11" hidden="1" x14ac:dyDescent="0.3">
      <c r="A586" t="s">
        <v>35</v>
      </c>
      <c r="B586" t="s">
        <v>55</v>
      </c>
      <c r="C586" t="s">
        <v>88</v>
      </c>
      <c r="D586">
        <v>0.1028</v>
      </c>
      <c r="E586">
        <f>Tableau1[[#This Row],[Potential (PJ)]]/3.6</f>
        <v>2.8555555555555556E-2</v>
      </c>
      <c r="F586">
        <v>15.557</v>
      </c>
      <c r="G586">
        <f>Tableau1[[#This Row],[Cost (€/GJ)]]*3.6</f>
        <v>56.005200000000002</v>
      </c>
      <c r="H586">
        <v>12.3</v>
      </c>
      <c r="I586">
        <f>Tableau1[[#This Row],[GHG (kgCO2eq/GJ)]]*3.6</f>
        <v>44.28</v>
      </c>
      <c r="J586" t="s">
        <v>106</v>
      </c>
      <c r="K586" t="s">
        <v>109</v>
      </c>
    </row>
    <row r="587" spans="1:11" hidden="1" x14ac:dyDescent="0.3">
      <c r="A587" t="s">
        <v>35</v>
      </c>
      <c r="B587" t="s">
        <v>55</v>
      </c>
      <c r="C587" t="s">
        <v>90</v>
      </c>
      <c r="D587">
        <v>0.3327</v>
      </c>
      <c r="E587">
        <f>Tableau1[[#This Row],[Potential (PJ)]]/3.6</f>
        <v>9.2416666666666661E-2</v>
      </c>
      <c r="F587">
        <v>15.294</v>
      </c>
      <c r="G587">
        <f>Tableau1[[#This Row],[Cost (€/GJ)]]*3.6</f>
        <v>55.058400000000006</v>
      </c>
      <c r="H587">
        <v>12.3</v>
      </c>
      <c r="I587">
        <f>Tableau1[[#This Row],[GHG (kgCO2eq/GJ)]]*3.6</f>
        <v>44.28</v>
      </c>
      <c r="J587" t="s">
        <v>106</v>
      </c>
      <c r="K587" t="s">
        <v>109</v>
      </c>
    </row>
    <row r="588" spans="1:11" hidden="1" x14ac:dyDescent="0.3">
      <c r="A588" t="s">
        <v>35</v>
      </c>
      <c r="B588" t="s">
        <v>55</v>
      </c>
      <c r="C588" t="s">
        <v>91</v>
      </c>
      <c r="D588">
        <v>8.6145999999999994</v>
      </c>
      <c r="E588">
        <f>Tableau1[[#This Row],[Potential (PJ)]]/3.6</f>
        <v>2.3929444444444443</v>
      </c>
      <c r="F588">
        <v>12.90199999999999</v>
      </c>
      <c r="G588">
        <f>Tableau1[[#This Row],[Cost (€/GJ)]]*3.6</f>
        <v>46.447199999999967</v>
      </c>
      <c r="H588">
        <v>12.3</v>
      </c>
      <c r="I588">
        <f>Tableau1[[#This Row],[GHG (kgCO2eq/GJ)]]*3.6</f>
        <v>44.28</v>
      </c>
      <c r="J588" t="s">
        <v>106</v>
      </c>
      <c r="K588" t="s">
        <v>109</v>
      </c>
    </row>
    <row r="589" spans="1:11" hidden="1" x14ac:dyDescent="0.3">
      <c r="A589" t="s">
        <v>35</v>
      </c>
      <c r="B589" t="s">
        <v>55</v>
      </c>
      <c r="C589" t="s">
        <v>92</v>
      </c>
      <c r="D589">
        <v>3.80125</v>
      </c>
      <c r="E589">
        <f>Tableau1[[#This Row],[Potential (PJ)]]/3.6</f>
        <v>1.0559027777777779</v>
      </c>
      <c r="F589">
        <v>15.932</v>
      </c>
      <c r="G589">
        <f>Tableau1[[#This Row],[Cost (€/GJ)]]*3.6</f>
        <v>57.355200000000004</v>
      </c>
      <c r="H589">
        <v>12.3</v>
      </c>
      <c r="I589">
        <f>Tableau1[[#This Row],[GHG (kgCO2eq/GJ)]]*3.6</f>
        <v>44.28</v>
      </c>
      <c r="J589" t="s">
        <v>106</v>
      </c>
      <c r="K589" t="s">
        <v>109</v>
      </c>
    </row>
    <row r="590" spans="1:11" hidden="1" x14ac:dyDescent="0.3">
      <c r="A590" t="s">
        <v>35</v>
      </c>
      <c r="B590" t="s">
        <v>56</v>
      </c>
      <c r="C590" t="s">
        <v>93</v>
      </c>
      <c r="D590">
        <v>133.03559999999999</v>
      </c>
      <c r="E590">
        <f>Tableau1[[#This Row],[Potential (PJ)]]/3.6</f>
        <v>36.954333333333331</v>
      </c>
      <c r="F590">
        <v>2.9493975903614462</v>
      </c>
      <c r="G590">
        <f>Tableau1[[#This Row],[Cost (€/GJ)]]*3.6</f>
        <v>10.617831325301207</v>
      </c>
      <c r="H590">
        <v>29.5</v>
      </c>
      <c r="I590">
        <f>Tableau1[[#This Row],[GHG (kgCO2eq/GJ)]]*3.6</f>
        <v>106.2</v>
      </c>
      <c r="J590" t="s">
        <v>106</v>
      </c>
      <c r="K590" t="s">
        <v>109</v>
      </c>
    </row>
    <row r="591" spans="1:11" x14ac:dyDescent="0.3">
      <c r="A591" t="s">
        <v>35</v>
      </c>
      <c r="B591" t="s">
        <v>47</v>
      </c>
      <c r="C591" t="s">
        <v>101</v>
      </c>
      <c r="D591">
        <v>95</v>
      </c>
      <c r="E591">
        <f>Tableau1[[#This Row],[Potential (PJ)]]/3.6</f>
        <v>26.388888888888889</v>
      </c>
      <c r="F591">
        <v>3.3947389473684209</v>
      </c>
      <c r="G591">
        <f>Tableau1[[#This Row],[Cost (€/GJ)]]*3.6</f>
        <v>12.221060210526316</v>
      </c>
      <c r="H591">
        <v>44</v>
      </c>
      <c r="I591">
        <f>Tableau1[[#This Row],[GHG (kgCO2eq/GJ)]]*3.6</f>
        <v>158.4</v>
      </c>
      <c r="J591" t="s">
        <v>104</v>
      </c>
      <c r="K591" t="s">
        <v>109</v>
      </c>
    </row>
    <row r="592" spans="1:11" x14ac:dyDescent="0.3">
      <c r="A592" t="s">
        <v>35</v>
      </c>
      <c r="B592" t="s">
        <v>57</v>
      </c>
      <c r="C592" t="s">
        <v>94</v>
      </c>
      <c r="D592">
        <v>67</v>
      </c>
      <c r="E592">
        <f>Tableau1[[#This Row],[Potential (PJ)]]/3.6</f>
        <v>18.611111111111111</v>
      </c>
      <c r="F592">
        <v>7.99805223880597</v>
      </c>
      <c r="G592">
        <f>Tableau1[[#This Row],[Cost (€/GJ)]]*3.6</f>
        <v>28.792988059701493</v>
      </c>
      <c r="H592">
        <v>19.899999999999999</v>
      </c>
      <c r="I592">
        <f>Tableau1[[#This Row],[GHG (kgCO2eq/GJ)]]*3.6</f>
        <v>71.64</v>
      </c>
      <c r="J592" t="s">
        <v>104</v>
      </c>
      <c r="K592" t="s">
        <v>109</v>
      </c>
    </row>
    <row r="593" spans="1:11" hidden="1" x14ac:dyDescent="0.3">
      <c r="A593" t="s">
        <v>35</v>
      </c>
      <c r="B593" t="s">
        <v>49</v>
      </c>
      <c r="C593" t="s">
        <v>71</v>
      </c>
      <c r="D593">
        <v>42.752319999999997</v>
      </c>
      <c r="E593">
        <f>Tableau1[[#This Row],[Potential (PJ)]]/3.6</f>
        <v>11.875644444444443</v>
      </c>
      <c r="F593">
        <v>2.642585927500543</v>
      </c>
      <c r="G593">
        <f>Tableau1[[#This Row],[Cost (€/GJ)]]*3.6</f>
        <v>9.513309339001955</v>
      </c>
      <c r="H593">
        <v>3.86607608129234</v>
      </c>
      <c r="I593">
        <f>Tableau1[[#This Row],[GHG (kgCO2eq/GJ)]]*3.6</f>
        <v>13.917873892652425</v>
      </c>
      <c r="J593" t="s">
        <v>104</v>
      </c>
      <c r="K593" t="s">
        <v>108</v>
      </c>
    </row>
    <row r="594" spans="1:11" hidden="1" x14ac:dyDescent="0.3">
      <c r="A594" t="s">
        <v>35</v>
      </c>
      <c r="B594" t="s">
        <v>49</v>
      </c>
      <c r="C594" t="s">
        <v>72</v>
      </c>
      <c r="D594">
        <v>2.2000000000000002</v>
      </c>
      <c r="E594">
        <f>Tableau1[[#This Row],[Potential (PJ)]]/3.6</f>
        <v>0.61111111111111116</v>
      </c>
      <c r="F594">
        <v>3.5821818181818181</v>
      </c>
      <c r="G594">
        <f>Tableau1[[#This Row],[Cost (€/GJ)]]*3.6</f>
        <v>12.895854545454545</v>
      </c>
      <c r="H594">
        <v>3.86607608129234</v>
      </c>
      <c r="I594">
        <f>Tableau1[[#This Row],[GHG (kgCO2eq/GJ)]]*3.6</f>
        <v>13.917873892652425</v>
      </c>
      <c r="J594" t="s">
        <v>104</v>
      </c>
      <c r="K594" t="s">
        <v>108</v>
      </c>
    </row>
    <row r="595" spans="1:11" hidden="1" x14ac:dyDescent="0.3">
      <c r="A595" t="s">
        <v>35</v>
      </c>
      <c r="B595" t="s">
        <v>58</v>
      </c>
      <c r="C595" t="s">
        <v>95</v>
      </c>
      <c r="D595">
        <v>4.9783099999999996</v>
      </c>
      <c r="E595">
        <f>Tableau1[[#This Row],[Potential (PJ)]]/3.6</f>
        <v>1.3828638888888887</v>
      </c>
      <c r="F595">
        <v>1.4567728767392949</v>
      </c>
      <c r="G595">
        <f>Tableau1[[#This Row],[Cost (€/GJ)]]*3.6</f>
        <v>5.244382356261462</v>
      </c>
      <c r="H595">
        <v>2.9521711768407801</v>
      </c>
      <c r="I595">
        <f>Tableau1[[#This Row],[GHG (kgCO2eq/GJ)]]*3.6</f>
        <v>10.627816236626808</v>
      </c>
      <c r="J595" t="s">
        <v>104</v>
      </c>
      <c r="K595" t="s">
        <v>108</v>
      </c>
    </row>
    <row r="596" spans="1:11" hidden="1" x14ac:dyDescent="0.3">
      <c r="A596" t="s">
        <v>35</v>
      </c>
      <c r="B596" t="s">
        <v>50</v>
      </c>
      <c r="C596" t="s">
        <v>73</v>
      </c>
      <c r="D596">
        <v>2.2999999999999998</v>
      </c>
      <c r="E596">
        <f>Tableau1[[#This Row],[Potential (PJ)]]/3.6</f>
        <v>0.63888888888888884</v>
      </c>
      <c r="F596">
        <v>5.1072173913043484</v>
      </c>
      <c r="G596">
        <f>Tableau1[[#This Row],[Cost (€/GJ)]]*3.6</f>
        <v>18.385982608695656</v>
      </c>
      <c r="H596">
        <v>20.723404255319149</v>
      </c>
      <c r="I596">
        <f>Tableau1[[#This Row],[GHG (kgCO2eq/GJ)]]*3.6</f>
        <v>74.604255319148933</v>
      </c>
      <c r="J596" t="s">
        <v>105</v>
      </c>
      <c r="K596" t="s">
        <v>108</v>
      </c>
    </row>
    <row r="597" spans="1:11" hidden="1" x14ac:dyDescent="0.3">
      <c r="A597" t="s">
        <v>35</v>
      </c>
      <c r="B597" t="s">
        <v>50</v>
      </c>
      <c r="C597" t="s">
        <v>74</v>
      </c>
      <c r="D597">
        <v>70.100000000000009</v>
      </c>
      <c r="E597">
        <f>Tableau1[[#This Row],[Potential (PJ)]]/3.6</f>
        <v>19.472222222222225</v>
      </c>
      <c r="F597">
        <v>3.780707560627675</v>
      </c>
      <c r="G597">
        <f>Tableau1[[#This Row],[Cost (€/GJ)]]*3.6</f>
        <v>13.610547218259629</v>
      </c>
      <c r="H597">
        <v>2.0635593220338988</v>
      </c>
      <c r="I597">
        <f>Tableau1[[#This Row],[GHG (kgCO2eq/GJ)]]*3.6</f>
        <v>7.4288135593220357</v>
      </c>
      <c r="J597" t="s">
        <v>105</v>
      </c>
      <c r="K597" t="s">
        <v>108</v>
      </c>
    </row>
    <row r="598" spans="1:11" hidden="1" x14ac:dyDescent="0.3">
      <c r="A598" t="s">
        <v>35</v>
      </c>
      <c r="B598" t="s">
        <v>59</v>
      </c>
      <c r="C598" t="s">
        <v>96</v>
      </c>
      <c r="D598">
        <v>9.2499999999999999E-2</v>
      </c>
      <c r="E598">
        <f>Tableau1[[#This Row],[Potential (PJ)]]/3.6</f>
        <v>2.5694444444444443E-2</v>
      </c>
      <c r="F598">
        <v>29.969000000000001</v>
      </c>
      <c r="G598">
        <f>Tableau1[[#This Row],[Cost (€/GJ)]]*3.6</f>
        <v>107.8884</v>
      </c>
      <c r="H598">
        <v>16</v>
      </c>
      <c r="I598">
        <f>Tableau1[[#This Row],[GHG (kgCO2eq/GJ)]]*3.6</f>
        <v>57.6</v>
      </c>
      <c r="J598" t="s">
        <v>107</v>
      </c>
      <c r="K598" t="s">
        <v>109</v>
      </c>
    </row>
    <row r="599" spans="1:11" hidden="1" x14ac:dyDescent="0.3">
      <c r="A599" t="s">
        <v>35</v>
      </c>
      <c r="B599" t="s">
        <v>59</v>
      </c>
      <c r="C599" t="s">
        <v>97</v>
      </c>
      <c r="D599">
        <v>0.105</v>
      </c>
      <c r="E599">
        <f>Tableau1[[#This Row],[Potential (PJ)]]/3.6</f>
        <v>2.9166666666666664E-2</v>
      </c>
      <c r="F599">
        <v>19.099294628323381</v>
      </c>
      <c r="G599">
        <f>Tableau1[[#This Row],[Cost (€/GJ)]]*3.6</f>
        <v>68.757460661964174</v>
      </c>
      <c r="H599">
        <v>16</v>
      </c>
      <c r="I599">
        <f>Tableau1[[#This Row],[GHG (kgCO2eq/GJ)]]*3.6</f>
        <v>57.6</v>
      </c>
      <c r="J599" t="s">
        <v>107</v>
      </c>
      <c r="K599" t="s">
        <v>109</v>
      </c>
    </row>
    <row r="600" spans="1:11" hidden="1" x14ac:dyDescent="0.3">
      <c r="A600" t="s">
        <v>35</v>
      </c>
      <c r="B600" t="s">
        <v>51</v>
      </c>
      <c r="C600" t="s">
        <v>75</v>
      </c>
      <c r="D600">
        <v>20.338450000000002</v>
      </c>
      <c r="E600">
        <f>Tableau1[[#This Row],[Potential (PJ)]]/3.6</f>
        <v>5.6495694444444444</v>
      </c>
      <c r="F600">
        <v>2.3012324613981001E-3</v>
      </c>
      <c r="G600">
        <f>Tableau1[[#This Row],[Cost (€/GJ)]]*3.6</f>
        <v>8.2844368610331606E-3</v>
      </c>
      <c r="H600">
        <v>11.74</v>
      </c>
      <c r="I600">
        <f>Tableau1[[#This Row],[GHG (kgCO2eq/GJ)]]*3.6</f>
        <v>42.264000000000003</v>
      </c>
      <c r="J600" t="s">
        <v>104</v>
      </c>
      <c r="K600" t="s">
        <v>108</v>
      </c>
    </row>
    <row r="601" spans="1:11" hidden="1" x14ac:dyDescent="0.3">
      <c r="A601" t="s">
        <v>35</v>
      </c>
      <c r="B601" t="s">
        <v>60</v>
      </c>
      <c r="C601" t="s">
        <v>98</v>
      </c>
      <c r="D601">
        <v>7.8336299999999994</v>
      </c>
      <c r="E601">
        <f>Tableau1[[#This Row],[Potential (PJ)]]/3.6</f>
        <v>2.1760083333333333</v>
      </c>
      <c r="F601">
        <v>16.165413533834581</v>
      </c>
      <c r="G601">
        <f>Tableau1[[#This Row],[Cost (€/GJ)]]*3.6</f>
        <v>58.195488721804495</v>
      </c>
      <c r="H601">
        <v>46</v>
      </c>
      <c r="I601">
        <f>Tableau1[[#This Row],[GHG (kgCO2eq/GJ)]]*3.6</f>
        <v>165.6</v>
      </c>
      <c r="J601" t="s">
        <v>107</v>
      </c>
      <c r="K601" t="s">
        <v>109</v>
      </c>
    </row>
    <row r="602" spans="1:11" hidden="1" x14ac:dyDescent="0.3">
      <c r="A602" t="s">
        <v>35</v>
      </c>
      <c r="B602" t="s">
        <v>52</v>
      </c>
      <c r="C602" t="s">
        <v>76</v>
      </c>
      <c r="D602">
        <v>0.70299999999999996</v>
      </c>
      <c r="E602">
        <f>Tableau1[[#This Row],[Potential (PJ)]]/3.6</f>
        <v>0.19527777777777777</v>
      </c>
      <c r="F602">
        <v>6.1837425000000001</v>
      </c>
      <c r="G602">
        <f>Tableau1[[#This Row],[Cost (€/GJ)]]*3.6</f>
        <v>22.261473000000002</v>
      </c>
      <c r="H602">
        <v>12.68872359754714</v>
      </c>
      <c r="I602">
        <f>Tableau1[[#This Row],[GHG (kgCO2eq/GJ)]]*3.6</f>
        <v>45.679404951169708</v>
      </c>
      <c r="J602" t="s">
        <v>105</v>
      </c>
      <c r="K602" t="s">
        <v>108</v>
      </c>
    </row>
    <row r="603" spans="1:11" hidden="1" x14ac:dyDescent="0.3">
      <c r="A603" t="s">
        <v>35</v>
      </c>
      <c r="B603" t="s">
        <v>53</v>
      </c>
      <c r="C603" t="s">
        <v>77</v>
      </c>
      <c r="D603">
        <v>8.2977699999999999</v>
      </c>
      <c r="E603">
        <f>Tableau1[[#This Row],[Potential (PJ)]]/3.6</f>
        <v>2.3049361111111111</v>
      </c>
      <c r="F603">
        <v>3.5822217656069042</v>
      </c>
      <c r="G603">
        <f>Tableau1[[#This Row],[Cost (€/GJ)]]*3.6</f>
        <v>12.895998356184855</v>
      </c>
      <c r="H603">
        <v>3.86607608129234</v>
      </c>
      <c r="I603">
        <f>Tableau1[[#This Row],[GHG (kgCO2eq/GJ)]]*3.6</f>
        <v>13.917873892652425</v>
      </c>
      <c r="J603" t="s">
        <v>104</v>
      </c>
      <c r="K603" t="s">
        <v>108</v>
      </c>
    </row>
    <row r="604" spans="1:11" hidden="1" x14ac:dyDescent="0.3">
      <c r="A604" t="s">
        <v>35</v>
      </c>
      <c r="B604" t="s">
        <v>61</v>
      </c>
      <c r="C604" t="s">
        <v>99</v>
      </c>
      <c r="D604">
        <v>4</v>
      </c>
      <c r="E604">
        <f>Tableau1[[#This Row],[Potential (PJ)]]/3.6</f>
        <v>1.1111111111111112</v>
      </c>
      <c r="F604">
        <v>1.3432500000000001</v>
      </c>
      <c r="G604">
        <f>Tableau1[[#This Row],[Cost (€/GJ)]]*3.6</f>
        <v>4.8357000000000001</v>
      </c>
      <c r="H604">
        <v>2.9245635910224439</v>
      </c>
      <c r="I604">
        <f>Tableau1[[#This Row],[GHG (kgCO2eq/GJ)]]*3.6</f>
        <v>10.528428927680798</v>
      </c>
      <c r="J604" t="s">
        <v>104</v>
      </c>
      <c r="K604" t="s">
        <v>108</v>
      </c>
    </row>
    <row r="605" spans="1:11" hidden="1" x14ac:dyDescent="0.3">
      <c r="A605" t="s">
        <v>35</v>
      </c>
      <c r="B605" t="s">
        <v>62</v>
      </c>
      <c r="C605" t="s">
        <v>100</v>
      </c>
      <c r="D605">
        <v>0.4</v>
      </c>
      <c r="E605">
        <f>Tableau1[[#This Row],[Potential (PJ)]]/3.6</f>
        <v>0.11111111111111112</v>
      </c>
      <c r="F605">
        <v>0.1</v>
      </c>
      <c r="G605">
        <f>Tableau1[[#This Row],[Cost (€/GJ)]]*3.6</f>
        <v>0.36000000000000004</v>
      </c>
      <c r="H605">
        <v>2.6764106050305911</v>
      </c>
      <c r="I605">
        <f>Tableau1[[#This Row],[GHG (kgCO2eq/GJ)]]*3.6</f>
        <v>9.6350781781101276</v>
      </c>
      <c r="J605" t="s">
        <v>104</v>
      </c>
      <c r="K605" t="s">
        <v>108</v>
      </c>
    </row>
    <row r="606" spans="1:11" hidden="1" x14ac:dyDescent="0.3">
      <c r="A606" t="s">
        <v>35</v>
      </c>
      <c r="B606" t="s">
        <v>54</v>
      </c>
      <c r="C606" t="s">
        <v>78</v>
      </c>
      <c r="D606">
        <v>169.8</v>
      </c>
      <c r="E606">
        <f>Tableau1[[#This Row],[Potential (PJ)]]/3.6</f>
        <v>47.166666666666671</v>
      </c>
      <c r="F606">
        <v>3.5327302709069488</v>
      </c>
      <c r="G606">
        <f>Tableau1[[#This Row],[Cost (€/GJ)]]*3.6</f>
        <v>12.717828975265016</v>
      </c>
      <c r="H606">
        <v>3.86607608129234</v>
      </c>
      <c r="I606">
        <f>Tableau1[[#This Row],[GHG (kgCO2eq/GJ)]]*3.6</f>
        <v>13.917873892652425</v>
      </c>
      <c r="J606" t="s">
        <v>104</v>
      </c>
      <c r="K606" t="s">
        <v>108</v>
      </c>
    </row>
    <row r="607" spans="1:11" hidden="1" x14ac:dyDescent="0.3">
      <c r="A607" t="s">
        <v>36</v>
      </c>
      <c r="B607" t="s">
        <v>46</v>
      </c>
      <c r="C607" t="s">
        <v>63</v>
      </c>
      <c r="D607">
        <v>0.18479999999999999</v>
      </c>
      <c r="E607">
        <f>Tableau1[[#This Row],[Potential (PJ)]]/3.6</f>
        <v>5.1333333333333328E-2</v>
      </c>
      <c r="F607">
        <v>2.9286474973375931</v>
      </c>
      <c r="G607">
        <f>Tableau1[[#This Row],[Cost (€/GJ)]]*3.6</f>
        <v>10.543130990415335</v>
      </c>
      <c r="H607">
        <v>3.950479233226837</v>
      </c>
      <c r="I607">
        <f>Tableau1[[#This Row],[GHG (kgCO2eq/GJ)]]*3.6</f>
        <v>14.221725239616614</v>
      </c>
      <c r="J607" t="s">
        <v>104</v>
      </c>
      <c r="K607" t="s">
        <v>108</v>
      </c>
    </row>
    <row r="608" spans="1:11" hidden="1" x14ac:dyDescent="0.3">
      <c r="A608" t="s">
        <v>36</v>
      </c>
      <c r="B608" t="s">
        <v>46</v>
      </c>
      <c r="C608" t="s">
        <v>64</v>
      </c>
      <c r="D608">
        <v>2.69E-2</v>
      </c>
      <c r="E608">
        <f>Tableau1[[#This Row],[Potential (PJ)]]/3.6</f>
        <v>7.4722222222222221E-3</v>
      </c>
      <c r="F608">
        <v>5.1519773234200752</v>
      </c>
      <c r="G608">
        <f>Tableau1[[#This Row],[Cost (€/GJ)]]*3.6</f>
        <v>18.547118364312272</v>
      </c>
      <c r="H608">
        <v>2.9521711768407801</v>
      </c>
      <c r="I608">
        <f>Tableau1[[#This Row],[GHG (kgCO2eq/GJ)]]*3.6</f>
        <v>10.627816236626808</v>
      </c>
      <c r="J608" t="s">
        <v>104</v>
      </c>
      <c r="K608" t="s">
        <v>108</v>
      </c>
    </row>
    <row r="609" spans="1:11" hidden="1" x14ac:dyDescent="0.3">
      <c r="A609" t="s">
        <v>36</v>
      </c>
      <c r="B609" t="s">
        <v>46</v>
      </c>
      <c r="C609" t="s">
        <v>65</v>
      </c>
      <c r="D609">
        <v>0.3</v>
      </c>
      <c r="E609">
        <f>Tableau1[[#This Row],[Potential (PJ)]]/3.6</f>
        <v>8.3333333333333329E-2</v>
      </c>
      <c r="F609">
        <v>3.7229999999999999</v>
      </c>
      <c r="G609">
        <f>Tableau1[[#This Row],[Cost (€/GJ)]]*3.6</f>
        <v>13.402799999999999</v>
      </c>
      <c r="H609">
        <v>2.9521711768407801</v>
      </c>
      <c r="I609">
        <f>Tableau1[[#This Row],[GHG (kgCO2eq/GJ)]]*3.6</f>
        <v>10.627816236626808</v>
      </c>
      <c r="J609" t="s">
        <v>104</v>
      </c>
      <c r="K609" t="s">
        <v>108</v>
      </c>
    </row>
    <row r="610" spans="1:11" hidden="1" x14ac:dyDescent="0.3">
      <c r="A610" t="s">
        <v>36</v>
      </c>
      <c r="B610" t="s">
        <v>46</v>
      </c>
      <c r="C610" t="s">
        <v>80</v>
      </c>
      <c r="D610">
        <v>0.10979999999999999</v>
      </c>
      <c r="E610">
        <f>Tableau1[[#This Row],[Potential (PJ)]]/3.6</f>
        <v>3.0499999999999999E-2</v>
      </c>
      <c r="F610">
        <v>0.36952124072825349</v>
      </c>
      <c r="G610">
        <f>Tableau1[[#This Row],[Cost (€/GJ)]]*3.6</f>
        <v>1.3302764666217126</v>
      </c>
      <c r="H610">
        <v>28.139870918023309</v>
      </c>
      <c r="I610">
        <f>Tableau1[[#This Row],[GHG (kgCO2eq/GJ)]]*3.6</f>
        <v>101.30353530488391</v>
      </c>
      <c r="J610" t="s">
        <v>105</v>
      </c>
      <c r="K610" t="s">
        <v>108</v>
      </c>
    </row>
    <row r="611" spans="1:11" hidden="1" x14ac:dyDescent="0.3">
      <c r="A611" t="s">
        <v>36</v>
      </c>
      <c r="B611" t="s">
        <v>46</v>
      </c>
      <c r="C611" t="s">
        <v>81</v>
      </c>
      <c r="D611">
        <v>0.73680000000000001</v>
      </c>
      <c r="E611">
        <f>Tableau1[[#This Row],[Potential (PJ)]]/3.6</f>
        <v>0.20466666666666666</v>
      </c>
      <c r="F611">
        <v>1.463572267920094</v>
      </c>
      <c r="G611">
        <f>Tableau1[[#This Row],[Cost (€/GJ)]]*3.6</f>
        <v>5.2688601645123381</v>
      </c>
      <c r="H611">
        <v>8.9647473560517046</v>
      </c>
      <c r="I611">
        <f>Tableau1[[#This Row],[GHG (kgCO2eq/GJ)]]*3.6</f>
        <v>32.273090481786134</v>
      </c>
      <c r="J611" t="s">
        <v>105</v>
      </c>
      <c r="K611" t="s">
        <v>108</v>
      </c>
    </row>
    <row r="612" spans="1:11" hidden="1" x14ac:dyDescent="0.3">
      <c r="A612" t="s">
        <v>36</v>
      </c>
      <c r="B612" t="s">
        <v>46</v>
      </c>
      <c r="C612" t="s">
        <v>66</v>
      </c>
      <c r="D612">
        <v>0.2</v>
      </c>
      <c r="E612">
        <f>Tableau1[[#This Row],[Potential (PJ)]]/3.6</f>
        <v>5.5555555555555559E-2</v>
      </c>
      <c r="F612">
        <v>2.3159999999999998</v>
      </c>
      <c r="G612">
        <f>Tableau1[[#This Row],[Cost (€/GJ)]]*3.6</f>
        <v>8.3376000000000001</v>
      </c>
      <c r="H612">
        <v>6.8428961748633883</v>
      </c>
      <c r="I612">
        <f>Tableau1[[#This Row],[GHG (kgCO2eq/GJ)]]*3.6</f>
        <v>24.634426229508197</v>
      </c>
      <c r="J612" t="s">
        <v>104</v>
      </c>
      <c r="K612" t="s">
        <v>108</v>
      </c>
    </row>
    <row r="613" spans="1:11" hidden="1" x14ac:dyDescent="0.3">
      <c r="A613" t="s">
        <v>36</v>
      </c>
      <c r="B613" t="s">
        <v>46</v>
      </c>
      <c r="C613" t="s">
        <v>67</v>
      </c>
      <c r="D613">
        <v>0.5</v>
      </c>
      <c r="E613">
        <f>Tableau1[[#This Row],[Potential (PJ)]]/3.6</f>
        <v>0.1388888888888889</v>
      </c>
      <c r="F613">
        <v>4.7122000000000002</v>
      </c>
      <c r="G613">
        <f>Tableau1[[#This Row],[Cost (€/GJ)]]*3.6</f>
        <v>16.963920000000002</v>
      </c>
      <c r="H613">
        <v>2.9521711768407801</v>
      </c>
      <c r="I613">
        <f>Tableau1[[#This Row],[GHG (kgCO2eq/GJ)]]*3.6</f>
        <v>10.627816236626808</v>
      </c>
      <c r="J613" t="s">
        <v>104</v>
      </c>
      <c r="K613" t="s">
        <v>108</v>
      </c>
    </row>
    <row r="614" spans="1:11" hidden="1" x14ac:dyDescent="0.3">
      <c r="A614" t="s">
        <v>36</v>
      </c>
      <c r="B614" t="s">
        <v>46</v>
      </c>
      <c r="C614" t="s">
        <v>83</v>
      </c>
      <c r="D614">
        <v>0.27184999999999998</v>
      </c>
      <c r="E614">
        <f>Tableau1[[#This Row],[Potential (PJ)]]/3.6</f>
        <v>7.551388888888888E-2</v>
      </c>
      <c r="F614">
        <v>2.099574250505793</v>
      </c>
      <c r="G614">
        <f>Tableau1[[#This Row],[Cost (€/GJ)]]*3.6</f>
        <v>7.5584673018208548</v>
      </c>
      <c r="H614">
        <v>6.8428961748633883</v>
      </c>
      <c r="I614">
        <f>Tableau1[[#This Row],[GHG (kgCO2eq/GJ)]]*3.6</f>
        <v>24.634426229508197</v>
      </c>
      <c r="J614" t="s">
        <v>104</v>
      </c>
      <c r="K614" t="s">
        <v>108</v>
      </c>
    </row>
    <row r="615" spans="1:11" hidden="1" x14ac:dyDescent="0.3">
      <c r="A615" t="s">
        <v>36</v>
      </c>
      <c r="B615" t="s">
        <v>46</v>
      </c>
      <c r="C615" t="s">
        <v>85</v>
      </c>
      <c r="D615">
        <v>0.1</v>
      </c>
      <c r="E615">
        <f>Tableau1[[#This Row],[Potential (PJ)]]/3.6</f>
        <v>2.777777777777778E-2</v>
      </c>
      <c r="F615">
        <v>3.1320000000000001</v>
      </c>
      <c r="G615">
        <f>Tableau1[[#This Row],[Cost (€/GJ)]]*3.6</f>
        <v>11.2752</v>
      </c>
      <c r="H615">
        <v>2.9521711768407801</v>
      </c>
      <c r="I615">
        <f>Tableau1[[#This Row],[GHG (kgCO2eq/GJ)]]*3.6</f>
        <v>10.627816236626808</v>
      </c>
      <c r="J615" t="s">
        <v>104</v>
      </c>
      <c r="K615" t="s">
        <v>108</v>
      </c>
    </row>
    <row r="616" spans="1:11" hidden="1" x14ac:dyDescent="0.3">
      <c r="A616" t="s">
        <v>36</v>
      </c>
      <c r="B616" t="s">
        <v>55</v>
      </c>
      <c r="C616" t="s">
        <v>86</v>
      </c>
      <c r="D616">
        <v>3.1399999999999997E-2</v>
      </c>
      <c r="E616">
        <f>Tableau1[[#This Row],[Potential (PJ)]]/3.6</f>
        <v>8.7222222222222215E-3</v>
      </c>
      <c r="F616">
        <v>20.815000000000001</v>
      </c>
      <c r="G616">
        <f>Tableau1[[#This Row],[Cost (€/GJ)]]*3.6</f>
        <v>74.934000000000012</v>
      </c>
      <c r="H616">
        <v>26.1</v>
      </c>
      <c r="I616">
        <f>Tableau1[[#This Row],[GHG (kgCO2eq/GJ)]]*3.6</f>
        <v>93.960000000000008</v>
      </c>
      <c r="J616" t="s">
        <v>106</v>
      </c>
      <c r="K616" t="s">
        <v>109</v>
      </c>
    </row>
    <row r="617" spans="1:11" hidden="1" x14ac:dyDescent="0.3">
      <c r="A617" t="s">
        <v>36</v>
      </c>
      <c r="B617" t="s">
        <v>55</v>
      </c>
      <c r="C617" t="s">
        <v>88</v>
      </c>
      <c r="D617">
        <v>3.2599999999999997E-2</v>
      </c>
      <c r="E617">
        <f>Tableau1[[#This Row],[Potential (PJ)]]/3.6</f>
        <v>9.0555555555555545E-3</v>
      </c>
      <c r="F617">
        <v>18.759</v>
      </c>
      <c r="G617">
        <f>Tableau1[[#This Row],[Cost (€/GJ)]]*3.6</f>
        <v>67.53240000000001</v>
      </c>
      <c r="H617">
        <v>26.1</v>
      </c>
      <c r="I617">
        <f>Tableau1[[#This Row],[GHG (kgCO2eq/GJ)]]*3.6</f>
        <v>93.960000000000008</v>
      </c>
      <c r="J617" t="s">
        <v>106</v>
      </c>
      <c r="K617" t="s">
        <v>109</v>
      </c>
    </row>
    <row r="618" spans="1:11" hidden="1" x14ac:dyDescent="0.3">
      <c r="A618" t="s">
        <v>36</v>
      </c>
      <c r="B618" t="s">
        <v>56</v>
      </c>
      <c r="C618" t="s">
        <v>93</v>
      </c>
      <c r="D618">
        <v>0.47670000000000001</v>
      </c>
      <c r="E618">
        <f>Tableau1[[#This Row],[Potential (PJ)]]/3.6</f>
        <v>0.13241666666666665</v>
      </c>
      <c r="F618">
        <v>2.939759036144578</v>
      </c>
      <c r="G618">
        <f>Tableau1[[#This Row],[Cost (€/GJ)]]*3.6</f>
        <v>10.583132530120482</v>
      </c>
      <c r="H618">
        <v>26.7</v>
      </c>
      <c r="I618">
        <f>Tableau1[[#This Row],[GHG (kgCO2eq/GJ)]]*3.6</f>
        <v>96.12</v>
      </c>
      <c r="J618" t="s">
        <v>106</v>
      </c>
      <c r="K618" t="s">
        <v>109</v>
      </c>
    </row>
    <row r="619" spans="1:11" x14ac:dyDescent="0.3">
      <c r="A619" t="s">
        <v>36</v>
      </c>
      <c r="B619" t="s">
        <v>47</v>
      </c>
      <c r="C619" t="s">
        <v>68</v>
      </c>
      <c r="D619">
        <v>8.3000000000000007</v>
      </c>
      <c r="E619">
        <f>Tableau1[[#This Row],[Potential (PJ)]]/3.6</f>
        <v>2.3055555555555558</v>
      </c>
      <c r="F619">
        <v>4.2154096385542159</v>
      </c>
      <c r="G619">
        <f>Tableau1[[#This Row],[Cost (€/GJ)]]*3.6</f>
        <v>15.175474698795178</v>
      </c>
      <c r="H619">
        <v>10</v>
      </c>
      <c r="I619">
        <f>Tableau1[[#This Row],[GHG (kgCO2eq/GJ)]]*3.6</f>
        <v>36</v>
      </c>
      <c r="J619" t="s">
        <v>104</v>
      </c>
      <c r="K619" t="s">
        <v>109</v>
      </c>
    </row>
    <row r="620" spans="1:11" x14ac:dyDescent="0.3">
      <c r="A620" t="s">
        <v>36</v>
      </c>
      <c r="B620" t="s">
        <v>47</v>
      </c>
      <c r="C620" t="s">
        <v>69</v>
      </c>
      <c r="D620">
        <v>5.8999999999999986</v>
      </c>
      <c r="E620">
        <f>Tableau1[[#This Row],[Potential (PJ)]]/3.6</f>
        <v>1.6388888888888884</v>
      </c>
      <c r="F620">
        <v>4.5922542372881354</v>
      </c>
      <c r="G620">
        <f>Tableau1[[#This Row],[Cost (€/GJ)]]*3.6</f>
        <v>16.532115254237286</v>
      </c>
      <c r="H620">
        <v>10</v>
      </c>
      <c r="I620">
        <f>Tableau1[[#This Row],[GHG (kgCO2eq/GJ)]]*3.6</f>
        <v>36</v>
      </c>
      <c r="J620" t="s">
        <v>104</v>
      </c>
      <c r="K620" t="s">
        <v>109</v>
      </c>
    </row>
    <row r="621" spans="1:11" x14ac:dyDescent="0.3">
      <c r="A621" t="s">
        <v>36</v>
      </c>
      <c r="B621" t="s">
        <v>48</v>
      </c>
      <c r="C621" t="s">
        <v>70</v>
      </c>
      <c r="D621">
        <v>3.7</v>
      </c>
      <c r="E621">
        <f>Tableau1[[#This Row],[Potential (PJ)]]/3.6</f>
        <v>1.0277777777777779</v>
      </c>
      <c r="F621">
        <v>10.16848648648649</v>
      </c>
      <c r="G621">
        <f>Tableau1[[#This Row],[Cost (€/GJ)]]*3.6</f>
        <v>36.606551351351364</v>
      </c>
      <c r="H621">
        <v>0</v>
      </c>
      <c r="I621">
        <f>Tableau1[[#This Row],[GHG (kgCO2eq/GJ)]]*3.6</f>
        <v>0</v>
      </c>
      <c r="J621" t="s">
        <v>104</v>
      </c>
      <c r="K621" t="s">
        <v>109</v>
      </c>
    </row>
    <row r="622" spans="1:11" hidden="1" x14ac:dyDescent="0.3">
      <c r="A622" t="s">
        <v>36</v>
      </c>
      <c r="B622" t="s">
        <v>49</v>
      </c>
      <c r="C622" t="s">
        <v>71</v>
      </c>
      <c r="D622">
        <v>13.543699999999999</v>
      </c>
      <c r="E622">
        <f>Tableau1[[#This Row],[Potential (PJ)]]/3.6</f>
        <v>3.7621388888888885</v>
      </c>
      <c r="F622">
        <v>4.9612501546844658</v>
      </c>
      <c r="G622">
        <f>Tableau1[[#This Row],[Cost (€/GJ)]]*3.6</f>
        <v>17.860500556864078</v>
      </c>
      <c r="H622">
        <v>3.86607608129234</v>
      </c>
      <c r="I622">
        <f>Tableau1[[#This Row],[GHG (kgCO2eq/GJ)]]*3.6</f>
        <v>13.917873892652425</v>
      </c>
      <c r="J622" t="s">
        <v>104</v>
      </c>
      <c r="K622" t="s">
        <v>108</v>
      </c>
    </row>
    <row r="623" spans="1:11" hidden="1" x14ac:dyDescent="0.3">
      <c r="A623" t="s">
        <v>36</v>
      </c>
      <c r="B623" t="s">
        <v>49</v>
      </c>
      <c r="C623" t="s">
        <v>72</v>
      </c>
      <c r="D623">
        <v>0.4</v>
      </c>
      <c r="E623">
        <f>Tableau1[[#This Row],[Potential (PJ)]]/3.6</f>
        <v>0.11111111111111112</v>
      </c>
      <c r="F623">
        <v>3.9744999999999999</v>
      </c>
      <c r="G623">
        <f>Tableau1[[#This Row],[Cost (€/GJ)]]*3.6</f>
        <v>14.308199999999999</v>
      </c>
      <c r="H623">
        <v>3.86607608129234</v>
      </c>
      <c r="I623">
        <f>Tableau1[[#This Row],[GHG (kgCO2eq/GJ)]]*3.6</f>
        <v>13.917873892652425</v>
      </c>
      <c r="J623" t="s">
        <v>104</v>
      </c>
      <c r="K623" t="s">
        <v>108</v>
      </c>
    </row>
    <row r="624" spans="1:11" hidden="1" x14ac:dyDescent="0.3">
      <c r="A624" t="s">
        <v>36</v>
      </c>
      <c r="B624" t="s">
        <v>58</v>
      </c>
      <c r="C624" t="s">
        <v>95</v>
      </c>
      <c r="D624">
        <v>1.3931899999999999</v>
      </c>
      <c r="E624">
        <f>Tableau1[[#This Row],[Potential (PJ)]]/3.6</f>
        <v>0.38699722222222221</v>
      </c>
      <c r="F624">
        <v>0</v>
      </c>
      <c r="G624">
        <f>Tableau1[[#This Row],[Cost (€/GJ)]]*3.6</f>
        <v>0</v>
      </c>
      <c r="H624">
        <v>2.9521711768407801</v>
      </c>
      <c r="I624">
        <f>Tableau1[[#This Row],[GHG (kgCO2eq/GJ)]]*3.6</f>
        <v>10.627816236626808</v>
      </c>
      <c r="J624" t="s">
        <v>104</v>
      </c>
      <c r="K624" t="s">
        <v>108</v>
      </c>
    </row>
    <row r="625" spans="1:11" hidden="1" x14ac:dyDescent="0.3">
      <c r="A625" t="s">
        <v>36</v>
      </c>
      <c r="B625" t="s">
        <v>50</v>
      </c>
      <c r="C625" t="s">
        <v>73</v>
      </c>
      <c r="D625">
        <v>1.9</v>
      </c>
      <c r="E625">
        <f>Tableau1[[#This Row],[Potential (PJ)]]/3.6</f>
        <v>0.52777777777777779</v>
      </c>
      <c r="F625">
        <v>5.0796315789473683</v>
      </c>
      <c r="G625">
        <f>Tableau1[[#This Row],[Cost (€/GJ)]]*3.6</f>
        <v>18.286673684210527</v>
      </c>
      <c r="H625">
        <v>20.723404255319149</v>
      </c>
      <c r="I625">
        <f>Tableau1[[#This Row],[GHG (kgCO2eq/GJ)]]*3.6</f>
        <v>74.604255319148933</v>
      </c>
      <c r="J625" t="s">
        <v>105</v>
      </c>
      <c r="K625" t="s">
        <v>108</v>
      </c>
    </row>
    <row r="626" spans="1:11" hidden="1" x14ac:dyDescent="0.3">
      <c r="A626" t="s">
        <v>36</v>
      </c>
      <c r="B626" t="s">
        <v>50</v>
      </c>
      <c r="C626" t="s">
        <v>74</v>
      </c>
      <c r="D626">
        <v>10.7</v>
      </c>
      <c r="E626">
        <f>Tableau1[[#This Row],[Potential (PJ)]]/3.6</f>
        <v>2.9722222222222219</v>
      </c>
      <c r="F626">
        <v>4.1123457943925237</v>
      </c>
      <c r="G626">
        <f>Tableau1[[#This Row],[Cost (€/GJ)]]*3.6</f>
        <v>14.804444859813085</v>
      </c>
      <c r="H626">
        <v>2.0635593220338988</v>
      </c>
      <c r="I626">
        <f>Tableau1[[#This Row],[GHG (kgCO2eq/GJ)]]*3.6</f>
        <v>7.4288135593220357</v>
      </c>
      <c r="J626" t="s">
        <v>105</v>
      </c>
      <c r="K626" t="s">
        <v>108</v>
      </c>
    </row>
    <row r="627" spans="1:11" hidden="1" x14ac:dyDescent="0.3">
      <c r="A627" t="s">
        <v>36</v>
      </c>
      <c r="B627" t="s">
        <v>59</v>
      </c>
      <c r="C627" t="s">
        <v>97</v>
      </c>
      <c r="D627">
        <v>0.36599999999999999</v>
      </c>
      <c r="E627">
        <f>Tableau1[[#This Row],[Potential (PJ)]]/3.6</f>
        <v>0.10166666666666666</v>
      </c>
      <c r="F627">
        <v>36.353771025501899</v>
      </c>
      <c r="G627">
        <f>Tableau1[[#This Row],[Cost (€/GJ)]]*3.6</f>
        <v>130.87357569180685</v>
      </c>
      <c r="H627">
        <v>36.299999999999997</v>
      </c>
      <c r="I627">
        <f>Tableau1[[#This Row],[GHG (kgCO2eq/GJ)]]*3.6</f>
        <v>130.68</v>
      </c>
      <c r="J627" t="s">
        <v>107</v>
      </c>
      <c r="K627" t="s">
        <v>109</v>
      </c>
    </row>
    <row r="628" spans="1:11" hidden="1" x14ac:dyDescent="0.3">
      <c r="A628" t="s">
        <v>36</v>
      </c>
      <c r="B628" t="s">
        <v>51</v>
      </c>
      <c r="C628" t="s">
        <v>75</v>
      </c>
      <c r="D628">
        <v>9.6828149999999997</v>
      </c>
      <c r="E628">
        <f>Tableau1[[#This Row],[Potential (PJ)]]/3.6</f>
        <v>2.689670833333333</v>
      </c>
      <c r="F628">
        <v>4.2638226997786296E-3</v>
      </c>
      <c r="G628">
        <f>Tableau1[[#This Row],[Cost (€/GJ)]]*3.6</f>
        <v>1.5349761719203067E-2</v>
      </c>
      <c r="H628">
        <v>11.74</v>
      </c>
      <c r="I628">
        <f>Tableau1[[#This Row],[GHG (kgCO2eq/GJ)]]*3.6</f>
        <v>42.264000000000003</v>
      </c>
      <c r="J628" t="s">
        <v>104</v>
      </c>
      <c r="K628" t="s">
        <v>108</v>
      </c>
    </row>
    <row r="629" spans="1:11" hidden="1" x14ac:dyDescent="0.3">
      <c r="A629" t="s">
        <v>36</v>
      </c>
      <c r="B629" t="s">
        <v>52</v>
      </c>
      <c r="C629" t="s">
        <v>76</v>
      </c>
      <c r="D629">
        <v>0.44500000000000001</v>
      </c>
      <c r="E629">
        <f>Tableau1[[#This Row],[Potential (PJ)]]/3.6</f>
        <v>0.12361111111111112</v>
      </c>
      <c r="F629">
        <v>6.1837425000000001</v>
      </c>
      <c r="G629">
        <f>Tableau1[[#This Row],[Cost (€/GJ)]]*3.6</f>
        <v>22.261473000000002</v>
      </c>
      <c r="H629">
        <v>12.68872359754714</v>
      </c>
      <c r="I629">
        <f>Tableau1[[#This Row],[GHG (kgCO2eq/GJ)]]*3.6</f>
        <v>45.679404951169708</v>
      </c>
      <c r="J629" t="s">
        <v>105</v>
      </c>
      <c r="K629" t="s">
        <v>108</v>
      </c>
    </row>
    <row r="630" spans="1:11" hidden="1" x14ac:dyDescent="0.3">
      <c r="A630" t="s">
        <v>36</v>
      </c>
      <c r="B630" t="s">
        <v>53</v>
      </c>
      <c r="C630" t="s">
        <v>77</v>
      </c>
      <c r="D630">
        <v>1.0542800000000001</v>
      </c>
      <c r="E630">
        <f>Tableau1[[#This Row],[Potential (PJ)]]/3.6</f>
        <v>0.29285555555555559</v>
      </c>
      <c r="F630">
        <v>3.973987783131617</v>
      </c>
      <c r="G630">
        <f>Tableau1[[#This Row],[Cost (€/GJ)]]*3.6</f>
        <v>14.306356019273821</v>
      </c>
      <c r="H630">
        <v>3.86607608129234</v>
      </c>
      <c r="I630">
        <f>Tableau1[[#This Row],[GHG (kgCO2eq/GJ)]]*3.6</f>
        <v>13.917873892652425</v>
      </c>
      <c r="J630" t="s">
        <v>104</v>
      </c>
      <c r="K630" t="s">
        <v>108</v>
      </c>
    </row>
    <row r="631" spans="1:11" hidden="1" x14ac:dyDescent="0.3">
      <c r="A631" t="s">
        <v>36</v>
      </c>
      <c r="B631" t="s">
        <v>61</v>
      </c>
      <c r="C631" t="s">
        <v>99</v>
      </c>
      <c r="D631">
        <v>1</v>
      </c>
      <c r="E631">
        <f>Tableau1[[#This Row],[Potential (PJ)]]/3.6</f>
        <v>0.27777777777777779</v>
      </c>
      <c r="F631">
        <v>1.8854</v>
      </c>
      <c r="G631">
        <f>Tableau1[[#This Row],[Cost (€/GJ)]]*3.6</f>
        <v>6.7874400000000001</v>
      </c>
      <c r="H631">
        <v>2.9245635910224439</v>
      </c>
      <c r="I631">
        <f>Tableau1[[#This Row],[GHG (kgCO2eq/GJ)]]*3.6</f>
        <v>10.528428927680798</v>
      </c>
      <c r="J631" t="s">
        <v>104</v>
      </c>
      <c r="K631" t="s">
        <v>108</v>
      </c>
    </row>
    <row r="632" spans="1:11" hidden="1" x14ac:dyDescent="0.3">
      <c r="A632" t="s">
        <v>36</v>
      </c>
      <c r="B632" t="s">
        <v>62</v>
      </c>
      <c r="C632" t="s">
        <v>100</v>
      </c>
      <c r="D632">
        <v>0.1</v>
      </c>
      <c r="E632">
        <f>Tableau1[[#This Row],[Potential (PJ)]]/3.6</f>
        <v>2.777777777777778E-2</v>
      </c>
      <c r="F632">
        <v>1.1000000000000001</v>
      </c>
      <c r="G632">
        <f>Tableau1[[#This Row],[Cost (€/GJ)]]*3.6</f>
        <v>3.9600000000000004</v>
      </c>
      <c r="H632">
        <v>2.6764106050305911</v>
      </c>
      <c r="I632">
        <f>Tableau1[[#This Row],[GHG (kgCO2eq/GJ)]]*3.6</f>
        <v>9.6350781781101276</v>
      </c>
      <c r="J632" t="s">
        <v>104</v>
      </c>
      <c r="K632" t="s">
        <v>108</v>
      </c>
    </row>
    <row r="633" spans="1:11" hidden="1" x14ac:dyDescent="0.3">
      <c r="A633" t="s">
        <v>36</v>
      </c>
      <c r="B633" t="s">
        <v>54</v>
      </c>
      <c r="C633" t="s">
        <v>78</v>
      </c>
      <c r="D633">
        <v>40</v>
      </c>
      <c r="E633">
        <f>Tableau1[[#This Row],[Potential (PJ)]]/3.6</f>
        <v>11.111111111111111</v>
      </c>
      <c r="F633">
        <v>8.3370974999999987</v>
      </c>
      <c r="G633">
        <f>Tableau1[[#This Row],[Cost (€/GJ)]]*3.6</f>
        <v>30.013550999999996</v>
      </c>
      <c r="H633">
        <v>3.86607608129234</v>
      </c>
      <c r="I633">
        <f>Tableau1[[#This Row],[GHG (kgCO2eq/GJ)]]*3.6</f>
        <v>13.917873892652425</v>
      </c>
      <c r="J633" t="s">
        <v>104</v>
      </c>
      <c r="K633" t="s">
        <v>108</v>
      </c>
    </row>
    <row r="634" spans="1:11" hidden="1" x14ac:dyDescent="0.3">
      <c r="A634" t="s">
        <v>37</v>
      </c>
      <c r="B634" t="s">
        <v>46</v>
      </c>
      <c r="C634" t="s">
        <v>64</v>
      </c>
      <c r="D634">
        <v>6.8239999999999995E-2</v>
      </c>
      <c r="E634">
        <f>Tableau1[[#This Row],[Potential (PJ)]]/3.6</f>
        <v>1.8955555555555555E-2</v>
      </c>
      <c r="F634">
        <v>4.9840656506447836</v>
      </c>
      <c r="G634">
        <f>Tableau1[[#This Row],[Cost (€/GJ)]]*3.6</f>
        <v>17.942636342321222</v>
      </c>
      <c r="H634">
        <v>2.9521711768407801</v>
      </c>
      <c r="I634">
        <f>Tableau1[[#This Row],[GHG (kgCO2eq/GJ)]]*3.6</f>
        <v>10.627816236626808</v>
      </c>
      <c r="J634" t="s">
        <v>104</v>
      </c>
      <c r="K634" t="s">
        <v>108</v>
      </c>
    </row>
    <row r="635" spans="1:11" hidden="1" x14ac:dyDescent="0.3">
      <c r="A635" t="s">
        <v>37</v>
      </c>
      <c r="B635" t="s">
        <v>46</v>
      </c>
      <c r="C635" t="s">
        <v>79</v>
      </c>
      <c r="D635">
        <v>18.899999999999999</v>
      </c>
      <c r="E635">
        <f>Tableau1[[#This Row],[Potential (PJ)]]/3.6</f>
        <v>5.2499999999999991</v>
      </c>
      <c r="F635">
        <v>2.5139894179894182</v>
      </c>
      <c r="G635">
        <f>Tableau1[[#This Row],[Cost (€/GJ)]]*3.6</f>
        <v>9.0503619047619051</v>
      </c>
      <c r="H635">
        <v>6.8428961748633883</v>
      </c>
      <c r="I635">
        <f>Tableau1[[#This Row],[GHG (kgCO2eq/GJ)]]*3.6</f>
        <v>24.634426229508197</v>
      </c>
      <c r="J635" t="s">
        <v>104</v>
      </c>
      <c r="K635" t="s">
        <v>108</v>
      </c>
    </row>
    <row r="636" spans="1:11" hidden="1" x14ac:dyDescent="0.3">
      <c r="A636" t="s">
        <v>37</v>
      </c>
      <c r="B636" t="s">
        <v>46</v>
      </c>
      <c r="C636" t="s">
        <v>65</v>
      </c>
      <c r="D636">
        <v>0.1</v>
      </c>
      <c r="E636">
        <f>Tableau1[[#This Row],[Potential (PJ)]]/3.6</f>
        <v>2.777777777777778E-2</v>
      </c>
      <c r="F636">
        <v>3.7480000000000002</v>
      </c>
      <c r="G636">
        <f>Tableau1[[#This Row],[Cost (€/GJ)]]*3.6</f>
        <v>13.492800000000001</v>
      </c>
      <c r="H636">
        <v>2.9521711768407801</v>
      </c>
      <c r="I636">
        <f>Tableau1[[#This Row],[GHG (kgCO2eq/GJ)]]*3.6</f>
        <v>10.627816236626808</v>
      </c>
      <c r="J636" t="s">
        <v>104</v>
      </c>
      <c r="K636" t="s">
        <v>108</v>
      </c>
    </row>
    <row r="637" spans="1:11" hidden="1" x14ac:dyDescent="0.3">
      <c r="A637" t="s">
        <v>37</v>
      </c>
      <c r="B637" t="s">
        <v>46</v>
      </c>
      <c r="C637" t="s">
        <v>80</v>
      </c>
      <c r="D637">
        <v>0.96989999999999998</v>
      </c>
      <c r="E637">
        <f>Tableau1[[#This Row],[Potential (PJ)]]/3.6</f>
        <v>0.26941666666666664</v>
      </c>
      <c r="F637">
        <v>1.7687120701281189</v>
      </c>
      <c r="G637">
        <f>Tableau1[[#This Row],[Cost (€/GJ)]]*3.6</f>
        <v>6.3673634524612286</v>
      </c>
      <c r="H637">
        <v>28.139870918023309</v>
      </c>
      <c r="I637">
        <f>Tableau1[[#This Row],[GHG (kgCO2eq/GJ)]]*3.6</f>
        <v>101.30353530488391</v>
      </c>
      <c r="J637" t="s">
        <v>105</v>
      </c>
      <c r="K637" t="s">
        <v>108</v>
      </c>
    </row>
    <row r="638" spans="1:11" hidden="1" x14ac:dyDescent="0.3">
      <c r="A638" t="s">
        <v>37</v>
      </c>
      <c r="B638" t="s">
        <v>46</v>
      </c>
      <c r="C638" t="s">
        <v>81</v>
      </c>
      <c r="D638">
        <v>0.99949999999999994</v>
      </c>
      <c r="E638">
        <f>Tableau1[[#This Row],[Potential (PJ)]]/3.6</f>
        <v>0.27763888888888888</v>
      </c>
      <c r="F638">
        <v>3.96180963572268</v>
      </c>
      <c r="G638">
        <f>Tableau1[[#This Row],[Cost (€/GJ)]]*3.6</f>
        <v>14.262514688601648</v>
      </c>
      <c r="H638">
        <v>8.9647473560517046</v>
      </c>
      <c r="I638">
        <f>Tableau1[[#This Row],[GHG (kgCO2eq/GJ)]]*3.6</f>
        <v>32.273090481786134</v>
      </c>
      <c r="J638" t="s">
        <v>105</v>
      </c>
      <c r="K638" t="s">
        <v>108</v>
      </c>
    </row>
    <row r="639" spans="1:11" hidden="1" x14ac:dyDescent="0.3">
      <c r="A639" t="s">
        <v>37</v>
      </c>
      <c r="B639" t="s">
        <v>46</v>
      </c>
      <c r="C639" t="s">
        <v>66</v>
      </c>
      <c r="D639">
        <v>5.2</v>
      </c>
      <c r="E639">
        <f>Tableau1[[#This Row],[Potential (PJ)]]/3.6</f>
        <v>1.4444444444444444</v>
      </c>
      <c r="F639">
        <v>2.6282884615384612</v>
      </c>
      <c r="G639">
        <f>Tableau1[[#This Row],[Cost (€/GJ)]]*3.6</f>
        <v>9.461838461538461</v>
      </c>
      <c r="H639">
        <v>6.8428961748633883</v>
      </c>
      <c r="I639">
        <f>Tableau1[[#This Row],[GHG (kgCO2eq/GJ)]]*3.6</f>
        <v>24.634426229508197</v>
      </c>
      <c r="J639" t="s">
        <v>104</v>
      </c>
      <c r="K639" t="s">
        <v>108</v>
      </c>
    </row>
    <row r="640" spans="1:11" hidden="1" x14ac:dyDescent="0.3">
      <c r="A640" t="s">
        <v>37</v>
      </c>
      <c r="B640" t="s">
        <v>46</v>
      </c>
      <c r="C640" t="s">
        <v>82</v>
      </c>
      <c r="D640">
        <v>3.3</v>
      </c>
      <c r="E640">
        <f>Tableau1[[#This Row],[Potential (PJ)]]/3.6</f>
        <v>0.91666666666666663</v>
      </c>
      <c r="F640">
        <v>1.5996969696969701</v>
      </c>
      <c r="G640">
        <f>Tableau1[[#This Row],[Cost (€/GJ)]]*3.6</f>
        <v>5.7589090909090928</v>
      </c>
      <c r="H640">
        <v>6.8428961748633883</v>
      </c>
      <c r="I640">
        <f>Tableau1[[#This Row],[GHG (kgCO2eq/GJ)]]*3.6</f>
        <v>24.634426229508197</v>
      </c>
      <c r="J640" t="s">
        <v>104</v>
      </c>
      <c r="K640" t="s">
        <v>108</v>
      </c>
    </row>
    <row r="641" spans="1:11" hidden="1" x14ac:dyDescent="0.3">
      <c r="A641" t="s">
        <v>37</v>
      </c>
      <c r="B641" t="s">
        <v>46</v>
      </c>
      <c r="C641" t="s">
        <v>83</v>
      </c>
      <c r="D641">
        <v>7.392E-2</v>
      </c>
      <c r="E641">
        <f>Tableau1[[#This Row],[Potential (PJ)]]/3.6</f>
        <v>2.0533333333333334E-2</v>
      </c>
      <c r="F641">
        <v>2.481280573593073</v>
      </c>
      <c r="G641">
        <f>Tableau1[[#This Row],[Cost (€/GJ)]]*3.6</f>
        <v>8.9326100649350622</v>
      </c>
      <c r="H641">
        <v>6.8428961748633883</v>
      </c>
      <c r="I641">
        <f>Tableau1[[#This Row],[GHG (kgCO2eq/GJ)]]*3.6</f>
        <v>24.634426229508197</v>
      </c>
      <c r="J641" t="s">
        <v>104</v>
      </c>
      <c r="K641" t="s">
        <v>108</v>
      </c>
    </row>
    <row r="642" spans="1:11" hidden="1" x14ac:dyDescent="0.3">
      <c r="A642" t="s">
        <v>37</v>
      </c>
      <c r="B642" t="s">
        <v>46</v>
      </c>
      <c r="C642" t="s">
        <v>84</v>
      </c>
      <c r="D642">
        <v>0.3</v>
      </c>
      <c r="E642">
        <f>Tableau1[[#This Row],[Potential (PJ)]]/3.6</f>
        <v>8.3333333333333329E-2</v>
      </c>
      <c r="F642">
        <v>1.630333333333333</v>
      </c>
      <c r="G642">
        <f>Tableau1[[#This Row],[Cost (€/GJ)]]*3.6</f>
        <v>5.8691999999999984</v>
      </c>
      <c r="H642">
        <v>28.139870918023309</v>
      </c>
      <c r="I642">
        <f>Tableau1[[#This Row],[GHG (kgCO2eq/GJ)]]*3.6</f>
        <v>101.30353530488391</v>
      </c>
      <c r="J642" t="s">
        <v>105</v>
      </c>
      <c r="K642" t="s">
        <v>108</v>
      </c>
    </row>
    <row r="643" spans="1:11" hidden="1" x14ac:dyDescent="0.3">
      <c r="A643" t="s">
        <v>37</v>
      </c>
      <c r="B643" t="s">
        <v>46</v>
      </c>
      <c r="C643" t="s">
        <v>85</v>
      </c>
      <c r="D643">
        <v>0.1</v>
      </c>
      <c r="E643">
        <f>Tableau1[[#This Row],[Potential (PJ)]]/3.6</f>
        <v>2.777777777777778E-2</v>
      </c>
      <c r="F643">
        <v>4.1559999999999997</v>
      </c>
      <c r="G643">
        <f>Tableau1[[#This Row],[Cost (€/GJ)]]*3.6</f>
        <v>14.961599999999999</v>
      </c>
      <c r="H643">
        <v>2.9521711768407801</v>
      </c>
      <c r="I643">
        <f>Tableau1[[#This Row],[GHG (kgCO2eq/GJ)]]*3.6</f>
        <v>10.627816236626808</v>
      </c>
      <c r="J643" t="s">
        <v>104</v>
      </c>
      <c r="K643" t="s">
        <v>108</v>
      </c>
    </row>
    <row r="644" spans="1:11" hidden="1" x14ac:dyDescent="0.3">
      <c r="A644" t="s">
        <v>37</v>
      </c>
      <c r="B644" t="s">
        <v>55</v>
      </c>
      <c r="C644" t="s">
        <v>86</v>
      </c>
      <c r="D644">
        <v>2.3113000000000001</v>
      </c>
      <c r="E644">
        <f>Tableau1[[#This Row],[Potential (PJ)]]/3.6</f>
        <v>0.64202777777777775</v>
      </c>
      <c r="F644">
        <v>20.597000000000001</v>
      </c>
      <c r="G644">
        <f>Tableau1[[#This Row],[Cost (€/GJ)]]*3.6</f>
        <v>74.149200000000008</v>
      </c>
      <c r="H644">
        <v>8.6999999999999993</v>
      </c>
      <c r="I644">
        <f>Tableau1[[#This Row],[GHG (kgCO2eq/GJ)]]*3.6</f>
        <v>31.319999999999997</v>
      </c>
      <c r="J644" t="s">
        <v>106</v>
      </c>
      <c r="K644" t="s">
        <v>109</v>
      </c>
    </row>
    <row r="645" spans="1:11" hidden="1" x14ac:dyDescent="0.3">
      <c r="A645" t="s">
        <v>37</v>
      </c>
      <c r="B645" t="s">
        <v>55</v>
      </c>
      <c r="C645" t="s">
        <v>87</v>
      </c>
      <c r="D645">
        <v>0.16830000000000001</v>
      </c>
      <c r="E645">
        <f>Tableau1[[#This Row],[Potential (PJ)]]/3.6</f>
        <v>4.675E-2</v>
      </c>
      <c r="F645">
        <v>18.068000000000001</v>
      </c>
      <c r="G645">
        <f>Tableau1[[#This Row],[Cost (€/GJ)]]*3.6</f>
        <v>65.044800000000009</v>
      </c>
      <c r="H645">
        <v>8.6999999999999993</v>
      </c>
      <c r="I645">
        <f>Tableau1[[#This Row],[GHG (kgCO2eq/GJ)]]*3.6</f>
        <v>31.319999999999997</v>
      </c>
      <c r="J645" t="s">
        <v>106</v>
      </c>
      <c r="K645" t="s">
        <v>109</v>
      </c>
    </row>
    <row r="646" spans="1:11" hidden="1" x14ac:dyDescent="0.3">
      <c r="A646" t="s">
        <v>37</v>
      </c>
      <c r="B646" t="s">
        <v>55</v>
      </c>
      <c r="C646" t="s">
        <v>88</v>
      </c>
      <c r="D646">
        <v>22.1309</v>
      </c>
      <c r="E646">
        <f>Tableau1[[#This Row],[Potential (PJ)]]/3.6</f>
        <v>6.1474722222222224</v>
      </c>
      <c r="F646">
        <v>26.291</v>
      </c>
      <c r="G646">
        <f>Tableau1[[#This Row],[Cost (€/GJ)]]*3.6</f>
        <v>94.647599999999997</v>
      </c>
      <c r="H646">
        <v>8.6999999999999993</v>
      </c>
      <c r="I646">
        <f>Tableau1[[#This Row],[GHG (kgCO2eq/GJ)]]*3.6</f>
        <v>31.319999999999997</v>
      </c>
      <c r="J646" t="s">
        <v>106</v>
      </c>
      <c r="K646" t="s">
        <v>109</v>
      </c>
    </row>
    <row r="647" spans="1:11" hidden="1" x14ac:dyDescent="0.3">
      <c r="A647" t="s">
        <v>37</v>
      </c>
      <c r="B647" t="s">
        <v>55</v>
      </c>
      <c r="C647" t="s">
        <v>89</v>
      </c>
      <c r="D647">
        <v>6.4999999999999997E-3</v>
      </c>
      <c r="E647">
        <f>Tableau1[[#This Row],[Potential (PJ)]]/3.6</f>
        <v>1.8055555555555555E-3</v>
      </c>
      <c r="F647">
        <v>0</v>
      </c>
      <c r="G647">
        <f>Tableau1[[#This Row],[Cost (€/GJ)]]*3.6</f>
        <v>0</v>
      </c>
      <c r="H647">
        <v>8.6999999999999993</v>
      </c>
      <c r="I647">
        <f>Tableau1[[#This Row],[GHG (kgCO2eq/GJ)]]*3.6</f>
        <v>31.319999999999997</v>
      </c>
      <c r="J647" t="s">
        <v>106</v>
      </c>
      <c r="K647" t="s">
        <v>109</v>
      </c>
    </row>
    <row r="648" spans="1:11" hidden="1" x14ac:dyDescent="0.3">
      <c r="A648" t="s">
        <v>37</v>
      </c>
      <c r="B648" t="s">
        <v>55</v>
      </c>
      <c r="C648" t="s">
        <v>92</v>
      </c>
      <c r="D648">
        <v>2.0546799999999998</v>
      </c>
      <c r="E648">
        <f>Tableau1[[#This Row],[Potential (PJ)]]/3.6</f>
        <v>0.57074444444444439</v>
      </c>
      <c r="F648">
        <v>18.068000000000001</v>
      </c>
      <c r="G648">
        <f>Tableau1[[#This Row],[Cost (€/GJ)]]*3.6</f>
        <v>65.044800000000009</v>
      </c>
      <c r="H648">
        <v>8.6999999999999993</v>
      </c>
      <c r="I648">
        <f>Tableau1[[#This Row],[GHG (kgCO2eq/GJ)]]*3.6</f>
        <v>31.319999999999997</v>
      </c>
      <c r="J648" t="s">
        <v>106</v>
      </c>
      <c r="K648" t="s">
        <v>109</v>
      </c>
    </row>
    <row r="649" spans="1:11" hidden="1" x14ac:dyDescent="0.3">
      <c r="A649" t="s">
        <v>37</v>
      </c>
      <c r="B649" t="s">
        <v>56</v>
      </c>
      <c r="C649" t="s">
        <v>93</v>
      </c>
      <c r="D649">
        <v>9.3720999999999997</v>
      </c>
      <c r="E649">
        <f>Tableau1[[#This Row],[Potential (PJ)]]/3.6</f>
        <v>2.603361111111111</v>
      </c>
      <c r="F649">
        <v>2.9493975903614462</v>
      </c>
      <c r="G649">
        <f>Tableau1[[#This Row],[Cost (€/GJ)]]*3.6</f>
        <v>10.617831325301207</v>
      </c>
      <c r="H649">
        <v>34</v>
      </c>
      <c r="I649">
        <f>Tableau1[[#This Row],[GHG (kgCO2eq/GJ)]]*3.6</f>
        <v>122.4</v>
      </c>
      <c r="J649" t="s">
        <v>106</v>
      </c>
      <c r="K649" t="s">
        <v>109</v>
      </c>
    </row>
    <row r="650" spans="1:11" x14ac:dyDescent="0.3">
      <c r="A650" t="s">
        <v>37</v>
      </c>
      <c r="B650" t="s">
        <v>47</v>
      </c>
      <c r="C650" t="s">
        <v>68</v>
      </c>
      <c r="D650">
        <v>79.5</v>
      </c>
      <c r="E650">
        <f>Tableau1[[#This Row],[Potential (PJ)]]/3.6</f>
        <v>22.083333333333332</v>
      </c>
      <c r="F650">
        <v>2.838316981132075</v>
      </c>
      <c r="G650">
        <f>Tableau1[[#This Row],[Cost (€/GJ)]]*3.6</f>
        <v>10.21794113207547</v>
      </c>
      <c r="H650">
        <v>16.600000000000001</v>
      </c>
      <c r="I650">
        <f>Tableau1[[#This Row],[GHG (kgCO2eq/GJ)]]*3.6</f>
        <v>59.760000000000005</v>
      </c>
      <c r="J650" t="s">
        <v>104</v>
      </c>
      <c r="K650" t="s">
        <v>109</v>
      </c>
    </row>
    <row r="651" spans="1:11" x14ac:dyDescent="0.3">
      <c r="A651" t="s">
        <v>37</v>
      </c>
      <c r="B651" t="s">
        <v>47</v>
      </c>
      <c r="C651" t="s">
        <v>69</v>
      </c>
      <c r="D651">
        <v>72.3</v>
      </c>
      <c r="E651">
        <f>Tableau1[[#This Row],[Potential (PJ)]]/3.6</f>
        <v>20.083333333333332</v>
      </c>
      <c r="F651">
        <v>2.6091147994467501</v>
      </c>
      <c r="G651">
        <f>Tableau1[[#This Row],[Cost (€/GJ)]]*3.6</f>
        <v>9.3928132780083011</v>
      </c>
      <c r="H651">
        <v>16.600000000000001</v>
      </c>
      <c r="I651">
        <f>Tableau1[[#This Row],[GHG (kgCO2eq/GJ)]]*3.6</f>
        <v>59.760000000000005</v>
      </c>
      <c r="J651" t="s">
        <v>104</v>
      </c>
      <c r="K651" t="s">
        <v>109</v>
      </c>
    </row>
    <row r="652" spans="1:11" x14ac:dyDescent="0.3">
      <c r="A652" t="s">
        <v>37</v>
      </c>
      <c r="B652" t="s">
        <v>57</v>
      </c>
      <c r="C652" t="s">
        <v>94</v>
      </c>
      <c r="D652">
        <v>55.2</v>
      </c>
      <c r="E652">
        <f>Tableau1[[#This Row],[Potential (PJ)]]/3.6</f>
        <v>15.333333333333334</v>
      </c>
      <c r="F652">
        <v>7.211789855072464</v>
      </c>
      <c r="G652">
        <f>Tableau1[[#This Row],[Cost (€/GJ)]]*3.6</f>
        <v>25.96244347826087</v>
      </c>
      <c r="H652">
        <v>16.5</v>
      </c>
      <c r="I652">
        <f>Tableau1[[#This Row],[GHG (kgCO2eq/GJ)]]*3.6</f>
        <v>59.4</v>
      </c>
      <c r="J652" t="s">
        <v>104</v>
      </c>
      <c r="K652" t="s">
        <v>109</v>
      </c>
    </row>
    <row r="653" spans="1:11" hidden="1" x14ac:dyDescent="0.3">
      <c r="A653" t="s">
        <v>37</v>
      </c>
      <c r="B653" t="s">
        <v>49</v>
      </c>
      <c r="C653" t="s">
        <v>71</v>
      </c>
      <c r="D653">
        <v>30.831340000000001</v>
      </c>
      <c r="E653">
        <f>Tableau1[[#This Row],[Potential (PJ)]]/3.6</f>
        <v>8.5642611111111115</v>
      </c>
      <c r="F653">
        <v>2.126921162038367</v>
      </c>
      <c r="G653">
        <f>Tableau1[[#This Row],[Cost (€/GJ)]]*3.6</f>
        <v>7.6569161833381214</v>
      </c>
      <c r="H653">
        <v>3.86607608129234</v>
      </c>
      <c r="I653">
        <f>Tableau1[[#This Row],[GHG (kgCO2eq/GJ)]]*3.6</f>
        <v>13.917873892652425</v>
      </c>
      <c r="J653" t="s">
        <v>104</v>
      </c>
      <c r="K653" t="s">
        <v>108</v>
      </c>
    </row>
    <row r="654" spans="1:11" hidden="1" x14ac:dyDescent="0.3">
      <c r="A654" t="s">
        <v>37</v>
      </c>
      <c r="B654" t="s">
        <v>49</v>
      </c>
      <c r="C654" t="s">
        <v>72</v>
      </c>
      <c r="D654">
        <v>2</v>
      </c>
      <c r="E654">
        <f>Tableau1[[#This Row],[Potential (PJ)]]/3.6</f>
        <v>0.55555555555555558</v>
      </c>
      <c r="F654">
        <v>2.8673000000000002</v>
      </c>
      <c r="G654">
        <f>Tableau1[[#This Row],[Cost (€/GJ)]]*3.6</f>
        <v>10.322280000000001</v>
      </c>
      <c r="H654">
        <v>3.86607608129234</v>
      </c>
      <c r="I654">
        <f>Tableau1[[#This Row],[GHG (kgCO2eq/GJ)]]*3.6</f>
        <v>13.917873892652425</v>
      </c>
      <c r="J654" t="s">
        <v>104</v>
      </c>
      <c r="K654" t="s">
        <v>108</v>
      </c>
    </row>
    <row r="655" spans="1:11" hidden="1" x14ac:dyDescent="0.3">
      <c r="A655" t="s">
        <v>37</v>
      </c>
      <c r="B655" t="s">
        <v>58</v>
      </c>
      <c r="C655" t="s">
        <v>95</v>
      </c>
      <c r="D655">
        <v>5.2273099999999992</v>
      </c>
      <c r="E655">
        <f>Tableau1[[#This Row],[Potential (PJ)]]/3.6</f>
        <v>1.4520305555555553</v>
      </c>
      <c r="F655">
        <v>0</v>
      </c>
      <c r="G655">
        <f>Tableau1[[#This Row],[Cost (€/GJ)]]*3.6</f>
        <v>0</v>
      </c>
      <c r="H655">
        <v>2.9521711768407801</v>
      </c>
      <c r="I655">
        <f>Tableau1[[#This Row],[GHG (kgCO2eq/GJ)]]*3.6</f>
        <v>10.627816236626808</v>
      </c>
      <c r="J655" t="s">
        <v>104</v>
      </c>
      <c r="K655" t="s">
        <v>108</v>
      </c>
    </row>
    <row r="656" spans="1:11" hidden="1" x14ac:dyDescent="0.3">
      <c r="A656" t="s">
        <v>37</v>
      </c>
      <c r="B656" t="s">
        <v>50</v>
      </c>
      <c r="C656" t="s">
        <v>73</v>
      </c>
      <c r="D656">
        <v>1.1000000000000001</v>
      </c>
      <c r="E656">
        <f>Tableau1[[#This Row],[Potential (PJ)]]/3.6</f>
        <v>0.30555555555555558</v>
      </c>
      <c r="F656">
        <v>4.9517272727272728</v>
      </c>
      <c r="G656">
        <f>Tableau1[[#This Row],[Cost (€/GJ)]]*3.6</f>
        <v>17.826218181818181</v>
      </c>
      <c r="H656">
        <v>20.723404255319149</v>
      </c>
      <c r="I656">
        <f>Tableau1[[#This Row],[GHG (kgCO2eq/GJ)]]*3.6</f>
        <v>74.604255319148933</v>
      </c>
      <c r="J656" t="s">
        <v>105</v>
      </c>
      <c r="K656" t="s">
        <v>108</v>
      </c>
    </row>
    <row r="657" spans="1:11" hidden="1" x14ac:dyDescent="0.3">
      <c r="A657" t="s">
        <v>37</v>
      </c>
      <c r="B657" t="s">
        <v>50</v>
      </c>
      <c r="C657" t="s">
        <v>74</v>
      </c>
      <c r="D657">
        <v>14.4</v>
      </c>
      <c r="E657">
        <f>Tableau1[[#This Row],[Potential (PJ)]]/3.6</f>
        <v>4</v>
      </c>
      <c r="F657">
        <v>2.8490833333333332</v>
      </c>
      <c r="G657">
        <f>Tableau1[[#This Row],[Cost (€/GJ)]]*3.6</f>
        <v>10.2567</v>
      </c>
      <c r="H657">
        <v>2.0635593220338988</v>
      </c>
      <c r="I657">
        <f>Tableau1[[#This Row],[GHG (kgCO2eq/GJ)]]*3.6</f>
        <v>7.4288135593220357</v>
      </c>
      <c r="J657" t="s">
        <v>105</v>
      </c>
      <c r="K657" t="s">
        <v>108</v>
      </c>
    </row>
    <row r="658" spans="1:11" hidden="1" x14ac:dyDescent="0.3">
      <c r="A658" t="s">
        <v>37</v>
      </c>
      <c r="B658" t="s">
        <v>59</v>
      </c>
      <c r="C658" t="s">
        <v>96</v>
      </c>
      <c r="D658">
        <v>4.3224</v>
      </c>
      <c r="E658">
        <f>Tableau1[[#This Row],[Potential (PJ)]]/3.6</f>
        <v>1.2006666666666665</v>
      </c>
      <c r="F658">
        <v>31.498000000000001</v>
      </c>
      <c r="G658">
        <f>Tableau1[[#This Row],[Cost (€/GJ)]]*3.6</f>
        <v>113.39280000000001</v>
      </c>
      <c r="H658">
        <v>6</v>
      </c>
      <c r="I658">
        <f>Tableau1[[#This Row],[GHG (kgCO2eq/GJ)]]*3.6</f>
        <v>21.6</v>
      </c>
      <c r="J658" t="s">
        <v>107</v>
      </c>
      <c r="K658" t="s">
        <v>109</v>
      </c>
    </row>
    <row r="659" spans="1:11" hidden="1" x14ac:dyDescent="0.3">
      <c r="A659" t="s">
        <v>37</v>
      </c>
      <c r="B659" t="s">
        <v>59</v>
      </c>
      <c r="C659" t="s">
        <v>97</v>
      </c>
      <c r="D659">
        <v>2.7867999999999999</v>
      </c>
      <c r="E659">
        <f>Tableau1[[#This Row],[Potential (PJ)]]/3.6</f>
        <v>0.77411111111111108</v>
      </c>
      <c r="F659">
        <v>15.95225176342919</v>
      </c>
      <c r="G659">
        <f>Tableau1[[#This Row],[Cost (€/GJ)]]*3.6</f>
        <v>57.428106348345089</v>
      </c>
      <c r="H659">
        <v>6</v>
      </c>
      <c r="I659">
        <f>Tableau1[[#This Row],[GHG (kgCO2eq/GJ)]]*3.6</f>
        <v>21.6</v>
      </c>
      <c r="J659" t="s">
        <v>107</v>
      </c>
      <c r="K659" t="s">
        <v>109</v>
      </c>
    </row>
    <row r="660" spans="1:11" hidden="1" x14ac:dyDescent="0.3">
      <c r="A660" t="s">
        <v>37</v>
      </c>
      <c r="B660" t="s">
        <v>51</v>
      </c>
      <c r="C660" t="s">
        <v>75</v>
      </c>
      <c r="D660">
        <v>6.7375939999999996</v>
      </c>
      <c r="E660">
        <f>Tableau1[[#This Row],[Potential (PJ)]]/3.6</f>
        <v>1.8715538888888887</v>
      </c>
      <c r="F660">
        <v>8.4863973360258194E-2</v>
      </c>
      <c r="G660">
        <f>Tableau1[[#This Row],[Cost (€/GJ)]]*3.6</f>
        <v>0.30551030409692953</v>
      </c>
      <c r="H660">
        <v>11.74</v>
      </c>
      <c r="I660">
        <f>Tableau1[[#This Row],[GHG (kgCO2eq/GJ)]]*3.6</f>
        <v>42.264000000000003</v>
      </c>
      <c r="J660" t="s">
        <v>104</v>
      </c>
      <c r="K660" t="s">
        <v>108</v>
      </c>
    </row>
    <row r="661" spans="1:11" hidden="1" x14ac:dyDescent="0.3">
      <c r="A661" t="s">
        <v>37</v>
      </c>
      <c r="B661" t="s">
        <v>60</v>
      </c>
      <c r="C661" t="s">
        <v>98</v>
      </c>
      <c r="D661">
        <v>14.5435</v>
      </c>
      <c r="E661">
        <f>Tableau1[[#This Row],[Potential (PJ)]]/3.6</f>
        <v>4.0398611111111107</v>
      </c>
      <c r="F661">
        <v>13.856068743286791</v>
      </c>
      <c r="G661">
        <f>Tableau1[[#This Row],[Cost (€/GJ)]]*3.6</f>
        <v>49.881847475832451</v>
      </c>
      <c r="H661">
        <v>24.7</v>
      </c>
      <c r="I661">
        <f>Tableau1[[#This Row],[GHG (kgCO2eq/GJ)]]*3.6</f>
        <v>88.92</v>
      </c>
      <c r="J661" t="s">
        <v>107</v>
      </c>
      <c r="K661" t="s">
        <v>109</v>
      </c>
    </row>
    <row r="662" spans="1:11" hidden="1" x14ac:dyDescent="0.3">
      <c r="A662" t="s">
        <v>37</v>
      </c>
      <c r="B662" t="s">
        <v>52</v>
      </c>
      <c r="C662" t="s">
        <v>76</v>
      </c>
      <c r="D662">
        <v>1.6E-2</v>
      </c>
      <c r="E662">
        <f>Tableau1[[#This Row],[Potential (PJ)]]/3.6</f>
        <v>4.4444444444444444E-3</v>
      </c>
      <c r="F662">
        <v>6.1837425000000001</v>
      </c>
      <c r="G662">
        <f>Tableau1[[#This Row],[Cost (€/GJ)]]*3.6</f>
        <v>22.261473000000002</v>
      </c>
      <c r="H662">
        <v>12.68872359754714</v>
      </c>
      <c r="I662">
        <f>Tableau1[[#This Row],[GHG (kgCO2eq/GJ)]]*3.6</f>
        <v>45.679404951169708</v>
      </c>
      <c r="J662" t="s">
        <v>105</v>
      </c>
      <c r="K662" t="s">
        <v>108</v>
      </c>
    </row>
    <row r="663" spans="1:11" hidden="1" x14ac:dyDescent="0.3">
      <c r="A663" t="s">
        <v>37</v>
      </c>
      <c r="B663" t="s">
        <v>53</v>
      </c>
      <c r="C663" t="s">
        <v>77</v>
      </c>
      <c r="D663">
        <v>6.3721999999999994</v>
      </c>
      <c r="E663">
        <f>Tableau1[[#This Row],[Potential (PJ)]]/3.6</f>
        <v>1.7700555555555553</v>
      </c>
      <c r="F663">
        <v>2.867345929192429</v>
      </c>
      <c r="G663">
        <f>Tableau1[[#This Row],[Cost (€/GJ)]]*3.6</f>
        <v>10.322445345092746</v>
      </c>
      <c r="H663">
        <v>3.86607608129234</v>
      </c>
      <c r="I663">
        <f>Tableau1[[#This Row],[GHG (kgCO2eq/GJ)]]*3.6</f>
        <v>13.917873892652425</v>
      </c>
      <c r="J663" t="s">
        <v>104</v>
      </c>
      <c r="K663" t="s">
        <v>108</v>
      </c>
    </row>
    <row r="664" spans="1:11" hidden="1" x14ac:dyDescent="0.3">
      <c r="A664" t="s">
        <v>37</v>
      </c>
      <c r="B664" t="s">
        <v>61</v>
      </c>
      <c r="C664" t="s">
        <v>99</v>
      </c>
      <c r="D664">
        <v>5.6</v>
      </c>
      <c r="E664">
        <f>Tableau1[[#This Row],[Potential (PJ)]]/3.6</f>
        <v>1.5555555555555554</v>
      </c>
      <c r="F664">
        <v>1.3652500000000001</v>
      </c>
      <c r="G664">
        <f>Tableau1[[#This Row],[Cost (€/GJ)]]*3.6</f>
        <v>4.9149000000000003</v>
      </c>
      <c r="H664">
        <v>2.9245635910224439</v>
      </c>
      <c r="I664">
        <f>Tableau1[[#This Row],[GHG (kgCO2eq/GJ)]]*3.6</f>
        <v>10.528428927680798</v>
      </c>
      <c r="J664" t="s">
        <v>104</v>
      </c>
      <c r="K664" t="s">
        <v>108</v>
      </c>
    </row>
    <row r="665" spans="1:11" hidden="1" x14ac:dyDescent="0.3">
      <c r="A665" t="s">
        <v>37</v>
      </c>
      <c r="B665" t="s">
        <v>62</v>
      </c>
      <c r="C665" t="s">
        <v>100</v>
      </c>
      <c r="D665">
        <v>1.9</v>
      </c>
      <c r="E665">
        <f>Tableau1[[#This Row],[Potential (PJ)]]/3.6</f>
        <v>0.52777777777777779</v>
      </c>
      <c r="F665">
        <v>0.41578947368421049</v>
      </c>
      <c r="G665">
        <f>Tableau1[[#This Row],[Cost (€/GJ)]]*3.6</f>
        <v>1.4968421052631578</v>
      </c>
      <c r="H665">
        <v>2.6764106050305911</v>
      </c>
      <c r="I665">
        <f>Tableau1[[#This Row],[GHG (kgCO2eq/GJ)]]*3.6</f>
        <v>9.6350781781101276</v>
      </c>
      <c r="J665" t="s">
        <v>104</v>
      </c>
      <c r="K665" t="s">
        <v>108</v>
      </c>
    </row>
    <row r="666" spans="1:11" hidden="1" x14ac:dyDescent="0.3">
      <c r="A666" t="s">
        <v>37</v>
      </c>
      <c r="B666" t="s">
        <v>54</v>
      </c>
      <c r="C666" t="s">
        <v>78</v>
      </c>
      <c r="D666">
        <v>104.4</v>
      </c>
      <c r="E666">
        <f>Tableau1[[#This Row],[Potential (PJ)]]/3.6</f>
        <v>29</v>
      </c>
      <c r="F666">
        <v>2.8314521072796932</v>
      </c>
      <c r="G666">
        <f>Tableau1[[#This Row],[Cost (€/GJ)]]*3.6</f>
        <v>10.193227586206897</v>
      </c>
      <c r="H666">
        <v>3.86607608129234</v>
      </c>
      <c r="I666">
        <f>Tableau1[[#This Row],[GHG (kgCO2eq/GJ)]]*3.6</f>
        <v>13.917873892652425</v>
      </c>
      <c r="J666" t="s">
        <v>104</v>
      </c>
      <c r="K666" t="s">
        <v>108</v>
      </c>
    </row>
    <row r="667" spans="1:11" hidden="1" x14ac:dyDescent="0.3">
      <c r="A667" t="s">
        <v>38</v>
      </c>
      <c r="B667" t="s">
        <v>46</v>
      </c>
      <c r="C667" t="s">
        <v>64</v>
      </c>
      <c r="D667">
        <v>0.13933000000000001</v>
      </c>
      <c r="E667">
        <f>Tableau1[[#This Row],[Potential (PJ)]]/3.6</f>
        <v>3.870277777777778E-2</v>
      </c>
      <c r="F667">
        <v>5.0919999999999996</v>
      </c>
      <c r="G667">
        <f>Tableau1[[#This Row],[Cost (€/GJ)]]*3.6</f>
        <v>18.331199999999999</v>
      </c>
      <c r="H667">
        <v>2.9521711768407801</v>
      </c>
      <c r="I667">
        <f>Tableau1[[#This Row],[GHG (kgCO2eq/GJ)]]*3.6</f>
        <v>10.627816236626808</v>
      </c>
      <c r="J667" t="s">
        <v>104</v>
      </c>
      <c r="K667" t="s">
        <v>108</v>
      </c>
    </row>
    <row r="668" spans="1:11" hidden="1" x14ac:dyDescent="0.3">
      <c r="A668" t="s">
        <v>38</v>
      </c>
      <c r="B668" t="s">
        <v>46</v>
      </c>
      <c r="C668" t="s">
        <v>79</v>
      </c>
      <c r="D668">
        <v>8.4</v>
      </c>
      <c r="E668">
        <f>Tableau1[[#This Row],[Potential (PJ)]]/3.6</f>
        <v>2.3333333333333335</v>
      </c>
      <c r="F668">
        <v>0</v>
      </c>
      <c r="G668">
        <f>Tableau1[[#This Row],[Cost (€/GJ)]]*3.6</f>
        <v>0</v>
      </c>
      <c r="H668">
        <v>6.8428961748633883</v>
      </c>
      <c r="I668">
        <f>Tableau1[[#This Row],[GHG (kgCO2eq/GJ)]]*3.6</f>
        <v>24.634426229508197</v>
      </c>
      <c r="J668" t="s">
        <v>104</v>
      </c>
      <c r="K668" t="s">
        <v>108</v>
      </c>
    </row>
    <row r="669" spans="1:11" hidden="1" x14ac:dyDescent="0.3">
      <c r="A669" t="s">
        <v>38</v>
      </c>
      <c r="B669" t="s">
        <v>46</v>
      </c>
      <c r="C669" t="s">
        <v>65</v>
      </c>
      <c r="D669">
        <v>0.4</v>
      </c>
      <c r="E669">
        <f>Tableau1[[#This Row],[Potential (PJ)]]/3.6</f>
        <v>0.11111111111111112</v>
      </c>
      <c r="F669">
        <v>4.41</v>
      </c>
      <c r="G669">
        <f>Tableau1[[#This Row],[Cost (€/GJ)]]*3.6</f>
        <v>15.876000000000001</v>
      </c>
      <c r="H669">
        <v>2.9521711768407801</v>
      </c>
      <c r="I669">
        <f>Tableau1[[#This Row],[GHG (kgCO2eq/GJ)]]*3.6</f>
        <v>10.627816236626808</v>
      </c>
      <c r="J669" t="s">
        <v>104</v>
      </c>
      <c r="K669" t="s">
        <v>108</v>
      </c>
    </row>
    <row r="670" spans="1:11" hidden="1" x14ac:dyDescent="0.3">
      <c r="A670" t="s">
        <v>38</v>
      </c>
      <c r="B670" t="s">
        <v>46</v>
      </c>
      <c r="C670" t="s">
        <v>66</v>
      </c>
      <c r="D670">
        <v>4.4000000000000004</v>
      </c>
      <c r="E670">
        <f>Tableau1[[#This Row],[Potential (PJ)]]/3.6</f>
        <v>1.2222222222222223</v>
      </c>
      <c r="F670">
        <v>3.262</v>
      </c>
      <c r="G670">
        <f>Tableau1[[#This Row],[Cost (€/GJ)]]*3.6</f>
        <v>11.7432</v>
      </c>
      <c r="H670">
        <v>6.8428961748633883</v>
      </c>
      <c r="I670">
        <f>Tableau1[[#This Row],[GHG (kgCO2eq/GJ)]]*3.6</f>
        <v>24.634426229508197</v>
      </c>
      <c r="J670" t="s">
        <v>104</v>
      </c>
      <c r="K670" t="s">
        <v>108</v>
      </c>
    </row>
    <row r="671" spans="1:11" hidden="1" x14ac:dyDescent="0.3">
      <c r="A671" t="s">
        <v>38</v>
      </c>
      <c r="B671" t="s">
        <v>46</v>
      </c>
      <c r="C671" t="s">
        <v>82</v>
      </c>
      <c r="D671">
        <v>0.1</v>
      </c>
      <c r="E671">
        <f>Tableau1[[#This Row],[Potential (PJ)]]/3.6</f>
        <v>2.777777777777778E-2</v>
      </c>
      <c r="F671">
        <v>0</v>
      </c>
      <c r="G671">
        <f>Tableau1[[#This Row],[Cost (€/GJ)]]*3.6</f>
        <v>0</v>
      </c>
      <c r="H671">
        <v>6.8428961748633883</v>
      </c>
      <c r="I671">
        <f>Tableau1[[#This Row],[GHG (kgCO2eq/GJ)]]*3.6</f>
        <v>24.634426229508197</v>
      </c>
      <c r="J671" t="s">
        <v>104</v>
      </c>
      <c r="K671" t="s">
        <v>108</v>
      </c>
    </row>
    <row r="672" spans="1:11" hidden="1" x14ac:dyDescent="0.3">
      <c r="A672" t="s">
        <v>38</v>
      </c>
      <c r="B672" t="s">
        <v>46</v>
      </c>
      <c r="C672" t="s">
        <v>84</v>
      </c>
      <c r="D672">
        <v>0.3</v>
      </c>
      <c r="E672">
        <f>Tableau1[[#This Row],[Potential (PJ)]]/3.6</f>
        <v>8.3333333333333329E-2</v>
      </c>
      <c r="F672">
        <v>1.71</v>
      </c>
      <c r="G672">
        <f>Tableau1[[#This Row],[Cost (€/GJ)]]*3.6</f>
        <v>6.1559999999999997</v>
      </c>
      <c r="H672">
        <v>28.139870918023309</v>
      </c>
      <c r="I672">
        <f>Tableau1[[#This Row],[GHG (kgCO2eq/GJ)]]*3.6</f>
        <v>101.30353530488391</v>
      </c>
      <c r="J672" t="s">
        <v>105</v>
      </c>
      <c r="K672" t="s">
        <v>108</v>
      </c>
    </row>
    <row r="673" spans="1:11" hidden="1" x14ac:dyDescent="0.3">
      <c r="A673" t="s">
        <v>38</v>
      </c>
      <c r="B673" t="s">
        <v>46</v>
      </c>
      <c r="C673" t="s">
        <v>85</v>
      </c>
      <c r="D673">
        <v>0.1</v>
      </c>
      <c r="E673">
        <f>Tableau1[[#This Row],[Potential (PJ)]]/3.6</f>
        <v>2.777777777777778E-2</v>
      </c>
      <c r="F673">
        <v>4.0919999999999996</v>
      </c>
      <c r="G673">
        <f>Tableau1[[#This Row],[Cost (€/GJ)]]*3.6</f>
        <v>14.731199999999999</v>
      </c>
      <c r="H673">
        <v>2.9521711768407801</v>
      </c>
      <c r="I673">
        <f>Tableau1[[#This Row],[GHG (kgCO2eq/GJ)]]*3.6</f>
        <v>10.627816236626808</v>
      </c>
      <c r="J673" t="s">
        <v>104</v>
      </c>
      <c r="K673" t="s">
        <v>108</v>
      </c>
    </row>
    <row r="674" spans="1:11" x14ac:dyDescent="0.3">
      <c r="A674" t="s">
        <v>38</v>
      </c>
      <c r="B674" t="s">
        <v>47</v>
      </c>
      <c r="C674" t="s">
        <v>68</v>
      </c>
      <c r="D674">
        <v>17.7</v>
      </c>
      <c r="E674">
        <f>Tableau1[[#This Row],[Potential (PJ)]]/3.6</f>
        <v>4.9166666666666661</v>
      </c>
      <c r="F674">
        <v>3.8889999999999989</v>
      </c>
      <c r="G674">
        <f>Tableau1[[#This Row],[Cost (€/GJ)]]*3.6</f>
        <v>14.000399999999996</v>
      </c>
      <c r="H674">
        <v>14.1</v>
      </c>
      <c r="I674">
        <f>Tableau1[[#This Row],[GHG (kgCO2eq/GJ)]]*3.6</f>
        <v>50.76</v>
      </c>
      <c r="J674" t="s">
        <v>104</v>
      </c>
      <c r="K674" t="s">
        <v>109</v>
      </c>
    </row>
    <row r="675" spans="1:11" x14ac:dyDescent="0.3">
      <c r="A675" t="s">
        <v>38</v>
      </c>
      <c r="B675" t="s">
        <v>47</v>
      </c>
      <c r="C675" t="s">
        <v>69</v>
      </c>
      <c r="D675">
        <v>12.4</v>
      </c>
      <c r="E675">
        <f>Tableau1[[#This Row],[Potential (PJ)]]/3.6</f>
        <v>3.4444444444444446</v>
      </c>
      <c r="F675">
        <v>3.875999999999999</v>
      </c>
      <c r="G675">
        <f>Tableau1[[#This Row],[Cost (€/GJ)]]*3.6</f>
        <v>13.953599999999996</v>
      </c>
      <c r="H675">
        <v>14.1</v>
      </c>
      <c r="I675">
        <f>Tableau1[[#This Row],[GHG (kgCO2eq/GJ)]]*3.6</f>
        <v>50.76</v>
      </c>
      <c r="J675" t="s">
        <v>104</v>
      </c>
      <c r="K675" t="s">
        <v>109</v>
      </c>
    </row>
    <row r="676" spans="1:11" x14ac:dyDescent="0.3">
      <c r="A676" t="s">
        <v>38</v>
      </c>
      <c r="B676" t="s">
        <v>48</v>
      </c>
      <c r="C676" t="s">
        <v>70</v>
      </c>
      <c r="D676">
        <v>6.6</v>
      </c>
      <c r="E676">
        <f>Tableau1[[#This Row],[Potential (PJ)]]/3.6</f>
        <v>1.8333333333333333</v>
      </c>
      <c r="F676">
        <v>10.003</v>
      </c>
      <c r="G676">
        <f>Tableau1[[#This Row],[Cost (€/GJ)]]*3.6</f>
        <v>36.010800000000003</v>
      </c>
      <c r="H676">
        <v>0</v>
      </c>
      <c r="I676">
        <f>Tableau1[[#This Row],[GHG (kgCO2eq/GJ)]]*3.6</f>
        <v>0</v>
      </c>
      <c r="J676" t="s">
        <v>104</v>
      </c>
      <c r="K676" t="s">
        <v>109</v>
      </c>
    </row>
    <row r="677" spans="1:11" hidden="1" x14ac:dyDescent="0.3">
      <c r="A677" t="s">
        <v>38</v>
      </c>
      <c r="B677" t="s">
        <v>49</v>
      </c>
      <c r="C677" t="s">
        <v>72</v>
      </c>
      <c r="D677">
        <v>1.5</v>
      </c>
      <c r="E677">
        <f>Tableau1[[#This Row],[Potential (PJ)]]/3.6</f>
        <v>0.41666666666666663</v>
      </c>
      <c r="F677">
        <v>0</v>
      </c>
      <c r="G677">
        <f>Tableau1[[#This Row],[Cost (€/GJ)]]*3.6</f>
        <v>0</v>
      </c>
      <c r="H677">
        <v>3.86607608129234</v>
      </c>
      <c r="I677">
        <f>Tableau1[[#This Row],[GHG (kgCO2eq/GJ)]]*3.6</f>
        <v>13.917873892652425</v>
      </c>
      <c r="J677" t="s">
        <v>104</v>
      </c>
      <c r="K677" t="s">
        <v>108</v>
      </c>
    </row>
    <row r="678" spans="1:11" hidden="1" x14ac:dyDescent="0.3">
      <c r="A678" t="s">
        <v>38</v>
      </c>
      <c r="B678" t="s">
        <v>50</v>
      </c>
      <c r="C678" t="s">
        <v>73</v>
      </c>
      <c r="D678">
        <v>4.2</v>
      </c>
      <c r="E678">
        <f>Tableau1[[#This Row],[Potential (PJ)]]/3.6</f>
        <v>1.1666666666666667</v>
      </c>
      <c r="F678">
        <v>5.4240000000000004</v>
      </c>
      <c r="G678">
        <f>Tableau1[[#This Row],[Cost (€/GJ)]]*3.6</f>
        <v>19.526400000000002</v>
      </c>
      <c r="H678">
        <v>20.723404255319149</v>
      </c>
      <c r="I678">
        <f>Tableau1[[#This Row],[GHG (kgCO2eq/GJ)]]*3.6</f>
        <v>74.604255319148933</v>
      </c>
      <c r="J678" t="s">
        <v>105</v>
      </c>
      <c r="K678" t="s">
        <v>108</v>
      </c>
    </row>
    <row r="679" spans="1:11" hidden="1" x14ac:dyDescent="0.3">
      <c r="A679" t="s">
        <v>38</v>
      </c>
      <c r="B679" t="s">
        <v>50</v>
      </c>
      <c r="C679" t="s">
        <v>74</v>
      </c>
      <c r="D679">
        <v>4.8</v>
      </c>
      <c r="E679">
        <f>Tableau1[[#This Row],[Potential (PJ)]]/3.6</f>
        <v>1.3333333333333333</v>
      </c>
      <c r="F679">
        <v>3.484</v>
      </c>
      <c r="G679">
        <f>Tableau1[[#This Row],[Cost (€/GJ)]]*3.6</f>
        <v>12.542400000000001</v>
      </c>
      <c r="H679">
        <v>2.0635593220338988</v>
      </c>
      <c r="I679">
        <f>Tableau1[[#This Row],[GHG (kgCO2eq/GJ)]]*3.6</f>
        <v>7.4288135593220357</v>
      </c>
      <c r="J679" t="s">
        <v>105</v>
      </c>
      <c r="K679" t="s">
        <v>108</v>
      </c>
    </row>
    <row r="680" spans="1:11" hidden="1" x14ac:dyDescent="0.3">
      <c r="A680" t="s">
        <v>38</v>
      </c>
      <c r="B680" t="s">
        <v>51</v>
      </c>
      <c r="C680" t="s">
        <v>75</v>
      </c>
      <c r="D680">
        <v>12.50666</v>
      </c>
      <c r="E680">
        <f>Tableau1[[#This Row],[Potential (PJ)]]/3.6</f>
        <v>3.474072222222222</v>
      </c>
      <c r="F680">
        <v>8.4863973360258194E-2</v>
      </c>
      <c r="G680">
        <f>Tableau1[[#This Row],[Cost (€/GJ)]]*3.6</f>
        <v>0.30551030409692953</v>
      </c>
      <c r="H680">
        <v>11.74</v>
      </c>
      <c r="I680">
        <f>Tableau1[[#This Row],[GHG (kgCO2eq/GJ)]]*3.6</f>
        <v>42.264000000000003</v>
      </c>
      <c r="J680" t="s">
        <v>104</v>
      </c>
      <c r="K680" t="s">
        <v>108</v>
      </c>
    </row>
    <row r="681" spans="1:11" hidden="1" x14ac:dyDescent="0.3">
      <c r="A681" t="s">
        <v>38</v>
      </c>
      <c r="B681" t="s">
        <v>52</v>
      </c>
      <c r="C681" t="s">
        <v>76</v>
      </c>
      <c r="D681">
        <v>5.0000000000000001E-3</v>
      </c>
      <c r="E681">
        <f>Tableau1[[#This Row],[Potential (PJ)]]/3.6</f>
        <v>1.3888888888888889E-3</v>
      </c>
      <c r="F681">
        <v>6.1837425000000001</v>
      </c>
      <c r="G681">
        <f>Tableau1[[#This Row],[Cost (€/GJ)]]*3.6</f>
        <v>22.261473000000002</v>
      </c>
      <c r="H681">
        <v>12.68872359754714</v>
      </c>
      <c r="I681">
        <f>Tableau1[[#This Row],[GHG (kgCO2eq/GJ)]]*3.6</f>
        <v>45.679404951169708</v>
      </c>
      <c r="J681" t="s">
        <v>105</v>
      </c>
      <c r="K681" t="s">
        <v>108</v>
      </c>
    </row>
    <row r="682" spans="1:11" hidden="1" x14ac:dyDescent="0.3">
      <c r="A682" t="s">
        <v>38</v>
      </c>
      <c r="B682" t="s">
        <v>53</v>
      </c>
      <c r="C682" t="s">
        <v>77</v>
      </c>
      <c r="D682">
        <v>19.51679</v>
      </c>
      <c r="E682">
        <f>Tableau1[[#This Row],[Potential (PJ)]]/3.6</f>
        <v>5.4213305555555555</v>
      </c>
      <c r="F682">
        <v>0</v>
      </c>
      <c r="G682">
        <f>Tableau1[[#This Row],[Cost (€/GJ)]]*3.6</f>
        <v>0</v>
      </c>
      <c r="H682">
        <v>3.86607608129234</v>
      </c>
      <c r="I682">
        <f>Tableau1[[#This Row],[GHG (kgCO2eq/GJ)]]*3.6</f>
        <v>13.917873892652425</v>
      </c>
      <c r="J682" t="s">
        <v>104</v>
      </c>
      <c r="K682" t="s">
        <v>108</v>
      </c>
    </row>
    <row r="683" spans="1:11" hidden="1" x14ac:dyDescent="0.3">
      <c r="A683" t="s">
        <v>39</v>
      </c>
      <c r="B683" t="s">
        <v>46</v>
      </c>
      <c r="C683" t="s">
        <v>64</v>
      </c>
      <c r="D683">
        <v>2.0200000000000001E-3</v>
      </c>
      <c r="E683">
        <f>Tableau1[[#This Row],[Potential (PJ)]]/3.6</f>
        <v>5.6111111111111108E-4</v>
      </c>
      <c r="F683">
        <v>5.2094603960396029</v>
      </c>
      <c r="G683">
        <f>Tableau1[[#This Row],[Cost (€/GJ)]]*3.6</f>
        <v>18.75405742574257</v>
      </c>
      <c r="H683">
        <v>2.9521711768407801</v>
      </c>
      <c r="I683">
        <f>Tableau1[[#This Row],[GHG (kgCO2eq/GJ)]]*3.6</f>
        <v>10.627816236626808</v>
      </c>
      <c r="J683" t="s">
        <v>104</v>
      </c>
      <c r="K683" t="s">
        <v>108</v>
      </c>
    </row>
    <row r="684" spans="1:11" hidden="1" x14ac:dyDescent="0.3">
      <c r="A684" t="s">
        <v>39</v>
      </c>
      <c r="B684" t="s">
        <v>46</v>
      </c>
      <c r="C684" t="s">
        <v>79</v>
      </c>
      <c r="D684">
        <v>9.3000000000000007</v>
      </c>
      <c r="E684">
        <f>Tableau1[[#This Row],[Potential (PJ)]]/3.6</f>
        <v>2.5833333333333335</v>
      </c>
      <c r="F684">
        <v>4.1263655913978488</v>
      </c>
      <c r="G684">
        <f>Tableau1[[#This Row],[Cost (€/GJ)]]*3.6</f>
        <v>14.854916129032256</v>
      </c>
      <c r="H684">
        <v>6.8428961748633883</v>
      </c>
      <c r="I684">
        <f>Tableau1[[#This Row],[GHG (kgCO2eq/GJ)]]*3.6</f>
        <v>24.634426229508197</v>
      </c>
      <c r="J684" t="s">
        <v>104</v>
      </c>
      <c r="K684" t="s">
        <v>108</v>
      </c>
    </row>
    <row r="685" spans="1:11" hidden="1" x14ac:dyDescent="0.3">
      <c r="A685" t="s">
        <v>39</v>
      </c>
      <c r="B685" t="s">
        <v>46</v>
      </c>
      <c r="C685" t="s">
        <v>80</v>
      </c>
      <c r="D685">
        <v>0.89119999999999999</v>
      </c>
      <c r="E685">
        <f>Tableau1[[#This Row],[Potential (PJ)]]/3.6</f>
        <v>0.24755555555555556</v>
      </c>
      <c r="F685">
        <v>0.56844234659474036</v>
      </c>
      <c r="G685">
        <f>Tableau1[[#This Row],[Cost (€/GJ)]]*3.6</f>
        <v>2.0463924477410655</v>
      </c>
      <c r="H685">
        <v>28.139870918023309</v>
      </c>
      <c r="I685">
        <f>Tableau1[[#This Row],[GHG (kgCO2eq/GJ)]]*3.6</f>
        <v>101.30353530488391</v>
      </c>
      <c r="J685" t="s">
        <v>105</v>
      </c>
      <c r="K685" t="s">
        <v>108</v>
      </c>
    </row>
    <row r="686" spans="1:11" hidden="1" x14ac:dyDescent="0.3">
      <c r="A686" t="s">
        <v>39</v>
      </c>
      <c r="B686" t="s">
        <v>46</v>
      </c>
      <c r="C686" t="s">
        <v>81</v>
      </c>
      <c r="D686">
        <v>5.3E-3</v>
      </c>
      <c r="E686">
        <f>Tableau1[[#This Row],[Potential (PJ)]]/3.6</f>
        <v>1.4722222222222222E-3</v>
      </c>
      <c r="F686">
        <v>3.150998824911869</v>
      </c>
      <c r="G686">
        <f>Tableau1[[#This Row],[Cost (€/GJ)]]*3.6</f>
        <v>11.343595769682729</v>
      </c>
      <c r="H686">
        <v>8.9647473560517046</v>
      </c>
      <c r="I686">
        <f>Tableau1[[#This Row],[GHG (kgCO2eq/GJ)]]*3.6</f>
        <v>32.273090481786134</v>
      </c>
      <c r="J686" t="s">
        <v>105</v>
      </c>
      <c r="K686" t="s">
        <v>108</v>
      </c>
    </row>
    <row r="687" spans="1:11" hidden="1" x14ac:dyDescent="0.3">
      <c r="A687" t="s">
        <v>39</v>
      </c>
      <c r="B687" t="s">
        <v>46</v>
      </c>
      <c r="C687" t="s">
        <v>82</v>
      </c>
      <c r="D687">
        <v>0.2</v>
      </c>
      <c r="E687">
        <f>Tableau1[[#This Row],[Potential (PJ)]]/3.6</f>
        <v>5.5555555555555559E-2</v>
      </c>
      <c r="F687">
        <v>2.6204999999999998</v>
      </c>
      <c r="G687">
        <f>Tableau1[[#This Row],[Cost (€/GJ)]]*3.6</f>
        <v>9.4337999999999997</v>
      </c>
      <c r="H687">
        <v>6.8428961748633883</v>
      </c>
      <c r="I687">
        <f>Tableau1[[#This Row],[GHG (kgCO2eq/GJ)]]*3.6</f>
        <v>24.634426229508197</v>
      </c>
      <c r="J687" t="s">
        <v>104</v>
      </c>
      <c r="K687" t="s">
        <v>108</v>
      </c>
    </row>
    <row r="688" spans="1:11" hidden="1" x14ac:dyDescent="0.3">
      <c r="A688" t="s">
        <v>39</v>
      </c>
      <c r="B688" t="s">
        <v>46</v>
      </c>
      <c r="C688" t="s">
        <v>84</v>
      </c>
      <c r="D688">
        <v>0.2</v>
      </c>
      <c r="E688">
        <f>Tableau1[[#This Row],[Potential (PJ)]]/3.6</f>
        <v>5.5555555555555559E-2</v>
      </c>
      <c r="F688">
        <v>2.9340000000000002</v>
      </c>
      <c r="G688">
        <f>Tableau1[[#This Row],[Cost (€/GJ)]]*3.6</f>
        <v>10.5624</v>
      </c>
      <c r="H688">
        <v>28.139870918023309</v>
      </c>
      <c r="I688">
        <f>Tableau1[[#This Row],[GHG (kgCO2eq/GJ)]]*3.6</f>
        <v>101.30353530488391</v>
      </c>
      <c r="J688" t="s">
        <v>105</v>
      </c>
      <c r="K688" t="s">
        <v>108</v>
      </c>
    </row>
    <row r="689" spans="1:11" hidden="1" x14ac:dyDescent="0.3">
      <c r="A689" t="s">
        <v>39</v>
      </c>
      <c r="B689" t="s">
        <v>55</v>
      </c>
      <c r="C689" t="s">
        <v>86</v>
      </c>
      <c r="D689">
        <v>0.3044</v>
      </c>
      <c r="E689">
        <f>Tableau1[[#This Row],[Potential (PJ)]]/3.6</f>
        <v>8.455555555555555E-2</v>
      </c>
      <c r="F689">
        <v>16.594999999999999</v>
      </c>
      <c r="G689">
        <f>Tableau1[[#This Row],[Cost (€/GJ)]]*3.6</f>
        <v>59.741999999999997</v>
      </c>
      <c r="H689">
        <v>14.2</v>
      </c>
      <c r="I689">
        <f>Tableau1[[#This Row],[GHG (kgCO2eq/GJ)]]*3.6</f>
        <v>51.12</v>
      </c>
      <c r="J689" t="s">
        <v>106</v>
      </c>
      <c r="K689" t="s">
        <v>109</v>
      </c>
    </row>
    <row r="690" spans="1:11" hidden="1" x14ac:dyDescent="0.3">
      <c r="A690" t="s">
        <v>39</v>
      </c>
      <c r="B690" t="s">
        <v>55</v>
      </c>
      <c r="C690" t="s">
        <v>89</v>
      </c>
      <c r="D690">
        <v>5.9200000000000003E-2</v>
      </c>
      <c r="E690">
        <f>Tableau1[[#This Row],[Potential (PJ)]]/3.6</f>
        <v>1.6444444444444446E-2</v>
      </c>
      <c r="F690">
        <v>0</v>
      </c>
      <c r="G690">
        <f>Tableau1[[#This Row],[Cost (€/GJ)]]*3.6</f>
        <v>0</v>
      </c>
      <c r="H690">
        <v>14.2</v>
      </c>
      <c r="I690">
        <f>Tableau1[[#This Row],[GHG (kgCO2eq/GJ)]]*3.6</f>
        <v>51.12</v>
      </c>
      <c r="J690" t="s">
        <v>106</v>
      </c>
      <c r="K690" t="s">
        <v>109</v>
      </c>
    </row>
    <row r="691" spans="1:11" hidden="1" x14ac:dyDescent="0.3">
      <c r="A691" t="s">
        <v>39</v>
      </c>
      <c r="B691" t="s">
        <v>55</v>
      </c>
      <c r="C691" t="s">
        <v>91</v>
      </c>
      <c r="D691">
        <v>1E-4</v>
      </c>
      <c r="E691">
        <f>Tableau1[[#This Row],[Potential (PJ)]]/3.6</f>
        <v>2.7777777777777779E-5</v>
      </c>
      <c r="F691">
        <v>15.297000000000001</v>
      </c>
      <c r="G691">
        <f>Tableau1[[#This Row],[Cost (€/GJ)]]*3.6</f>
        <v>55.069200000000002</v>
      </c>
      <c r="H691">
        <v>14.2</v>
      </c>
      <c r="I691">
        <f>Tableau1[[#This Row],[GHG (kgCO2eq/GJ)]]*3.6</f>
        <v>51.12</v>
      </c>
      <c r="J691" t="s">
        <v>106</v>
      </c>
      <c r="K691" t="s">
        <v>109</v>
      </c>
    </row>
    <row r="692" spans="1:11" hidden="1" x14ac:dyDescent="0.3">
      <c r="A692" t="s">
        <v>39</v>
      </c>
      <c r="B692" t="s">
        <v>55</v>
      </c>
      <c r="C692" t="s">
        <v>92</v>
      </c>
      <c r="D692">
        <v>9.3119999999999994E-2</v>
      </c>
      <c r="E692">
        <f>Tableau1[[#This Row],[Potential (PJ)]]/3.6</f>
        <v>2.5866666666666663E-2</v>
      </c>
      <c r="F692">
        <v>17.721</v>
      </c>
      <c r="G692">
        <f>Tableau1[[#This Row],[Cost (€/GJ)]]*3.6</f>
        <v>63.7956</v>
      </c>
      <c r="H692">
        <v>14.2</v>
      </c>
      <c r="I692">
        <f>Tableau1[[#This Row],[GHG (kgCO2eq/GJ)]]*3.6</f>
        <v>51.12</v>
      </c>
      <c r="J692" t="s">
        <v>106</v>
      </c>
      <c r="K692" t="s">
        <v>109</v>
      </c>
    </row>
    <row r="693" spans="1:11" hidden="1" x14ac:dyDescent="0.3">
      <c r="A693" t="s">
        <v>39</v>
      </c>
      <c r="B693" t="s">
        <v>56</v>
      </c>
      <c r="C693" t="s">
        <v>93</v>
      </c>
      <c r="D693">
        <v>5.4375999999999998</v>
      </c>
      <c r="E693">
        <f>Tableau1[[#This Row],[Potential (PJ)]]/3.6</f>
        <v>1.5104444444444443</v>
      </c>
      <c r="F693">
        <v>2.939759036144578</v>
      </c>
      <c r="G693">
        <f>Tableau1[[#This Row],[Cost (€/GJ)]]*3.6</f>
        <v>10.583132530120482</v>
      </c>
      <c r="H693">
        <v>0.1</v>
      </c>
      <c r="I693">
        <f>Tableau1[[#This Row],[GHG (kgCO2eq/GJ)]]*3.6</f>
        <v>0.36000000000000004</v>
      </c>
      <c r="J693" t="s">
        <v>106</v>
      </c>
      <c r="K693" t="s">
        <v>109</v>
      </c>
    </row>
    <row r="694" spans="1:11" x14ac:dyDescent="0.3">
      <c r="A694" t="s">
        <v>39</v>
      </c>
      <c r="B694" t="s">
        <v>47</v>
      </c>
      <c r="C694" t="s">
        <v>101</v>
      </c>
      <c r="D694">
        <v>5.8</v>
      </c>
      <c r="E694">
        <f>Tableau1[[#This Row],[Potential (PJ)]]/3.6</f>
        <v>1.6111111111111109</v>
      </c>
      <c r="F694">
        <v>6.7685000000000004</v>
      </c>
      <c r="G694">
        <f>Tableau1[[#This Row],[Cost (€/GJ)]]*3.6</f>
        <v>24.366600000000002</v>
      </c>
      <c r="H694">
        <v>29.3</v>
      </c>
      <c r="I694">
        <f>Tableau1[[#This Row],[GHG (kgCO2eq/GJ)]]*3.6</f>
        <v>105.48</v>
      </c>
      <c r="J694" t="s">
        <v>104</v>
      </c>
      <c r="K694" t="s">
        <v>109</v>
      </c>
    </row>
    <row r="695" spans="1:11" x14ac:dyDescent="0.3">
      <c r="A695" t="s">
        <v>39</v>
      </c>
      <c r="B695" t="s">
        <v>57</v>
      </c>
      <c r="C695" t="s">
        <v>94</v>
      </c>
      <c r="D695">
        <v>3.6</v>
      </c>
      <c r="E695">
        <f>Tableau1[[#This Row],[Potential (PJ)]]/3.6</f>
        <v>1</v>
      </c>
      <c r="F695">
        <v>13.305138888888891</v>
      </c>
      <c r="G695">
        <f>Tableau1[[#This Row],[Cost (€/GJ)]]*3.6</f>
        <v>47.898500000000006</v>
      </c>
      <c r="H695">
        <v>15.9</v>
      </c>
      <c r="I695">
        <f>Tableau1[[#This Row],[GHG (kgCO2eq/GJ)]]*3.6</f>
        <v>57.24</v>
      </c>
      <c r="J695" t="s">
        <v>104</v>
      </c>
      <c r="K695" t="s">
        <v>109</v>
      </c>
    </row>
    <row r="696" spans="1:11" hidden="1" x14ac:dyDescent="0.3">
      <c r="A696" t="s">
        <v>39</v>
      </c>
      <c r="B696" t="s">
        <v>49</v>
      </c>
      <c r="C696" t="s">
        <v>71</v>
      </c>
      <c r="D696">
        <v>43.043589999999988</v>
      </c>
      <c r="E696">
        <f>Tableau1[[#This Row],[Potential (PJ)]]/3.6</f>
        <v>11.956552777777775</v>
      </c>
      <c r="F696">
        <v>5.6567805670948923</v>
      </c>
      <c r="G696">
        <f>Tableau1[[#This Row],[Cost (€/GJ)]]*3.6</f>
        <v>20.364410041541614</v>
      </c>
      <c r="H696">
        <v>3.86607608129234</v>
      </c>
      <c r="I696">
        <f>Tableau1[[#This Row],[GHG (kgCO2eq/GJ)]]*3.6</f>
        <v>13.917873892652425</v>
      </c>
      <c r="J696" t="s">
        <v>104</v>
      </c>
      <c r="K696" t="s">
        <v>108</v>
      </c>
    </row>
    <row r="697" spans="1:11" hidden="1" x14ac:dyDescent="0.3">
      <c r="A697" t="s">
        <v>39</v>
      </c>
      <c r="B697" t="s">
        <v>49</v>
      </c>
      <c r="C697" t="s">
        <v>72</v>
      </c>
      <c r="D697">
        <v>2.1</v>
      </c>
      <c r="E697">
        <f>Tableau1[[#This Row],[Potential (PJ)]]/3.6</f>
        <v>0.58333333333333337</v>
      </c>
      <c r="F697">
        <v>4.5220952380952388</v>
      </c>
      <c r="G697">
        <f>Tableau1[[#This Row],[Cost (€/GJ)]]*3.6</f>
        <v>16.279542857142861</v>
      </c>
      <c r="H697">
        <v>3.86607608129234</v>
      </c>
      <c r="I697">
        <f>Tableau1[[#This Row],[GHG (kgCO2eq/GJ)]]*3.6</f>
        <v>13.917873892652425</v>
      </c>
      <c r="J697" t="s">
        <v>104</v>
      </c>
      <c r="K697" t="s">
        <v>108</v>
      </c>
    </row>
    <row r="698" spans="1:11" hidden="1" x14ac:dyDescent="0.3">
      <c r="A698" t="s">
        <v>39</v>
      </c>
      <c r="B698" t="s">
        <v>58</v>
      </c>
      <c r="C698" t="s">
        <v>95</v>
      </c>
      <c r="D698">
        <v>7.1447200000000004</v>
      </c>
      <c r="E698">
        <f>Tableau1[[#This Row],[Potential (PJ)]]/3.6</f>
        <v>1.9846444444444444</v>
      </c>
      <c r="F698">
        <v>1.3520476323774759</v>
      </c>
      <c r="G698">
        <f>Tableau1[[#This Row],[Cost (€/GJ)]]*3.6</f>
        <v>4.8673714765589136</v>
      </c>
      <c r="H698">
        <v>2.9521711768407801</v>
      </c>
      <c r="I698">
        <f>Tableau1[[#This Row],[GHG (kgCO2eq/GJ)]]*3.6</f>
        <v>10.627816236626808</v>
      </c>
      <c r="J698" t="s">
        <v>104</v>
      </c>
      <c r="K698" t="s">
        <v>108</v>
      </c>
    </row>
    <row r="699" spans="1:11" hidden="1" x14ac:dyDescent="0.3">
      <c r="A699" t="s">
        <v>39</v>
      </c>
      <c r="B699" t="s">
        <v>50</v>
      </c>
      <c r="C699" t="s">
        <v>73</v>
      </c>
      <c r="D699">
        <v>1.4</v>
      </c>
      <c r="E699">
        <f>Tableau1[[#This Row],[Potential (PJ)]]/3.6</f>
        <v>0.38888888888888884</v>
      </c>
      <c r="F699">
        <v>5.7796428571428562</v>
      </c>
      <c r="G699">
        <f>Tableau1[[#This Row],[Cost (€/GJ)]]*3.6</f>
        <v>20.806714285714282</v>
      </c>
      <c r="H699">
        <v>20.723404255319149</v>
      </c>
      <c r="I699">
        <f>Tableau1[[#This Row],[GHG (kgCO2eq/GJ)]]*3.6</f>
        <v>74.604255319148933</v>
      </c>
      <c r="J699" t="s">
        <v>105</v>
      </c>
      <c r="K699" t="s">
        <v>108</v>
      </c>
    </row>
    <row r="700" spans="1:11" hidden="1" x14ac:dyDescent="0.3">
      <c r="A700" t="s">
        <v>39</v>
      </c>
      <c r="B700" t="s">
        <v>50</v>
      </c>
      <c r="C700" t="s">
        <v>74</v>
      </c>
      <c r="D700">
        <v>4.2</v>
      </c>
      <c r="E700">
        <f>Tableau1[[#This Row],[Potential (PJ)]]/3.6</f>
        <v>1.1666666666666667</v>
      </c>
      <c r="F700">
        <v>6.9276904761904774</v>
      </c>
      <c r="G700">
        <f>Tableau1[[#This Row],[Cost (€/GJ)]]*3.6</f>
        <v>24.939685714285719</v>
      </c>
      <c r="H700">
        <v>2.0635593220338988</v>
      </c>
      <c r="I700">
        <f>Tableau1[[#This Row],[GHG (kgCO2eq/GJ)]]*3.6</f>
        <v>7.4288135593220357</v>
      </c>
      <c r="J700" t="s">
        <v>105</v>
      </c>
      <c r="K700" t="s">
        <v>108</v>
      </c>
    </row>
    <row r="701" spans="1:11" hidden="1" x14ac:dyDescent="0.3">
      <c r="A701" t="s">
        <v>39</v>
      </c>
      <c r="B701" t="s">
        <v>51</v>
      </c>
      <c r="C701" t="s">
        <v>75</v>
      </c>
      <c r="D701">
        <v>23.085760000000001</v>
      </c>
      <c r="E701">
        <f>Tableau1[[#This Row],[Potential (PJ)]]/3.6</f>
        <v>6.4127111111111113</v>
      </c>
      <c r="F701">
        <v>2.9714065881842398E-3</v>
      </c>
      <c r="G701">
        <f>Tableau1[[#This Row],[Cost (€/GJ)]]*3.6</f>
        <v>1.0697063717463264E-2</v>
      </c>
      <c r="H701">
        <v>11.74</v>
      </c>
      <c r="I701">
        <f>Tableau1[[#This Row],[GHG (kgCO2eq/GJ)]]*3.6</f>
        <v>42.264000000000003</v>
      </c>
      <c r="J701" t="s">
        <v>104</v>
      </c>
      <c r="K701" t="s">
        <v>108</v>
      </c>
    </row>
    <row r="702" spans="1:11" hidden="1" x14ac:dyDescent="0.3">
      <c r="A702" t="s">
        <v>39</v>
      </c>
      <c r="B702" t="s">
        <v>60</v>
      </c>
      <c r="C702" t="s">
        <v>98</v>
      </c>
      <c r="D702">
        <v>1.3563700000000001</v>
      </c>
      <c r="E702">
        <f>Tableau1[[#This Row],[Potential (PJ)]]/3.6</f>
        <v>0.37676944444444443</v>
      </c>
      <c r="F702">
        <v>16.004296455424271</v>
      </c>
      <c r="G702">
        <f>Tableau1[[#This Row],[Cost (€/GJ)]]*3.6</f>
        <v>57.615467239527376</v>
      </c>
      <c r="H702">
        <v>22.8</v>
      </c>
      <c r="I702">
        <f>Tableau1[[#This Row],[GHG (kgCO2eq/GJ)]]*3.6</f>
        <v>82.08</v>
      </c>
      <c r="J702" t="s">
        <v>107</v>
      </c>
      <c r="K702" t="s">
        <v>109</v>
      </c>
    </row>
    <row r="703" spans="1:11" hidden="1" x14ac:dyDescent="0.3">
      <c r="A703" t="s">
        <v>39</v>
      </c>
      <c r="B703" t="s">
        <v>52</v>
      </c>
      <c r="C703" t="s">
        <v>76</v>
      </c>
      <c r="D703">
        <v>1.3420000000000001</v>
      </c>
      <c r="E703">
        <f>Tableau1[[#This Row],[Potential (PJ)]]/3.6</f>
        <v>0.37277777777777782</v>
      </c>
      <c r="F703">
        <v>6.1837425000000001</v>
      </c>
      <c r="G703">
        <f>Tableau1[[#This Row],[Cost (€/GJ)]]*3.6</f>
        <v>22.261473000000002</v>
      </c>
      <c r="H703">
        <v>12.68872359754714</v>
      </c>
      <c r="I703">
        <f>Tableau1[[#This Row],[GHG (kgCO2eq/GJ)]]*3.6</f>
        <v>45.679404951169708</v>
      </c>
      <c r="J703" t="s">
        <v>105</v>
      </c>
      <c r="K703" t="s">
        <v>108</v>
      </c>
    </row>
    <row r="704" spans="1:11" hidden="1" x14ac:dyDescent="0.3">
      <c r="A704" t="s">
        <v>39</v>
      </c>
      <c r="B704" t="s">
        <v>53</v>
      </c>
      <c r="C704" t="s">
        <v>77</v>
      </c>
      <c r="D704">
        <v>14.86378</v>
      </c>
      <c r="E704">
        <f>Tableau1[[#This Row],[Potential (PJ)]]/3.6</f>
        <v>4.1288277777777775</v>
      </c>
      <c r="F704">
        <v>4.5227970570070326</v>
      </c>
      <c r="G704">
        <f>Tableau1[[#This Row],[Cost (€/GJ)]]*3.6</f>
        <v>16.282069405225318</v>
      </c>
      <c r="H704">
        <v>3.86607608129234</v>
      </c>
      <c r="I704">
        <f>Tableau1[[#This Row],[GHG (kgCO2eq/GJ)]]*3.6</f>
        <v>13.917873892652425</v>
      </c>
      <c r="J704" t="s">
        <v>104</v>
      </c>
      <c r="K704" t="s">
        <v>108</v>
      </c>
    </row>
    <row r="705" spans="1:11" hidden="1" x14ac:dyDescent="0.3">
      <c r="A705" t="s">
        <v>39</v>
      </c>
      <c r="B705" t="s">
        <v>61</v>
      </c>
      <c r="C705" t="s">
        <v>99</v>
      </c>
      <c r="D705">
        <v>19</v>
      </c>
      <c r="E705">
        <f>Tableau1[[#This Row],[Potential (PJ)]]/3.6</f>
        <v>5.2777777777777777</v>
      </c>
      <c r="F705">
        <v>1.633610526315789</v>
      </c>
      <c r="G705">
        <f>Tableau1[[#This Row],[Cost (€/GJ)]]*3.6</f>
        <v>5.88099789473684</v>
      </c>
      <c r="H705">
        <v>2.9245635910224439</v>
      </c>
      <c r="I705">
        <f>Tableau1[[#This Row],[GHG (kgCO2eq/GJ)]]*3.6</f>
        <v>10.528428927680798</v>
      </c>
      <c r="J705" t="s">
        <v>104</v>
      </c>
      <c r="K705" t="s">
        <v>108</v>
      </c>
    </row>
    <row r="706" spans="1:11" hidden="1" x14ac:dyDescent="0.3">
      <c r="A706" t="s">
        <v>39</v>
      </c>
      <c r="B706" t="s">
        <v>62</v>
      </c>
      <c r="C706" t="s">
        <v>100</v>
      </c>
      <c r="D706">
        <v>8.6000000000000014</v>
      </c>
      <c r="E706">
        <f>Tableau1[[#This Row],[Potential (PJ)]]/3.6</f>
        <v>2.3888888888888893</v>
      </c>
      <c r="F706">
        <v>0.46744186046511632</v>
      </c>
      <c r="G706">
        <f>Tableau1[[#This Row],[Cost (€/GJ)]]*3.6</f>
        <v>1.6827906976744187</v>
      </c>
      <c r="H706">
        <v>2.6764106050305911</v>
      </c>
      <c r="I706">
        <f>Tableau1[[#This Row],[GHG (kgCO2eq/GJ)]]*3.6</f>
        <v>9.6350781781101276</v>
      </c>
      <c r="J706" t="s">
        <v>104</v>
      </c>
      <c r="K706" t="s">
        <v>108</v>
      </c>
    </row>
    <row r="707" spans="1:11" hidden="1" x14ac:dyDescent="0.3">
      <c r="A707" t="s">
        <v>39</v>
      </c>
      <c r="B707" t="s">
        <v>54</v>
      </c>
      <c r="C707" t="s">
        <v>78</v>
      </c>
      <c r="D707">
        <v>287.60000000000002</v>
      </c>
      <c r="E707">
        <f>Tableau1[[#This Row],[Potential (PJ)]]/3.6</f>
        <v>79.8888888888889</v>
      </c>
      <c r="F707">
        <v>9.4114321974965218</v>
      </c>
      <c r="G707">
        <f>Tableau1[[#This Row],[Cost (€/GJ)]]*3.6</f>
        <v>33.881155910987481</v>
      </c>
      <c r="H707">
        <v>3.86607608129234</v>
      </c>
      <c r="I707">
        <f>Tableau1[[#This Row],[GHG (kgCO2eq/GJ)]]*3.6</f>
        <v>13.917873892652425</v>
      </c>
      <c r="J707" t="s">
        <v>104</v>
      </c>
      <c r="K707" t="s">
        <v>108</v>
      </c>
    </row>
    <row r="708" spans="1:11" hidden="1" x14ac:dyDescent="0.3">
      <c r="A708" t="s">
        <v>40</v>
      </c>
      <c r="B708" t="s">
        <v>46</v>
      </c>
      <c r="C708" t="s">
        <v>63</v>
      </c>
      <c r="D708">
        <v>6.9999999999999999E-4</v>
      </c>
      <c r="E708">
        <f>Tableau1[[#This Row],[Potential (PJ)]]/3.6</f>
        <v>1.9444444444444443E-4</v>
      </c>
      <c r="F708">
        <v>2.9286474973375931</v>
      </c>
      <c r="G708">
        <f>Tableau1[[#This Row],[Cost (€/GJ)]]*3.6</f>
        <v>10.543130990415335</v>
      </c>
      <c r="H708">
        <v>3.950479233226837</v>
      </c>
      <c r="I708">
        <f>Tableau1[[#This Row],[GHG (kgCO2eq/GJ)]]*3.6</f>
        <v>14.221725239616614</v>
      </c>
      <c r="J708" t="s">
        <v>104</v>
      </c>
      <c r="K708" t="s">
        <v>108</v>
      </c>
    </row>
    <row r="709" spans="1:11" hidden="1" x14ac:dyDescent="0.3">
      <c r="A709" t="s">
        <v>40</v>
      </c>
      <c r="B709" t="s">
        <v>46</v>
      </c>
      <c r="C709" t="s">
        <v>64</v>
      </c>
      <c r="D709">
        <v>7.2600000000000008E-3</v>
      </c>
      <c r="E709">
        <f>Tableau1[[#This Row],[Potential (PJ)]]/3.6</f>
        <v>2.016666666666667E-3</v>
      </c>
      <c r="F709">
        <v>5.0717272727272729</v>
      </c>
      <c r="G709">
        <f>Tableau1[[#This Row],[Cost (€/GJ)]]*3.6</f>
        <v>18.258218181818183</v>
      </c>
      <c r="H709">
        <v>2.9521711768407801</v>
      </c>
      <c r="I709">
        <f>Tableau1[[#This Row],[GHG (kgCO2eq/GJ)]]*3.6</f>
        <v>10.627816236626808</v>
      </c>
      <c r="J709" t="s">
        <v>104</v>
      </c>
      <c r="K709" t="s">
        <v>108</v>
      </c>
    </row>
    <row r="710" spans="1:11" hidden="1" x14ac:dyDescent="0.3">
      <c r="A710" t="s">
        <v>40</v>
      </c>
      <c r="B710" t="s">
        <v>46</v>
      </c>
      <c r="C710" t="s">
        <v>80</v>
      </c>
      <c r="D710">
        <v>0.12690000000000001</v>
      </c>
      <c r="E710">
        <f>Tableau1[[#This Row],[Potential (PJ)]]/3.6</f>
        <v>3.5250000000000004E-2</v>
      </c>
      <c r="F710">
        <v>2.7417397167902902</v>
      </c>
      <c r="G710">
        <f>Tableau1[[#This Row],[Cost (€/GJ)]]*3.6</f>
        <v>9.8702629804450446</v>
      </c>
      <c r="H710">
        <v>28.139870918023309</v>
      </c>
      <c r="I710">
        <f>Tableau1[[#This Row],[GHG (kgCO2eq/GJ)]]*3.6</f>
        <v>101.30353530488391</v>
      </c>
      <c r="J710" t="s">
        <v>105</v>
      </c>
      <c r="K710" t="s">
        <v>108</v>
      </c>
    </row>
    <row r="711" spans="1:11" hidden="1" x14ac:dyDescent="0.3">
      <c r="A711" t="s">
        <v>40</v>
      </c>
      <c r="B711" t="s">
        <v>46</v>
      </c>
      <c r="C711" t="s">
        <v>81</v>
      </c>
      <c r="D711">
        <v>3.7400000000000003E-2</v>
      </c>
      <c r="E711">
        <f>Tableau1[[#This Row],[Potential (PJ)]]/3.6</f>
        <v>1.038888888888889E-2</v>
      </c>
      <c r="F711">
        <v>2.5616921269095179</v>
      </c>
      <c r="G711">
        <f>Tableau1[[#This Row],[Cost (€/GJ)]]*3.6</f>
        <v>9.2220916568742641</v>
      </c>
      <c r="H711">
        <v>8.9647473560517046</v>
      </c>
      <c r="I711">
        <f>Tableau1[[#This Row],[GHG (kgCO2eq/GJ)]]*3.6</f>
        <v>32.273090481786134</v>
      </c>
      <c r="J711" t="s">
        <v>105</v>
      </c>
      <c r="K711" t="s">
        <v>108</v>
      </c>
    </row>
    <row r="712" spans="1:11" hidden="1" x14ac:dyDescent="0.3">
      <c r="A712" t="s">
        <v>40</v>
      </c>
      <c r="B712" t="s">
        <v>46</v>
      </c>
      <c r="C712" t="s">
        <v>66</v>
      </c>
      <c r="D712">
        <v>0.1</v>
      </c>
      <c r="E712">
        <f>Tableau1[[#This Row],[Potential (PJ)]]/3.6</f>
        <v>2.777777777777778E-2</v>
      </c>
      <c r="F712">
        <v>2.798999999999999</v>
      </c>
      <c r="G712">
        <f>Tableau1[[#This Row],[Cost (€/GJ)]]*3.6</f>
        <v>10.076399999999996</v>
      </c>
      <c r="H712">
        <v>6.8428961748633883</v>
      </c>
      <c r="I712">
        <f>Tableau1[[#This Row],[GHG (kgCO2eq/GJ)]]*3.6</f>
        <v>24.634426229508197</v>
      </c>
      <c r="J712" t="s">
        <v>104</v>
      </c>
      <c r="K712" t="s">
        <v>108</v>
      </c>
    </row>
    <row r="713" spans="1:11" hidden="1" x14ac:dyDescent="0.3">
      <c r="A713" t="s">
        <v>40</v>
      </c>
      <c r="B713" t="s">
        <v>46</v>
      </c>
      <c r="C713" t="s">
        <v>82</v>
      </c>
      <c r="D713">
        <v>0.1</v>
      </c>
      <c r="E713">
        <f>Tableau1[[#This Row],[Potential (PJ)]]/3.6</f>
        <v>2.777777777777778E-2</v>
      </c>
      <c r="F713">
        <v>1.649</v>
      </c>
      <c r="G713">
        <f>Tableau1[[#This Row],[Cost (€/GJ)]]*3.6</f>
        <v>5.9363999999999999</v>
      </c>
      <c r="H713">
        <v>6.8428961748633883</v>
      </c>
      <c r="I713">
        <f>Tableau1[[#This Row],[GHG (kgCO2eq/GJ)]]*3.6</f>
        <v>24.634426229508197</v>
      </c>
      <c r="J713" t="s">
        <v>104</v>
      </c>
      <c r="K713" t="s">
        <v>108</v>
      </c>
    </row>
    <row r="714" spans="1:11" hidden="1" x14ac:dyDescent="0.3">
      <c r="A714" t="s">
        <v>40</v>
      </c>
      <c r="B714" t="s">
        <v>55</v>
      </c>
      <c r="C714" t="s">
        <v>86</v>
      </c>
      <c r="D714">
        <v>0.1094</v>
      </c>
      <c r="E714">
        <f>Tableau1[[#This Row],[Potential (PJ)]]/3.6</f>
        <v>3.0388888888888889E-2</v>
      </c>
      <c r="F714">
        <v>14.561</v>
      </c>
      <c r="G714">
        <f>Tableau1[[#This Row],[Cost (€/GJ)]]*3.6</f>
        <v>52.419600000000003</v>
      </c>
      <c r="H714">
        <v>21.3</v>
      </c>
      <c r="I714">
        <f>Tableau1[[#This Row],[GHG (kgCO2eq/GJ)]]*3.6</f>
        <v>76.680000000000007</v>
      </c>
      <c r="J714" t="s">
        <v>106</v>
      </c>
      <c r="K714" t="s">
        <v>109</v>
      </c>
    </row>
    <row r="715" spans="1:11" hidden="1" x14ac:dyDescent="0.3">
      <c r="A715" t="s">
        <v>40</v>
      </c>
      <c r="B715" t="s">
        <v>55</v>
      </c>
      <c r="C715" t="s">
        <v>88</v>
      </c>
      <c r="D715">
        <v>2.9100000000000001E-2</v>
      </c>
      <c r="E715">
        <f>Tableau1[[#This Row],[Potential (PJ)]]/3.6</f>
        <v>8.083333333333333E-3</v>
      </c>
      <c r="F715">
        <v>15.038</v>
      </c>
      <c r="G715">
        <f>Tableau1[[#This Row],[Cost (€/GJ)]]*3.6</f>
        <v>54.136800000000001</v>
      </c>
      <c r="H715">
        <v>21.3</v>
      </c>
      <c r="I715">
        <f>Tableau1[[#This Row],[GHG (kgCO2eq/GJ)]]*3.6</f>
        <v>76.680000000000007</v>
      </c>
      <c r="J715" t="s">
        <v>106</v>
      </c>
      <c r="K715" t="s">
        <v>109</v>
      </c>
    </row>
    <row r="716" spans="1:11" x14ac:dyDescent="0.3">
      <c r="A716" t="s">
        <v>40</v>
      </c>
      <c r="B716" t="s">
        <v>47</v>
      </c>
      <c r="C716" t="s">
        <v>68</v>
      </c>
      <c r="D716">
        <v>0.7</v>
      </c>
      <c r="E716">
        <f>Tableau1[[#This Row],[Potential (PJ)]]/3.6</f>
        <v>0.19444444444444442</v>
      </c>
      <c r="F716">
        <v>3.027428571428572</v>
      </c>
      <c r="G716">
        <f>Tableau1[[#This Row],[Cost (€/GJ)]]*3.6</f>
        <v>10.89874285714286</v>
      </c>
      <c r="H716">
        <v>17.3</v>
      </c>
      <c r="I716">
        <f>Tableau1[[#This Row],[GHG (kgCO2eq/GJ)]]*3.6</f>
        <v>62.28</v>
      </c>
      <c r="J716" t="s">
        <v>104</v>
      </c>
      <c r="K716" t="s">
        <v>109</v>
      </c>
    </row>
    <row r="717" spans="1:11" x14ac:dyDescent="0.3">
      <c r="A717" t="s">
        <v>40</v>
      </c>
      <c r="B717" t="s">
        <v>47</v>
      </c>
      <c r="C717" t="s">
        <v>69</v>
      </c>
      <c r="D717">
        <v>0.60000000000000009</v>
      </c>
      <c r="E717">
        <f>Tableau1[[#This Row],[Potential (PJ)]]/3.6</f>
        <v>0.16666666666666669</v>
      </c>
      <c r="F717">
        <v>3.0976666666666661</v>
      </c>
      <c r="G717">
        <f>Tableau1[[#This Row],[Cost (€/GJ)]]*3.6</f>
        <v>11.151599999999998</v>
      </c>
      <c r="H717">
        <v>17.3</v>
      </c>
      <c r="I717">
        <f>Tableau1[[#This Row],[GHG (kgCO2eq/GJ)]]*3.6</f>
        <v>62.28</v>
      </c>
      <c r="J717" t="s">
        <v>104</v>
      </c>
      <c r="K717" t="s">
        <v>109</v>
      </c>
    </row>
    <row r="718" spans="1:11" x14ac:dyDescent="0.3">
      <c r="A718" t="s">
        <v>40</v>
      </c>
      <c r="B718" t="s">
        <v>48</v>
      </c>
      <c r="C718" t="s">
        <v>70</v>
      </c>
      <c r="D718">
        <v>0.3</v>
      </c>
      <c r="E718">
        <f>Tableau1[[#This Row],[Potential (PJ)]]/3.6</f>
        <v>8.3333333333333329E-2</v>
      </c>
      <c r="F718">
        <v>8.0336666666666652</v>
      </c>
      <c r="G718">
        <f>Tableau1[[#This Row],[Cost (€/GJ)]]*3.6</f>
        <v>28.921199999999995</v>
      </c>
      <c r="H718">
        <v>0</v>
      </c>
      <c r="I718">
        <f>Tableau1[[#This Row],[GHG (kgCO2eq/GJ)]]*3.6</f>
        <v>0</v>
      </c>
      <c r="J718" t="s">
        <v>104</v>
      </c>
      <c r="K718" t="s">
        <v>109</v>
      </c>
    </row>
    <row r="719" spans="1:11" hidden="1" x14ac:dyDescent="0.3">
      <c r="A719" t="s">
        <v>40</v>
      </c>
      <c r="B719" t="s">
        <v>49</v>
      </c>
      <c r="C719" t="s">
        <v>71</v>
      </c>
      <c r="D719">
        <v>7.5558999999999994</v>
      </c>
      <c r="E719">
        <f>Tableau1[[#This Row],[Potential (PJ)]]/3.6</f>
        <v>2.0988611111111108</v>
      </c>
      <c r="F719">
        <v>2.4016232877618808</v>
      </c>
      <c r="G719">
        <f>Tableau1[[#This Row],[Cost (€/GJ)]]*3.6</f>
        <v>8.6458438359427721</v>
      </c>
      <c r="H719">
        <v>3.86607608129234</v>
      </c>
      <c r="I719">
        <f>Tableau1[[#This Row],[GHG (kgCO2eq/GJ)]]*3.6</f>
        <v>13.917873892652425</v>
      </c>
      <c r="J719" t="s">
        <v>104</v>
      </c>
      <c r="K719" t="s">
        <v>108</v>
      </c>
    </row>
    <row r="720" spans="1:11" hidden="1" x14ac:dyDescent="0.3">
      <c r="A720" t="s">
        <v>40</v>
      </c>
      <c r="B720" t="s">
        <v>49</v>
      </c>
      <c r="C720" t="s">
        <v>72</v>
      </c>
      <c r="D720">
        <v>0.60000000000000009</v>
      </c>
      <c r="E720">
        <f>Tableau1[[#This Row],[Potential (PJ)]]/3.6</f>
        <v>0.16666666666666669</v>
      </c>
      <c r="F720">
        <v>3.1880000000000002</v>
      </c>
      <c r="G720">
        <f>Tableau1[[#This Row],[Cost (€/GJ)]]*3.6</f>
        <v>11.476800000000001</v>
      </c>
      <c r="H720">
        <v>3.86607608129234</v>
      </c>
      <c r="I720">
        <f>Tableau1[[#This Row],[GHG (kgCO2eq/GJ)]]*3.6</f>
        <v>13.917873892652425</v>
      </c>
      <c r="J720" t="s">
        <v>104</v>
      </c>
      <c r="K720" t="s">
        <v>108</v>
      </c>
    </row>
    <row r="721" spans="1:11" hidden="1" x14ac:dyDescent="0.3">
      <c r="A721" t="s">
        <v>40</v>
      </c>
      <c r="B721" t="s">
        <v>58</v>
      </c>
      <c r="C721" t="s">
        <v>95</v>
      </c>
      <c r="D721">
        <v>0.17424000000000001</v>
      </c>
      <c r="E721">
        <f>Tableau1[[#This Row],[Potential (PJ)]]/3.6</f>
        <v>4.8399999999999999E-2</v>
      </c>
      <c r="F721">
        <v>2.657</v>
      </c>
      <c r="G721">
        <f>Tableau1[[#This Row],[Cost (€/GJ)]]*3.6</f>
        <v>9.5652000000000008</v>
      </c>
      <c r="H721">
        <v>2.9521711768407801</v>
      </c>
      <c r="I721">
        <f>Tableau1[[#This Row],[GHG (kgCO2eq/GJ)]]*3.6</f>
        <v>10.627816236626808</v>
      </c>
      <c r="J721" t="s">
        <v>104</v>
      </c>
      <c r="K721" t="s">
        <v>108</v>
      </c>
    </row>
    <row r="722" spans="1:11" hidden="1" x14ac:dyDescent="0.3">
      <c r="A722" t="s">
        <v>40</v>
      </c>
      <c r="B722" t="s">
        <v>50</v>
      </c>
      <c r="C722" t="s">
        <v>73</v>
      </c>
      <c r="D722">
        <v>0.3</v>
      </c>
      <c r="E722">
        <f>Tableau1[[#This Row],[Potential (PJ)]]/3.6</f>
        <v>8.3333333333333329E-2</v>
      </c>
      <c r="F722">
        <v>5.1550000000000002</v>
      </c>
      <c r="G722">
        <f>Tableau1[[#This Row],[Cost (€/GJ)]]*3.6</f>
        <v>18.558</v>
      </c>
      <c r="H722">
        <v>20.723404255319149</v>
      </c>
      <c r="I722">
        <f>Tableau1[[#This Row],[GHG (kgCO2eq/GJ)]]*3.6</f>
        <v>74.604255319148933</v>
      </c>
      <c r="J722" t="s">
        <v>105</v>
      </c>
      <c r="K722" t="s">
        <v>108</v>
      </c>
    </row>
    <row r="723" spans="1:11" hidden="1" x14ac:dyDescent="0.3">
      <c r="A723" t="s">
        <v>40</v>
      </c>
      <c r="B723" t="s">
        <v>50</v>
      </c>
      <c r="C723" t="s">
        <v>74</v>
      </c>
      <c r="D723">
        <v>0.60000000000000009</v>
      </c>
      <c r="E723">
        <f>Tableau1[[#This Row],[Potential (PJ)]]/3.6</f>
        <v>0.16666666666666669</v>
      </c>
      <c r="F723">
        <v>3.72</v>
      </c>
      <c r="G723">
        <f>Tableau1[[#This Row],[Cost (€/GJ)]]*3.6</f>
        <v>13.392000000000001</v>
      </c>
      <c r="H723">
        <v>2.0635593220338988</v>
      </c>
      <c r="I723">
        <f>Tableau1[[#This Row],[GHG (kgCO2eq/GJ)]]*3.6</f>
        <v>7.4288135593220357</v>
      </c>
      <c r="J723" t="s">
        <v>105</v>
      </c>
      <c r="K723" t="s">
        <v>108</v>
      </c>
    </row>
    <row r="724" spans="1:11" hidden="1" x14ac:dyDescent="0.3">
      <c r="A724" t="s">
        <v>40</v>
      </c>
      <c r="B724" t="s">
        <v>51</v>
      </c>
      <c r="C724" t="s">
        <v>75</v>
      </c>
      <c r="D724">
        <v>0.763853</v>
      </c>
      <c r="E724">
        <f>Tableau1[[#This Row],[Potential (PJ)]]/3.6</f>
        <v>0.21218138888888888</v>
      </c>
      <c r="F724">
        <v>9.8616790521531106E-2</v>
      </c>
      <c r="G724">
        <f>Tableau1[[#This Row],[Cost (€/GJ)]]*3.6</f>
        <v>0.35502044587751197</v>
      </c>
      <c r="H724">
        <v>11.74</v>
      </c>
      <c r="I724">
        <f>Tableau1[[#This Row],[GHG (kgCO2eq/GJ)]]*3.6</f>
        <v>42.264000000000003</v>
      </c>
      <c r="J724" t="s">
        <v>104</v>
      </c>
      <c r="K724" t="s">
        <v>108</v>
      </c>
    </row>
    <row r="725" spans="1:11" hidden="1" x14ac:dyDescent="0.3">
      <c r="A725" t="s">
        <v>40</v>
      </c>
      <c r="B725" t="s">
        <v>60</v>
      </c>
      <c r="C725" t="s">
        <v>98</v>
      </c>
      <c r="D725">
        <v>0.12501999999999999</v>
      </c>
      <c r="E725">
        <f>Tableau1[[#This Row],[Potential (PJ)]]/3.6</f>
        <v>3.4727777777777774E-2</v>
      </c>
      <c r="F725">
        <v>28.73254564983888</v>
      </c>
      <c r="G725">
        <f>Tableau1[[#This Row],[Cost (€/GJ)]]*3.6</f>
        <v>103.43716433941997</v>
      </c>
      <c r="H725">
        <v>37.6</v>
      </c>
      <c r="I725">
        <f>Tableau1[[#This Row],[GHG (kgCO2eq/GJ)]]*3.6</f>
        <v>135.36000000000001</v>
      </c>
      <c r="J725" t="s">
        <v>107</v>
      </c>
      <c r="K725" t="s">
        <v>109</v>
      </c>
    </row>
    <row r="726" spans="1:11" hidden="1" x14ac:dyDescent="0.3">
      <c r="A726" t="s">
        <v>40</v>
      </c>
      <c r="B726" t="s">
        <v>52</v>
      </c>
      <c r="C726" t="s">
        <v>76</v>
      </c>
      <c r="D726">
        <v>4.9000000000000002E-2</v>
      </c>
      <c r="E726">
        <f>Tableau1[[#This Row],[Potential (PJ)]]/3.6</f>
        <v>1.3611111111111112E-2</v>
      </c>
      <c r="F726">
        <v>6.1837425000000001</v>
      </c>
      <c r="G726">
        <f>Tableau1[[#This Row],[Cost (€/GJ)]]*3.6</f>
        <v>22.261473000000002</v>
      </c>
      <c r="H726">
        <v>12.68872359754714</v>
      </c>
      <c r="I726">
        <f>Tableau1[[#This Row],[GHG (kgCO2eq/GJ)]]*3.6</f>
        <v>45.679404951169708</v>
      </c>
      <c r="J726" t="s">
        <v>105</v>
      </c>
      <c r="K726" t="s">
        <v>108</v>
      </c>
    </row>
    <row r="727" spans="1:11" hidden="1" x14ac:dyDescent="0.3">
      <c r="A727" t="s">
        <v>40</v>
      </c>
      <c r="B727" t="s">
        <v>53</v>
      </c>
      <c r="C727" t="s">
        <v>77</v>
      </c>
      <c r="D727">
        <v>2.3380800000000002</v>
      </c>
      <c r="E727">
        <f>Tableau1[[#This Row],[Potential (PJ)]]/3.6</f>
        <v>0.64946666666666675</v>
      </c>
      <c r="F727">
        <v>3.1883896017244919</v>
      </c>
      <c r="G727">
        <f>Tableau1[[#This Row],[Cost (€/GJ)]]*3.6</f>
        <v>11.478202566208171</v>
      </c>
      <c r="H727">
        <v>3.86607608129234</v>
      </c>
      <c r="I727">
        <f>Tableau1[[#This Row],[GHG (kgCO2eq/GJ)]]*3.6</f>
        <v>13.917873892652425</v>
      </c>
      <c r="J727" t="s">
        <v>104</v>
      </c>
      <c r="K727" t="s">
        <v>108</v>
      </c>
    </row>
    <row r="728" spans="1:11" hidden="1" x14ac:dyDescent="0.3">
      <c r="A728" t="s">
        <v>40</v>
      </c>
      <c r="B728" t="s">
        <v>61</v>
      </c>
      <c r="C728" t="s">
        <v>99</v>
      </c>
      <c r="D728">
        <v>0.60000000000000009</v>
      </c>
      <c r="E728">
        <f>Tableau1[[#This Row],[Potential (PJ)]]/3.6</f>
        <v>0.16666666666666669</v>
      </c>
      <c r="F728">
        <v>1.510666666666667</v>
      </c>
      <c r="G728">
        <f>Tableau1[[#This Row],[Cost (€/GJ)]]*3.6</f>
        <v>5.4384000000000015</v>
      </c>
      <c r="H728">
        <v>2.9245635910224439</v>
      </c>
      <c r="I728">
        <f>Tableau1[[#This Row],[GHG (kgCO2eq/GJ)]]*3.6</f>
        <v>10.528428927680798</v>
      </c>
      <c r="J728" t="s">
        <v>104</v>
      </c>
      <c r="K728" t="s">
        <v>108</v>
      </c>
    </row>
    <row r="729" spans="1:11" hidden="1" x14ac:dyDescent="0.3">
      <c r="A729" t="s">
        <v>40</v>
      </c>
      <c r="B729" t="s">
        <v>62</v>
      </c>
      <c r="C729" t="s">
        <v>100</v>
      </c>
      <c r="D729">
        <v>0.2</v>
      </c>
      <c r="E729">
        <f>Tableau1[[#This Row],[Potential (PJ)]]/3.6</f>
        <v>5.5555555555555559E-2</v>
      </c>
      <c r="F729">
        <v>0.79999999999999993</v>
      </c>
      <c r="G729">
        <f>Tableau1[[#This Row],[Cost (€/GJ)]]*3.6</f>
        <v>2.88</v>
      </c>
      <c r="H729">
        <v>2.6764106050305911</v>
      </c>
      <c r="I729">
        <f>Tableau1[[#This Row],[GHG (kgCO2eq/GJ)]]*3.6</f>
        <v>9.6350781781101276</v>
      </c>
      <c r="J729" t="s">
        <v>104</v>
      </c>
      <c r="K729" t="s">
        <v>108</v>
      </c>
    </row>
    <row r="730" spans="1:11" hidden="1" x14ac:dyDescent="0.3">
      <c r="A730" t="s">
        <v>40</v>
      </c>
      <c r="B730" t="s">
        <v>54</v>
      </c>
      <c r="C730" t="s">
        <v>78</v>
      </c>
      <c r="D730">
        <v>28.1</v>
      </c>
      <c r="E730">
        <f>Tableau1[[#This Row],[Potential (PJ)]]/3.6</f>
        <v>7.8055555555555554</v>
      </c>
      <c r="F730">
        <v>3.1751316725978649</v>
      </c>
      <c r="G730">
        <f>Tableau1[[#This Row],[Cost (€/GJ)]]*3.6</f>
        <v>11.430474021352314</v>
      </c>
      <c r="H730">
        <v>3.86607608129234</v>
      </c>
      <c r="I730">
        <f>Tableau1[[#This Row],[GHG (kgCO2eq/GJ)]]*3.6</f>
        <v>13.917873892652425</v>
      </c>
      <c r="J730" t="s">
        <v>104</v>
      </c>
      <c r="K730" t="s">
        <v>108</v>
      </c>
    </row>
    <row r="731" spans="1:11" hidden="1" x14ac:dyDescent="0.3">
      <c r="A731" t="s">
        <v>41</v>
      </c>
      <c r="B731" t="s">
        <v>46</v>
      </c>
      <c r="C731" t="s">
        <v>64</v>
      </c>
      <c r="D731">
        <v>6.6499999999999997E-3</v>
      </c>
      <c r="E731">
        <f>Tableau1[[#This Row],[Potential (PJ)]]/3.6</f>
        <v>1.8472222222222221E-3</v>
      </c>
      <c r="F731">
        <v>4.9806706766917292</v>
      </c>
      <c r="G731">
        <f>Tableau1[[#This Row],[Cost (€/GJ)]]*3.6</f>
        <v>17.930414436090224</v>
      </c>
      <c r="H731">
        <v>2.9521711768407801</v>
      </c>
      <c r="I731">
        <f>Tableau1[[#This Row],[GHG (kgCO2eq/GJ)]]*3.6</f>
        <v>10.627816236626808</v>
      </c>
      <c r="J731" t="s">
        <v>104</v>
      </c>
      <c r="K731" t="s">
        <v>108</v>
      </c>
    </row>
    <row r="732" spans="1:11" hidden="1" x14ac:dyDescent="0.3">
      <c r="A732" t="s">
        <v>41</v>
      </c>
      <c r="B732" t="s">
        <v>46</v>
      </c>
      <c r="C732" t="s">
        <v>79</v>
      </c>
      <c r="D732">
        <v>5.9</v>
      </c>
      <c r="E732">
        <f>Tableau1[[#This Row],[Potential (PJ)]]/3.6</f>
        <v>1.6388888888888888</v>
      </c>
      <c r="F732">
        <v>4.2323050847457626</v>
      </c>
      <c r="G732">
        <f>Tableau1[[#This Row],[Cost (€/GJ)]]*3.6</f>
        <v>15.236298305084746</v>
      </c>
      <c r="H732">
        <v>6.8428961748633883</v>
      </c>
      <c r="I732">
        <f>Tableau1[[#This Row],[GHG (kgCO2eq/GJ)]]*3.6</f>
        <v>24.634426229508197</v>
      </c>
      <c r="J732" t="s">
        <v>104</v>
      </c>
      <c r="K732" t="s">
        <v>108</v>
      </c>
    </row>
    <row r="733" spans="1:11" hidden="1" x14ac:dyDescent="0.3">
      <c r="A733" t="s">
        <v>41</v>
      </c>
      <c r="B733" t="s">
        <v>46</v>
      </c>
      <c r="C733" t="s">
        <v>80</v>
      </c>
      <c r="D733">
        <v>0.08</v>
      </c>
      <c r="E733">
        <f>Tableau1[[#This Row],[Potential (PJ)]]/3.6</f>
        <v>2.2222222222222223E-2</v>
      </c>
      <c r="F733">
        <v>0.2002697235333783</v>
      </c>
      <c r="G733">
        <f>Tableau1[[#This Row],[Cost (€/GJ)]]*3.6</f>
        <v>0.72097100472016185</v>
      </c>
      <c r="H733">
        <v>28.139870918023309</v>
      </c>
      <c r="I733">
        <f>Tableau1[[#This Row],[GHG (kgCO2eq/GJ)]]*3.6</f>
        <v>101.30353530488391</v>
      </c>
      <c r="J733" t="s">
        <v>105</v>
      </c>
      <c r="K733" t="s">
        <v>108</v>
      </c>
    </row>
    <row r="734" spans="1:11" hidden="1" x14ac:dyDescent="0.3">
      <c r="A734" t="s">
        <v>41</v>
      </c>
      <c r="B734" t="s">
        <v>46</v>
      </c>
      <c r="C734" t="s">
        <v>81</v>
      </c>
      <c r="D734">
        <v>4.8099999999999997E-2</v>
      </c>
      <c r="E734">
        <f>Tableau1[[#This Row],[Potential (PJ)]]/3.6</f>
        <v>1.336111111111111E-2</v>
      </c>
      <c r="F734">
        <v>0.36251468860164521</v>
      </c>
      <c r="G734">
        <f>Tableau1[[#This Row],[Cost (€/GJ)]]*3.6</f>
        <v>1.3050528789659228</v>
      </c>
      <c r="H734">
        <v>8.9647473560517046</v>
      </c>
      <c r="I734">
        <f>Tableau1[[#This Row],[GHG (kgCO2eq/GJ)]]*3.6</f>
        <v>32.273090481786134</v>
      </c>
      <c r="J734" t="s">
        <v>105</v>
      </c>
      <c r="K734" t="s">
        <v>108</v>
      </c>
    </row>
    <row r="735" spans="1:11" hidden="1" x14ac:dyDescent="0.3">
      <c r="A735" t="s">
        <v>41</v>
      </c>
      <c r="B735" t="s">
        <v>46</v>
      </c>
      <c r="C735" t="s">
        <v>66</v>
      </c>
      <c r="D735">
        <v>0.60000000000000009</v>
      </c>
      <c r="E735">
        <f>Tableau1[[#This Row],[Potential (PJ)]]/3.6</f>
        <v>0.16666666666666669</v>
      </c>
      <c r="F735">
        <v>4.3901666666666657</v>
      </c>
      <c r="G735">
        <f>Tableau1[[#This Row],[Cost (€/GJ)]]*3.6</f>
        <v>15.804599999999997</v>
      </c>
      <c r="H735">
        <v>6.8428961748633883</v>
      </c>
      <c r="I735">
        <f>Tableau1[[#This Row],[GHG (kgCO2eq/GJ)]]*3.6</f>
        <v>24.634426229508197</v>
      </c>
      <c r="J735" t="s">
        <v>104</v>
      </c>
      <c r="K735" t="s">
        <v>108</v>
      </c>
    </row>
    <row r="736" spans="1:11" hidden="1" x14ac:dyDescent="0.3">
      <c r="A736" t="s">
        <v>41</v>
      </c>
      <c r="B736" t="s">
        <v>46</v>
      </c>
      <c r="C736" t="s">
        <v>82</v>
      </c>
      <c r="D736">
        <v>0.4</v>
      </c>
      <c r="E736">
        <f>Tableau1[[#This Row],[Potential (PJ)]]/3.6</f>
        <v>0.11111111111111112</v>
      </c>
      <c r="F736">
        <v>2.6604999999999999</v>
      </c>
      <c r="G736">
        <f>Tableau1[[#This Row],[Cost (€/GJ)]]*3.6</f>
        <v>9.5777999999999999</v>
      </c>
      <c r="H736">
        <v>6.8428961748633883</v>
      </c>
      <c r="I736">
        <f>Tableau1[[#This Row],[GHG (kgCO2eq/GJ)]]*3.6</f>
        <v>24.634426229508197</v>
      </c>
      <c r="J736" t="s">
        <v>104</v>
      </c>
      <c r="K736" t="s">
        <v>108</v>
      </c>
    </row>
    <row r="737" spans="1:11" hidden="1" x14ac:dyDescent="0.3">
      <c r="A737" t="s">
        <v>41</v>
      </c>
      <c r="B737" t="s">
        <v>46</v>
      </c>
      <c r="C737" t="s">
        <v>84</v>
      </c>
      <c r="D737">
        <v>0.1</v>
      </c>
      <c r="E737">
        <f>Tableau1[[#This Row],[Potential (PJ)]]/3.6</f>
        <v>2.777777777777778E-2</v>
      </c>
      <c r="F737">
        <v>2.2989999999999999</v>
      </c>
      <c r="G737">
        <f>Tableau1[[#This Row],[Cost (€/GJ)]]*3.6</f>
        <v>8.2764000000000006</v>
      </c>
      <c r="H737">
        <v>28.139870918023309</v>
      </c>
      <c r="I737">
        <f>Tableau1[[#This Row],[GHG (kgCO2eq/GJ)]]*3.6</f>
        <v>101.30353530488391</v>
      </c>
      <c r="J737" t="s">
        <v>105</v>
      </c>
      <c r="K737" t="s">
        <v>108</v>
      </c>
    </row>
    <row r="738" spans="1:11" hidden="1" x14ac:dyDescent="0.3">
      <c r="A738" t="s">
        <v>41</v>
      </c>
      <c r="B738" t="s">
        <v>55</v>
      </c>
      <c r="C738" t="s">
        <v>86</v>
      </c>
      <c r="D738">
        <v>3.9E-2</v>
      </c>
      <c r="E738">
        <f>Tableau1[[#This Row],[Potential (PJ)]]/3.6</f>
        <v>1.0833333333333334E-2</v>
      </c>
      <c r="F738">
        <v>17.356000000000002</v>
      </c>
      <c r="G738">
        <f>Tableau1[[#This Row],[Cost (€/GJ)]]*3.6</f>
        <v>62.481600000000007</v>
      </c>
      <c r="H738">
        <v>9</v>
      </c>
      <c r="I738">
        <f>Tableau1[[#This Row],[GHG (kgCO2eq/GJ)]]*3.6</f>
        <v>32.4</v>
      </c>
      <c r="J738" t="s">
        <v>106</v>
      </c>
      <c r="K738" t="s">
        <v>109</v>
      </c>
    </row>
    <row r="739" spans="1:11" hidden="1" x14ac:dyDescent="0.3">
      <c r="A739" t="s">
        <v>41</v>
      </c>
      <c r="B739" t="s">
        <v>55</v>
      </c>
      <c r="C739" t="s">
        <v>87</v>
      </c>
      <c r="D739">
        <v>0.76640000000000008</v>
      </c>
      <c r="E739">
        <f>Tableau1[[#This Row],[Potential (PJ)]]/3.6</f>
        <v>0.21288888888888891</v>
      </c>
      <c r="F739">
        <v>15.88</v>
      </c>
      <c r="G739">
        <f>Tableau1[[#This Row],[Cost (€/GJ)]]*3.6</f>
        <v>57.168000000000006</v>
      </c>
      <c r="H739">
        <v>9</v>
      </c>
      <c r="I739">
        <f>Tableau1[[#This Row],[GHG (kgCO2eq/GJ)]]*3.6</f>
        <v>32.4</v>
      </c>
      <c r="J739" t="s">
        <v>106</v>
      </c>
      <c r="K739" t="s">
        <v>109</v>
      </c>
    </row>
    <row r="740" spans="1:11" hidden="1" x14ac:dyDescent="0.3">
      <c r="A740" t="s">
        <v>41</v>
      </c>
      <c r="B740" t="s">
        <v>55</v>
      </c>
      <c r="C740" t="s">
        <v>88</v>
      </c>
      <c r="D740">
        <v>1.5778000000000001</v>
      </c>
      <c r="E740">
        <f>Tableau1[[#This Row],[Potential (PJ)]]/3.6</f>
        <v>0.43827777777777777</v>
      </c>
      <c r="F740">
        <v>14.911</v>
      </c>
      <c r="G740">
        <f>Tableau1[[#This Row],[Cost (€/GJ)]]*3.6</f>
        <v>53.679600000000001</v>
      </c>
      <c r="H740">
        <v>9</v>
      </c>
      <c r="I740">
        <f>Tableau1[[#This Row],[GHG (kgCO2eq/GJ)]]*3.6</f>
        <v>32.4</v>
      </c>
      <c r="J740" t="s">
        <v>106</v>
      </c>
      <c r="K740" t="s">
        <v>109</v>
      </c>
    </row>
    <row r="741" spans="1:11" hidden="1" x14ac:dyDescent="0.3">
      <c r="A741" t="s">
        <v>41</v>
      </c>
      <c r="B741" t="s">
        <v>55</v>
      </c>
      <c r="C741" t="s">
        <v>91</v>
      </c>
      <c r="D741">
        <v>0.22189999999999999</v>
      </c>
      <c r="E741">
        <f>Tableau1[[#This Row],[Potential (PJ)]]/3.6</f>
        <v>6.1638888888888882E-2</v>
      </c>
      <c r="F741">
        <v>16.141999999999999</v>
      </c>
      <c r="G741">
        <f>Tableau1[[#This Row],[Cost (€/GJ)]]*3.6</f>
        <v>58.111199999999997</v>
      </c>
      <c r="H741">
        <v>9</v>
      </c>
      <c r="I741">
        <f>Tableau1[[#This Row],[GHG (kgCO2eq/GJ)]]*3.6</f>
        <v>32.4</v>
      </c>
      <c r="J741" t="s">
        <v>106</v>
      </c>
      <c r="K741" t="s">
        <v>109</v>
      </c>
    </row>
    <row r="742" spans="1:11" hidden="1" x14ac:dyDescent="0.3">
      <c r="A742" t="s">
        <v>41</v>
      </c>
      <c r="B742" t="s">
        <v>55</v>
      </c>
      <c r="C742" t="s">
        <v>92</v>
      </c>
      <c r="D742">
        <v>9.9239999999999995E-2</v>
      </c>
      <c r="E742">
        <f>Tableau1[[#This Row],[Potential (PJ)]]/3.6</f>
        <v>2.7566666666666663E-2</v>
      </c>
      <c r="F742">
        <v>15.88</v>
      </c>
      <c r="G742">
        <f>Tableau1[[#This Row],[Cost (€/GJ)]]*3.6</f>
        <v>57.168000000000006</v>
      </c>
      <c r="H742">
        <v>9</v>
      </c>
      <c r="I742">
        <f>Tableau1[[#This Row],[GHG (kgCO2eq/GJ)]]*3.6</f>
        <v>32.4</v>
      </c>
      <c r="J742" t="s">
        <v>106</v>
      </c>
      <c r="K742" t="s">
        <v>109</v>
      </c>
    </row>
    <row r="743" spans="1:11" hidden="1" x14ac:dyDescent="0.3">
      <c r="A743" t="s">
        <v>41</v>
      </c>
      <c r="B743" t="s">
        <v>56</v>
      </c>
      <c r="C743" t="s">
        <v>93</v>
      </c>
      <c r="D743">
        <v>8.7918000000000003</v>
      </c>
      <c r="E743">
        <f>Tableau1[[#This Row],[Potential (PJ)]]/3.6</f>
        <v>2.4421666666666666</v>
      </c>
      <c r="F743">
        <v>2.9493975903614462</v>
      </c>
      <c r="G743">
        <f>Tableau1[[#This Row],[Cost (€/GJ)]]*3.6</f>
        <v>10.617831325301207</v>
      </c>
      <c r="H743">
        <v>15.9</v>
      </c>
      <c r="I743">
        <f>Tableau1[[#This Row],[GHG (kgCO2eq/GJ)]]*3.6</f>
        <v>57.24</v>
      </c>
      <c r="J743" t="s">
        <v>106</v>
      </c>
      <c r="K743" t="s">
        <v>109</v>
      </c>
    </row>
    <row r="744" spans="1:11" x14ac:dyDescent="0.3">
      <c r="A744" t="s">
        <v>41</v>
      </c>
      <c r="B744" t="s">
        <v>47</v>
      </c>
      <c r="C744" t="s">
        <v>68</v>
      </c>
      <c r="D744">
        <v>0.7</v>
      </c>
      <c r="E744">
        <f>Tableau1[[#This Row],[Potential (PJ)]]/3.6</f>
        <v>0.19444444444444442</v>
      </c>
      <c r="F744">
        <v>3.5221428571428568</v>
      </c>
      <c r="G744">
        <f>Tableau1[[#This Row],[Cost (€/GJ)]]*3.6</f>
        <v>12.679714285714285</v>
      </c>
      <c r="H744">
        <v>22.8</v>
      </c>
      <c r="I744">
        <f>Tableau1[[#This Row],[GHG (kgCO2eq/GJ)]]*3.6</f>
        <v>82.08</v>
      </c>
      <c r="J744" t="s">
        <v>104</v>
      </c>
      <c r="K744" t="s">
        <v>109</v>
      </c>
    </row>
    <row r="745" spans="1:11" x14ac:dyDescent="0.3">
      <c r="A745" t="s">
        <v>41</v>
      </c>
      <c r="B745" t="s">
        <v>47</v>
      </c>
      <c r="C745" t="s">
        <v>69</v>
      </c>
      <c r="D745">
        <v>0.5</v>
      </c>
      <c r="E745">
        <f>Tableau1[[#This Row],[Potential (PJ)]]/3.6</f>
        <v>0.1388888888888889</v>
      </c>
      <c r="F745">
        <v>3.5066000000000002</v>
      </c>
      <c r="G745">
        <f>Tableau1[[#This Row],[Cost (€/GJ)]]*3.6</f>
        <v>12.623760000000001</v>
      </c>
      <c r="H745">
        <v>22.8</v>
      </c>
      <c r="I745">
        <f>Tableau1[[#This Row],[GHG (kgCO2eq/GJ)]]*3.6</f>
        <v>82.08</v>
      </c>
      <c r="J745" t="s">
        <v>104</v>
      </c>
      <c r="K745" t="s">
        <v>109</v>
      </c>
    </row>
    <row r="746" spans="1:11" x14ac:dyDescent="0.3">
      <c r="A746" t="s">
        <v>41</v>
      </c>
      <c r="B746" t="s">
        <v>57</v>
      </c>
      <c r="C746" t="s">
        <v>94</v>
      </c>
      <c r="D746">
        <v>0.6</v>
      </c>
      <c r="E746">
        <f>Tableau1[[#This Row],[Potential (PJ)]]/3.6</f>
        <v>0.16666666666666666</v>
      </c>
      <c r="F746">
        <v>8.157333333333332</v>
      </c>
      <c r="G746">
        <f>Tableau1[[#This Row],[Cost (€/GJ)]]*3.6</f>
        <v>29.366399999999995</v>
      </c>
      <c r="H746">
        <v>14.9</v>
      </c>
      <c r="I746">
        <f>Tableau1[[#This Row],[GHG (kgCO2eq/GJ)]]*3.6</f>
        <v>53.64</v>
      </c>
      <c r="J746" t="s">
        <v>104</v>
      </c>
      <c r="K746" t="s">
        <v>109</v>
      </c>
    </row>
    <row r="747" spans="1:11" hidden="1" x14ac:dyDescent="0.3">
      <c r="A747" t="s">
        <v>41</v>
      </c>
      <c r="B747" t="s">
        <v>49</v>
      </c>
      <c r="C747" t="s">
        <v>71</v>
      </c>
      <c r="D747">
        <v>7.7587200000000003</v>
      </c>
      <c r="E747">
        <f>Tableau1[[#This Row],[Potential (PJ)]]/3.6</f>
        <v>2.1552000000000002</v>
      </c>
      <c r="F747">
        <v>2.2746631828445931</v>
      </c>
      <c r="G747">
        <f>Tableau1[[#This Row],[Cost (€/GJ)]]*3.6</f>
        <v>8.1887874582405349</v>
      </c>
      <c r="H747">
        <v>3.86607608129234</v>
      </c>
      <c r="I747">
        <f>Tableau1[[#This Row],[GHG (kgCO2eq/GJ)]]*3.6</f>
        <v>13.917873892652425</v>
      </c>
      <c r="J747" t="s">
        <v>104</v>
      </c>
      <c r="K747" t="s">
        <v>108</v>
      </c>
    </row>
    <row r="748" spans="1:11" hidden="1" x14ac:dyDescent="0.3">
      <c r="A748" t="s">
        <v>41</v>
      </c>
      <c r="B748" t="s">
        <v>49</v>
      </c>
      <c r="C748" t="s">
        <v>72</v>
      </c>
      <c r="D748">
        <v>0.2</v>
      </c>
      <c r="E748">
        <f>Tableau1[[#This Row],[Potential (PJ)]]/3.6</f>
        <v>5.5555555555555559E-2</v>
      </c>
      <c r="F748">
        <v>3.036</v>
      </c>
      <c r="G748">
        <f>Tableau1[[#This Row],[Cost (€/GJ)]]*3.6</f>
        <v>10.929600000000001</v>
      </c>
      <c r="H748">
        <v>3.86607608129234</v>
      </c>
      <c r="I748">
        <f>Tableau1[[#This Row],[GHG (kgCO2eq/GJ)]]*3.6</f>
        <v>13.917873892652425</v>
      </c>
      <c r="J748" t="s">
        <v>104</v>
      </c>
      <c r="K748" t="s">
        <v>108</v>
      </c>
    </row>
    <row r="749" spans="1:11" hidden="1" x14ac:dyDescent="0.3">
      <c r="A749" t="s">
        <v>41</v>
      </c>
      <c r="B749" t="s">
        <v>58</v>
      </c>
      <c r="C749" t="s">
        <v>95</v>
      </c>
      <c r="D749">
        <v>0.74680000000000002</v>
      </c>
      <c r="E749">
        <f>Tableau1[[#This Row],[Potential (PJ)]]/3.6</f>
        <v>0.20744444444444443</v>
      </c>
      <c r="F749">
        <v>2.657</v>
      </c>
      <c r="G749">
        <f>Tableau1[[#This Row],[Cost (€/GJ)]]*3.6</f>
        <v>9.5652000000000008</v>
      </c>
      <c r="H749">
        <v>2.9521711768407801</v>
      </c>
      <c r="I749">
        <f>Tableau1[[#This Row],[GHG (kgCO2eq/GJ)]]*3.6</f>
        <v>10.627816236626808</v>
      </c>
      <c r="J749" t="s">
        <v>104</v>
      </c>
      <c r="K749" t="s">
        <v>108</v>
      </c>
    </row>
    <row r="750" spans="1:11" hidden="1" x14ac:dyDescent="0.3">
      <c r="A750" t="s">
        <v>41</v>
      </c>
      <c r="B750" t="s">
        <v>50</v>
      </c>
      <c r="C750" t="s">
        <v>73</v>
      </c>
      <c r="D750">
        <v>1.3</v>
      </c>
      <c r="E750">
        <f>Tableau1[[#This Row],[Potential (PJ)]]/3.6</f>
        <v>0.3611111111111111</v>
      </c>
      <c r="F750">
        <v>5.1363076923076934</v>
      </c>
      <c r="G750">
        <f>Tableau1[[#This Row],[Cost (€/GJ)]]*3.6</f>
        <v>18.490707692307698</v>
      </c>
      <c r="H750">
        <v>20.723404255319149</v>
      </c>
      <c r="I750">
        <f>Tableau1[[#This Row],[GHG (kgCO2eq/GJ)]]*3.6</f>
        <v>74.604255319148933</v>
      </c>
      <c r="J750" t="s">
        <v>105</v>
      </c>
      <c r="K750" t="s">
        <v>108</v>
      </c>
    </row>
    <row r="751" spans="1:11" hidden="1" x14ac:dyDescent="0.3">
      <c r="A751" t="s">
        <v>41</v>
      </c>
      <c r="B751" t="s">
        <v>50</v>
      </c>
      <c r="C751" t="s">
        <v>74</v>
      </c>
      <c r="D751">
        <v>8</v>
      </c>
      <c r="E751">
        <f>Tableau1[[#This Row],[Potential (PJ)]]/3.6</f>
        <v>2.2222222222222223</v>
      </c>
      <c r="F751">
        <v>3.3028249999999999</v>
      </c>
      <c r="G751">
        <f>Tableau1[[#This Row],[Cost (€/GJ)]]*3.6</f>
        <v>11.890169999999999</v>
      </c>
      <c r="H751">
        <v>2.0635593220338988</v>
      </c>
      <c r="I751">
        <f>Tableau1[[#This Row],[GHG (kgCO2eq/GJ)]]*3.6</f>
        <v>7.4288135593220357</v>
      </c>
      <c r="J751" t="s">
        <v>105</v>
      </c>
      <c r="K751" t="s">
        <v>108</v>
      </c>
    </row>
    <row r="752" spans="1:11" hidden="1" x14ac:dyDescent="0.3">
      <c r="A752" t="s">
        <v>41</v>
      </c>
      <c r="B752" t="s">
        <v>59</v>
      </c>
      <c r="C752" t="s">
        <v>96</v>
      </c>
      <c r="D752">
        <v>6.93E-2</v>
      </c>
      <c r="E752">
        <f>Tableau1[[#This Row],[Potential (PJ)]]/3.6</f>
        <v>1.925E-2</v>
      </c>
      <c r="F752">
        <v>30.006</v>
      </c>
      <c r="G752">
        <f>Tableau1[[#This Row],[Cost (€/GJ)]]*3.6</f>
        <v>108.02160000000001</v>
      </c>
      <c r="H752">
        <v>1</v>
      </c>
      <c r="I752">
        <f>Tableau1[[#This Row],[GHG (kgCO2eq/GJ)]]*3.6</f>
        <v>3.6</v>
      </c>
      <c r="J752" t="s">
        <v>107</v>
      </c>
      <c r="K752" t="s">
        <v>109</v>
      </c>
    </row>
    <row r="753" spans="1:11" hidden="1" x14ac:dyDescent="0.3">
      <c r="A753" t="s">
        <v>41</v>
      </c>
      <c r="B753" t="s">
        <v>59</v>
      </c>
      <c r="C753" t="s">
        <v>97</v>
      </c>
      <c r="D753">
        <v>4.2000000000000006E-3</v>
      </c>
      <c r="E753">
        <f>Tableau1[[#This Row],[Potential (PJ)]]/3.6</f>
        <v>1.1666666666666668E-3</v>
      </c>
      <c r="F753">
        <v>15.95225176342919</v>
      </c>
      <c r="G753">
        <f>Tableau1[[#This Row],[Cost (€/GJ)]]*3.6</f>
        <v>57.428106348345089</v>
      </c>
      <c r="H753">
        <v>1</v>
      </c>
      <c r="I753">
        <f>Tableau1[[#This Row],[GHG (kgCO2eq/GJ)]]*3.6</f>
        <v>3.6</v>
      </c>
      <c r="J753" t="s">
        <v>107</v>
      </c>
      <c r="K753" t="s">
        <v>109</v>
      </c>
    </row>
    <row r="754" spans="1:11" hidden="1" x14ac:dyDescent="0.3">
      <c r="A754" t="s">
        <v>41</v>
      </c>
      <c r="B754" t="s">
        <v>51</v>
      </c>
      <c r="C754" t="s">
        <v>75</v>
      </c>
      <c r="D754">
        <v>2.998129</v>
      </c>
      <c r="E754">
        <f>Tableau1[[#This Row],[Potential (PJ)]]/3.6</f>
        <v>0.83281361111111107</v>
      </c>
      <c r="F754">
        <v>1.60046712556123E-2</v>
      </c>
      <c r="G754">
        <f>Tableau1[[#This Row],[Cost (€/GJ)]]*3.6</f>
        <v>5.7616816520204284E-2</v>
      </c>
      <c r="H754">
        <v>11.74</v>
      </c>
      <c r="I754">
        <f>Tableau1[[#This Row],[GHG (kgCO2eq/GJ)]]*3.6</f>
        <v>42.264000000000003</v>
      </c>
      <c r="J754" t="s">
        <v>104</v>
      </c>
      <c r="K754" t="s">
        <v>108</v>
      </c>
    </row>
    <row r="755" spans="1:11" hidden="1" x14ac:dyDescent="0.3">
      <c r="A755" t="s">
        <v>41</v>
      </c>
      <c r="B755" t="s">
        <v>60</v>
      </c>
      <c r="C755" t="s">
        <v>98</v>
      </c>
      <c r="D755">
        <v>1.15541</v>
      </c>
      <c r="E755">
        <f>Tableau1[[#This Row],[Potential (PJ)]]/3.6</f>
        <v>0.32094722222222222</v>
      </c>
      <c r="F755">
        <v>18.367346938775508</v>
      </c>
      <c r="G755">
        <f>Tableau1[[#This Row],[Cost (€/GJ)]]*3.6</f>
        <v>66.122448979591837</v>
      </c>
      <c r="H755">
        <v>18.8</v>
      </c>
      <c r="I755">
        <f>Tableau1[[#This Row],[GHG (kgCO2eq/GJ)]]*3.6</f>
        <v>67.680000000000007</v>
      </c>
      <c r="J755" t="s">
        <v>107</v>
      </c>
      <c r="K755" t="s">
        <v>109</v>
      </c>
    </row>
    <row r="756" spans="1:11" hidden="1" x14ac:dyDescent="0.3">
      <c r="A756" t="s">
        <v>41</v>
      </c>
      <c r="B756" t="s">
        <v>52</v>
      </c>
      <c r="C756" t="s">
        <v>76</v>
      </c>
      <c r="D756">
        <v>1E-3</v>
      </c>
      <c r="E756">
        <f>Tableau1[[#This Row],[Potential (PJ)]]/3.6</f>
        <v>2.7777777777777778E-4</v>
      </c>
      <c r="F756">
        <v>6.1837425000000001</v>
      </c>
      <c r="G756">
        <f>Tableau1[[#This Row],[Cost (€/GJ)]]*3.6</f>
        <v>22.261473000000002</v>
      </c>
      <c r="H756">
        <v>12.68872359754714</v>
      </c>
      <c r="I756">
        <f>Tableau1[[#This Row],[GHG (kgCO2eq/GJ)]]*3.6</f>
        <v>45.679404951169708</v>
      </c>
      <c r="J756" t="s">
        <v>105</v>
      </c>
      <c r="K756" t="s">
        <v>108</v>
      </c>
    </row>
    <row r="757" spans="1:11" hidden="1" x14ac:dyDescent="0.3">
      <c r="A757" t="s">
        <v>41</v>
      </c>
      <c r="B757" t="s">
        <v>53</v>
      </c>
      <c r="C757" t="s">
        <v>77</v>
      </c>
      <c r="D757">
        <v>0.89702999999999999</v>
      </c>
      <c r="E757">
        <f>Tableau1[[#This Row],[Potential (PJ)]]/3.6</f>
        <v>0.24917499999999998</v>
      </c>
      <c r="F757">
        <v>3.0358584662720309</v>
      </c>
      <c r="G757">
        <f>Tableau1[[#This Row],[Cost (€/GJ)]]*3.6</f>
        <v>10.929090478579312</v>
      </c>
      <c r="H757">
        <v>3.86607608129234</v>
      </c>
      <c r="I757">
        <f>Tableau1[[#This Row],[GHG (kgCO2eq/GJ)]]*3.6</f>
        <v>13.917873892652425</v>
      </c>
      <c r="J757" t="s">
        <v>104</v>
      </c>
      <c r="K757" t="s">
        <v>108</v>
      </c>
    </row>
    <row r="758" spans="1:11" hidden="1" x14ac:dyDescent="0.3">
      <c r="A758" t="s">
        <v>41</v>
      </c>
      <c r="B758" t="s">
        <v>61</v>
      </c>
      <c r="C758" t="s">
        <v>99</v>
      </c>
      <c r="D758">
        <v>1.3</v>
      </c>
      <c r="E758">
        <f>Tableau1[[#This Row],[Potential (PJ)]]/3.6</f>
        <v>0.3611111111111111</v>
      </c>
      <c r="F758">
        <v>1.8626923076923081</v>
      </c>
      <c r="G758">
        <f>Tableau1[[#This Row],[Cost (€/GJ)]]*3.6</f>
        <v>6.705692307692309</v>
      </c>
      <c r="H758">
        <v>2.9245635910224439</v>
      </c>
      <c r="I758">
        <f>Tableau1[[#This Row],[GHG (kgCO2eq/GJ)]]*3.6</f>
        <v>10.528428927680798</v>
      </c>
      <c r="J758" t="s">
        <v>104</v>
      </c>
      <c r="K758" t="s">
        <v>108</v>
      </c>
    </row>
    <row r="759" spans="1:11" hidden="1" x14ac:dyDescent="0.3">
      <c r="A759" t="s">
        <v>41</v>
      </c>
      <c r="B759" t="s">
        <v>62</v>
      </c>
      <c r="C759" t="s">
        <v>100</v>
      </c>
      <c r="D759">
        <v>0.4</v>
      </c>
      <c r="E759">
        <f>Tableau1[[#This Row],[Potential (PJ)]]/3.6</f>
        <v>0.11111111111111112</v>
      </c>
      <c r="F759">
        <v>0.67500000000000004</v>
      </c>
      <c r="G759">
        <f>Tableau1[[#This Row],[Cost (€/GJ)]]*3.6</f>
        <v>2.4300000000000002</v>
      </c>
      <c r="H759">
        <v>2.6764106050305911</v>
      </c>
      <c r="I759">
        <f>Tableau1[[#This Row],[GHG (kgCO2eq/GJ)]]*3.6</f>
        <v>9.6350781781101276</v>
      </c>
      <c r="J759" t="s">
        <v>104</v>
      </c>
      <c r="K759" t="s">
        <v>108</v>
      </c>
    </row>
    <row r="760" spans="1:11" hidden="1" x14ac:dyDescent="0.3">
      <c r="A760" t="s">
        <v>41</v>
      </c>
      <c r="B760" t="s">
        <v>54</v>
      </c>
      <c r="C760" t="s">
        <v>78</v>
      </c>
      <c r="D760">
        <v>30.9</v>
      </c>
      <c r="E760">
        <f>Tableau1[[#This Row],[Potential (PJ)]]/3.6</f>
        <v>8.5833333333333321</v>
      </c>
      <c r="F760">
        <v>3.01421359223301</v>
      </c>
      <c r="G760">
        <f>Tableau1[[#This Row],[Cost (€/GJ)]]*3.6</f>
        <v>10.851168932038837</v>
      </c>
      <c r="H760">
        <v>3.86607608129234</v>
      </c>
      <c r="I760">
        <f>Tableau1[[#This Row],[GHG (kgCO2eq/GJ)]]*3.6</f>
        <v>13.917873892652425</v>
      </c>
      <c r="J760" t="s">
        <v>104</v>
      </c>
      <c r="K760" t="s">
        <v>108</v>
      </c>
    </row>
    <row r="761" spans="1:11" hidden="1" x14ac:dyDescent="0.3">
      <c r="A761" t="s">
        <v>42</v>
      </c>
      <c r="B761" t="s">
        <v>46</v>
      </c>
      <c r="C761" t="s">
        <v>63</v>
      </c>
      <c r="D761">
        <v>0.52680000000000005</v>
      </c>
      <c r="E761">
        <f>Tableau1[[#This Row],[Potential (PJ)]]/3.6</f>
        <v>0.14633333333333334</v>
      </c>
      <c r="F761">
        <v>2.9286474973375931</v>
      </c>
      <c r="G761">
        <f>Tableau1[[#This Row],[Cost (€/GJ)]]*3.6</f>
        <v>10.543130990415335</v>
      </c>
      <c r="H761">
        <v>3.950479233226837</v>
      </c>
      <c r="I761">
        <f>Tableau1[[#This Row],[GHG (kgCO2eq/GJ)]]*3.6</f>
        <v>14.221725239616614</v>
      </c>
      <c r="J761" t="s">
        <v>104</v>
      </c>
      <c r="K761" t="s">
        <v>108</v>
      </c>
    </row>
    <row r="762" spans="1:11" hidden="1" x14ac:dyDescent="0.3">
      <c r="A762" t="s">
        <v>42</v>
      </c>
      <c r="B762" t="s">
        <v>46</v>
      </c>
      <c r="C762" t="s">
        <v>64</v>
      </c>
      <c r="D762">
        <v>0.44719999999999999</v>
      </c>
      <c r="E762">
        <f>Tableau1[[#This Row],[Potential (PJ)]]/3.6</f>
        <v>0.12422222222222222</v>
      </c>
      <c r="F762">
        <v>5.1731638864042937</v>
      </c>
      <c r="G762">
        <f>Tableau1[[#This Row],[Cost (€/GJ)]]*3.6</f>
        <v>18.623389991055458</v>
      </c>
      <c r="H762">
        <v>2.9521711768407801</v>
      </c>
      <c r="I762">
        <f>Tableau1[[#This Row],[GHG (kgCO2eq/GJ)]]*3.6</f>
        <v>10.627816236626808</v>
      </c>
      <c r="J762" t="s">
        <v>104</v>
      </c>
      <c r="K762" t="s">
        <v>108</v>
      </c>
    </row>
    <row r="763" spans="1:11" hidden="1" x14ac:dyDescent="0.3">
      <c r="A763" t="s">
        <v>42</v>
      </c>
      <c r="B763" t="s">
        <v>46</v>
      </c>
      <c r="C763" t="s">
        <v>65</v>
      </c>
      <c r="D763">
        <v>2.7</v>
      </c>
      <c r="E763">
        <f>Tableau1[[#This Row],[Potential (PJ)]]/3.6</f>
        <v>0.75</v>
      </c>
      <c r="F763">
        <v>4.7791851851851854</v>
      </c>
      <c r="G763">
        <f>Tableau1[[#This Row],[Cost (€/GJ)]]*3.6</f>
        <v>17.205066666666667</v>
      </c>
      <c r="H763">
        <v>2.9521711768407801</v>
      </c>
      <c r="I763">
        <f>Tableau1[[#This Row],[GHG (kgCO2eq/GJ)]]*3.6</f>
        <v>10.627816236626808</v>
      </c>
      <c r="J763" t="s">
        <v>104</v>
      </c>
      <c r="K763" t="s">
        <v>108</v>
      </c>
    </row>
    <row r="764" spans="1:11" hidden="1" x14ac:dyDescent="0.3">
      <c r="A764" t="s">
        <v>42</v>
      </c>
      <c r="B764" t="s">
        <v>46</v>
      </c>
      <c r="C764" t="s">
        <v>67</v>
      </c>
      <c r="D764">
        <v>1.9</v>
      </c>
      <c r="E764">
        <f>Tableau1[[#This Row],[Potential (PJ)]]/3.6</f>
        <v>0.52777777777777779</v>
      </c>
      <c r="F764">
        <v>6.1639999999999997</v>
      </c>
      <c r="G764">
        <f>Tableau1[[#This Row],[Cost (€/GJ)]]*3.6</f>
        <v>22.1904</v>
      </c>
      <c r="H764">
        <v>2.9521711768407801</v>
      </c>
      <c r="I764">
        <f>Tableau1[[#This Row],[GHG (kgCO2eq/GJ)]]*3.6</f>
        <v>10.627816236626808</v>
      </c>
      <c r="J764" t="s">
        <v>104</v>
      </c>
      <c r="K764" t="s">
        <v>108</v>
      </c>
    </row>
    <row r="765" spans="1:11" hidden="1" x14ac:dyDescent="0.3">
      <c r="A765" t="s">
        <v>42</v>
      </c>
      <c r="B765" t="s">
        <v>46</v>
      </c>
      <c r="C765" t="s">
        <v>85</v>
      </c>
      <c r="D765">
        <v>0.3</v>
      </c>
      <c r="E765">
        <f>Tableau1[[#This Row],[Potential (PJ)]]/3.6</f>
        <v>8.3333333333333329E-2</v>
      </c>
      <c r="F765">
        <v>4.2389999999999999</v>
      </c>
      <c r="G765">
        <f>Tableau1[[#This Row],[Cost (€/GJ)]]*3.6</f>
        <v>15.260400000000001</v>
      </c>
      <c r="H765">
        <v>2.9521711768407801</v>
      </c>
      <c r="I765">
        <f>Tableau1[[#This Row],[GHG (kgCO2eq/GJ)]]*3.6</f>
        <v>10.627816236626808</v>
      </c>
      <c r="J765" t="s">
        <v>104</v>
      </c>
      <c r="K765" t="s">
        <v>108</v>
      </c>
    </row>
    <row r="766" spans="1:11" x14ac:dyDescent="0.3">
      <c r="A766" t="s">
        <v>42</v>
      </c>
      <c r="B766" t="s">
        <v>47</v>
      </c>
      <c r="C766" t="s">
        <v>68</v>
      </c>
      <c r="D766">
        <v>162.30000000000001</v>
      </c>
      <c r="E766">
        <f>Tableau1[[#This Row],[Potential (PJ)]]/3.6</f>
        <v>45.083333333333336</v>
      </c>
      <c r="F766">
        <v>3.3370000000000002</v>
      </c>
      <c r="G766">
        <f>Tableau1[[#This Row],[Cost (€/GJ)]]*3.6</f>
        <v>12.013200000000001</v>
      </c>
      <c r="I766">
        <f>Tableau1[[#This Row],[GHG (kgCO2eq/GJ)]]*3.6</f>
        <v>0</v>
      </c>
      <c r="J766" t="s">
        <v>104</v>
      </c>
      <c r="K766" t="s">
        <v>109</v>
      </c>
    </row>
    <row r="767" spans="1:11" x14ac:dyDescent="0.3">
      <c r="A767" t="s">
        <v>42</v>
      </c>
      <c r="B767" t="s">
        <v>47</v>
      </c>
      <c r="C767" t="s">
        <v>69</v>
      </c>
      <c r="D767">
        <v>113.5</v>
      </c>
      <c r="E767">
        <f>Tableau1[[#This Row],[Potential (PJ)]]/3.6</f>
        <v>31.527777777777779</v>
      </c>
      <c r="F767">
        <v>3.3279999999999998</v>
      </c>
      <c r="G767">
        <f>Tableau1[[#This Row],[Cost (€/GJ)]]*3.6</f>
        <v>11.9808</v>
      </c>
      <c r="I767">
        <f>Tableau1[[#This Row],[GHG (kgCO2eq/GJ)]]*3.6</f>
        <v>0</v>
      </c>
      <c r="J767" t="s">
        <v>104</v>
      </c>
      <c r="K767" t="s">
        <v>109</v>
      </c>
    </row>
    <row r="768" spans="1:11" x14ac:dyDescent="0.3">
      <c r="A768" t="s">
        <v>42</v>
      </c>
      <c r="B768" t="s">
        <v>48</v>
      </c>
      <c r="C768" t="s">
        <v>70</v>
      </c>
      <c r="D768">
        <v>60.2</v>
      </c>
      <c r="E768">
        <f>Tableau1[[#This Row],[Potential (PJ)]]/3.6</f>
        <v>16.722222222222221</v>
      </c>
      <c r="F768">
        <v>8.8049999999999979</v>
      </c>
      <c r="G768">
        <f>Tableau1[[#This Row],[Cost (€/GJ)]]*3.6</f>
        <v>31.697999999999993</v>
      </c>
      <c r="I768">
        <f>Tableau1[[#This Row],[GHG (kgCO2eq/GJ)]]*3.6</f>
        <v>0</v>
      </c>
      <c r="J768" t="s">
        <v>104</v>
      </c>
      <c r="K768" t="s">
        <v>109</v>
      </c>
    </row>
    <row r="769" spans="1:11" hidden="1" x14ac:dyDescent="0.3">
      <c r="A769" t="s">
        <v>42</v>
      </c>
      <c r="B769" t="s">
        <v>49</v>
      </c>
      <c r="C769" t="s">
        <v>71</v>
      </c>
      <c r="D769">
        <v>1.4109999999999999E-2</v>
      </c>
      <c r="E769">
        <f>Tableau1[[#This Row],[Potential (PJ)]]/3.6</f>
        <v>3.9194444444444441E-3</v>
      </c>
      <c r="F769">
        <v>3.23</v>
      </c>
      <c r="G769">
        <f>Tableau1[[#This Row],[Cost (€/GJ)]]*3.6</f>
        <v>11.628</v>
      </c>
      <c r="H769">
        <v>3.86607608129234</v>
      </c>
      <c r="I769">
        <f>Tableau1[[#This Row],[GHG (kgCO2eq/GJ)]]*3.6</f>
        <v>13.917873892652425</v>
      </c>
      <c r="J769" t="s">
        <v>104</v>
      </c>
      <c r="K769" t="s">
        <v>108</v>
      </c>
    </row>
    <row r="770" spans="1:11" hidden="1" x14ac:dyDescent="0.3">
      <c r="A770" t="s">
        <v>42</v>
      </c>
      <c r="B770" t="s">
        <v>52</v>
      </c>
      <c r="C770" t="s">
        <v>76</v>
      </c>
      <c r="D770">
        <v>5.2190000000000003</v>
      </c>
      <c r="E770">
        <f>Tableau1[[#This Row],[Potential (PJ)]]/3.6</f>
        <v>1.4497222222222224</v>
      </c>
      <c r="F770">
        <v>0</v>
      </c>
      <c r="G770">
        <f>Tableau1[[#This Row],[Cost (€/GJ)]]*3.6</f>
        <v>0</v>
      </c>
      <c r="H770">
        <v>12.68872359754714</v>
      </c>
      <c r="I770">
        <f>Tableau1[[#This Row],[GHG (kgCO2eq/GJ)]]*3.6</f>
        <v>45.679404951169708</v>
      </c>
      <c r="J770" t="s">
        <v>105</v>
      </c>
      <c r="K770" t="s">
        <v>108</v>
      </c>
    </row>
    <row r="771" spans="1:11" hidden="1" x14ac:dyDescent="0.3">
      <c r="A771" t="s">
        <v>43</v>
      </c>
      <c r="B771" t="s">
        <v>49</v>
      </c>
      <c r="C771" t="s">
        <v>71</v>
      </c>
      <c r="D771">
        <v>31.18637</v>
      </c>
      <c r="E771">
        <f>Tableau1[[#This Row],[Potential (PJ)]]/3.6</f>
        <v>8.6628805555555548</v>
      </c>
      <c r="F771">
        <v>0</v>
      </c>
      <c r="G771">
        <f>Tableau1[[#This Row],[Cost (€/GJ)]]*3.6</f>
        <v>0</v>
      </c>
      <c r="I771">
        <f>Tableau1[[#This Row],[GHG (kgCO2eq/GJ)]]*3.6</f>
        <v>0</v>
      </c>
      <c r="J771" t="s">
        <v>104</v>
      </c>
      <c r="K771" t="s">
        <v>108</v>
      </c>
    </row>
    <row r="772" spans="1:11" hidden="1" x14ac:dyDescent="0.3">
      <c r="A772" t="s">
        <v>43</v>
      </c>
      <c r="B772" t="s">
        <v>49</v>
      </c>
      <c r="C772" t="s">
        <v>72</v>
      </c>
      <c r="D772">
        <v>5.7</v>
      </c>
      <c r="E772">
        <f>Tableau1[[#This Row],[Potential (PJ)]]/3.6</f>
        <v>1.5833333333333333</v>
      </c>
      <c r="F772">
        <v>0</v>
      </c>
      <c r="G772">
        <f>Tableau1[[#This Row],[Cost (€/GJ)]]*3.6</f>
        <v>0</v>
      </c>
      <c r="I772">
        <f>Tableau1[[#This Row],[GHG (kgCO2eq/GJ)]]*3.6</f>
        <v>0</v>
      </c>
      <c r="J772" t="s">
        <v>104</v>
      </c>
      <c r="K772" t="s">
        <v>108</v>
      </c>
    </row>
    <row r="773" spans="1:11" hidden="1" x14ac:dyDescent="0.3">
      <c r="A773" t="s">
        <v>43</v>
      </c>
      <c r="B773" t="s">
        <v>53</v>
      </c>
      <c r="C773" t="s">
        <v>77</v>
      </c>
      <c r="D773">
        <v>20.602129999999999</v>
      </c>
      <c r="E773">
        <f>Tableau1[[#This Row],[Potential (PJ)]]/3.6</f>
        <v>5.7228138888888882</v>
      </c>
      <c r="F773">
        <v>0</v>
      </c>
      <c r="G773">
        <f>Tableau1[[#This Row],[Cost (€/GJ)]]*3.6</f>
        <v>0</v>
      </c>
      <c r="I773">
        <f>Tableau1[[#This Row],[GHG (kgCO2eq/GJ)]]*3.6</f>
        <v>0</v>
      </c>
      <c r="J773" t="s">
        <v>104</v>
      </c>
      <c r="K773" t="s">
        <v>108</v>
      </c>
    </row>
    <row r="774" spans="1:11" hidden="1" x14ac:dyDescent="0.3">
      <c r="A774" t="s">
        <v>43</v>
      </c>
      <c r="B774" t="s">
        <v>54</v>
      </c>
      <c r="C774" t="s">
        <v>78</v>
      </c>
      <c r="D774">
        <v>113.1</v>
      </c>
      <c r="E774">
        <f>Tableau1[[#This Row],[Potential (PJ)]]/3.6</f>
        <v>31.416666666666664</v>
      </c>
      <c r="F774">
        <v>0</v>
      </c>
      <c r="G774">
        <f>Tableau1[[#This Row],[Cost (€/GJ)]]*3.6</f>
        <v>0</v>
      </c>
      <c r="I774">
        <f>Tableau1[[#This Row],[GHG (kgCO2eq/GJ)]]*3.6</f>
        <v>0</v>
      </c>
      <c r="J774" t="s">
        <v>104</v>
      </c>
      <c r="K774" t="s">
        <v>108</v>
      </c>
    </row>
    <row r="775" spans="1:11" hidden="1" x14ac:dyDescent="0.3">
      <c r="A775" t="s">
        <v>44</v>
      </c>
      <c r="B775" t="s">
        <v>46</v>
      </c>
      <c r="C775" t="s">
        <v>64</v>
      </c>
      <c r="D775">
        <v>1.6310000000000002E-2</v>
      </c>
      <c r="E775">
        <f>Tableau1[[#This Row],[Potential (PJ)]]/3.6</f>
        <v>4.5305555555555559E-3</v>
      </c>
      <c r="F775">
        <v>5.1542826486817894</v>
      </c>
      <c r="G775">
        <f>Tableau1[[#This Row],[Cost (€/GJ)]]*3.6</f>
        <v>18.555417535254442</v>
      </c>
      <c r="H775">
        <v>2.9521711768407801</v>
      </c>
      <c r="I775">
        <f>Tableau1[[#This Row],[GHG (kgCO2eq/GJ)]]*3.6</f>
        <v>10.627816236626808</v>
      </c>
      <c r="J775" t="s">
        <v>104</v>
      </c>
      <c r="K775" t="s">
        <v>108</v>
      </c>
    </row>
    <row r="776" spans="1:11" hidden="1" x14ac:dyDescent="0.3">
      <c r="A776" t="s">
        <v>44</v>
      </c>
      <c r="B776" t="s">
        <v>46</v>
      </c>
      <c r="C776" t="s">
        <v>79</v>
      </c>
      <c r="D776">
        <v>30</v>
      </c>
      <c r="E776">
        <f>Tableau1[[#This Row],[Potential (PJ)]]/3.6</f>
        <v>8.3333333333333339</v>
      </c>
      <c r="F776">
        <v>4.3702266666666656</v>
      </c>
      <c r="G776">
        <f>Tableau1[[#This Row],[Cost (€/GJ)]]*3.6</f>
        <v>15.732815999999996</v>
      </c>
      <c r="H776">
        <v>6.8428961748633883</v>
      </c>
      <c r="I776">
        <f>Tableau1[[#This Row],[GHG (kgCO2eq/GJ)]]*3.6</f>
        <v>24.634426229508197</v>
      </c>
      <c r="J776" t="s">
        <v>104</v>
      </c>
      <c r="K776" t="s">
        <v>108</v>
      </c>
    </row>
    <row r="777" spans="1:11" hidden="1" x14ac:dyDescent="0.3">
      <c r="A777" t="s">
        <v>44</v>
      </c>
      <c r="B777" t="s">
        <v>46</v>
      </c>
      <c r="C777" t="s">
        <v>80</v>
      </c>
      <c r="D777">
        <v>2.3449</v>
      </c>
      <c r="E777">
        <f>Tableau1[[#This Row],[Potential (PJ)]]/3.6</f>
        <v>0.65136111111111106</v>
      </c>
      <c r="F777">
        <v>4.7201618341200263E-2</v>
      </c>
      <c r="G777">
        <f>Tableau1[[#This Row],[Cost (€/GJ)]]*3.6</f>
        <v>0.16992582602832096</v>
      </c>
      <c r="H777">
        <v>28.139870918023309</v>
      </c>
      <c r="I777">
        <f>Tableau1[[#This Row],[GHG (kgCO2eq/GJ)]]*3.6</f>
        <v>101.30353530488391</v>
      </c>
      <c r="J777" t="s">
        <v>105</v>
      </c>
      <c r="K777" t="s">
        <v>108</v>
      </c>
    </row>
    <row r="778" spans="1:11" hidden="1" x14ac:dyDescent="0.3">
      <c r="A778" t="s">
        <v>44</v>
      </c>
      <c r="B778" t="s">
        <v>46</v>
      </c>
      <c r="C778" t="s">
        <v>81</v>
      </c>
      <c r="D778">
        <v>0.28010000000000002</v>
      </c>
      <c r="E778">
        <f>Tableau1[[#This Row],[Potential (PJ)]]/3.6</f>
        <v>7.7805555555555558E-2</v>
      </c>
      <c r="F778">
        <v>0.69388954171562867</v>
      </c>
      <c r="G778">
        <f>Tableau1[[#This Row],[Cost (€/GJ)]]*3.6</f>
        <v>2.4980023501762632</v>
      </c>
      <c r="H778">
        <v>8.9647473560517046</v>
      </c>
      <c r="I778">
        <f>Tableau1[[#This Row],[GHG (kgCO2eq/GJ)]]*3.6</f>
        <v>32.273090481786134</v>
      </c>
      <c r="J778" t="s">
        <v>105</v>
      </c>
      <c r="K778" t="s">
        <v>108</v>
      </c>
    </row>
    <row r="779" spans="1:11" hidden="1" x14ac:dyDescent="0.3">
      <c r="A779" t="s">
        <v>44</v>
      </c>
      <c r="B779" t="s">
        <v>46</v>
      </c>
      <c r="C779" t="s">
        <v>82</v>
      </c>
      <c r="D779">
        <v>2.1</v>
      </c>
      <c r="E779">
        <f>Tableau1[[#This Row],[Potential (PJ)]]/3.6</f>
        <v>0.58333333333333337</v>
      </c>
      <c r="F779">
        <v>2.751523809523809</v>
      </c>
      <c r="G779">
        <f>Tableau1[[#This Row],[Cost (€/GJ)]]*3.6</f>
        <v>9.905485714285712</v>
      </c>
      <c r="H779">
        <v>6.8428961748633883</v>
      </c>
      <c r="I779">
        <f>Tableau1[[#This Row],[GHG (kgCO2eq/GJ)]]*3.6</f>
        <v>24.634426229508197</v>
      </c>
      <c r="J779" t="s">
        <v>104</v>
      </c>
      <c r="K779" t="s">
        <v>108</v>
      </c>
    </row>
    <row r="780" spans="1:11" hidden="1" x14ac:dyDescent="0.3">
      <c r="A780" t="s">
        <v>44</v>
      </c>
      <c r="B780" t="s">
        <v>46</v>
      </c>
      <c r="C780" t="s">
        <v>84</v>
      </c>
      <c r="D780">
        <v>0.8</v>
      </c>
      <c r="E780">
        <f>Tableau1[[#This Row],[Potential (PJ)]]/3.6</f>
        <v>0.22222222222222224</v>
      </c>
      <c r="F780">
        <v>2.63225</v>
      </c>
      <c r="G780">
        <f>Tableau1[[#This Row],[Cost (€/GJ)]]*3.6</f>
        <v>9.4761000000000006</v>
      </c>
      <c r="H780">
        <v>28.139870918023309</v>
      </c>
      <c r="I780">
        <f>Tableau1[[#This Row],[GHG (kgCO2eq/GJ)]]*3.6</f>
        <v>101.30353530488391</v>
      </c>
      <c r="J780" t="s">
        <v>105</v>
      </c>
      <c r="K780" t="s">
        <v>108</v>
      </c>
    </row>
    <row r="781" spans="1:11" hidden="1" x14ac:dyDescent="0.3">
      <c r="A781" t="s">
        <v>44</v>
      </c>
      <c r="B781" t="s">
        <v>55</v>
      </c>
      <c r="C781" t="s">
        <v>86</v>
      </c>
      <c r="D781">
        <v>3.1061000000000001</v>
      </c>
      <c r="E781">
        <f>Tableau1[[#This Row],[Potential (PJ)]]/3.6</f>
        <v>0.8628055555555556</v>
      </c>
      <c r="F781">
        <v>18.461000000000009</v>
      </c>
      <c r="G781">
        <f>Tableau1[[#This Row],[Cost (€/GJ)]]*3.6</f>
        <v>66.459600000000037</v>
      </c>
      <c r="H781">
        <v>11.6</v>
      </c>
      <c r="I781">
        <f>Tableau1[[#This Row],[GHG (kgCO2eq/GJ)]]*3.6</f>
        <v>41.76</v>
      </c>
      <c r="J781" t="s">
        <v>106</v>
      </c>
      <c r="K781" t="s">
        <v>109</v>
      </c>
    </row>
    <row r="782" spans="1:11" hidden="1" x14ac:dyDescent="0.3">
      <c r="A782" t="s">
        <v>44</v>
      </c>
      <c r="B782" t="s">
        <v>55</v>
      </c>
      <c r="C782" t="s">
        <v>89</v>
      </c>
      <c r="D782">
        <v>3.923</v>
      </c>
      <c r="E782">
        <f>Tableau1[[#This Row],[Potential (PJ)]]/3.6</f>
        <v>1.0897222222222223</v>
      </c>
      <c r="F782">
        <v>0</v>
      </c>
      <c r="G782">
        <f>Tableau1[[#This Row],[Cost (€/GJ)]]*3.6</f>
        <v>0</v>
      </c>
      <c r="H782">
        <v>11.6</v>
      </c>
      <c r="I782">
        <f>Tableau1[[#This Row],[GHG (kgCO2eq/GJ)]]*3.6</f>
        <v>41.76</v>
      </c>
      <c r="J782" t="s">
        <v>106</v>
      </c>
      <c r="K782" t="s">
        <v>109</v>
      </c>
    </row>
    <row r="783" spans="1:11" hidden="1" x14ac:dyDescent="0.3">
      <c r="A783" t="s">
        <v>44</v>
      </c>
      <c r="B783" t="s">
        <v>55</v>
      </c>
      <c r="C783" t="s">
        <v>92</v>
      </c>
      <c r="D783">
        <v>15.23157</v>
      </c>
      <c r="E783">
        <f>Tableau1[[#This Row],[Potential (PJ)]]/3.6</f>
        <v>4.2309916666666663</v>
      </c>
      <c r="F783">
        <v>18.32500000000001</v>
      </c>
      <c r="G783">
        <f>Tableau1[[#This Row],[Cost (€/GJ)]]*3.6</f>
        <v>65.970000000000041</v>
      </c>
      <c r="H783">
        <v>11.6</v>
      </c>
      <c r="I783">
        <f>Tableau1[[#This Row],[GHG (kgCO2eq/GJ)]]*3.6</f>
        <v>41.76</v>
      </c>
      <c r="J783" t="s">
        <v>106</v>
      </c>
      <c r="K783" t="s">
        <v>109</v>
      </c>
    </row>
    <row r="784" spans="1:11" hidden="1" x14ac:dyDescent="0.3">
      <c r="A784" t="s">
        <v>44</v>
      </c>
      <c r="B784" t="s">
        <v>56</v>
      </c>
      <c r="C784" t="s">
        <v>93</v>
      </c>
      <c r="D784">
        <v>67.979600000000005</v>
      </c>
      <c r="E784">
        <f>Tableau1[[#This Row],[Potential (PJ)]]/3.6</f>
        <v>18.883222222222223</v>
      </c>
      <c r="F784">
        <v>2.939759036144578</v>
      </c>
      <c r="G784">
        <f>Tableau1[[#This Row],[Cost (€/GJ)]]*3.6</f>
        <v>10.583132530120482</v>
      </c>
      <c r="H784">
        <v>28.8</v>
      </c>
      <c r="I784">
        <f>Tableau1[[#This Row],[GHG (kgCO2eq/GJ)]]*3.6</f>
        <v>103.68</v>
      </c>
      <c r="J784" t="s">
        <v>106</v>
      </c>
      <c r="K784" t="s">
        <v>109</v>
      </c>
    </row>
    <row r="785" spans="1:11" x14ac:dyDescent="0.3">
      <c r="A785" t="s">
        <v>44</v>
      </c>
      <c r="B785" t="s">
        <v>47</v>
      </c>
      <c r="C785" t="s">
        <v>68</v>
      </c>
      <c r="D785">
        <v>13.4</v>
      </c>
      <c r="E785">
        <f>Tableau1[[#This Row],[Potential (PJ)]]/3.6</f>
        <v>3.7222222222222223</v>
      </c>
      <c r="F785">
        <v>6.8233134328358211</v>
      </c>
      <c r="G785">
        <f>Tableau1[[#This Row],[Cost (€/GJ)]]*3.6</f>
        <v>24.563928358208958</v>
      </c>
      <c r="H785">
        <v>15.6</v>
      </c>
      <c r="I785">
        <f>Tableau1[[#This Row],[GHG (kgCO2eq/GJ)]]*3.6</f>
        <v>56.16</v>
      </c>
      <c r="J785" t="s">
        <v>104</v>
      </c>
      <c r="K785" t="s">
        <v>109</v>
      </c>
    </row>
    <row r="786" spans="1:11" x14ac:dyDescent="0.3">
      <c r="A786" t="s">
        <v>44</v>
      </c>
      <c r="B786" t="s">
        <v>47</v>
      </c>
      <c r="C786" t="s">
        <v>69</v>
      </c>
      <c r="D786">
        <v>13.4</v>
      </c>
      <c r="E786">
        <f>Tableau1[[#This Row],[Potential (PJ)]]/3.6</f>
        <v>3.7222222222222223</v>
      </c>
      <c r="F786">
        <v>7.4968134328358209</v>
      </c>
      <c r="G786">
        <f>Tableau1[[#This Row],[Cost (€/GJ)]]*3.6</f>
        <v>26.988528358208956</v>
      </c>
      <c r="H786">
        <v>15.6</v>
      </c>
      <c r="I786">
        <f>Tableau1[[#This Row],[GHG (kgCO2eq/GJ)]]*3.6</f>
        <v>56.16</v>
      </c>
      <c r="J786" t="s">
        <v>104</v>
      </c>
      <c r="K786" t="s">
        <v>109</v>
      </c>
    </row>
    <row r="787" spans="1:11" x14ac:dyDescent="0.3">
      <c r="A787" t="s">
        <v>44</v>
      </c>
      <c r="B787" t="s">
        <v>57</v>
      </c>
      <c r="C787" t="s">
        <v>94</v>
      </c>
      <c r="D787">
        <v>19.5</v>
      </c>
      <c r="E787">
        <f>Tableau1[[#This Row],[Potential (PJ)]]/3.6</f>
        <v>5.416666666666667</v>
      </c>
      <c r="F787">
        <v>10.22846153846154</v>
      </c>
      <c r="G787">
        <f>Tableau1[[#This Row],[Cost (€/GJ)]]*3.6</f>
        <v>36.822461538461546</v>
      </c>
      <c r="H787">
        <v>24.4</v>
      </c>
      <c r="I787">
        <f>Tableau1[[#This Row],[GHG (kgCO2eq/GJ)]]*3.6</f>
        <v>87.84</v>
      </c>
      <c r="J787" t="s">
        <v>104</v>
      </c>
      <c r="K787" t="s">
        <v>109</v>
      </c>
    </row>
    <row r="788" spans="1:11" hidden="1" x14ac:dyDescent="0.3">
      <c r="A788" t="s">
        <v>44</v>
      </c>
      <c r="B788" t="s">
        <v>49</v>
      </c>
      <c r="C788" t="s">
        <v>71</v>
      </c>
      <c r="D788">
        <v>9.5678999999999998</v>
      </c>
      <c r="E788">
        <f>Tableau1[[#This Row],[Potential (PJ)]]/3.6</f>
        <v>2.6577500000000001</v>
      </c>
      <c r="F788">
        <v>3.1126124489177349</v>
      </c>
      <c r="G788">
        <f>Tableau1[[#This Row],[Cost (€/GJ)]]*3.6</f>
        <v>11.205404816103846</v>
      </c>
      <c r="H788">
        <v>3.86607608129234</v>
      </c>
      <c r="I788">
        <f>Tableau1[[#This Row],[GHG (kgCO2eq/GJ)]]*3.6</f>
        <v>13.917873892652425</v>
      </c>
      <c r="J788" t="s">
        <v>104</v>
      </c>
      <c r="K788" t="s">
        <v>108</v>
      </c>
    </row>
    <row r="789" spans="1:11" hidden="1" x14ac:dyDescent="0.3">
      <c r="A789" t="s">
        <v>44</v>
      </c>
      <c r="B789" t="s">
        <v>49</v>
      </c>
      <c r="C789" t="s">
        <v>72</v>
      </c>
      <c r="D789">
        <v>0.5</v>
      </c>
      <c r="E789">
        <f>Tableau1[[#This Row],[Potential (PJ)]]/3.6</f>
        <v>0.1388888888888889</v>
      </c>
      <c r="F789">
        <v>2.0164</v>
      </c>
      <c r="G789">
        <f>Tableau1[[#This Row],[Cost (€/GJ)]]*3.6</f>
        <v>7.2590399999999997</v>
      </c>
      <c r="H789">
        <v>3.86607608129234</v>
      </c>
      <c r="I789">
        <f>Tableau1[[#This Row],[GHG (kgCO2eq/GJ)]]*3.6</f>
        <v>13.917873892652425</v>
      </c>
      <c r="J789" t="s">
        <v>104</v>
      </c>
      <c r="K789" t="s">
        <v>108</v>
      </c>
    </row>
    <row r="790" spans="1:11" hidden="1" x14ac:dyDescent="0.3">
      <c r="A790" t="s">
        <v>44</v>
      </c>
      <c r="B790" t="s">
        <v>58</v>
      </c>
      <c r="C790" t="s">
        <v>95</v>
      </c>
      <c r="D790">
        <v>3.6194199999999999</v>
      </c>
      <c r="E790">
        <f>Tableau1[[#This Row],[Potential (PJ)]]/3.6</f>
        <v>1.0053944444444445</v>
      </c>
      <c r="F790">
        <v>2.3267393035348198</v>
      </c>
      <c r="G790">
        <f>Tableau1[[#This Row],[Cost (€/GJ)]]*3.6</f>
        <v>8.3762614927253516</v>
      </c>
      <c r="H790">
        <v>2.9521711768407801</v>
      </c>
      <c r="I790">
        <f>Tableau1[[#This Row],[GHG (kgCO2eq/GJ)]]*3.6</f>
        <v>10.627816236626808</v>
      </c>
      <c r="J790" t="s">
        <v>104</v>
      </c>
      <c r="K790" t="s">
        <v>108</v>
      </c>
    </row>
    <row r="791" spans="1:11" hidden="1" x14ac:dyDescent="0.3">
      <c r="A791" t="s">
        <v>44</v>
      </c>
      <c r="B791" t="s">
        <v>50</v>
      </c>
      <c r="C791" t="s">
        <v>73</v>
      </c>
      <c r="D791">
        <v>2.9</v>
      </c>
      <c r="E791">
        <f>Tableau1[[#This Row],[Potential (PJ)]]/3.6</f>
        <v>0.80555555555555547</v>
      </c>
      <c r="F791">
        <v>5.974275862068966</v>
      </c>
      <c r="G791">
        <f>Tableau1[[#This Row],[Cost (€/GJ)]]*3.6</f>
        <v>21.50739310344828</v>
      </c>
      <c r="H791">
        <v>20.723404255319149</v>
      </c>
      <c r="I791">
        <f>Tableau1[[#This Row],[GHG (kgCO2eq/GJ)]]*3.6</f>
        <v>74.604255319148933</v>
      </c>
      <c r="J791" t="s">
        <v>105</v>
      </c>
      <c r="K791" t="s">
        <v>108</v>
      </c>
    </row>
    <row r="792" spans="1:11" hidden="1" x14ac:dyDescent="0.3">
      <c r="A792" t="s">
        <v>44</v>
      </c>
      <c r="B792" t="s">
        <v>50</v>
      </c>
      <c r="C792" t="s">
        <v>74</v>
      </c>
      <c r="D792">
        <v>68</v>
      </c>
      <c r="E792">
        <f>Tableau1[[#This Row],[Potential (PJ)]]/3.6</f>
        <v>18.888888888888889</v>
      </c>
      <c r="F792">
        <v>6.8750779411764711</v>
      </c>
      <c r="G792">
        <f>Tableau1[[#This Row],[Cost (€/GJ)]]*3.6</f>
        <v>24.750280588235295</v>
      </c>
      <c r="H792">
        <v>2.0635593220338988</v>
      </c>
      <c r="I792">
        <f>Tableau1[[#This Row],[GHG (kgCO2eq/GJ)]]*3.6</f>
        <v>7.4288135593220357</v>
      </c>
      <c r="J792" t="s">
        <v>105</v>
      </c>
      <c r="K792" t="s">
        <v>108</v>
      </c>
    </row>
    <row r="793" spans="1:11" hidden="1" x14ac:dyDescent="0.3">
      <c r="A793" t="s">
        <v>44</v>
      </c>
      <c r="B793" t="s">
        <v>51</v>
      </c>
      <c r="C793" t="s">
        <v>75</v>
      </c>
      <c r="D793">
        <v>16.811489999999999</v>
      </c>
      <c r="E793">
        <f>Tableau1[[#This Row],[Potential (PJ)]]/3.6</f>
        <v>4.669858333333333</v>
      </c>
      <c r="F793">
        <v>2.31830560663406E-2</v>
      </c>
      <c r="G793">
        <f>Tableau1[[#This Row],[Cost (€/GJ)]]*3.6</f>
        <v>8.3459001838826166E-2</v>
      </c>
      <c r="H793">
        <v>11.74</v>
      </c>
      <c r="I793">
        <f>Tableau1[[#This Row],[GHG (kgCO2eq/GJ)]]*3.6</f>
        <v>42.264000000000003</v>
      </c>
      <c r="J793" t="s">
        <v>104</v>
      </c>
      <c r="K793" t="s">
        <v>108</v>
      </c>
    </row>
    <row r="794" spans="1:11" hidden="1" x14ac:dyDescent="0.3">
      <c r="A794" t="s">
        <v>44</v>
      </c>
      <c r="B794" t="s">
        <v>60</v>
      </c>
      <c r="C794" t="s">
        <v>98</v>
      </c>
      <c r="D794">
        <v>8.9805200000000003</v>
      </c>
      <c r="E794">
        <f>Tableau1[[#This Row],[Potential (PJ)]]/3.6</f>
        <v>2.494588888888889</v>
      </c>
      <c r="F794">
        <v>19.60257787325456</v>
      </c>
      <c r="G794">
        <f>Tableau1[[#This Row],[Cost (€/GJ)]]*3.6</f>
        <v>70.569280343716414</v>
      </c>
      <c r="H794">
        <v>20.6</v>
      </c>
      <c r="I794">
        <f>Tableau1[[#This Row],[GHG (kgCO2eq/GJ)]]*3.6</f>
        <v>74.160000000000011</v>
      </c>
      <c r="J794" t="s">
        <v>107</v>
      </c>
      <c r="K794" t="s">
        <v>109</v>
      </c>
    </row>
    <row r="795" spans="1:11" hidden="1" x14ac:dyDescent="0.3">
      <c r="A795" t="s">
        <v>44</v>
      </c>
      <c r="B795" t="s">
        <v>52</v>
      </c>
      <c r="C795" t="s">
        <v>76</v>
      </c>
      <c r="D795">
        <v>0.113</v>
      </c>
      <c r="E795">
        <f>Tableau1[[#This Row],[Potential (PJ)]]/3.6</f>
        <v>3.138888888888889E-2</v>
      </c>
      <c r="F795">
        <v>6.1837425000000001</v>
      </c>
      <c r="G795">
        <f>Tableau1[[#This Row],[Cost (€/GJ)]]*3.6</f>
        <v>22.261473000000002</v>
      </c>
      <c r="H795">
        <v>12.68872359754714</v>
      </c>
      <c r="I795">
        <f>Tableau1[[#This Row],[GHG (kgCO2eq/GJ)]]*3.6</f>
        <v>45.679404951169708</v>
      </c>
      <c r="J795" t="s">
        <v>105</v>
      </c>
      <c r="K795" t="s">
        <v>108</v>
      </c>
    </row>
    <row r="796" spans="1:11" hidden="1" x14ac:dyDescent="0.3">
      <c r="A796" t="s">
        <v>44</v>
      </c>
      <c r="B796" t="s">
        <v>53</v>
      </c>
      <c r="C796" t="s">
        <v>77</v>
      </c>
      <c r="D796">
        <v>3.8922300000000001</v>
      </c>
      <c r="E796">
        <f>Tableau1[[#This Row],[Potential (PJ)]]/3.6</f>
        <v>1.081175</v>
      </c>
      <c r="F796">
        <v>2.4747433142440189</v>
      </c>
      <c r="G796">
        <f>Tableau1[[#This Row],[Cost (€/GJ)]]*3.6</f>
        <v>8.9090759312784691</v>
      </c>
      <c r="H796">
        <v>3.86607608129234</v>
      </c>
      <c r="I796">
        <f>Tableau1[[#This Row],[GHG (kgCO2eq/GJ)]]*3.6</f>
        <v>13.917873892652425</v>
      </c>
      <c r="J796" t="s">
        <v>104</v>
      </c>
      <c r="K796" t="s">
        <v>108</v>
      </c>
    </row>
    <row r="797" spans="1:11" hidden="1" x14ac:dyDescent="0.3">
      <c r="A797" t="s">
        <v>44</v>
      </c>
      <c r="B797" t="s">
        <v>61</v>
      </c>
      <c r="C797" t="s">
        <v>99</v>
      </c>
      <c r="D797">
        <v>1.9</v>
      </c>
      <c r="E797">
        <f>Tableau1[[#This Row],[Potential (PJ)]]/3.6</f>
        <v>0.52777777777777779</v>
      </c>
      <c r="F797">
        <v>1.5234736842105261</v>
      </c>
      <c r="G797">
        <f>Tableau1[[#This Row],[Cost (€/GJ)]]*3.6</f>
        <v>5.4845052631578941</v>
      </c>
      <c r="H797">
        <v>2.9245635910224439</v>
      </c>
      <c r="I797">
        <f>Tableau1[[#This Row],[GHG (kgCO2eq/GJ)]]*3.6</f>
        <v>10.528428927680798</v>
      </c>
      <c r="J797" t="s">
        <v>104</v>
      </c>
      <c r="K797" t="s">
        <v>108</v>
      </c>
    </row>
    <row r="798" spans="1:11" hidden="1" x14ac:dyDescent="0.3">
      <c r="A798" t="s">
        <v>44</v>
      </c>
      <c r="B798" t="s">
        <v>62</v>
      </c>
      <c r="C798" t="s">
        <v>100</v>
      </c>
      <c r="D798">
        <v>0.4</v>
      </c>
      <c r="E798">
        <f>Tableau1[[#This Row],[Potential (PJ)]]/3.6</f>
        <v>0.11111111111111112</v>
      </c>
      <c r="F798">
        <v>0.125</v>
      </c>
      <c r="G798">
        <f>Tableau1[[#This Row],[Cost (€/GJ)]]*3.6</f>
        <v>0.45</v>
      </c>
      <c r="H798">
        <v>2.6764106050305911</v>
      </c>
      <c r="I798">
        <f>Tableau1[[#This Row],[GHG (kgCO2eq/GJ)]]*3.6</f>
        <v>9.6350781781101276</v>
      </c>
      <c r="J798" t="s">
        <v>104</v>
      </c>
      <c r="K798" t="s">
        <v>108</v>
      </c>
    </row>
    <row r="799" spans="1:11" hidden="1" x14ac:dyDescent="0.3">
      <c r="A799" t="s">
        <v>44</v>
      </c>
      <c r="B799" t="s">
        <v>54</v>
      </c>
      <c r="C799" t="s">
        <v>78</v>
      </c>
      <c r="D799">
        <v>53.4</v>
      </c>
      <c r="E799">
        <f>Tableau1[[#This Row],[Potential (PJ)]]/3.6</f>
        <v>14.833333333333332</v>
      </c>
      <c r="F799">
        <v>5.0604756554307118</v>
      </c>
      <c r="G799">
        <f>Tableau1[[#This Row],[Cost (€/GJ)]]*3.6</f>
        <v>18.217712359550564</v>
      </c>
      <c r="H799">
        <v>3.86607608129234</v>
      </c>
      <c r="I799">
        <f>Tableau1[[#This Row],[GHG (kgCO2eq/GJ)]]*3.6</f>
        <v>13.917873892652425</v>
      </c>
      <c r="J799" t="s">
        <v>104</v>
      </c>
      <c r="K799" t="s">
        <v>108</v>
      </c>
    </row>
    <row r="800" spans="1:11" hidden="1" x14ac:dyDescent="0.3">
      <c r="A800" t="s">
        <v>45</v>
      </c>
      <c r="B800" t="s">
        <v>46</v>
      </c>
      <c r="C800" t="s">
        <v>64</v>
      </c>
      <c r="D800">
        <v>3.5799999999999998E-3</v>
      </c>
      <c r="E800">
        <f>Tableau1[[#This Row],[Potential (PJ)]]/3.6</f>
        <v>9.9444444444444428E-4</v>
      </c>
      <c r="F800">
        <v>4.9450000000000003</v>
      </c>
      <c r="G800">
        <f>Tableau1[[#This Row],[Cost (€/GJ)]]*3.6</f>
        <v>17.802000000000003</v>
      </c>
      <c r="H800">
        <v>2.9521711768407801</v>
      </c>
      <c r="I800">
        <f>Tableau1[[#This Row],[GHG (kgCO2eq/GJ)]]*3.6</f>
        <v>10.627816236626808</v>
      </c>
      <c r="J800" t="s">
        <v>104</v>
      </c>
      <c r="K800" t="s">
        <v>108</v>
      </c>
    </row>
    <row r="801" spans="1:11" hidden="1" x14ac:dyDescent="0.3">
      <c r="A801" t="s">
        <v>45</v>
      </c>
      <c r="B801" t="s">
        <v>46</v>
      </c>
      <c r="C801" t="s">
        <v>79</v>
      </c>
      <c r="D801">
        <v>0.8</v>
      </c>
      <c r="E801">
        <f>Tableau1[[#This Row],[Potential (PJ)]]/3.6</f>
        <v>0.22222222222222224</v>
      </c>
      <c r="F801">
        <v>0</v>
      </c>
      <c r="G801">
        <f>Tableau1[[#This Row],[Cost (€/GJ)]]*3.6</f>
        <v>0</v>
      </c>
      <c r="H801">
        <v>6.8428961748633883</v>
      </c>
      <c r="I801">
        <f>Tableau1[[#This Row],[GHG (kgCO2eq/GJ)]]*3.6</f>
        <v>24.634426229508197</v>
      </c>
      <c r="J801" t="s">
        <v>104</v>
      </c>
      <c r="K801" t="s">
        <v>108</v>
      </c>
    </row>
    <row r="802" spans="1:11" hidden="1" x14ac:dyDescent="0.3">
      <c r="A802" t="s">
        <v>45</v>
      </c>
      <c r="B802" t="s">
        <v>46</v>
      </c>
      <c r="C802" t="s">
        <v>66</v>
      </c>
      <c r="D802">
        <v>0.1</v>
      </c>
      <c r="E802">
        <f>Tableau1[[#This Row],[Potential (PJ)]]/3.6</f>
        <v>2.777777777777778E-2</v>
      </c>
      <c r="F802">
        <v>2.9889999999999999</v>
      </c>
      <c r="G802">
        <f>Tableau1[[#This Row],[Cost (€/GJ)]]*3.6</f>
        <v>10.760400000000001</v>
      </c>
      <c r="H802">
        <v>6.8428961748633883</v>
      </c>
      <c r="I802">
        <f>Tableau1[[#This Row],[GHG (kgCO2eq/GJ)]]*3.6</f>
        <v>24.634426229508197</v>
      </c>
      <c r="J802" t="s">
        <v>104</v>
      </c>
      <c r="K802" t="s">
        <v>108</v>
      </c>
    </row>
    <row r="803" spans="1:11" x14ac:dyDescent="0.3">
      <c r="A803" t="s">
        <v>45</v>
      </c>
      <c r="B803" t="s">
        <v>47</v>
      </c>
      <c r="C803" t="s">
        <v>68</v>
      </c>
      <c r="D803">
        <v>24.7</v>
      </c>
      <c r="E803">
        <f>Tableau1[[#This Row],[Potential (PJ)]]/3.6</f>
        <v>6.8611111111111107</v>
      </c>
      <c r="F803">
        <v>3.883</v>
      </c>
      <c r="G803">
        <f>Tableau1[[#This Row],[Cost (€/GJ)]]*3.6</f>
        <v>13.9788</v>
      </c>
      <c r="I803">
        <f>Tableau1[[#This Row],[GHG (kgCO2eq/GJ)]]*3.6</f>
        <v>0</v>
      </c>
      <c r="J803" t="s">
        <v>104</v>
      </c>
      <c r="K803" t="s">
        <v>109</v>
      </c>
    </row>
    <row r="804" spans="1:11" x14ac:dyDescent="0.3">
      <c r="A804" t="s">
        <v>45</v>
      </c>
      <c r="B804" t="s">
        <v>47</v>
      </c>
      <c r="C804" t="s">
        <v>69</v>
      </c>
      <c r="D804">
        <v>17.3</v>
      </c>
      <c r="E804">
        <f>Tableau1[[#This Row],[Potential (PJ)]]/3.6</f>
        <v>4.8055555555555554</v>
      </c>
      <c r="F804">
        <v>3.8690000000000002</v>
      </c>
      <c r="G804">
        <f>Tableau1[[#This Row],[Cost (€/GJ)]]*3.6</f>
        <v>13.928400000000002</v>
      </c>
      <c r="I804">
        <f>Tableau1[[#This Row],[GHG (kgCO2eq/GJ)]]*3.6</f>
        <v>0</v>
      </c>
      <c r="J804" t="s">
        <v>104</v>
      </c>
      <c r="K804" t="s">
        <v>109</v>
      </c>
    </row>
    <row r="805" spans="1:11" x14ac:dyDescent="0.3">
      <c r="A805" t="s">
        <v>45</v>
      </c>
      <c r="B805" t="s">
        <v>48</v>
      </c>
      <c r="C805" t="s">
        <v>70</v>
      </c>
      <c r="D805">
        <v>9.1</v>
      </c>
      <c r="E805">
        <f>Tableau1[[#This Row],[Potential (PJ)]]/3.6</f>
        <v>2.5277777777777777</v>
      </c>
      <c r="F805">
        <v>9.9860000000000007</v>
      </c>
      <c r="G805">
        <f>Tableau1[[#This Row],[Cost (€/GJ)]]*3.6</f>
        <v>35.949600000000004</v>
      </c>
      <c r="I805">
        <f>Tableau1[[#This Row],[GHG (kgCO2eq/GJ)]]*3.6</f>
        <v>0</v>
      </c>
      <c r="J805" t="s">
        <v>104</v>
      </c>
      <c r="K805" t="s">
        <v>109</v>
      </c>
    </row>
    <row r="806" spans="1:11" hidden="1" x14ac:dyDescent="0.3">
      <c r="A806" t="s">
        <v>45</v>
      </c>
      <c r="B806" t="s">
        <v>49</v>
      </c>
      <c r="C806" t="s">
        <v>71</v>
      </c>
      <c r="D806">
        <v>0.14652000000000001</v>
      </c>
      <c r="E806">
        <f>Tableau1[[#This Row],[Potential (PJ)]]/3.6</f>
        <v>4.07E-2</v>
      </c>
      <c r="F806">
        <v>0</v>
      </c>
      <c r="G806">
        <f>Tableau1[[#This Row],[Cost (€/GJ)]]*3.6</f>
        <v>0</v>
      </c>
      <c r="H806">
        <v>3.86607608129234</v>
      </c>
      <c r="I806">
        <f>Tableau1[[#This Row],[GHG (kgCO2eq/GJ)]]*3.6</f>
        <v>13.917873892652425</v>
      </c>
      <c r="J806" t="s">
        <v>104</v>
      </c>
      <c r="K806" t="s">
        <v>108</v>
      </c>
    </row>
    <row r="807" spans="1:11" hidden="1" x14ac:dyDescent="0.3">
      <c r="A807" t="s">
        <v>45</v>
      </c>
      <c r="B807" t="s">
        <v>52</v>
      </c>
      <c r="C807" t="s">
        <v>76</v>
      </c>
      <c r="D807">
        <v>0.03</v>
      </c>
      <c r="E807">
        <f>Tableau1[[#This Row],[Potential (PJ)]]/3.6</f>
        <v>8.3333333333333332E-3</v>
      </c>
      <c r="F807">
        <v>0</v>
      </c>
      <c r="G807">
        <f>Tableau1[[#This Row],[Cost (€/GJ)]]*3.6</f>
        <v>0</v>
      </c>
      <c r="H807">
        <v>12.68872359754714</v>
      </c>
      <c r="I807">
        <f>Tableau1[[#This Row],[GHG (kgCO2eq/GJ)]]*3.6</f>
        <v>45.679404951169708</v>
      </c>
      <c r="J807" t="s">
        <v>105</v>
      </c>
      <c r="K807" t="s">
        <v>108</v>
      </c>
    </row>
    <row r="808" spans="1:11" hidden="1" x14ac:dyDescent="0.3">
      <c r="A808" t="s">
        <v>45</v>
      </c>
      <c r="B808" t="s">
        <v>54</v>
      </c>
      <c r="C808" t="s">
        <v>78</v>
      </c>
      <c r="D808">
        <v>2</v>
      </c>
      <c r="E808">
        <f>Tableau1[[#This Row],[Potential (PJ)]]/3.6</f>
        <v>0.55555555555555558</v>
      </c>
      <c r="F808">
        <v>0</v>
      </c>
      <c r="G808">
        <f>Tableau1[[#This Row],[Cost (€/GJ)]]*3.6</f>
        <v>0</v>
      </c>
      <c r="H808">
        <v>3.86607608129234</v>
      </c>
      <c r="I808">
        <f>Tableau1[[#This Row],[GHG (kgCO2eq/GJ)]]*3.6</f>
        <v>13.917873892652425</v>
      </c>
      <c r="J808" t="s">
        <v>104</v>
      </c>
      <c r="K808" t="s">
        <v>108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63"/>
  <sheetViews>
    <sheetView workbookViewId="0">
      <selection activeCell="E373" sqref="E373:E376"/>
    </sheetView>
  </sheetViews>
  <sheetFormatPr baseColWidth="10" defaultColWidth="8.88671875" defaultRowHeight="14.4" x14ac:dyDescent="0.3"/>
  <cols>
    <col min="2" max="2" width="10.109375" customWidth="1"/>
    <col min="4" max="5" width="14.44140625" customWidth="1"/>
    <col min="6" max="7" width="12.33203125" customWidth="1"/>
    <col min="8" max="9" width="19.33203125" customWidth="1"/>
    <col min="10" max="10" width="10.5546875" customWidth="1"/>
    <col min="11" max="11" width="14.218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113</v>
      </c>
      <c r="F1" s="2" t="s">
        <v>110</v>
      </c>
      <c r="G1" s="2" t="s">
        <v>111</v>
      </c>
      <c r="H1" s="2" t="s">
        <v>4</v>
      </c>
      <c r="I1" s="2" t="s">
        <v>112</v>
      </c>
      <c r="J1" s="2" t="s">
        <v>5</v>
      </c>
      <c r="K1" s="2" t="s">
        <v>6</v>
      </c>
    </row>
    <row r="2" spans="1:11" hidden="1" x14ac:dyDescent="0.3">
      <c r="A2" t="s">
        <v>7</v>
      </c>
      <c r="B2" t="s">
        <v>46</v>
      </c>
      <c r="C2" t="s">
        <v>63</v>
      </c>
      <c r="D2">
        <v>0.15509999999999999</v>
      </c>
      <c r="E2">
        <f>Tableau4[[#This Row],[Potential (PJ)]]/3.6</f>
        <v>4.3083333333333328E-2</v>
      </c>
      <c r="F2">
        <v>2.9286474973375931</v>
      </c>
      <c r="G2">
        <f>Tableau4[[#This Row],[Cost (€/GJ)]]*3.6</f>
        <v>10.543130990415335</v>
      </c>
      <c r="H2">
        <v>3.950479233226837</v>
      </c>
      <c r="I2">
        <f>Tableau4[[#This Row],[GHG (kgCO2eq/GJ)]]*3.6</f>
        <v>14.221725239616614</v>
      </c>
      <c r="J2" t="s">
        <v>104</v>
      </c>
      <c r="K2" t="s">
        <v>108</v>
      </c>
    </row>
    <row r="3" spans="1:11" hidden="1" x14ac:dyDescent="0.3">
      <c r="A3" t="s">
        <v>7</v>
      </c>
      <c r="B3" t="s">
        <v>46</v>
      </c>
      <c r="C3" t="s">
        <v>64</v>
      </c>
      <c r="D3">
        <v>0.69164000000000003</v>
      </c>
      <c r="E3">
        <f>Tableau4[[#This Row],[Potential (PJ)]]/3.6</f>
        <v>0.19212222222222222</v>
      </c>
      <c r="F3">
        <v>0</v>
      </c>
      <c r="G3">
        <f>Tableau4[[#This Row],[Cost (€/GJ)]]*3.6</f>
        <v>0</v>
      </c>
      <c r="H3">
        <v>2.9521711768407801</v>
      </c>
      <c r="I3">
        <f>Tableau4[[#This Row],[GHG (kgCO2eq/GJ)]]*3.6</f>
        <v>10.627816236626808</v>
      </c>
      <c r="J3" t="s">
        <v>104</v>
      </c>
      <c r="K3" t="s">
        <v>108</v>
      </c>
    </row>
    <row r="4" spans="1:11" hidden="1" x14ac:dyDescent="0.3">
      <c r="A4" t="s">
        <v>7</v>
      </c>
      <c r="B4" t="s">
        <v>46</v>
      </c>
      <c r="C4" t="s">
        <v>65</v>
      </c>
      <c r="D4">
        <v>0.9</v>
      </c>
      <c r="E4">
        <f>Tableau4[[#This Row],[Potential (PJ)]]/3.6</f>
        <v>0.25</v>
      </c>
      <c r="F4">
        <v>4.2649999999999997</v>
      </c>
      <c r="G4">
        <f>Tableau4[[#This Row],[Cost (€/GJ)]]*3.6</f>
        <v>15.353999999999999</v>
      </c>
      <c r="H4">
        <v>2.9521711768407801</v>
      </c>
      <c r="I4">
        <f>Tableau4[[#This Row],[GHG (kgCO2eq/GJ)]]*3.6</f>
        <v>10.627816236626808</v>
      </c>
      <c r="J4" t="s">
        <v>104</v>
      </c>
      <c r="K4" t="s">
        <v>108</v>
      </c>
    </row>
    <row r="5" spans="1:11" hidden="1" x14ac:dyDescent="0.3">
      <c r="A5" t="s">
        <v>7</v>
      </c>
      <c r="B5" t="s">
        <v>46</v>
      </c>
      <c r="C5" t="s">
        <v>66</v>
      </c>
      <c r="D5">
        <v>0.9</v>
      </c>
      <c r="E5">
        <f>Tableau4[[#This Row],[Potential (PJ)]]/3.6</f>
        <v>0.25</v>
      </c>
      <c r="F5">
        <v>1.385</v>
      </c>
      <c r="G5">
        <f>Tableau4[[#This Row],[Cost (€/GJ)]]*3.6</f>
        <v>4.9859999999999998</v>
      </c>
      <c r="H5">
        <v>6.8428961748633883</v>
      </c>
      <c r="I5">
        <f>Tableau4[[#This Row],[GHG (kgCO2eq/GJ)]]*3.6</f>
        <v>24.634426229508197</v>
      </c>
      <c r="J5" t="s">
        <v>104</v>
      </c>
      <c r="K5" t="s">
        <v>108</v>
      </c>
    </row>
    <row r="6" spans="1:11" hidden="1" x14ac:dyDescent="0.3">
      <c r="A6" t="s">
        <v>7</v>
      </c>
      <c r="B6" t="s">
        <v>46</v>
      </c>
      <c r="C6" t="s">
        <v>67</v>
      </c>
      <c r="D6">
        <v>0.3</v>
      </c>
      <c r="E6">
        <f>Tableau4[[#This Row],[Potential (PJ)]]/3.6</f>
        <v>8.3333333333333329E-2</v>
      </c>
      <c r="F6">
        <v>4.6159999999999997</v>
      </c>
      <c r="G6">
        <f>Tableau4[[#This Row],[Cost (€/GJ)]]*3.6</f>
        <v>16.617599999999999</v>
      </c>
      <c r="H6">
        <v>2.9521711768407801</v>
      </c>
      <c r="I6">
        <f>Tableau4[[#This Row],[GHG (kgCO2eq/GJ)]]*3.6</f>
        <v>10.627816236626808</v>
      </c>
      <c r="J6" t="s">
        <v>104</v>
      </c>
      <c r="K6" t="s">
        <v>108</v>
      </c>
    </row>
    <row r="7" spans="1:11" hidden="1" x14ac:dyDescent="0.3">
      <c r="A7" t="s">
        <v>7</v>
      </c>
      <c r="B7" t="s">
        <v>46</v>
      </c>
      <c r="C7" t="s">
        <v>85</v>
      </c>
      <c r="D7">
        <v>0.3</v>
      </c>
      <c r="E7">
        <f>Tableau4[[#This Row],[Potential (PJ)]]/3.6</f>
        <v>8.3333333333333329E-2</v>
      </c>
      <c r="F7">
        <v>0</v>
      </c>
      <c r="G7">
        <f>Tableau4[[#This Row],[Cost (€/GJ)]]*3.6</f>
        <v>0</v>
      </c>
      <c r="H7">
        <v>2.9521711768407801</v>
      </c>
      <c r="I7">
        <f>Tableau4[[#This Row],[GHG (kgCO2eq/GJ)]]*3.6</f>
        <v>10.627816236626808</v>
      </c>
      <c r="J7" t="s">
        <v>104</v>
      </c>
      <c r="K7" t="s">
        <v>108</v>
      </c>
    </row>
    <row r="8" spans="1:11" x14ac:dyDescent="0.3">
      <c r="A8" t="s">
        <v>7</v>
      </c>
      <c r="B8" t="s">
        <v>47</v>
      </c>
      <c r="C8" t="s">
        <v>68</v>
      </c>
      <c r="D8">
        <v>23.2</v>
      </c>
      <c r="E8">
        <f>Tableau4[[#This Row],[Potential (PJ)]]/3.6</f>
        <v>6.4444444444444438</v>
      </c>
      <c r="F8">
        <v>3.3740000000000001</v>
      </c>
      <c r="G8">
        <f>Tableau4[[#This Row],[Cost (€/GJ)]]*3.6</f>
        <v>12.1464</v>
      </c>
      <c r="H8">
        <v>14.1</v>
      </c>
      <c r="I8">
        <f>Tableau4[[#This Row],[GHG (kgCO2eq/GJ)]]*3.6</f>
        <v>50.76</v>
      </c>
      <c r="J8" t="s">
        <v>104</v>
      </c>
      <c r="K8" t="s">
        <v>109</v>
      </c>
    </row>
    <row r="9" spans="1:11" x14ac:dyDescent="0.3">
      <c r="A9" t="s">
        <v>7</v>
      </c>
      <c r="B9" t="s">
        <v>47</v>
      </c>
      <c r="C9" t="s">
        <v>69</v>
      </c>
      <c r="D9">
        <v>16.2</v>
      </c>
      <c r="E9">
        <f>Tableau4[[#This Row],[Potential (PJ)]]/3.6</f>
        <v>4.5</v>
      </c>
      <c r="F9">
        <v>3.3820000000000001</v>
      </c>
      <c r="G9">
        <f>Tableau4[[#This Row],[Cost (€/GJ)]]*3.6</f>
        <v>12.1752</v>
      </c>
      <c r="H9">
        <v>14.1</v>
      </c>
      <c r="I9">
        <f>Tableau4[[#This Row],[GHG (kgCO2eq/GJ)]]*3.6</f>
        <v>50.76</v>
      </c>
      <c r="J9" t="s">
        <v>104</v>
      </c>
      <c r="K9" t="s">
        <v>109</v>
      </c>
    </row>
    <row r="10" spans="1:11" x14ac:dyDescent="0.3">
      <c r="A10" t="s">
        <v>7</v>
      </c>
      <c r="B10" t="s">
        <v>48</v>
      </c>
      <c r="C10" t="s">
        <v>70</v>
      </c>
      <c r="D10">
        <v>8.6</v>
      </c>
      <c r="E10">
        <f>Tableau4[[#This Row],[Potential (PJ)]]/3.6</f>
        <v>2.3888888888888888</v>
      </c>
      <c r="F10">
        <v>8.9079999999999995</v>
      </c>
      <c r="G10">
        <f>Tableau4[[#This Row],[Cost (€/GJ)]]*3.6</f>
        <v>32.068799999999996</v>
      </c>
      <c r="H10">
        <v>0</v>
      </c>
      <c r="I10">
        <f>Tableau4[[#This Row],[GHG (kgCO2eq/GJ)]]*3.6</f>
        <v>0</v>
      </c>
      <c r="J10" t="s">
        <v>104</v>
      </c>
      <c r="K10" t="s">
        <v>109</v>
      </c>
    </row>
    <row r="11" spans="1:11" hidden="1" x14ac:dyDescent="0.3">
      <c r="A11" t="s">
        <v>7</v>
      </c>
      <c r="B11" t="s">
        <v>49</v>
      </c>
      <c r="C11" t="s">
        <v>71</v>
      </c>
      <c r="D11">
        <v>11.501010000000001</v>
      </c>
      <c r="E11">
        <f>Tableau4[[#This Row],[Potential (PJ)]]/3.6</f>
        <v>3.194725</v>
      </c>
      <c r="F11">
        <v>0</v>
      </c>
      <c r="G11">
        <f>Tableau4[[#This Row],[Cost (€/GJ)]]*3.6</f>
        <v>0</v>
      </c>
      <c r="H11">
        <v>3.86607608129234</v>
      </c>
      <c r="I11">
        <f>Tableau4[[#This Row],[GHG (kgCO2eq/GJ)]]*3.6</f>
        <v>13.917873892652425</v>
      </c>
      <c r="J11" t="s">
        <v>104</v>
      </c>
      <c r="K11" t="s">
        <v>108</v>
      </c>
    </row>
    <row r="12" spans="1:11" hidden="1" x14ac:dyDescent="0.3">
      <c r="A12" t="s">
        <v>7</v>
      </c>
      <c r="B12" t="s">
        <v>49</v>
      </c>
      <c r="C12" t="s">
        <v>72</v>
      </c>
      <c r="D12">
        <v>3.2</v>
      </c>
      <c r="E12">
        <f>Tableau4[[#This Row],[Potential (PJ)]]/3.6</f>
        <v>0.88888888888888895</v>
      </c>
      <c r="F12">
        <v>0</v>
      </c>
      <c r="G12">
        <f>Tableau4[[#This Row],[Cost (€/GJ)]]*3.6</f>
        <v>0</v>
      </c>
      <c r="H12">
        <v>3.86607608129234</v>
      </c>
      <c r="I12">
        <f>Tableau4[[#This Row],[GHG (kgCO2eq/GJ)]]*3.6</f>
        <v>13.917873892652425</v>
      </c>
      <c r="J12" t="s">
        <v>104</v>
      </c>
      <c r="K12" t="s">
        <v>108</v>
      </c>
    </row>
    <row r="13" spans="1:11" hidden="1" x14ac:dyDescent="0.3">
      <c r="A13" t="s">
        <v>7</v>
      </c>
      <c r="B13" t="s">
        <v>50</v>
      </c>
      <c r="C13" t="s">
        <v>73</v>
      </c>
      <c r="D13">
        <v>0.5</v>
      </c>
      <c r="E13">
        <f>Tableau4[[#This Row],[Potential (PJ)]]/3.6</f>
        <v>0.1388888888888889</v>
      </c>
      <c r="F13">
        <v>5.4240000000000004</v>
      </c>
      <c r="G13">
        <f>Tableau4[[#This Row],[Cost (€/GJ)]]*3.6</f>
        <v>19.526400000000002</v>
      </c>
      <c r="H13">
        <v>20.723404255319149</v>
      </c>
      <c r="I13">
        <f>Tableau4[[#This Row],[GHG (kgCO2eq/GJ)]]*3.6</f>
        <v>74.604255319148933</v>
      </c>
      <c r="J13" t="s">
        <v>105</v>
      </c>
      <c r="K13" t="s">
        <v>108</v>
      </c>
    </row>
    <row r="14" spans="1:11" hidden="1" x14ac:dyDescent="0.3">
      <c r="A14" t="s">
        <v>7</v>
      </c>
      <c r="B14" t="s">
        <v>50</v>
      </c>
      <c r="C14" t="s">
        <v>74</v>
      </c>
      <c r="D14">
        <v>2.2999999999999998</v>
      </c>
      <c r="E14">
        <f>Tableau4[[#This Row],[Potential (PJ)]]/3.6</f>
        <v>0.63888888888888884</v>
      </c>
      <c r="F14">
        <v>3.484</v>
      </c>
      <c r="G14">
        <f>Tableau4[[#This Row],[Cost (€/GJ)]]*3.6</f>
        <v>12.542400000000001</v>
      </c>
      <c r="H14">
        <v>2.0635593220338988</v>
      </c>
      <c r="I14">
        <f>Tableau4[[#This Row],[GHG (kgCO2eq/GJ)]]*3.6</f>
        <v>7.4288135593220357</v>
      </c>
      <c r="J14" t="s">
        <v>105</v>
      </c>
      <c r="K14" t="s">
        <v>108</v>
      </c>
    </row>
    <row r="15" spans="1:11" hidden="1" x14ac:dyDescent="0.3">
      <c r="A15" t="s">
        <v>7</v>
      </c>
      <c r="B15" t="s">
        <v>51</v>
      </c>
      <c r="C15" t="s">
        <v>75</v>
      </c>
      <c r="D15">
        <v>2.4212999999999998E-2</v>
      </c>
      <c r="E15">
        <f>Tableau4[[#This Row],[Potential (PJ)]]/3.6</f>
        <v>6.7258333333333328E-3</v>
      </c>
      <c r="F15">
        <v>8.84487541138336E-2</v>
      </c>
      <c r="G15">
        <f>Tableau4[[#This Row],[Cost (€/GJ)]]*3.6</f>
        <v>0.31841551480980096</v>
      </c>
      <c r="H15">
        <v>11.74</v>
      </c>
      <c r="I15">
        <f>Tableau4[[#This Row],[GHG (kgCO2eq/GJ)]]*3.6</f>
        <v>42.264000000000003</v>
      </c>
      <c r="J15" t="s">
        <v>104</v>
      </c>
      <c r="K15" t="s">
        <v>108</v>
      </c>
    </row>
    <row r="16" spans="1:11" hidden="1" x14ac:dyDescent="0.3">
      <c r="A16" t="s">
        <v>7</v>
      </c>
      <c r="B16" t="s">
        <v>52</v>
      </c>
      <c r="C16" t="s">
        <v>76</v>
      </c>
      <c r="D16">
        <v>6.4000000000000001E-2</v>
      </c>
      <c r="E16">
        <f>Tableau4[[#This Row],[Potential (PJ)]]/3.6</f>
        <v>1.7777777777777778E-2</v>
      </c>
      <c r="F16">
        <v>4.7567250000000003</v>
      </c>
      <c r="G16">
        <f>Tableau4[[#This Row],[Cost (€/GJ)]]*3.6</f>
        <v>17.124210000000001</v>
      </c>
      <c r="H16">
        <v>12.68872359754714</v>
      </c>
      <c r="I16">
        <f>Tableau4[[#This Row],[GHG (kgCO2eq/GJ)]]*3.6</f>
        <v>45.679404951169708</v>
      </c>
      <c r="J16" t="s">
        <v>105</v>
      </c>
      <c r="K16" t="s">
        <v>108</v>
      </c>
    </row>
    <row r="17" spans="1:11" hidden="1" x14ac:dyDescent="0.3">
      <c r="A17" t="s">
        <v>7</v>
      </c>
      <c r="B17" t="s">
        <v>53</v>
      </c>
      <c r="C17" t="s">
        <v>77</v>
      </c>
      <c r="D17">
        <v>1.5</v>
      </c>
      <c r="E17">
        <f>Tableau4[[#This Row],[Potential (PJ)]]/3.6</f>
        <v>0.41666666666666663</v>
      </c>
      <c r="F17">
        <v>0</v>
      </c>
      <c r="G17">
        <f>Tableau4[[#This Row],[Cost (€/GJ)]]*3.6</f>
        <v>0</v>
      </c>
      <c r="H17">
        <v>3.86607608129234</v>
      </c>
      <c r="I17">
        <f>Tableau4[[#This Row],[GHG (kgCO2eq/GJ)]]*3.6</f>
        <v>13.917873892652425</v>
      </c>
      <c r="J17" t="s">
        <v>104</v>
      </c>
      <c r="K17" t="s">
        <v>108</v>
      </c>
    </row>
    <row r="18" spans="1:11" hidden="1" x14ac:dyDescent="0.3">
      <c r="A18" t="s">
        <v>7</v>
      </c>
      <c r="B18" t="s">
        <v>54</v>
      </c>
      <c r="C18" t="s">
        <v>78</v>
      </c>
      <c r="D18">
        <v>5.3</v>
      </c>
      <c r="E18">
        <f>Tableau4[[#This Row],[Potential (PJ)]]/3.6</f>
        <v>1.4722222222222221</v>
      </c>
      <c r="F18">
        <v>0</v>
      </c>
      <c r="G18">
        <f>Tableau4[[#This Row],[Cost (€/GJ)]]*3.6</f>
        <v>0</v>
      </c>
      <c r="H18">
        <v>3.86607608129234</v>
      </c>
      <c r="I18">
        <f>Tableau4[[#This Row],[GHG (kgCO2eq/GJ)]]*3.6</f>
        <v>13.917873892652425</v>
      </c>
      <c r="J18" t="s">
        <v>104</v>
      </c>
      <c r="K18" t="s">
        <v>108</v>
      </c>
    </row>
    <row r="19" spans="1:11" hidden="1" x14ac:dyDescent="0.3">
      <c r="A19" t="s">
        <v>8</v>
      </c>
      <c r="B19" t="s">
        <v>46</v>
      </c>
      <c r="C19" t="s">
        <v>64</v>
      </c>
      <c r="D19">
        <v>0.1</v>
      </c>
      <c r="E19">
        <f>Tableau4[[#This Row],[Potential (PJ)]]/3.6</f>
        <v>2.777777777777778E-2</v>
      </c>
      <c r="F19">
        <v>3.5070000000000001</v>
      </c>
      <c r="G19">
        <f>Tableau4[[#This Row],[Cost (€/GJ)]]*3.6</f>
        <v>12.625200000000001</v>
      </c>
      <c r="H19">
        <v>2.9521711768407801</v>
      </c>
      <c r="I19">
        <f>Tableau4[[#This Row],[GHG (kgCO2eq/GJ)]]*3.6</f>
        <v>10.627816236626808</v>
      </c>
      <c r="J19" t="s">
        <v>104</v>
      </c>
      <c r="K19" t="s">
        <v>108</v>
      </c>
    </row>
    <row r="20" spans="1:11" hidden="1" x14ac:dyDescent="0.3">
      <c r="A20" t="s">
        <v>8</v>
      </c>
      <c r="B20" t="s">
        <v>46</v>
      </c>
      <c r="C20" t="s">
        <v>79</v>
      </c>
      <c r="D20">
        <v>10.8</v>
      </c>
      <c r="E20">
        <f>Tableau4[[#This Row],[Potential (PJ)]]/3.6</f>
        <v>3</v>
      </c>
      <c r="F20">
        <v>7.2969444444444438</v>
      </c>
      <c r="G20">
        <f>Tableau4[[#This Row],[Cost (€/GJ)]]*3.6</f>
        <v>26.268999999999998</v>
      </c>
      <c r="H20">
        <v>6.8428961748633883</v>
      </c>
      <c r="I20">
        <f>Tableau4[[#This Row],[GHG (kgCO2eq/GJ)]]*3.6</f>
        <v>24.634426229508197</v>
      </c>
      <c r="J20" t="s">
        <v>104</v>
      </c>
      <c r="K20" t="s">
        <v>108</v>
      </c>
    </row>
    <row r="21" spans="1:11" hidden="1" x14ac:dyDescent="0.3">
      <c r="A21" t="s">
        <v>8</v>
      </c>
      <c r="B21" t="s">
        <v>46</v>
      </c>
      <c r="C21" t="s">
        <v>80</v>
      </c>
      <c r="D21">
        <v>9.6026000000000007</v>
      </c>
      <c r="E21">
        <f>Tableau4[[#This Row],[Potential (PJ)]]/3.6</f>
        <v>2.667388888888889</v>
      </c>
      <c r="F21">
        <v>0.71274443695212408</v>
      </c>
      <c r="G21">
        <f>Tableau4[[#This Row],[Cost (€/GJ)]]*3.6</f>
        <v>2.5658799730276467</v>
      </c>
      <c r="H21">
        <v>28.139870918023309</v>
      </c>
      <c r="I21">
        <f>Tableau4[[#This Row],[GHG (kgCO2eq/GJ)]]*3.6</f>
        <v>101.30353530488391</v>
      </c>
      <c r="J21" t="s">
        <v>105</v>
      </c>
      <c r="K21" t="s">
        <v>108</v>
      </c>
    </row>
    <row r="22" spans="1:11" hidden="1" x14ac:dyDescent="0.3">
      <c r="A22" t="s">
        <v>8</v>
      </c>
      <c r="B22" t="s">
        <v>46</v>
      </c>
      <c r="C22" t="s">
        <v>81</v>
      </c>
      <c r="D22">
        <v>2.2425999999999999</v>
      </c>
      <c r="E22">
        <f>Tableau4[[#This Row],[Potential (PJ)]]/3.6</f>
        <v>0.62294444444444441</v>
      </c>
      <c r="F22">
        <v>1.242655699177438</v>
      </c>
      <c r="G22">
        <f>Tableau4[[#This Row],[Cost (€/GJ)]]*3.6</f>
        <v>4.4735605170387771</v>
      </c>
      <c r="H22">
        <v>8.9647473560517046</v>
      </c>
      <c r="I22">
        <f>Tableau4[[#This Row],[GHG (kgCO2eq/GJ)]]*3.6</f>
        <v>32.273090481786134</v>
      </c>
      <c r="J22" t="s">
        <v>105</v>
      </c>
      <c r="K22" t="s">
        <v>108</v>
      </c>
    </row>
    <row r="23" spans="1:11" hidden="1" x14ac:dyDescent="0.3">
      <c r="A23" t="s">
        <v>8</v>
      </c>
      <c r="B23" t="s">
        <v>46</v>
      </c>
      <c r="C23" t="s">
        <v>66</v>
      </c>
      <c r="D23">
        <v>6.9</v>
      </c>
      <c r="E23">
        <f>Tableau4[[#This Row],[Potential (PJ)]]/3.6</f>
        <v>1.9166666666666667</v>
      </c>
      <c r="F23">
        <v>7.6722753623188398</v>
      </c>
      <c r="G23">
        <f>Tableau4[[#This Row],[Cost (€/GJ)]]*3.6</f>
        <v>27.620191304347824</v>
      </c>
      <c r="H23">
        <v>6.8428961748633883</v>
      </c>
      <c r="I23">
        <f>Tableau4[[#This Row],[GHG (kgCO2eq/GJ)]]*3.6</f>
        <v>24.634426229508197</v>
      </c>
      <c r="J23" t="s">
        <v>104</v>
      </c>
      <c r="K23" t="s">
        <v>108</v>
      </c>
    </row>
    <row r="24" spans="1:11" hidden="1" x14ac:dyDescent="0.3">
      <c r="A24" t="s">
        <v>8</v>
      </c>
      <c r="B24" t="s">
        <v>46</v>
      </c>
      <c r="C24" t="s">
        <v>82</v>
      </c>
      <c r="D24">
        <v>2.4</v>
      </c>
      <c r="E24">
        <f>Tableau4[[#This Row],[Potential (PJ)]]/3.6</f>
        <v>0.66666666666666663</v>
      </c>
      <c r="F24">
        <v>4.5457083333333337</v>
      </c>
      <c r="G24">
        <f>Tableau4[[#This Row],[Cost (€/GJ)]]*3.6</f>
        <v>16.364550000000001</v>
      </c>
      <c r="H24">
        <v>6.8428961748633883</v>
      </c>
      <c r="I24">
        <f>Tableau4[[#This Row],[GHG (kgCO2eq/GJ)]]*3.6</f>
        <v>24.634426229508197</v>
      </c>
      <c r="J24" t="s">
        <v>104</v>
      </c>
      <c r="K24" t="s">
        <v>108</v>
      </c>
    </row>
    <row r="25" spans="1:11" hidden="1" x14ac:dyDescent="0.3">
      <c r="A25" t="s">
        <v>8</v>
      </c>
      <c r="B25" t="s">
        <v>46</v>
      </c>
      <c r="C25" t="s">
        <v>83</v>
      </c>
      <c r="D25">
        <v>0.3</v>
      </c>
      <c r="E25">
        <f>Tableau4[[#This Row],[Potential (PJ)]]/3.6</f>
        <v>8.3333333333333329E-2</v>
      </c>
      <c r="F25">
        <v>0</v>
      </c>
      <c r="G25">
        <f>Tableau4[[#This Row],[Cost (€/GJ)]]*3.6</f>
        <v>0</v>
      </c>
      <c r="H25">
        <v>6.8428961748633883</v>
      </c>
      <c r="I25">
        <f>Tableau4[[#This Row],[GHG (kgCO2eq/GJ)]]*3.6</f>
        <v>24.634426229508197</v>
      </c>
      <c r="J25" t="s">
        <v>104</v>
      </c>
      <c r="K25" t="s">
        <v>108</v>
      </c>
    </row>
    <row r="26" spans="1:11" hidden="1" x14ac:dyDescent="0.3">
      <c r="A26" t="s">
        <v>8</v>
      </c>
      <c r="B26" t="s">
        <v>46</v>
      </c>
      <c r="C26" t="s">
        <v>84</v>
      </c>
      <c r="D26">
        <v>0.3</v>
      </c>
      <c r="E26">
        <f>Tableau4[[#This Row],[Potential (PJ)]]/3.6</f>
        <v>8.3333333333333329E-2</v>
      </c>
      <c r="F26">
        <v>3.8460000000000001</v>
      </c>
      <c r="G26">
        <f>Tableau4[[#This Row],[Cost (€/GJ)]]*3.6</f>
        <v>13.845600000000001</v>
      </c>
      <c r="H26">
        <v>28.139870918023309</v>
      </c>
      <c r="I26">
        <f>Tableau4[[#This Row],[GHG (kgCO2eq/GJ)]]*3.6</f>
        <v>101.30353530488391</v>
      </c>
      <c r="J26" t="s">
        <v>105</v>
      </c>
      <c r="K26" t="s">
        <v>108</v>
      </c>
    </row>
    <row r="27" spans="1:11" hidden="1" x14ac:dyDescent="0.3">
      <c r="A27" t="s">
        <v>8</v>
      </c>
      <c r="B27" t="s">
        <v>46</v>
      </c>
      <c r="C27" t="s">
        <v>85</v>
      </c>
      <c r="D27">
        <v>0.6</v>
      </c>
      <c r="E27">
        <f>Tableau4[[#This Row],[Potential (PJ)]]/3.6</f>
        <v>0.16666666666666666</v>
      </c>
      <c r="F27">
        <v>0</v>
      </c>
      <c r="G27">
        <f>Tableau4[[#This Row],[Cost (€/GJ)]]*3.6</f>
        <v>0</v>
      </c>
      <c r="H27">
        <v>2.9521711768407801</v>
      </c>
      <c r="I27">
        <f>Tableau4[[#This Row],[GHG (kgCO2eq/GJ)]]*3.6</f>
        <v>10.627816236626808</v>
      </c>
      <c r="J27" t="s">
        <v>104</v>
      </c>
      <c r="K27" t="s">
        <v>108</v>
      </c>
    </row>
    <row r="28" spans="1:11" hidden="1" x14ac:dyDescent="0.3">
      <c r="A28" t="s">
        <v>8</v>
      </c>
      <c r="B28" t="s">
        <v>55</v>
      </c>
      <c r="C28" t="s">
        <v>86</v>
      </c>
      <c r="D28">
        <v>0.12280000000000001</v>
      </c>
      <c r="E28">
        <f>Tableau4[[#This Row],[Potential (PJ)]]/3.6</f>
        <v>3.4111111111111113E-2</v>
      </c>
      <c r="F28">
        <v>15.507999999999999</v>
      </c>
      <c r="G28">
        <f>Tableau4[[#This Row],[Cost (€/GJ)]]*3.6</f>
        <v>55.828800000000001</v>
      </c>
      <c r="H28">
        <v>9.3000000000000007</v>
      </c>
      <c r="I28">
        <f>Tableau4[[#This Row],[GHG (kgCO2eq/GJ)]]*3.6</f>
        <v>33.480000000000004</v>
      </c>
      <c r="J28" t="s">
        <v>106</v>
      </c>
      <c r="K28" t="s">
        <v>109</v>
      </c>
    </row>
    <row r="29" spans="1:11" hidden="1" x14ac:dyDescent="0.3">
      <c r="A29" t="s">
        <v>8</v>
      </c>
      <c r="B29" t="s">
        <v>55</v>
      </c>
      <c r="C29" t="s">
        <v>87</v>
      </c>
      <c r="D29">
        <v>0.41909999999999997</v>
      </c>
      <c r="E29">
        <f>Tableau4[[#This Row],[Potential (PJ)]]/3.6</f>
        <v>0.11641666666666665</v>
      </c>
      <c r="F29">
        <v>17.648</v>
      </c>
      <c r="G29">
        <f>Tableau4[[#This Row],[Cost (€/GJ)]]*3.6</f>
        <v>63.532800000000002</v>
      </c>
      <c r="H29">
        <v>9.3000000000000007</v>
      </c>
      <c r="I29">
        <f>Tableau4[[#This Row],[GHG (kgCO2eq/GJ)]]*3.6</f>
        <v>33.480000000000004</v>
      </c>
      <c r="J29" t="s">
        <v>106</v>
      </c>
      <c r="K29" t="s">
        <v>109</v>
      </c>
    </row>
    <row r="30" spans="1:11" hidden="1" x14ac:dyDescent="0.3">
      <c r="A30" t="s">
        <v>8</v>
      </c>
      <c r="B30" t="s">
        <v>55</v>
      </c>
      <c r="C30" t="s">
        <v>88</v>
      </c>
      <c r="D30">
        <v>0.81559999999999999</v>
      </c>
      <c r="E30">
        <f>Tableau4[[#This Row],[Potential (PJ)]]/3.6</f>
        <v>0.22655555555555554</v>
      </c>
      <c r="F30">
        <v>15.755000000000001</v>
      </c>
      <c r="G30">
        <f>Tableau4[[#This Row],[Cost (€/GJ)]]*3.6</f>
        <v>56.718000000000004</v>
      </c>
      <c r="H30">
        <v>9.3000000000000007</v>
      </c>
      <c r="I30">
        <f>Tableau4[[#This Row],[GHG (kgCO2eq/GJ)]]*3.6</f>
        <v>33.480000000000004</v>
      </c>
      <c r="J30" t="s">
        <v>106</v>
      </c>
      <c r="K30" t="s">
        <v>109</v>
      </c>
    </row>
    <row r="31" spans="1:11" hidden="1" x14ac:dyDescent="0.3">
      <c r="A31" t="s">
        <v>8</v>
      </c>
      <c r="B31" t="s">
        <v>55</v>
      </c>
      <c r="C31" t="s">
        <v>89</v>
      </c>
      <c r="D31">
        <v>0.1469</v>
      </c>
      <c r="E31">
        <f>Tableau4[[#This Row],[Potential (PJ)]]/3.6</f>
        <v>4.0805555555555553E-2</v>
      </c>
      <c r="F31">
        <v>0</v>
      </c>
      <c r="G31">
        <f>Tableau4[[#This Row],[Cost (€/GJ)]]*3.6</f>
        <v>0</v>
      </c>
      <c r="H31">
        <v>9.3000000000000007</v>
      </c>
      <c r="I31">
        <f>Tableau4[[#This Row],[GHG (kgCO2eq/GJ)]]*3.6</f>
        <v>33.480000000000004</v>
      </c>
      <c r="J31" t="s">
        <v>106</v>
      </c>
      <c r="K31" t="s">
        <v>109</v>
      </c>
    </row>
    <row r="32" spans="1:11" hidden="1" x14ac:dyDescent="0.3">
      <c r="A32" t="s">
        <v>8</v>
      </c>
      <c r="B32" t="s">
        <v>55</v>
      </c>
      <c r="C32" t="s">
        <v>91</v>
      </c>
      <c r="D32">
        <v>0.1065</v>
      </c>
      <c r="E32">
        <f>Tableau4[[#This Row],[Potential (PJ)]]/3.6</f>
        <v>2.9583333333333333E-2</v>
      </c>
      <c r="F32">
        <v>14.819000000000001</v>
      </c>
      <c r="G32">
        <f>Tableau4[[#This Row],[Cost (€/GJ)]]*3.6</f>
        <v>53.348400000000005</v>
      </c>
      <c r="H32">
        <v>9.3000000000000007</v>
      </c>
      <c r="I32">
        <f>Tableau4[[#This Row],[GHG (kgCO2eq/GJ)]]*3.6</f>
        <v>33.480000000000004</v>
      </c>
      <c r="J32" t="s">
        <v>106</v>
      </c>
      <c r="K32" t="s">
        <v>109</v>
      </c>
    </row>
    <row r="33" spans="1:11" hidden="1" x14ac:dyDescent="0.3">
      <c r="A33" t="s">
        <v>8</v>
      </c>
      <c r="B33" t="s">
        <v>55</v>
      </c>
      <c r="C33" t="s">
        <v>92</v>
      </c>
      <c r="D33">
        <v>0.54218</v>
      </c>
      <c r="E33">
        <f>Tableau4[[#This Row],[Potential (PJ)]]/3.6</f>
        <v>0.15060555555555555</v>
      </c>
      <c r="F33">
        <v>17.648</v>
      </c>
      <c r="G33">
        <f>Tableau4[[#This Row],[Cost (€/GJ)]]*3.6</f>
        <v>63.532800000000002</v>
      </c>
      <c r="H33">
        <v>9.3000000000000007</v>
      </c>
      <c r="I33">
        <f>Tableau4[[#This Row],[GHG (kgCO2eq/GJ)]]*3.6</f>
        <v>33.480000000000004</v>
      </c>
      <c r="J33" t="s">
        <v>106</v>
      </c>
      <c r="K33" t="s">
        <v>109</v>
      </c>
    </row>
    <row r="34" spans="1:11" hidden="1" x14ac:dyDescent="0.3">
      <c r="A34" t="s">
        <v>8</v>
      </c>
      <c r="B34" t="s">
        <v>56</v>
      </c>
      <c r="C34" t="s">
        <v>93</v>
      </c>
      <c r="D34">
        <v>15.7689</v>
      </c>
      <c r="E34">
        <f>Tableau4[[#This Row],[Potential (PJ)]]/3.6</f>
        <v>4.3802500000000002</v>
      </c>
      <c r="F34">
        <v>2.939759036144578</v>
      </c>
      <c r="G34">
        <f>Tableau4[[#This Row],[Cost (€/GJ)]]*3.6</f>
        <v>10.583132530120482</v>
      </c>
      <c r="H34">
        <v>16.899999999999999</v>
      </c>
      <c r="I34">
        <f>Tableau4[[#This Row],[GHG (kgCO2eq/GJ)]]*3.6</f>
        <v>60.839999999999996</v>
      </c>
      <c r="J34" t="s">
        <v>106</v>
      </c>
      <c r="K34" t="s">
        <v>109</v>
      </c>
    </row>
    <row r="35" spans="1:11" x14ac:dyDescent="0.3">
      <c r="A35" t="s">
        <v>8</v>
      </c>
      <c r="B35" t="s">
        <v>47</v>
      </c>
      <c r="C35" t="s">
        <v>68</v>
      </c>
      <c r="D35">
        <v>7.3999999999999986</v>
      </c>
      <c r="E35">
        <f>Tableau4[[#This Row],[Potential (PJ)]]/3.6</f>
        <v>2.0555555555555549</v>
      </c>
      <c r="F35">
        <v>5.2072972972972984</v>
      </c>
      <c r="G35">
        <f>Tableau4[[#This Row],[Cost (€/GJ)]]*3.6</f>
        <v>18.746270270270276</v>
      </c>
      <c r="H35">
        <v>21.1</v>
      </c>
      <c r="I35">
        <f>Tableau4[[#This Row],[GHG (kgCO2eq/GJ)]]*3.6</f>
        <v>75.960000000000008</v>
      </c>
      <c r="J35" t="s">
        <v>104</v>
      </c>
      <c r="K35" t="s">
        <v>109</v>
      </c>
    </row>
    <row r="36" spans="1:11" x14ac:dyDescent="0.3">
      <c r="A36" t="s">
        <v>8</v>
      </c>
      <c r="B36" t="s">
        <v>47</v>
      </c>
      <c r="C36" t="s">
        <v>69</v>
      </c>
      <c r="D36">
        <v>16.3</v>
      </c>
      <c r="E36">
        <f>Tableau4[[#This Row],[Potential (PJ)]]/3.6</f>
        <v>4.5277777777777777</v>
      </c>
      <c r="F36">
        <v>4.6367055214723916</v>
      </c>
      <c r="G36">
        <f>Tableau4[[#This Row],[Cost (€/GJ)]]*3.6</f>
        <v>16.692139877300612</v>
      </c>
      <c r="H36">
        <v>21.1</v>
      </c>
      <c r="I36">
        <f>Tableau4[[#This Row],[GHG (kgCO2eq/GJ)]]*3.6</f>
        <v>75.960000000000008</v>
      </c>
      <c r="J36" t="s">
        <v>104</v>
      </c>
      <c r="K36" t="s">
        <v>109</v>
      </c>
    </row>
    <row r="37" spans="1:11" x14ac:dyDescent="0.3">
      <c r="A37" t="s">
        <v>8</v>
      </c>
      <c r="B37" t="s">
        <v>57</v>
      </c>
      <c r="C37" t="s">
        <v>94</v>
      </c>
      <c r="D37">
        <v>4.8</v>
      </c>
      <c r="E37">
        <f>Tableau4[[#This Row],[Potential (PJ)]]/3.6</f>
        <v>1.3333333333333333</v>
      </c>
      <c r="F37">
        <v>10.255437499999999</v>
      </c>
      <c r="G37">
        <f>Tableau4[[#This Row],[Cost (€/GJ)]]*3.6</f>
        <v>36.919575000000002</v>
      </c>
      <c r="H37">
        <v>14.9</v>
      </c>
      <c r="I37">
        <f>Tableau4[[#This Row],[GHG (kgCO2eq/GJ)]]*3.6</f>
        <v>53.64</v>
      </c>
      <c r="J37" t="s">
        <v>104</v>
      </c>
      <c r="K37" t="s">
        <v>109</v>
      </c>
    </row>
    <row r="38" spans="1:11" hidden="1" x14ac:dyDescent="0.3">
      <c r="A38" t="s">
        <v>8</v>
      </c>
      <c r="B38" t="s">
        <v>49</v>
      </c>
      <c r="C38" t="s">
        <v>71</v>
      </c>
      <c r="D38">
        <v>207.34476000000001</v>
      </c>
      <c r="E38">
        <f>Tableau4[[#This Row],[Potential (PJ)]]/3.6</f>
        <v>57.59576666666667</v>
      </c>
      <c r="F38">
        <v>3.752386687515036</v>
      </c>
      <c r="G38">
        <f>Tableau4[[#This Row],[Cost (€/GJ)]]*3.6</f>
        <v>13.50859207505413</v>
      </c>
      <c r="H38">
        <v>3.86607608129234</v>
      </c>
      <c r="I38">
        <f>Tableau4[[#This Row],[GHG (kgCO2eq/GJ)]]*3.6</f>
        <v>13.917873892652425</v>
      </c>
      <c r="J38" t="s">
        <v>104</v>
      </c>
      <c r="K38" t="s">
        <v>108</v>
      </c>
    </row>
    <row r="39" spans="1:11" hidden="1" x14ac:dyDescent="0.3">
      <c r="A39" t="s">
        <v>8</v>
      </c>
      <c r="B39" t="s">
        <v>49</v>
      </c>
      <c r="C39" t="s">
        <v>72</v>
      </c>
      <c r="D39">
        <v>24.8</v>
      </c>
      <c r="E39">
        <f>Tableau4[[#This Row],[Potential (PJ)]]/3.6</f>
        <v>6.8888888888888893</v>
      </c>
      <c r="F39">
        <v>3.0032338709677422</v>
      </c>
      <c r="G39">
        <f>Tableau4[[#This Row],[Cost (€/GJ)]]*3.6</f>
        <v>10.811641935483872</v>
      </c>
      <c r="H39">
        <v>3.86607608129234</v>
      </c>
      <c r="I39">
        <f>Tableau4[[#This Row],[GHG (kgCO2eq/GJ)]]*3.6</f>
        <v>13.917873892652425</v>
      </c>
      <c r="J39" t="s">
        <v>104</v>
      </c>
      <c r="K39" t="s">
        <v>108</v>
      </c>
    </row>
    <row r="40" spans="1:11" hidden="1" x14ac:dyDescent="0.3">
      <c r="A40" t="s">
        <v>8</v>
      </c>
      <c r="B40" t="s">
        <v>58</v>
      </c>
      <c r="C40" t="s">
        <v>95</v>
      </c>
      <c r="D40">
        <v>7.5159900000000004</v>
      </c>
      <c r="E40">
        <f>Tableau4[[#This Row],[Potential (PJ)]]/3.6</f>
        <v>2.0877750000000002</v>
      </c>
      <c r="F40">
        <v>2.36240544625525</v>
      </c>
      <c r="G40">
        <f>Tableau4[[#This Row],[Cost (€/GJ)]]*3.6</f>
        <v>8.5046596065188993</v>
      </c>
      <c r="H40">
        <v>2.9521711768407801</v>
      </c>
      <c r="I40">
        <f>Tableau4[[#This Row],[GHG (kgCO2eq/GJ)]]*3.6</f>
        <v>10.627816236626808</v>
      </c>
      <c r="J40" t="s">
        <v>104</v>
      </c>
      <c r="K40" t="s">
        <v>108</v>
      </c>
    </row>
    <row r="41" spans="1:11" hidden="1" x14ac:dyDescent="0.3">
      <c r="A41" t="s">
        <v>8</v>
      </c>
      <c r="B41" t="s">
        <v>50</v>
      </c>
      <c r="C41" t="s">
        <v>73</v>
      </c>
      <c r="D41">
        <v>2.1</v>
      </c>
      <c r="E41">
        <f>Tableau4[[#This Row],[Potential (PJ)]]/3.6</f>
        <v>0.58333333333333337</v>
      </c>
      <c r="F41">
        <v>5.5201904761904759</v>
      </c>
      <c r="G41">
        <f>Tableau4[[#This Row],[Cost (€/GJ)]]*3.6</f>
        <v>19.872685714285712</v>
      </c>
      <c r="H41">
        <v>20.723404255319149</v>
      </c>
      <c r="I41">
        <f>Tableau4[[#This Row],[GHG (kgCO2eq/GJ)]]*3.6</f>
        <v>74.604255319148933</v>
      </c>
      <c r="J41" t="s">
        <v>105</v>
      </c>
      <c r="K41" t="s">
        <v>108</v>
      </c>
    </row>
    <row r="42" spans="1:11" hidden="1" x14ac:dyDescent="0.3">
      <c r="A42" t="s">
        <v>8</v>
      </c>
      <c r="B42" t="s">
        <v>50</v>
      </c>
      <c r="C42" t="s">
        <v>74</v>
      </c>
      <c r="D42">
        <v>7.1999999999999993</v>
      </c>
      <c r="E42">
        <f>Tableau4[[#This Row],[Potential (PJ)]]/3.6</f>
        <v>1.9999999999999998</v>
      </c>
      <c r="F42">
        <v>6.2497222222222222</v>
      </c>
      <c r="G42">
        <f>Tableau4[[#This Row],[Cost (€/GJ)]]*3.6</f>
        <v>22.498999999999999</v>
      </c>
      <c r="H42">
        <v>2.0635593220338988</v>
      </c>
      <c r="I42">
        <f>Tableau4[[#This Row],[GHG (kgCO2eq/GJ)]]*3.6</f>
        <v>7.4288135593220357</v>
      </c>
      <c r="J42" t="s">
        <v>105</v>
      </c>
      <c r="K42" t="s">
        <v>108</v>
      </c>
    </row>
    <row r="43" spans="1:11" hidden="1" x14ac:dyDescent="0.3">
      <c r="A43" t="s">
        <v>8</v>
      </c>
      <c r="B43" t="s">
        <v>59</v>
      </c>
      <c r="C43" t="s">
        <v>96</v>
      </c>
      <c r="D43">
        <v>5.9499999999999997E-2</v>
      </c>
      <c r="E43">
        <f>Tableau4[[#This Row],[Potential (PJ)]]/3.6</f>
        <v>1.6527777777777777E-2</v>
      </c>
      <c r="F43">
        <v>28.414000000000001</v>
      </c>
      <c r="G43">
        <f>Tableau4[[#This Row],[Cost (€/GJ)]]*3.6</f>
        <v>102.29040000000001</v>
      </c>
      <c r="H43">
        <v>16.899999999999999</v>
      </c>
      <c r="I43">
        <f>Tableau4[[#This Row],[GHG (kgCO2eq/GJ)]]*3.6</f>
        <v>60.839999999999996</v>
      </c>
      <c r="J43" t="s">
        <v>107</v>
      </c>
      <c r="K43" t="s">
        <v>109</v>
      </c>
    </row>
    <row r="44" spans="1:11" hidden="1" x14ac:dyDescent="0.3">
      <c r="A44" t="s">
        <v>8</v>
      </c>
      <c r="B44" t="s">
        <v>59</v>
      </c>
      <c r="C44" t="s">
        <v>97</v>
      </c>
      <c r="D44">
        <v>1.5239</v>
      </c>
      <c r="E44">
        <f>Tableau4[[#This Row],[Potential (PJ)]]/3.6</f>
        <v>0.42330555555555555</v>
      </c>
      <c r="F44">
        <v>16.657623440043409</v>
      </c>
      <c r="G44">
        <f>Tableau4[[#This Row],[Cost (€/GJ)]]*3.6</f>
        <v>59.967444384156273</v>
      </c>
      <c r="H44">
        <v>16.899999999999999</v>
      </c>
      <c r="I44">
        <f>Tableau4[[#This Row],[GHG (kgCO2eq/GJ)]]*3.6</f>
        <v>60.839999999999996</v>
      </c>
      <c r="J44" t="s">
        <v>107</v>
      </c>
      <c r="K44" t="s">
        <v>109</v>
      </c>
    </row>
    <row r="45" spans="1:11" hidden="1" x14ac:dyDescent="0.3">
      <c r="A45" t="s">
        <v>8</v>
      </c>
      <c r="B45" t="s">
        <v>51</v>
      </c>
      <c r="C45" t="s">
        <v>75</v>
      </c>
      <c r="D45">
        <v>13.234959999999999</v>
      </c>
      <c r="E45">
        <f>Tableau4[[#This Row],[Potential (PJ)]]/3.6</f>
        <v>3.6763777777777773</v>
      </c>
      <c r="F45">
        <v>0.106920641299939</v>
      </c>
      <c r="G45">
        <f>Tableau4[[#This Row],[Cost (€/GJ)]]*3.6</f>
        <v>0.38491430867978044</v>
      </c>
      <c r="H45">
        <v>11.74</v>
      </c>
      <c r="I45">
        <f>Tableau4[[#This Row],[GHG (kgCO2eq/GJ)]]*3.6</f>
        <v>42.264000000000003</v>
      </c>
      <c r="J45" t="s">
        <v>104</v>
      </c>
      <c r="K45" t="s">
        <v>108</v>
      </c>
    </row>
    <row r="46" spans="1:11" hidden="1" x14ac:dyDescent="0.3">
      <c r="A46" t="s">
        <v>8</v>
      </c>
      <c r="B46" t="s">
        <v>60</v>
      </c>
      <c r="C46" t="s">
        <v>98</v>
      </c>
      <c r="D46">
        <v>2.9853700000000001</v>
      </c>
      <c r="E46">
        <f>Tableau4[[#This Row],[Potential (PJ)]]/3.6</f>
        <v>0.82926944444444439</v>
      </c>
      <c r="F46">
        <v>20.300751879699249</v>
      </c>
      <c r="G46">
        <f>Tableau4[[#This Row],[Cost (€/GJ)]]*3.6</f>
        <v>73.082706766917298</v>
      </c>
      <c r="H46">
        <v>21</v>
      </c>
      <c r="I46">
        <f>Tableau4[[#This Row],[GHG (kgCO2eq/GJ)]]*3.6</f>
        <v>75.600000000000009</v>
      </c>
      <c r="J46" t="s">
        <v>107</v>
      </c>
      <c r="K46" t="s">
        <v>109</v>
      </c>
    </row>
    <row r="47" spans="1:11" hidden="1" x14ac:dyDescent="0.3">
      <c r="A47" t="s">
        <v>8</v>
      </c>
      <c r="B47" t="s">
        <v>52</v>
      </c>
      <c r="C47" t="s">
        <v>76</v>
      </c>
      <c r="D47">
        <v>5.593</v>
      </c>
      <c r="E47">
        <f>Tableau4[[#This Row],[Potential (PJ)]]/3.6</f>
        <v>1.5536111111111111</v>
      </c>
      <c r="F47">
        <v>4.7567250000000003</v>
      </c>
      <c r="G47">
        <f>Tableau4[[#This Row],[Cost (€/GJ)]]*3.6</f>
        <v>17.124210000000001</v>
      </c>
      <c r="H47">
        <v>12.68872359754714</v>
      </c>
      <c r="I47">
        <f>Tableau4[[#This Row],[GHG (kgCO2eq/GJ)]]*3.6</f>
        <v>45.679404951169708</v>
      </c>
      <c r="J47" t="s">
        <v>105</v>
      </c>
      <c r="K47" t="s">
        <v>108</v>
      </c>
    </row>
    <row r="48" spans="1:11" hidden="1" x14ac:dyDescent="0.3">
      <c r="A48" t="s">
        <v>8</v>
      </c>
      <c r="B48" t="s">
        <v>53</v>
      </c>
      <c r="C48" t="s">
        <v>77</v>
      </c>
      <c r="D48">
        <v>15.8</v>
      </c>
      <c r="E48">
        <f>Tableau4[[#This Row],[Potential (PJ)]]/3.6</f>
        <v>4.3888888888888893</v>
      </c>
      <c r="F48">
        <v>3.002601265822785</v>
      </c>
      <c r="G48">
        <f>Tableau4[[#This Row],[Cost (€/GJ)]]*3.6</f>
        <v>10.809364556962025</v>
      </c>
      <c r="H48">
        <v>3.86607608129234</v>
      </c>
      <c r="I48">
        <f>Tableau4[[#This Row],[GHG (kgCO2eq/GJ)]]*3.6</f>
        <v>13.917873892652425</v>
      </c>
      <c r="J48" t="s">
        <v>104</v>
      </c>
      <c r="K48" t="s">
        <v>108</v>
      </c>
    </row>
    <row r="49" spans="1:11" hidden="1" x14ac:dyDescent="0.3">
      <c r="A49" t="s">
        <v>8</v>
      </c>
      <c r="B49" t="s">
        <v>61</v>
      </c>
      <c r="C49" t="s">
        <v>99</v>
      </c>
      <c r="D49">
        <v>42.2</v>
      </c>
      <c r="E49">
        <f>Tableau4[[#This Row],[Potential (PJ)]]/3.6</f>
        <v>11.722222222222223</v>
      </c>
      <c r="F49">
        <v>1.6326943127962079</v>
      </c>
      <c r="G49">
        <f>Tableau4[[#This Row],[Cost (€/GJ)]]*3.6</f>
        <v>5.8776995260663485</v>
      </c>
      <c r="H49">
        <v>2.9245635910224439</v>
      </c>
      <c r="I49">
        <f>Tableau4[[#This Row],[GHG (kgCO2eq/GJ)]]*3.6</f>
        <v>10.528428927680798</v>
      </c>
      <c r="J49" t="s">
        <v>104</v>
      </c>
      <c r="K49" t="s">
        <v>108</v>
      </c>
    </row>
    <row r="50" spans="1:11" hidden="1" x14ac:dyDescent="0.3">
      <c r="A50" t="s">
        <v>8</v>
      </c>
      <c r="B50" t="s">
        <v>62</v>
      </c>
      <c r="C50" t="s">
        <v>100</v>
      </c>
      <c r="D50">
        <v>15.4</v>
      </c>
      <c r="E50">
        <f>Tableau4[[#This Row],[Potential (PJ)]]/3.6</f>
        <v>4.2777777777777777</v>
      </c>
      <c r="F50">
        <v>0.24545454545454551</v>
      </c>
      <c r="G50">
        <f>Tableau4[[#This Row],[Cost (€/GJ)]]*3.6</f>
        <v>0.88363636363636389</v>
      </c>
      <c r="H50">
        <v>2.6764106050305911</v>
      </c>
      <c r="I50">
        <f>Tableau4[[#This Row],[GHG (kgCO2eq/GJ)]]*3.6</f>
        <v>9.6350781781101276</v>
      </c>
      <c r="J50" t="s">
        <v>104</v>
      </c>
      <c r="K50" t="s">
        <v>108</v>
      </c>
    </row>
    <row r="51" spans="1:11" hidden="1" x14ac:dyDescent="0.3">
      <c r="A51" t="s">
        <v>8</v>
      </c>
      <c r="B51" t="s">
        <v>54</v>
      </c>
      <c r="C51" t="s">
        <v>78</v>
      </c>
      <c r="D51">
        <v>132.1</v>
      </c>
      <c r="E51">
        <f>Tableau4[[#This Row],[Potential (PJ)]]/3.6</f>
        <v>36.694444444444443</v>
      </c>
      <c r="F51">
        <v>6.1441226343679034</v>
      </c>
      <c r="G51">
        <f>Tableau4[[#This Row],[Cost (€/GJ)]]*3.6</f>
        <v>22.118841483724452</v>
      </c>
      <c r="H51">
        <v>3.86607608129234</v>
      </c>
      <c r="I51">
        <f>Tableau4[[#This Row],[GHG (kgCO2eq/GJ)]]*3.6</f>
        <v>13.917873892652425</v>
      </c>
      <c r="J51" t="s">
        <v>104</v>
      </c>
      <c r="K51" t="s">
        <v>108</v>
      </c>
    </row>
    <row r="52" spans="1:11" hidden="1" x14ac:dyDescent="0.3">
      <c r="A52" t="s">
        <v>9</v>
      </c>
      <c r="B52" t="s">
        <v>46</v>
      </c>
      <c r="C52" t="s">
        <v>63</v>
      </c>
      <c r="D52">
        <v>1.1000000000000001E-3</v>
      </c>
      <c r="E52">
        <f>Tableau4[[#This Row],[Potential (PJ)]]/3.6</f>
        <v>3.0555555555555555E-4</v>
      </c>
      <c r="F52">
        <v>2.9286474973375931</v>
      </c>
      <c r="G52">
        <f>Tableau4[[#This Row],[Cost (€/GJ)]]*3.6</f>
        <v>10.543130990415335</v>
      </c>
      <c r="H52">
        <v>3.950479233226837</v>
      </c>
      <c r="I52">
        <f>Tableau4[[#This Row],[GHG (kgCO2eq/GJ)]]*3.6</f>
        <v>14.221725239616614</v>
      </c>
      <c r="J52" t="s">
        <v>104</v>
      </c>
      <c r="K52" t="s">
        <v>108</v>
      </c>
    </row>
    <row r="53" spans="1:11" hidden="1" x14ac:dyDescent="0.3">
      <c r="A53" t="s">
        <v>9</v>
      </c>
      <c r="B53" t="s">
        <v>46</v>
      </c>
      <c r="C53" t="s">
        <v>64</v>
      </c>
      <c r="D53">
        <v>1.4205700000000001</v>
      </c>
      <c r="E53">
        <f>Tableau4[[#This Row],[Potential (PJ)]]/3.6</f>
        <v>0.3946027777777778</v>
      </c>
      <c r="F53">
        <v>0</v>
      </c>
      <c r="G53">
        <f>Tableau4[[#This Row],[Cost (€/GJ)]]*3.6</f>
        <v>0</v>
      </c>
      <c r="H53">
        <v>2.9521711768407801</v>
      </c>
      <c r="I53">
        <f>Tableau4[[#This Row],[GHG (kgCO2eq/GJ)]]*3.6</f>
        <v>10.627816236626808</v>
      </c>
      <c r="J53" t="s">
        <v>104</v>
      </c>
      <c r="K53" t="s">
        <v>108</v>
      </c>
    </row>
    <row r="54" spans="1:11" hidden="1" x14ac:dyDescent="0.3">
      <c r="A54" t="s">
        <v>9</v>
      </c>
      <c r="B54" t="s">
        <v>46</v>
      </c>
      <c r="C54" t="s">
        <v>65</v>
      </c>
      <c r="D54">
        <v>1</v>
      </c>
      <c r="E54">
        <f>Tableau4[[#This Row],[Potential (PJ)]]/3.6</f>
        <v>0.27777777777777779</v>
      </c>
      <c r="F54">
        <v>4.3090000000000002</v>
      </c>
      <c r="G54">
        <f>Tableau4[[#This Row],[Cost (€/GJ)]]*3.6</f>
        <v>15.512400000000001</v>
      </c>
      <c r="H54">
        <v>2.9521711768407801</v>
      </c>
      <c r="I54">
        <f>Tableau4[[#This Row],[GHG (kgCO2eq/GJ)]]*3.6</f>
        <v>10.627816236626808</v>
      </c>
      <c r="J54" t="s">
        <v>104</v>
      </c>
      <c r="K54" t="s">
        <v>108</v>
      </c>
    </row>
    <row r="55" spans="1:11" hidden="1" x14ac:dyDescent="0.3">
      <c r="A55" t="s">
        <v>9</v>
      </c>
      <c r="B55" t="s">
        <v>46</v>
      </c>
      <c r="C55" t="s">
        <v>66</v>
      </c>
      <c r="D55">
        <v>3.4</v>
      </c>
      <c r="E55">
        <f>Tableau4[[#This Row],[Potential (PJ)]]/3.6</f>
        <v>0.94444444444444442</v>
      </c>
      <c r="F55">
        <v>1.95</v>
      </c>
      <c r="G55">
        <f>Tableau4[[#This Row],[Cost (€/GJ)]]*3.6</f>
        <v>7.02</v>
      </c>
      <c r="H55">
        <v>6.8428961748633883</v>
      </c>
      <c r="I55">
        <f>Tableau4[[#This Row],[GHG (kgCO2eq/GJ)]]*3.6</f>
        <v>24.634426229508197</v>
      </c>
      <c r="J55" t="s">
        <v>104</v>
      </c>
      <c r="K55" t="s">
        <v>108</v>
      </c>
    </row>
    <row r="56" spans="1:11" hidden="1" x14ac:dyDescent="0.3">
      <c r="A56" t="s">
        <v>9</v>
      </c>
      <c r="B56" t="s">
        <v>46</v>
      </c>
      <c r="C56" t="s">
        <v>85</v>
      </c>
      <c r="D56">
        <v>0.2</v>
      </c>
      <c r="E56">
        <f>Tableau4[[#This Row],[Potential (PJ)]]/3.6</f>
        <v>5.5555555555555559E-2</v>
      </c>
      <c r="F56">
        <v>0</v>
      </c>
      <c r="G56">
        <f>Tableau4[[#This Row],[Cost (€/GJ)]]*3.6</f>
        <v>0</v>
      </c>
      <c r="H56">
        <v>2.9521711768407801</v>
      </c>
      <c r="I56">
        <f>Tableau4[[#This Row],[GHG (kgCO2eq/GJ)]]*3.6</f>
        <v>10.627816236626808</v>
      </c>
      <c r="J56" t="s">
        <v>104</v>
      </c>
      <c r="K56" t="s">
        <v>108</v>
      </c>
    </row>
    <row r="57" spans="1:11" x14ac:dyDescent="0.3">
      <c r="A57" t="s">
        <v>9</v>
      </c>
      <c r="B57" t="s">
        <v>47</v>
      </c>
      <c r="C57" t="s">
        <v>68</v>
      </c>
      <c r="D57">
        <v>51.4</v>
      </c>
      <c r="E57">
        <f>Tableau4[[#This Row],[Potential (PJ)]]/3.6</f>
        <v>14.277777777777777</v>
      </c>
      <c r="F57">
        <v>3.9710000000000001</v>
      </c>
      <c r="G57">
        <f>Tableau4[[#This Row],[Cost (€/GJ)]]*3.6</f>
        <v>14.2956</v>
      </c>
      <c r="I57">
        <f>Tableau4[[#This Row],[GHG (kgCO2eq/GJ)]]*3.6</f>
        <v>0</v>
      </c>
      <c r="J57" t="s">
        <v>104</v>
      </c>
      <c r="K57" t="s">
        <v>109</v>
      </c>
    </row>
    <row r="58" spans="1:11" x14ac:dyDescent="0.3">
      <c r="A58" t="s">
        <v>9</v>
      </c>
      <c r="B58" t="s">
        <v>47</v>
      </c>
      <c r="C58" t="s">
        <v>69</v>
      </c>
      <c r="D58">
        <v>36</v>
      </c>
      <c r="E58">
        <f>Tableau4[[#This Row],[Potential (PJ)]]/3.6</f>
        <v>10</v>
      </c>
      <c r="F58">
        <v>3.9830000000000001</v>
      </c>
      <c r="G58">
        <f>Tableau4[[#This Row],[Cost (€/GJ)]]*3.6</f>
        <v>14.338800000000001</v>
      </c>
      <c r="I58">
        <f>Tableau4[[#This Row],[GHG (kgCO2eq/GJ)]]*3.6</f>
        <v>0</v>
      </c>
      <c r="J58" t="s">
        <v>104</v>
      </c>
      <c r="K58" t="s">
        <v>109</v>
      </c>
    </row>
    <row r="59" spans="1:11" x14ac:dyDescent="0.3">
      <c r="A59" t="s">
        <v>9</v>
      </c>
      <c r="B59" t="s">
        <v>48</v>
      </c>
      <c r="C59" t="s">
        <v>70</v>
      </c>
      <c r="D59">
        <v>19</v>
      </c>
      <c r="E59">
        <f>Tableau4[[#This Row],[Potential (PJ)]]/3.6</f>
        <v>5.2777777777777777</v>
      </c>
      <c r="F59">
        <v>10.238</v>
      </c>
      <c r="G59">
        <f>Tableau4[[#This Row],[Cost (€/GJ)]]*3.6</f>
        <v>36.8568</v>
      </c>
      <c r="I59">
        <f>Tableau4[[#This Row],[GHG (kgCO2eq/GJ)]]*3.6</f>
        <v>0</v>
      </c>
      <c r="J59" t="s">
        <v>104</v>
      </c>
      <c r="K59" t="s">
        <v>109</v>
      </c>
    </row>
    <row r="60" spans="1:11" hidden="1" x14ac:dyDescent="0.3">
      <c r="A60" t="s">
        <v>9</v>
      </c>
      <c r="B60" t="s">
        <v>49</v>
      </c>
      <c r="C60" t="s">
        <v>71</v>
      </c>
      <c r="D60">
        <v>26.151900000000001</v>
      </c>
      <c r="E60">
        <f>Tableau4[[#This Row],[Potential (PJ)]]/3.6</f>
        <v>7.2644166666666665</v>
      </c>
      <c r="F60">
        <v>0</v>
      </c>
      <c r="G60">
        <f>Tableau4[[#This Row],[Cost (€/GJ)]]*3.6</f>
        <v>0</v>
      </c>
      <c r="H60">
        <v>3.86607608129234</v>
      </c>
      <c r="I60">
        <f>Tableau4[[#This Row],[GHG (kgCO2eq/GJ)]]*3.6</f>
        <v>13.917873892652425</v>
      </c>
      <c r="J60" t="s">
        <v>104</v>
      </c>
      <c r="K60" t="s">
        <v>108</v>
      </c>
    </row>
    <row r="61" spans="1:11" hidden="1" x14ac:dyDescent="0.3">
      <c r="A61" t="s">
        <v>9</v>
      </c>
      <c r="B61" t="s">
        <v>49</v>
      </c>
      <c r="C61" t="s">
        <v>72</v>
      </c>
      <c r="D61">
        <v>10.7</v>
      </c>
      <c r="E61">
        <f>Tableau4[[#This Row],[Potential (PJ)]]/3.6</f>
        <v>2.9722222222222219</v>
      </c>
      <c r="F61">
        <v>0</v>
      </c>
      <c r="G61">
        <f>Tableau4[[#This Row],[Cost (€/GJ)]]*3.6</f>
        <v>0</v>
      </c>
      <c r="H61">
        <v>3.86607608129234</v>
      </c>
      <c r="I61">
        <f>Tableau4[[#This Row],[GHG (kgCO2eq/GJ)]]*3.6</f>
        <v>13.917873892652425</v>
      </c>
      <c r="J61" t="s">
        <v>104</v>
      </c>
      <c r="K61" t="s">
        <v>108</v>
      </c>
    </row>
    <row r="62" spans="1:11" hidden="1" x14ac:dyDescent="0.3">
      <c r="A62" t="s">
        <v>9</v>
      </c>
      <c r="B62" t="s">
        <v>50</v>
      </c>
      <c r="C62" t="s">
        <v>73</v>
      </c>
      <c r="D62">
        <v>0.6</v>
      </c>
      <c r="E62">
        <f>Tableau4[[#This Row],[Potential (PJ)]]/3.6</f>
        <v>0.16666666666666666</v>
      </c>
      <c r="F62">
        <v>5.4240000000000004</v>
      </c>
      <c r="G62">
        <f>Tableau4[[#This Row],[Cost (€/GJ)]]*3.6</f>
        <v>19.526400000000002</v>
      </c>
      <c r="H62">
        <v>20.723404255319149</v>
      </c>
      <c r="I62">
        <f>Tableau4[[#This Row],[GHG (kgCO2eq/GJ)]]*3.6</f>
        <v>74.604255319148933</v>
      </c>
      <c r="J62" t="s">
        <v>105</v>
      </c>
      <c r="K62" t="s">
        <v>108</v>
      </c>
    </row>
    <row r="63" spans="1:11" hidden="1" x14ac:dyDescent="0.3">
      <c r="A63" t="s">
        <v>9</v>
      </c>
      <c r="B63" t="s">
        <v>50</v>
      </c>
      <c r="C63" t="s">
        <v>74</v>
      </c>
      <c r="D63">
        <v>1.9</v>
      </c>
      <c r="E63">
        <f>Tableau4[[#This Row],[Potential (PJ)]]/3.6</f>
        <v>0.52777777777777779</v>
      </c>
      <c r="F63">
        <v>3.484</v>
      </c>
      <c r="G63">
        <f>Tableau4[[#This Row],[Cost (€/GJ)]]*3.6</f>
        <v>12.542400000000001</v>
      </c>
      <c r="H63">
        <v>2.0635593220338988</v>
      </c>
      <c r="I63">
        <f>Tableau4[[#This Row],[GHG (kgCO2eq/GJ)]]*3.6</f>
        <v>7.4288135593220357</v>
      </c>
      <c r="J63" t="s">
        <v>105</v>
      </c>
      <c r="K63" t="s">
        <v>108</v>
      </c>
    </row>
    <row r="64" spans="1:11" hidden="1" x14ac:dyDescent="0.3">
      <c r="A64" t="s">
        <v>9</v>
      </c>
      <c r="B64" t="s">
        <v>51</v>
      </c>
      <c r="C64" t="s">
        <v>75</v>
      </c>
      <c r="D64">
        <v>0</v>
      </c>
      <c r="E64">
        <f>Tableau4[[#This Row],[Potential (PJ)]]/3.6</f>
        <v>0</v>
      </c>
      <c r="F64">
        <v>0</v>
      </c>
      <c r="G64">
        <f>Tableau4[[#This Row],[Cost (€/GJ)]]*3.6</f>
        <v>0</v>
      </c>
      <c r="H64">
        <v>11.74</v>
      </c>
      <c r="I64">
        <f>Tableau4[[#This Row],[GHG (kgCO2eq/GJ)]]*3.6</f>
        <v>42.264000000000003</v>
      </c>
      <c r="J64" t="s">
        <v>104</v>
      </c>
      <c r="K64" t="s">
        <v>108</v>
      </c>
    </row>
    <row r="65" spans="1:11" hidden="1" x14ac:dyDescent="0.3">
      <c r="A65" t="s">
        <v>9</v>
      </c>
      <c r="B65" t="s">
        <v>52</v>
      </c>
      <c r="C65" t="s">
        <v>76</v>
      </c>
      <c r="D65">
        <v>0.28299999999999997</v>
      </c>
      <c r="E65">
        <f>Tableau4[[#This Row],[Potential (PJ)]]/3.6</f>
        <v>7.8611111111111104E-2</v>
      </c>
      <c r="F65">
        <v>0</v>
      </c>
      <c r="G65">
        <f>Tableau4[[#This Row],[Cost (€/GJ)]]*3.6</f>
        <v>0</v>
      </c>
      <c r="H65">
        <v>12.68872359754714</v>
      </c>
      <c r="I65">
        <f>Tableau4[[#This Row],[GHG (kgCO2eq/GJ)]]*3.6</f>
        <v>45.679404951169708</v>
      </c>
      <c r="J65" t="s">
        <v>105</v>
      </c>
      <c r="K65" t="s">
        <v>108</v>
      </c>
    </row>
    <row r="66" spans="1:11" hidden="1" x14ac:dyDescent="0.3">
      <c r="A66" t="s">
        <v>9</v>
      </c>
      <c r="B66" t="s">
        <v>53</v>
      </c>
      <c r="C66" t="s">
        <v>77</v>
      </c>
      <c r="D66">
        <v>6.9</v>
      </c>
      <c r="E66">
        <f>Tableau4[[#This Row],[Potential (PJ)]]/3.6</f>
        <v>1.9166666666666667</v>
      </c>
      <c r="F66">
        <v>0</v>
      </c>
      <c r="G66">
        <f>Tableau4[[#This Row],[Cost (€/GJ)]]*3.6</f>
        <v>0</v>
      </c>
      <c r="H66">
        <v>3.86607608129234</v>
      </c>
      <c r="I66">
        <f>Tableau4[[#This Row],[GHG (kgCO2eq/GJ)]]*3.6</f>
        <v>13.917873892652425</v>
      </c>
      <c r="J66" t="s">
        <v>104</v>
      </c>
      <c r="K66" t="s">
        <v>108</v>
      </c>
    </row>
    <row r="67" spans="1:11" hidden="1" x14ac:dyDescent="0.3">
      <c r="A67" t="s">
        <v>9</v>
      </c>
      <c r="B67" t="s">
        <v>54</v>
      </c>
      <c r="C67" t="s">
        <v>78</v>
      </c>
      <c r="D67">
        <v>16.899999999999999</v>
      </c>
      <c r="E67">
        <f>Tableau4[[#This Row],[Potential (PJ)]]/3.6</f>
        <v>4.6944444444444438</v>
      </c>
      <c r="F67">
        <v>0</v>
      </c>
      <c r="G67">
        <f>Tableau4[[#This Row],[Cost (€/GJ)]]*3.6</f>
        <v>0</v>
      </c>
      <c r="H67">
        <v>3.86607608129234</v>
      </c>
      <c r="I67">
        <f>Tableau4[[#This Row],[GHG (kgCO2eq/GJ)]]*3.6</f>
        <v>13.917873892652425</v>
      </c>
      <c r="J67" t="s">
        <v>104</v>
      </c>
      <c r="K67" t="s">
        <v>108</v>
      </c>
    </row>
    <row r="68" spans="1:11" hidden="1" x14ac:dyDescent="0.3">
      <c r="A68" t="s">
        <v>10</v>
      </c>
      <c r="B68" t="s">
        <v>46</v>
      </c>
      <c r="C68" t="s">
        <v>64</v>
      </c>
      <c r="D68">
        <v>0.2</v>
      </c>
      <c r="E68">
        <f>Tableau4[[#This Row],[Potential (PJ)]]/3.6</f>
        <v>5.5555555555555559E-2</v>
      </c>
      <c r="F68">
        <v>4.7043333333333326</v>
      </c>
      <c r="G68">
        <f>Tableau4[[#This Row],[Cost (€/GJ)]]*3.6</f>
        <v>16.935599999999997</v>
      </c>
      <c r="H68">
        <v>2.9521711768407801</v>
      </c>
      <c r="I68">
        <f>Tableau4[[#This Row],[GHG (kgCO2eq/GJ)]]*3.6</f>
        <v>10.627816236626808</v>
      </c>
      <c r="J68" t="s">
        <v>104</v>
      </c>
      <c r="K68" t="s">
        <v>108</v>
      </c>
    </row>
    <row r="69" spans="1:11" hidden="1" x14ac:dyDescent="0.3">
      <c r="A69" t="s">
        <v>10</v>
      </c>
      <c r="B69" t="s">
        <v>46</v>
      </c>
      <c r="C69" t="s">
        <v>79</v>
      </c>
      <c r="D69">
        <v>5.7</v>
      </c>
      <c r="E69">
        <f>Tableau4[[#This Row],[Potential (PJ)]]/3.6</f>
        <v>1.5833333333333333</v>
      </c>
      <c r="F69">
        <v>2.9859090909090908</v>
      </c>
      <c r="G69">
        <f>Tableau4[[#This Row],[Cost (€/GJ)]]*3.6</f>
        <v>10.749272727272727</v>
      </c>
      <c r="H69">
        <v>6.8428961748633883</v>
      </c>
      <c r="I69">
        <f>Tableau4[[#This Row],[GHG (kgCO2eq/GJ)]]*3.6</f>
        <v>24.634426229508197</v>
      </c>
      <c r="J69" t="s">
        <v>104</v>
      </c>
      <c r="K69" t="s">
        <v>108</v>
      </c>
    </row>
    <row r="70" spans="1:11" hidden="1" x14ac:dyDescent="0.3">
      <c r="A70" t="s">
        <v>10</v>
      </c>
      <c r="B70" t="s">
        <v>46</v>
      </c>
      <c r="C70" t="s">
        <v>80</v>
      </c>
      <c r="D70">
        <v>0.62949999999999995</v>
      </c>
      <c r="E70">
        <f>Tableau4[[#This Row],[Potential (PJ)]]/3.6</f>
        <v>0.17486111111111111</v>
      </c>
      <c r="F70">
        <v>1.026972353337829</v>
      </c>
      <c r="G70">
        <f>Tableau4[[#This Row],[Cost (€/GJ)]]*3.6</f>
        <v>3.6971004720161846</v>
      </c>
      <c r="H70">
        <v>28.139870918023309</v>
      </c>
      <c r="I70">
        <f>Tableau4[[#This Row],[GHG (kgCO2eq/GJ)]]*3.6</f>
        <v>101.30353530488391</v>
      </c>
      <c r="J70" t="s">
        <v>105</v>
      </c>
      <c r="K70" t="s">
        <v>108</v>
      </c>
    </row>
    <row r="71" spans="1:11" hidden="1" x14ac:dyDescent="0.3">
      <c r="A71" t="s">
        <v>10</v>
      </c>
      <c r="B71" t="s">
        <v>46</v>
      </c>
      <c r="C71" t="s">
        <v>81</v>
      </c>
      <c r="D71">
        <v>1.3172999999999999</v>
      </c>
      <c r="E71">
        <f>Tableau4[[#This Row],[Potential (PJ)]]/3.6</f>
        <v>0.36591666666666661</v>
      </c>
      <c r="F71">
        <v>1.078730904817861</v>
      </c>
      <c r="G71">
        <f>Tableau4[[#This Row],[Cost (€/GJ)]]*3.6</f>
        <v>3.8834312573442999</v>
      </c>
      <c r="H71">
        <v>8.9647473560517046</v>
      </c>
      <c r="I71">
        <f>Tableau4[[#This Row],[GHG (kgCO2eq/GJ)]]*3.6</f>
        <v>32.273090481786134</v>
      </c>
      <c r="J71" t="s">
        <v>105</v>
      </c>
      <c r="K71" t="s">
        <v>108</v>
      </c>
    </row>
    <row r="72" spans="1:11" hidden="1" x14ac:dyDescent="0.3">
      <c r="A72" t="s">
        <v>10</v>
      </c>
      <c r="B72" t="s">
        <v>46</v>
      </c>
      <c r="C72" t="s">
        <v>66</v>
      </c>
      <c r="D72">
        <v>2.1</v>
      </c>
      <c r="E72">
        <f>Tableau4[[#This Row],[Potential (PJ)]]/3.6</f>
        <v>0.58333333333333337</v>
      </c>
      <c r="F72">
        <v>3.714428571428571</v>
      </c>
      <c r="G72">
        <f>Tableau4[[#This Row],[Cost (€/GJ)]]*3.6</f>
        <v>13.371942857142855</v>
      </c>
      <c r="H72">
        <v>6.8428961748633883</v>
      </c>
      <c r="I72">
        <f>Tableau4[[#This Row],[GHG (kgCO2eq/GJ)]]*3.6</f>
        <v>24.634426229508197</v>
      </c>
      <c r="J72" t="s">
        <v>104</v>
      </c>
      <c r="K72" t="s">
        <v>108</v>
      </c>
    </row>
    <row r="73" spans="1:11" hidden="1" x14ac:dyDescent="0.3">
      <c r="A73" t="s">
        <v>10</v>
      </c>
      <c r="B73" t="s">
        <v>46</v>
      </c>
      <c r="C73" t="s">
        <v>83</v>
      </c>
      <c r="D73">
        <v>0.9</v>
      </c>
      <c r="E73">
        <f>Tableau4[[#This Row],[Potential (PJ)]]/3.6</f>
        <v>0.25</v>
      </c>
      <c r="F73">
        <v>0</v>
      </c>
      <c r="G73">
        <f>Tableau4[[#This Row],[Cost (€/GJ)]]*3.6</f>
        <v>0</v>
      </c>
      <c r="H73">
        <v>6.8428961748633883</v>
      </c>
      <c r="I73">
        <f>Tableau4[[#This Row],[GHG (kgCO2eq/GJ)]]*3.6</f>
        <v>24.634426229508197</v>
      </c>
      <c r="J73" t="s">
        <v>104</v>
      </c>
      <c r="K73" t="s">
        <v>108</v>
      </c>
    </row>
    <row r="74" spans="1:11" hidden="1" x14ac:dyDescent="0.3">
      <c r="A74" t="s">
        <v>10</v>
      </c>
      <c r="B74" t="s">
        <v>46</v>
      </c>
      <c r="C74" t="s">
        <v>84</v>
      </c>
      <c r="D74">
        <v>0.9</v>
      </c>
      <c r="E74">
        <f>Tableau4[[#This Row],[Potential (PJ)]]/3.6</f>
        <v>0.25</v>
      </c>
      <c r="F74">
        <v>2.2932222222222221</v>
      </c>
      <c r="G74">
        <f>Tableau4[[#This Row],[Cost (€/GJ)]]*3.6</f>
        <v>8.2555999999999994</v>
      </c>
      <c r="H74">
        <v>28.139870918023309</v>
      </c>
      <c r="I74">
        <f>Tableau4[[#This Row],[GHG (kgCO2eq/GJ)]]*3.6</f>
        <v>101.30353530488391</v>
      </c>
      <c r="J74" t="s">
        <v>105</v>
      </c>
      <c r="K74" t="s">
        <v>108</v>
      </c>
    </row>
    <row r="75" spans="1:11" hidden="1" x14ac:dyDescent="0.3">
      <c r="A75" t="s">
        <v>10</v>
      </c>
      <c r="B75" t="s">
        <v>55</v>
      </c>
      <c r="C75" t="s">
        <v>86</v>
      </c>
      <c r="D75">
        <v>1.2726999999999999</v>
      </c>
      <c r="E75">
        <f>Tableau4[[#This Row],[Potential (PJ)]]/3.6</f>
        <v>0.35352777777777777</v>
      </c>
      <c r="F75">
        <v>16.411999999999999</v>
      </c>
      <c r="G75">
        <f>Tableau4[[#This Row],[Cost (€/GJ)]]*3.6</f>
        <v>59.083199999999998</v>
      </c>
      <c r="H75">
        <v>26.3</v>
      </c>
      <c r="I75">
        <f>Tableau4[[#This Row],[GHG (kgCO2eq/GJ)]]*3.6</f>
        <v>94.68</v>
      </c>
      <c r="J75" t="s">
        <v>106</v>
      </c>
      <c r="K75" t="s">
        <v>109</v>
      </c>
    </row>
    <row r="76" spans="1:11" hidden="1" x14ac:dyDescent="0.3">
      <c r="A76" t="s">
        <v>10</v>
      </c>
      <c r="B76" t="s">
        <v>55</v>
      </c>
      <c r="C76" t="s">
        <v>88</v>
      </c>
      <c r="D76">
        <v>1.2674000000000001</v>
      </c>
      <c r="E76">
        <f>Tableau4[[#This Row],[Potential (PJ)]]/3.6</f>
        <v>0.35205555555555557</v>
      </c>
      <c r="F76">
        <v>10.111000000000001</v>
      </c>
      <c r="G76">
        <f>Tableau4[[#This Row],[Cost (€/GJ)]]*3.6</f>
        <v>36.399600000000007</v>
      </c>
      <c r="H76">
        <v>26.3</v>
      </c>
      <c r="I76">
        <f>Tableau4[[#This Row],[GHG (kgCO2eq/GJ)]]*3.6</f>
        <v>94.68</v>
      </c>
      <c r="J76" t="s">
        <v>106</v>
      </c>
      <c r="K76" t="s">
        <v>109</v>
      </c>
    </row>
    <row r="77" spans="1:11" hidden="1" x14ac:dyDescent="0.3">
      <c r="A77" t="s">
        <v>10</v>
      </c>
      <c r="B77" t="s">
        <v>55</v>
      </c>
      <c r="C77" t="s">
        <v>92</v>
      </c>
      <c r="D77">
        <v>3.61843</v>
      </c>
      <c r="E77">
        <f>Tableau4[[#This Row],[Potential (PJ)]]/3.6</f>
        <v>1.0051194444444445</v>
      </c>
      <c r="F77">
        <v>17.815999999999999</v>
      </c>
      <c r="G77">
        <f>Tableau4[[#This Row],[Cost (€/GJ)]]*3.6</f>
        <v>64.137599999999992</v>
      </c>
      <c r="H77">
        <v>26.3</v>
      </c>
      <c r="I77">
        <f>Tableau4[[#This Row],[GHG (kgCO2eq/GJ)]]*3.6</f>
        <v>94.68</v>
      </c>
      <c r="J77" t="s">
        <v>106</v>
      </c>
      <c r="K77" t="s">
        <v>109</v>
      </c>
    </row>
    <row r="78" spans="1:11" hidden="1" x14ac:dyDescent="0.3">
      <c r="A78" t="s">
        <v>10</v>
      </c>
      <c r="B78" t="s">
        <v>56</v>
      </c>
      <c r="C78" t="s">
        <v>93</v>
      </c>
      <c r="D78">
        <v>40.040999999999997</v>
      </c>
      <c r="E78">
        <f>Tableau4[[#This Row],[Potential (PJ)]]/3.6</f>
        <v>11.122499999999999</v>
      </c>
      <c r="F78">
        <v>2.939759036144578</v>
      </c>
      <c r="G78">
        <f>Tableau4[[#This Row],[Cost (€/GJ)]]*3.6</f>
        <v>10.583132530120482</v>
      </c>
      <c r="H78">
        <v>31.2</v>
      </c>
      <c r="I78">
        <f>Tableau4[[#This Row],[GHG (kgCO2eq/GJ)]]*3.6</f>
        <v>112.32</v>
      </c>
      <c r="J78" t="s">
        <v>106</v>
      </c>
      <c r="K78" t="s">
        <v>109</v>
      </c>
    </row>
    <row r="79" spans="1:11" x14ac:dyDescent="0.3">
      <c r="A79" t="s">
        <v>10</v>
      </c>
      <c r="B79" t="s">
        <v>47</v>
      </c>
      <c r="C79" t="s">
        <v>68</v>
      </c>
      <c r="D79">
        <v>1.3</v>
      </c>
      <c r="E79">
        <f>Tableau4[[#This Row],[Potential (PJ)]]/3.6</f>
        <v>0.3611111111111111</v>
      </c>
      <c r="F79">
        <v>5.9241538461538461</v>
      </c>
      <c r="G79">
        <f>Tableau4[[#This Row],[Cost (€/GJ)]]*3.6</f>
        <v>21.326953846153845</v>
      </c>
      <c r="H79">
        <v>20.5</v>
      </c>
      <c r="I79">
        <f>Tableau4[[#This Row],[GHG (kgCO2eq/GJ)]]*3.6</f>
        <v>73.8</v>
      </c>
      <c r="J79" t="s">
        <v>104</v>
      </c>
      <c r="K79" t="s">
        <v>109</v>
      </c>
    </row>
    <row r="80" spans="1:11" x14ac:dyDescent="0.3">
      <c r="A80" t="s">
        <v>10</v>
      </c>
      <c r="B80" t="s">
        <v>47</v>
      </c>
      <c r="C80" t="s">
        <v>69</v>
      </c>
      <c r="D80">
        <v>3</v>
      </c>
      <c r="E80">
        <f>Tableau4[[#This Row],[Potential (PJ)]]/3.6</f>
        <v>0.83333333333333326</v>
      </c>
      <c r="F80">
        <v>5.1433333333333344</v>
      </c>
      <c r="G80">
        <f>Tableau4[[#This Row],[Cost (€/GJ)]]*3.6</f>
        <v>18.516000000000005</v>
      </c>
      <c r="H80">
        <v>20.5</v>
      </c>
      <c r="I80">
        <f>Tableau4[[#This Row],[GHG (kgCO2eq/GJ)]]*3.6</f>
        <v>73.8</v>
      </c>
      <c r="J80" t="s">
        <v>104</v>
      </c>
      <c r="K80" t="s">
        <v>109</v>
      </c>
    </row>
    <row r="81" spans="1:11" x14ac:dyDescent="0.3">
      <c r="A81" t="s">
        <v>10</v>
      </c>
      <c r="B81" t="s">
        <v>57</v>
      </c>
      <c r="C81" t="s">
        <v>94</v>
      </c>
      <c r="D81">
        <v>1.2</v>
      </c>
      <c r="E81">
        <f>Tableau4[[#This Row],[Potential (PJ)]]/3.6</f>
        <v>0.33333333333333331</v>
      </c>
      <c r="F81">
        <v>10.22766666666667</v>
      </c>
      <c r="G81">
        <f>Tableau4[[#This Row],[Cost (€/GJ)]]*3.6</f>
        <v>36.819600000000008</v>
      </c>
      <c r="H81">
        <v>16.399999999999999</v>
      </c>
      <c r="I81">
        <f>Tableau4[[#This Row],[GHG (kgCO2eq/GJ)]]*3.6</f>
        <v>59.04</v>
      </c>
      <c r="J81" t="s">
        <v>104</v>
      </c>
      <c r="K81" t="s">
        <v>109</v>
      </c>
    </row>
    <row r="82" spans="1:11" hidden="1" x14ac:dyDescent="0.3">
      <c r="A82" t="s">
        <v>10</v>
      </c>
      <c r="B82" t="s">
        <v>49</v>
      </c>
      <c r="C82" t="s">
        <v>71</v>
      </c>
      <c r="D82">
        <v>43.011229999999998</v>
      </c>
      <c r="E82">
        <f>Tableau4[[#This Row],[Potential (PJ)]]/3.6</f>
        <v>11.947563888888888</v>
      </c>
      <c r="F82">
        <v>3.823625460373953</v>
      </c>
      <c r="G82">
        <f>Tableau4[[#This Row],[Cost (€/GJ)]]*3.6</f>
        <v>13.76505165734623</v>
      </c>
      <c r="H82">
        <v>3.86607608129234</v>
      </c>
      <c r="I82">
        <f>Tableau4[[#This Row],[GHG (kgCO2eq/GJ)]]*3.6</f>
        <v>13.917873892652425</v>
      </c>
      <c r="J82" t="s">
        <v>104</v>
      </c>
      <c r="K82" t="s">
        <v>108</v>
      </c>
    </row>
    <row r="83" spans="1:11" hidden="1" x14ac:dyDescent="0.3">
      <c r="A83" t="s">
        <v>10</v>
      </c>
      <c r="B83" t="s">
        <v>49</v>
      </c>
      <c r="C83" t="s">
        <v>72</v>
      </c>
      <c r="D83">
        <v>4.3</v>
      </c>
      <c r="E83">
        <f>Tableau4[[#This Row],[Potential (PJ)]]/3.6</f>
        <v>1.1944444444444444</v>
      </c>
      <c r="F83">
        <v>3.0653255813953488</v>
      </c>
      <c r="G83">
        <f>Tableau4[[#This Row],[Cost (€/GJ)]]*3.6</f>
        <v>11.035172093023256</v>
      </c>
      <c r="H83">
        <v>3.86607608129234</v>
      </c>
      <c r="I83">
        <f>Tableau4[[#This Row],[GHG (kgCO2eq/GJ)]]*3.6</f>
        <v>13.917873892652425</v>
      </c>
      <c r="J83" t="s">
        <v>104</v>
      </c>
      <c r="K83" t="s">
        <v>108</v>
      </c>
    </row>
    <row r="84" spans="1:11" hidden="1" x14ac:dyDescent="0.3">
      <c r="A84" t="s">
        <v>10</v>
      </c>
      <c r="B84" t="s">
        <v>58</v>
      </c>
      <c r="C84" t="s">
        <v>95</v>
      </c>
      <c r="D84">
        <v>14.341100000000001</v>
      </c>
      <c r="E84">
        <f>Tableau4[[#This Row],[Potential (PJ)]]/3.6</f>
        <v>3.9836388888888892</v>
      </c>
      <c r="F84">
        <v>2.426826940053413</v>
      </c>
      <c r="G84">
        <f>Tableau4[[#This Row],[Cost (€/GJ)]]*3.6</f>
        <v>8.736576984192288</v>
      </c>
      <c r="H84">
        <v>2.9521711768407801</v>
      </c>
      <c r="I84">
        <f>Tableau4[[#This Row],[GHG (kgCO2eq/GJ)]]*3.6</f>
        <v>10.627816236626808</v>
      </c>
      <c r="J84" t="s">
        <v>104</v>
      </c>
      <c r="K84" t="s">
        <v>108</v>
      </c>
    </row>
    <row r="85" spans="1:11" hidden="1" x14ac:dyDescent="0.3">
      <c r="A85" t="s">
        <v>10</v>
      </c>
      <c r="B85" t="s">
        <v>50</v>
      </c>
      <c r="C85" t="s">
        <v>73</v>
      </c>
      <c r="D85">
        <v>12.3</v>
      </c>
      <c r="E85">
        <f>Tableau4[[#This Row],[Potential (PJ)]]/3.6</f>
        <v>3.416666666666667</v>
      </c>
      <c r="F85">
        <v>5.6701707317073167</v>
      </c>
      <c r="G85">
        <f>Tableau4[[#This Row],[Cost (€/GJ)]]*3.6</f>
        <v>20.41261463414634</v>
      </c>
      <c r="H85">
        <v>20.723404255319149</v>
      </c>
      <c r="I85">
        <f>Tableau4[[#This Row],[GHG (kgCO2eq/GJ)]]*3.6</f>
        <v>74.604255319148933</v>
      </c>
      <c r="J85" t="s">
        <v>105</v>
      </c>
      <c r="K85" t="s">
        <v>108</v>
      </c>
    </row>
    <row r="86" spans="1:11" hidden="1" x14ac:dyDescent="0.3">
      <c r="A86" t="s">
        <v>10</v>
      </c>
      <c r="B86" t="s">
        <v>50</v>
      </c>
      <c r="C86" t="s">
        <v>74</v>
      </c>
      <c r="D86">
        <v>54</v>
      </c>
      <c r="E86">
        <f>Tableau4[[#This Row],[Potential (PJ)]]/3.6</f>
        <v>15</v>
      </c>
      <c r="F86">
        <v>6.3370388888888893</v>
      </c>
      <c r="G86">
        <f>Tableau4[[#This Row],[Cost (€/GJ)]]*3.6</f>
        <v>22.813340000000004</v>
      </c>
      <c r="H86">
        <v>2.0635593220338988</v>
      </c>
      <c r="I86">
        <f>Tableau4[[#This Row],[GHG (kgCO2eq/GJ)]]*3.6</f>
        <v>7.4288135593220357</v>
      </c>
      <c r="J86" t="s">
        <v>105</v>
      </c>
      <c r="K86" t="s">
        <v>108</v>
      </c>
    </row>
    <row r="87" spans="1:11" hidden="1" x14ac:dyDescent="0.3">
      <c r="A87" t="s">
        <v>10</v>
      </c>
      <c r="B87" t="s">
        <v>51</v>
      </c>
      <c r="C87" t="s">
        <v>75</v>
      </c>
      <c r="D87">
        <v>68.172020000000003</v>
      </c>
      <c r="E87">
        <f>Tableau4[[#This Row],[Potential (PJ)]]/3.6</f>
        <v>18.936672222222224</v>
      </c>
      <c r="F87">
        <v>3.0697353254929501E-2</v>
      </c>
      <c r="G87">
        <f>Tableau4[[#This Row],[Cost (€/GJ)]]*3.6</f>
        <v>0.11051047171774621</v>
      </c>
      <c r="H87">
        <v>11.74</v>
      </c>
      <c r="I87">
        <f>Tableau4[[#This Row],[GHG (kgCO2eq/GJ)]]*3.6</f>
        <v>42.264000000000003</v>
      </c>
      <c r="J87" t="s">
        <v>104</v>
      </c>
      <c r="K87" t="s">
        <v>108</v>
      </c>
    </row>
    <row r="88" spans="1:11" hidden="1" x14ac:dyDescent="0.3">
      <c r="A88" t="s">
        <v>10</v>
      </c>
      <c r="B88" t="s">
        <v>60</v>
      </c>
      <c r="C88" t="s">
        <v>98</v>
      </c>
      <c r="D88">
        <v>9.3689999999999996E-2</v>
      </c>
      <c r="E88">
        <f>Tableau4[[#This Row],[Potential (PJ)]]/3.6</f>
        <v>2.6025E-2</v>
      </c>
      <c r="F88">
        <v>24.86573576799141</v>
      </c>
      <c r="G88">
        <f>Tableau4[[#This Row],[Cost (€/GJ)]]*3.6</f>
        <v>89.516648764769073</v>
      </c>
      <c r="H88">
        <v>37.799999999999997</v>
      </c>
      <c r="I88">
        <f>Tableau4[[#This Row],[GHG (kgCO2eq/GJ)]]*3.6</f>
        <v>136.07999999999998</v>
      </c>
      <c r="J88" t="s">
        <v>107</v>
      </c>
      <c r="K88" t="s">
        <v>109</v>
      </c>
    </row>
    <row r="89" spans="1:11" hidden="1" x14ac:dyDescent="0.3">
      <c r="A89" t="s">
        <v>10</v>
      </c>
      <c r="B89" t="s">
        <v>52</v>
      </c>
      <c r="C89" t="s">
        <v>76</v>
      </c>
      <c r="D89">
        <v>25.701000000000001</v>
      </c>
      <c r="E89">
        <f>Tableau4[[#This Row],[Potential (PJ)]]/3.6</f>
        <v>7.1391666666666662</v>
      </c>
      <c r="F89">
        <v>4.7567250000000003</v>
      </c>
      <c r="G89">
        <f>Tableau4[[#This Row],[Cost (€/GJ)]]*3.6</f>
        <v>17.124210000000001</v>
      </c>
      <c r="H89">
        <v>12.68872359754714</v>
      </c>
      <c r="I89">
        <f>Tableau4[[#This Row],[GHG (kgCO2eq/GJ)]]*3.6</f>
        <v>45.679404951169708</v>
      </c>
      <c r="J89" t="s">
        <v>105</v>
      </c>
      <c r="K89" t="s">
        <v>108</v>
      </c>
    </row>
    <row r="90" spans="1:11" hidden="1" x14ac:dyDescent="0.3">
      <c r="A90" t="s">
        <v>10</v>
      </c>
      <c r="B90" t="s">
        <v>53</v>
      </c>
      <c r="C90" t="s">
        <v>77</v>
      </c>
      <c r="D90">
        <v>2.4</v>
      </c>
      <c r="E90">
        <f>Tableau4[[#This Row],[Potential (PJ)]]/3.6</f>
        <v>0.66666666666666663</v>
      </c>
      <c r="F90">
        <v>3.0657916666666671</v>
      </c>
      <c r="G90">
        <f>Tableau4[[#This Row],[Cost (€/GJ)]]*3.6</f>
        <v>11.036850000000001</v>
      </c>
      <c r="H90">
        <v>3.86607608129234</v>
      </c>
      <c r="I90">
        <f>Tableau4[[#This Row],[GHG (kgCO2eq/GJ)]]*3.6</f>
        <v>13.917873892652425</v>
      </c>
      <c r="J90" t="s">
        <v>104</v>
      </c>
      <c r="K90" t="s">
        <v>108</v>
      </c>
    </row>
    <row r="91" spans="1:11" hidden="1" x14ac:dyDescent="0.3">
      <c r="A91" t="s">
        <v>10</v>
      </c>
      <c r="B91" t="s">
        <v>61</v>
      </c>
      <c r="C91" t="s">
        <v>99</v>
      </c>
      <c r="D91">
        <v>26.7</v>
      </c>
      <c r="E91">
        <f>Tableau4[[#This Row],[Potential (PJ)]]/3.6</f>
        <v>7.4166666666666661</v>
      </c>
      <c r="F91">
        <v>1.6516050724637681</v>
      </c>
      <c r="G91">
        <f>Tableau4[[#This Row],[Cost (€/GJ)]]*3.6</f>
        <v>5.9457782608695648</v>
      </c>
      <c r="H91">
        <v>2.9245635910224439</v>
      </c>
      <c r="I91">
        <f>Tableau4[[#This Row],[GHG (kgCO2eq/GJ)]]*3.6</f>
        <v>10.528428927680798</v>
      </c>
      <c r="J91" t="s">
        <v>104</v>
      </c>
      <c r="K91" t="s">
        <v>108</v>
      </c>
    </row>
    <row r="92" spans="1:11" hidden="1" x14ac:dyDescent="0.3">
      <c r="A92" t="s">
        <v>10</v>
      </c>
      <c r="B92" t="s">
        <v>62</v>
      </c>
      <c r="C92" t="s">
        <v>100</v>
      </c>
      <c r="D92">
        <v>13.1</v>
      </c>
      <c r="E92">
        <f>Tableau4[[#This Row],[Potential (PJ)]]/3.6</f>
        <v>3.6388888888888888</v>
      </c>
      <c r="F92">
        <v>0.26412213740458013</v>
      </c>
      <c r="G92">
        <f>Tableau4[[#This Row],[Cost (€/GJ)]]*3.6</f>
        <v>0.95083969465648843</v>
      </c>
      <c r="H92">
        <v>2.6764106050305911</v>
      </c>
      <c r="I92">
        <f>Tableau4[[#This Row],[GHG (kgCO2eq/GJ)]]*3.6</f>
        <v>9.6350781781101276</v>
      </c>
      <c r="J92" t="s">
        <v>104</v>
      </c>
      <c r="K92" t="s">
        <v>108</v>
      </c>
    </row>
    <row r="93" spans="1:11" hidden="1" x14ac:dyDescent="0.3">
      <c r="A93" t="s">
        <v>10</v>
      </c>
      <c r="B93" t="s">
        <v>54</v>
      </c>
      <c r="C93" t="s">
        <v>78</v>
      </c>
      <c r="D93">
        <v>21.9</v>
      </c>
      <c r="E93">
        <f>Tableau4[[#This Row],[Potential (PJ)]]/3.6</f>
        <v>6.083333333333333</v>
      </c>
      <c r="F93">
        <v>6.2674931506849321</v>
      </c>
      <c r="G93">
        <f>Tableau4[[#This Row],[Cost (€/GJ)]]*3.6</f>
        <v>22.562975342465755</v>
      </c>
      <c r="H93">
        <v>3.86607608129234</v>
      </c>
      <c r="I93">
        <f>Tableau4[[#This Row],[GHG (kgCO2eq/GJ)]]*3.6</f>
        <v>13.917873892652425</v>
      </c>
      <c r="J93" t="s">
        <v>104</v>
      </c>
      <c r="K93" t="s">
        <v>108</v>
      </c>
    </row>
    <row r="94" spans="1:11" hidden="1" x14ac:dyDescent="0.3">
      <c r="A94" t="s">
        <v>11</v>
      </c>
      <c r="B94" t="s">
        <v>46</v>
      </c>
      <c r="C94" t="s">
        <v>64</v>
      </c>
      <c r="D94">
        <v>0.10215</v>
      </c>
      <c r="E94">
        <f>Tableau4[[#This Row],[Potential (PJ)]]/3.6</f>
        <v>2.8375000000000001E-2</v>
      </c>
      <c r="F94">
        <v>7.7738256485560449</v>
      </c>
      <c r="G94">
        <f>Tableau4[[#This Row],[Cost (€/GJ)]]*3.6</f>
        <v>27.985772334801762</v>
      </c>
      <c r="H94">
        <v>2.9521711768407801</v>
      </c>
      <c r="I94">
        <f>Tableau4[[#This Row],[GHG (kgCO2eq/GJ)]]*3.6</f>
        <v>10.627816236626808</v>
      </c>
      <c r="J94" t="s">
        <v>104</v>
      </c>
      <c r="K94" t="s">
        <v>108</v>
      </c>
    </row>
    <row r="95" spans="1:11" hidden="1" x14ac:dyDescent="0.3">
      <c r="A95" t="s">
        <v>11</v>
      </c>
      <c r="B95" t="s">
        <v>46</v>
      </c>
      <c r="C95" t="s">
        <v>79</v>
      </c>
      <c r="D95">
        <v>20</v>
      </c>
      <c r="E95">
        <f>Tableau4[[#This Row],[Potential (PJ)]]/3.6</f>
        <v>5.5555555555555554</v>
      </c>
      <c r="F95">
        <v>2.05816</v>
      </c>
      <c r="G95">
        <f>Tableau4[[#This Row],[Cost (€/GJ)]]*3.6</f>
        <v>7.409376</v>
      </c>
      <c r="H95">
        <v>6.8428961748633883</v>
      </c>
      <c r="I95">
        <f>Tableau4[[#This Row],[GHG (kgCO2eq/GJ)]]*3.6</f>
        <v>24.634426229508197</v>
      </c>
      <c r="J95" t="s">
        <v>104</v>
      </c>
      <c r="K95" t="s">
        <v>108</v>
      </c>
    </row>
    <row r="96" spans="1:11" hidden="1" x14ac:dyDescent="0.3">
      <c r="A96" t="s">
        <v>11</v>
      </c>
      <c r="B96" t="s">
        <v>46</v>
      </c>
      <c r="C96" t="s">
        <v>65</v>
      </c>
      <c r="D96">
        <v>1</v>
      </c>
      <c r="E96">
        <f>Tableau4[[#This Row],[Potential (PJ)]]/3.6</f>
        <v>0.27777777777777779</v>
      </c>
      <c r="F96">
        <v>3.4146999999999998</v>
      </c>
      <c r="G96">
        <f>Tableau4[[#This Row],[Cost (€/GJ)]]*3.6</f>
        <v>12.292920000000001</v>
      </c>
      <c r="H96">
        <v>2.9521711768407801</v>
      </c>
      <c r="I96">
        <f>Tableau4[[#This Row],[GHG (kgCO2eq/GJ)]]*3.6</f>
        <v>10.627816236626808</v>
      </c>
      <c r="J96" t="s">
        <v>104</v>
      </c>
      <c r="K96" t="s">
        <v>108</v>
      </c>
    </row>
    <row r="97" spans="1:11" hidden="1" x14ac:dyDescent="0.3">
      <c r="A97" t="s">
        <v>11</v>
      </c>
      <c r="B97" t="s">
        <v>46</v>
      </c>
      <c r="C97" t="s">
        <v>80</v>
      </c>
      <c r="D97">
        <v>0.43419999999999997</v>
      </c>
      <c r="E97">
        <f>Tableau4[[#This Row],[Potential (PJ)]]/3.6</f>
        <v>0.1206111111111111</v>
      </c>
      <c r="F97">
        <v>0.44234659474039112</v>
      </c>
      <c r="G97">
        <f>Tableau4[[#This Row],[Cost (€/GJ)]]*3.6</f>
        <v>1.5924477410654081</v>
      </c>
      <c r="H97">
        <v>28.139870918023309</v>
      </c>
      <c r="I97">
        <f>Tableau4[[#This Row],[GHG (kgCO2eq/GJ)]]*3.6</f>
        <v>101.30353530488391</v>
      </c>
      <c r="J97" t="s">
        <v>105</v>
      </c>
      <c r="K97" t="s">
        <v>108</v>
      </c>
    </row>
    <row r="98" spans="1:11" hidden="1" x14ac:dyDescent="0.3">
      <c r="A98" t="s">
        <v>11</v>
      </c>
      <c r="B98" t="s">
        <v>46</v>
      </c>
      <c r="C98" t="s">
        <v>81</v>
      </c>
      <c r="D98">
        <v>1.37E-2</v>
      </c>
      <c r="E98">
        <f>Tableau4[[#This Row],[Potential (PJ)]]/3.6</f>
        <v>3.8055555555555555E-3</v>
      </c>
      <c r="F98">
        <v>2.839600470035252</v>
      </c>
      <c r="G98">
        <f>Tableau4[[#This Row],[Cost (€/GJ)]]*3.6</f>
        <v>10.222561692126908</v>
      </c>
      <c r="H98">
        <v>8.9647473560517046</v>
      </c>
      <c r="I98">
        <f>Tableau4[[#This Row],[GHG (kgCO2eq/GJ)]]*3.6</f>
        <v>32.273090481786134</v>
      </c>
      <c r="J98" t="s">
        <v>105</v>
      </c>
      <c r="K98" t="s">
        <v>108</v>
      </c>
    </row>
    <row r="99" spans="1:11" hidden="1" x14ac:dyDescent="0.3">
      <c r="A99" t="s">
        <v>11</v>
      </c>
      <c r="B99" t="s">
        <v>46</v>
      </c>
      <c r="C99" t="s">
        <v>66</v>
      </c>
      <c r="D99">
        <v>5.2</v>
      </c>
      <c r="E99">
        <f>Tableau4[[#This Row],[Potential (PJ)]]/3.6</f>
        <v>1.4444444444444444</v>
      </c>
      <c r="F99">
        <v>2.1474230769230771</v>
      </c>
      <c r="G99">
        <f>Tableau4[[#This Row],[Cost (€/GJ)]]*3.6</f>
        <v>7.7307230769230779</v>
      </c>
      <c r="H99">
        <v>6.8428961748633883</v>
      </c>
      <c r="I99">
        <f>Tableau4[[#This Row],[GHG (kgCO2eq/GJ)]]*3.6</f>
        <v>24.634426229508197</v>
      </c>
      <c r="J99" t="s">
        <v>104</v>
      </c>
      <c r="K99" t="s">
        <v>108</v>
      </c>
    </row>
    <row r="100" spans="1:11" hidden="1" x14ac:dyDescent="0.3">
      <c r="A100" t="s">
        <v>11</v>
      </c>
      <c r="B100" t="s">
        <v>46</v>
      </c>
      <c r="C100" t="s">
        <v>82</v>
      </c>
      <c r="D100">
        <v>15.1</v>
      </c>
      <c r="E100">
        <f>Tableau4[[#This Row],[Potential (PJ)]]/3.6</f>
        <v>4.1944444444444446</v>
      </c>
      <c r="F100">
        <v>1.30812582781457</v>
      </c>
      <c r="G100">
        <f>Tableau4[[#This Row],[Cost (€/GJ)]]*3.6</f>
        <v>4.7092529801324519</v>
      </c>
      <c r="H100">
        <v>6.8428961748633883</v>
      </c>
      <c r="I100">
        <f>Tableau4[[#This Row],[GHG (kgCO2eq/GJ)]]*3.6</f>
        <v>24.634426229508197</v>
      </c>
      <c r="J100" t="s">
        <v>104</v>
      </c>
      <c r="K100" t="s">
        <v>108</v>
      </c>
    </row>
    <row r="101" spans="1:11" hidden="1" x14ac:dyDescent="0.3">
      <c r="A101" t="s">
        <v>11</v>
      </c>
      <c r="B101" t="s">
        <v>46</v>
      </c>
      <c r="C101" t="s">
        <v>83</v>
      </c>
      <c r="D101">
        <v>8.4200000000000004E-3</v>
      </c>
      <c r="E101">
        <f>Tableau4[[#This Row],[Potential (PJ)]]/3.6</f>
        <v>2.338888888888889E-3</v>
      </c>
      <c r="F101">
        <v>2.0499999999999998</v>
      </c>
      <c r="G101">
        <f>Tableau4[[#This Row],[Cost (€/GJ)]]*3.6</f>
        <v>7.38</v>
      </c>
      <c r="H101">
        <v>6.8428961748633883</v>
      </c>
      <c r="I101">
        <f>Tableau4[[#This Row],[GHG (kgCO2eq/GJ)]]*3.6</f>
        <v>24.634426229508197</v>
      </c>
      <c r="J101" t="s">
        <v>104</v>
      </c>
      <c r="K101" t="s">
        <v>108</v>
      </c>
    </row>
    <row r="102" spans="1:11" hidden="1" x14ac:dyDescent="0.3">
      <c r="A102" t="s">
        <v>11</v>
      </c>
      <c r="B102" t="s">
        <v>46</v>
      </c>
      <c r="C102" t="s">
        <v>85</v>
      </c>
      <c r="D102">
        <v>0.5</v>
      </c>
      <c r="E102">
        <f>Tableau4[[#This Row],[Potential (PJ)]]/3.6</f>
        <v>0.1388888888888889</v>
      </c>
      <c r="F102">
        <v>5.5538000000000007</v>
      </c>
      <c r="G102">
        <f>Tableau4[[#This Row],[Cost (€/GJ)]]*3.6</f>
        <v>19.993680000000005</v>
      </c>
      <c r="H102">
        <v>2.9521711768407801</v>
      </c>
      <c r="I102">
        <f>Tableau4[[#This Row],[GHG (kgCO2eq/GJ)]]*3.6</f>
        <v>10.627816236626808</v>
      </c>
      <c r="J102" t="s">
        <v>104</v>
      </c>
      <c r="K102" t="s">
        <v>108</v>
      </c>
    </row>
    <row r="103" spans="1:11" hidden="1" x14ac:dyDescent="0.3">
      <c r="A103" t="s">
        <v>11</v>
      </c>
      <c r="B103" t="s">
        <v>55</v>
      </c>
      <c r="C103" t="s">
        <v>86</v>
      </c>
      <c r="D103">
        <v>2.6897000000000002</v>
      </c>
      <c r="E103">
        <f>Tableau4[[#This Row],[Potential (PJ)]]/3.6</f>
        <v>0.74713888888888891</v>
      </c>
      <c r="F103">
        <v>15.287000000000001</v>
      </c>
      <c r="G103">
        <f>Tableau4[[#This Row],[Cost (€/GJ)]]*3.6</f>
        <v>55.033200000000001</v>
      </c>
      <c r="H103">
        <v>9.1999999999999993</v>
      </c>
      <c r="I103">
        <f>Tableau4[[#This Row],[GHG (kgCO2eq/GJ)]]*3.6</f>
        <v>33.119999999999997</v>
      </c>
      <c r="J103" t="s">
        <v>106</v>
      </c>
      <c r="K103" t="s">
        <v>109</v>
      </c>
    </row>
    <row r="104" spans="1:11" hidden="1" x14ac:dyDescent="0.3">
      <c r="A104" t="s">
        <v>11</v>
      </c>
      <c r="B104" t="s">
        <v>55</v>
      </c>
      <c r="C104" t="s">
        <v>87</v>
      </c>
      <c r="D104">
        <v>2.3121</v>
      </c>
      <c r="E104">
        <f>Tableau4[[#This Row],[Potential (PJ)]]/3.6</f>
        <v>0.64224999999999999</v>
      </c>
      <c r="F104">
        <v>15.510999999999999</v>
      </c>
      <c r="G104">
        <f>Tableau4[[#This Row],[Cost (€/GJ)]]*3.6</f>
        <v>55.839599999999997</v>
      </c>
      <c r="H104">
        <v>9.1999999999999993</v>
      </c>
      <c r="I104">
        <f>Tableau4[[#This Row],[GHG (kgCO2eq/GJ)]]*3.6</f>
        <v>33.119999999999997</v>
      </c>
      <c r="J104" t="s">
        <v>106</v>
      </c>
      <c r="K104" t="s">
        <v>109</v>
      </c>
    </row>
    <row r="105" spans="1:11" hidden="1" x14ac:dyDescent="0.3">
      <c r="A105" t="s">
        <v>11</v>
      </c>
      <c r="B105" t="s">
        <v>55</v>
      </c>
      <c r="C105" t="s">
        <v>88</v>
      </c>
      <c r="D105">
        <v>3.1434000000000002</v>
      </c>
      <c r="E105">
        <f>Tableau4[[#This Row],[Potential (PJ)]]/3.6</f>
        <v>0.87316666666666665</v>
      </c>
      <c r="F105">
        <v>16.786000000000001</v>
      </c>
      <c r="G105">
        <f>Tableau4[[#This Row],[Cost (€/GJ)]]*3.6</f>
        <v>60.429600000000008</v>
      </c>
      <c r="H105">
        <v>9.1999999999999993</v>
      </c>
      <c r="I105">
        <f>Tableau4[[#This Row],[GHG (kgCO2eq/GJ)]]*3.6</f>
        <v>33.119999999999997</v>
      </c>
      <c r="J105" t="s">
        <v>106</v>
      </c>
      <c r="K105" t="s">
        <v>109</v>
      </c>
    </row>
    <row r="106" spans="1:11" hidden="1" x14ac:dyDescent="0.3">
      <c r="A106" t="s">
        <v>11</v>
      </c>
      <c r="B106" t="s">
        <v>55</v>
      </c>
      <c r="C106" t="s">
        <v>89</v>
      </c>
      <c r="D106">
        <v>8.9999999999999998E-4</v>
      </c>
      <c r="E106">
        <f>Tableau4[[#This Row],[Potential (PJ)]]/3.6</f>
        <v>2.5000000000000001E-4</v>
      </c>
      <c r="F106">
        <v>0</v>
      </c>
      <c r="G106">
        <f>Tableau4[[#This Row],[Cost (€/GJ)]]*3.6</f>
        <v>0</v>
      </c>
      <c r="H106">
        <v>9.1999999999999993</v>
      </c>
      <c r="I106">
        <f>Tableau4[[#This Row],[GHG (kgCO2eq/GJ)]]*3.6</f>
        <v>33.119999999999997</v>
      </c>
      <c r="J106" t="s">
        <v>106</v>
      </c>
      <c r="K106" t="s">
        <v>109</v>
      </c>
    </row>
    <row r="107" spans="1:11" hidden="1" x14ac:dyDescent="0.3">
      <c r="A107" t="s">
        <v>11</v>
      </c>
      <c r="B107" t="s">
        <v>55</v>
      </c>
      <c r="C107" t="s">
        <v>92</v>
      </c>
      <c r="D107">
        <v>2.5231300000000001</v>
      </c>
      <c r="E107">
        <f>Tableau4[[#This Row],[Potential (PJ)]]/3.6</f>
        <v>0.70086944444444443</v>
      </c>
      <c r="F107">
        <v>15.510999999999999</v>
      </c>
      <c r="G107">
        <f>Tableau4[[#This Row],[Cost (€/GJ)]]*3.6</f>
        <v>55.839599999999997</v>
      </c>
      <c r="H107">
        <v>9.1999999999999993</v>
      </c>
      <c r="I107">
        <f>Tableau4[[#This Row],[GHG (kgCO2eq/GJ)]]*3.6</f>
        <v>33.119999999999997</v>
      </c>
      <c r="J107" t="s">
        <v>106</v>
      </c>
      <c r="K107" t="s">
        <v>109</v>
      </c>
    </row>
    <row r="108" spans="1:11" hidden="1" x14ac:dyDescent="0.3">
      <c r="A108" t="s">
        <v>11</v>
      </c>
      <c r="B108" t="s">
        <v>56</v>
      </c>
      <c r="C108" t="s">
        <v>93</v>
      </c>
      <c r="D108">
        <v>12.8421</v>
      </c>
      <c r="E108">
        <f>Tableau4[[#This Row],[Potential (PJ)]]/3.6</f>
        <v>3.56725</v>
      </c>
      <c r="F108">
        <v>6.7759036144578308</v>
      </c>
      <c r="G108">
        <f>Tableau4[[#This Row],[Cost (€/GJ)]]*3.6</f>
        <v>24.393253012048191</v>
      </c>
      <c r="H108">
        <v>22.9</v>
      </c>
      <c r="I108">
        <f>Tableau4[[#This Row],[GHG (kgCO2eq/GJ)]]*3.6</f>
        <v>82.44</v>
      </c>
      <c r="J108" t="s">
        <v>106</v>
      </c>
      <c r="K108" t="s">
        <v>109</v>
      </c>
    </row>
    <row r="109" spans="1:11" x14ac:dyDescent="0.3">
      <c r="A109" t="s">
        <v>11</v>
      </c>
      <c r="B109" t="s">
        <v>47</v>
      </c>
      <c r="C109" t="s">
        <v>68</v>
      </c>
      <c r="D109">
        <v>58.7</v>
      </c>
      <c r="E109">
        <f>Tableau4[[#This Row],[Potential (PJ)]]/3.6</f>
        <v>16.305555555555557</v>
      </c>
      <c r="F109">
        <v>2.6540919931856899</v>
      </c>
      <c r="G109">
        <f>Tableau4[[#This Row],[Cost (€/GJ)]]*3.6</f>
        <v>9.5547311754684845</v>
      </c>
      <c r="H109">
        <v>15</v>
      </c>
      <c r="I109">
        <f>Tableau4[[#This Row],[GHG (kgCO2eq/GJ)]]*3.6</f>
        <v>54</v>
      </c>
      <c r="J109" t="s">
        <v>104</v>
      </c>
      <c r="K109" t="s">
        <v>109</v>
      </c>
    </row>
    <row r="110" spans="1:11" x14ac:dyDescent="0.3">
      <c r="A110" t="s">
        <v>11</v>
      </c>
      <c r="B110" t="s">
        <v>47</v>
      </c>
      <c r="C110" t="s">
        <v>69</v>
      </c>
      <c r="D110">
        <v>45</v>
      </c>
      <c r="E110">
        <f>Tableau4[[#This Row],[Potential (PJ)]]/3.6</f>
        <v>12.5</v>
      </c>
      <c r="F110">
        <v>2.4992022222222219</v>
      </c>
      <c r="G110">
        <f>Tableau4[[#This Row],[Cost (€/GJ)]]*3.6</f>
        <v>8.9971279999999982</v>
      </c>
      <c r="H110">
        <v>15</v>
      </c>
      <c r="I110">
        <f>Tableau4[[#This Row],[GHG (kgCO2eq/GJ)]]*3.6</f>
        <v>54</v>
      </c>
      <c r="J110" t="s">
        <v>104</v>
      </c>
      <c r="K110" t="s">
        <v>109</v>
      </c>
    </row>
    <row r="111" spans="1:11" x14ac:dyDescent="0.3">
      <c r="A111" t="s">
        <v>11</v>
      </c>
      <c r="B111" t="s">
        <v>57</v>
      </c>
      <c r="C111" t="s">
        <v>94</v>
      </c>
      <c r="D111">
        <v>15.8</v>
      </c>
      <c r="E111">
        <f>Tableau4[[#This Row],[Potential (PJ)]]/3.6</f>
        <v>4.3888888888888893</v>
      </c>
      <c r="F111">
        <v>6.7073101265822794</v>
      </c>
      <c r="G111">
        <f>Tableau4[[#This Row],[Cost (€/GJ)]]*3.6</f>
        <v>24.146316455696205</v>
      </c>
      <c r="H111">
        <v>15.6</v>
      </c>
      <c r="I111">
        <f>Tableau4[[#This Row],[GHG (kgCO2eq/GJ)]]*3.6</f>
        <v>56.16</v>
      </c>
      <c r="J111" t="s">
        <v>104</v>
      </c>
      <c r="K111" t="s">
        <v>109</v>
      </c>
    </row>
    <row r="112" spans="1:11" hidden="1" x14ac:dyDescent="0.3">
      <c r="A112" t="s">
        <v>11</v>
      </c>
      <c r="B112" t="s">
        <v>49</v>
      </c>
      <c r="C112" t="s">
        <v>71</v>
      </c>
      <c r="D112">
        <v>103.63339000000001</v>
      </c>
      <c r="E112">
        <f>Tableau4[[#This Row],[Potential (PJ)]]/3.6</f>
        <v>28.787052777777777</v>
      </c>
      <c r="F112">
        <v>1.8768303955896839</v>
      </c>
      <c r="G112">
        <f>Tableau4[[#This Row],[Cost (€/GJ)]]*3.6</f>
        <v>6.7565894241228621</v>
      </c>
      <c r="H112">
        <v>3.86607608129234</v>
      </c>
      <c r="I112">
        <f>Tableau4[[#This Row],[GHG (kgCO2eq/GJ)]]*3.6</f>
        <v>13.917873892652425</v>
      </c>
      <c r="J112" t="s">
        <v>104</v>
      </c>
      <c r="K112" t="s">
        <v>108</v>
      </c>
    </row>
    <row r="113" spans="1:11" hidden="1" x14ac:dyDescent="0.3">
      <c r="A113" t="s">
        <v>11</v>
      </c>
      <c r="B113" t="s">
        <v>49</v>
      </c>
      <c r="C113" t="s">
        <v>72</v>
      </c>
      <c r="D113">
        <v>14.5</v>
      </c>
      <c r="E113">
        <f>Tableau4[[#This Row],[Potential (PJ)]]/3.6</f>
        <v>4.0277777777777777</v>
      </c>
      <c r="F113">
        <v>2.5083034482758619</v>
      </c>
      <c r="G113">
        <f>Tableau4[[#This Row],[Cost (€/GJ)]]*3.6</f>
        <v>9.0298924137931031</v>
      </c>
      <c r="H113">
        <v>3.86607608129234</v>
      </c>
      <c r="I113">
        <f>Tableau4[[#This Row],[GHG (kgCO2eq/GJ)]]*3.6</f>
        <v>13.917873892652425</v>
      </c>
      <c r="J113" t="s">
        <v>104</v>
      </c>
      <c r="K113" t="s">
        <v>108</v>
      </c>
    </row>
    <row r="114" spans="1:11" hidden="1" x14ac:dyDescent="0.3">
      <c r="A114" t="s">
        <v>11</v>
      </c>
      <c r="B114" t="s">
        <v>58</v>
      </c>
      <c r="C114" t="s">
        <v>95</v>
      </c>
      <c r="D114">
        <v>8.8825099999999999</v>
      </c>
      <c r="E114">
        <f>Tableau4[[#This Row],[Potential (PJ)]]/3.6</f>
        <v>2.4673638888888889</v>
      </c>
      <c r="F114">
        <v>2.5005459672997832</v>
      </c>
      <c r="G114">
        <f>Tableau4[[#This Row],[Cost (€/GJ)]]*3.6</f>
        <v>9.0019654822792194</v>
      </c>
      <c r="H114">
        <v>2.9521711768407801</v>
      </c>
      <c r="I114">
        <f>Tableau4[[#This Row],[GHG (kgCO2eq/GJ)]]*3.6</f>
        <v>10.627816236626808</v>
      </c>
      <c r="J114" t="s">
        <v>104</v>
      </c>
      <c r="K114" t="s">
        <v>108</v>
      </c>
    </row>
    <row r="115" spans="1:11" hidden="1" x14ac:dyDescent="0.3">
      <c r="A115" t="s">
        <v>11</v>
      </c>
      <c r="B115" t="s">
        <v>50</v>
      </c>
      <c r="C115" t="s">
        <v>73</v>
      </c>
      <c r="D115">
        <v>0.3</v>
      </c>
      <c r="E115">
        <f>Tableau4[[#This Row],[Potential (PJ)]]/3.6</f>
        <v>8.3333333333333329E-2</v>
      </c>
      <c r="F115">
        <v>5.0996666666666659</v>
      </c>
      <c r="G115">
        <f>Tableau4[[#This Row],[Cost (€/GJ)]]*3.6</f>
        <v>18.358799999999999</v>
      </c>
      <c r="H115">
        <v>20.723404255319149</v>
      </c>
      <c r="I115">
        <f>Tableau4[[#This Row],[GHG (kgCO2eq/GJ)]]*3.6</f>
        <v>74.604255319148933</v>
      </c>
      <c r="J115" t="s">
        <v>105</v>
      </c>
      <c r="K115" t="s">
        <v>108</v>
      </c>
    </row>
    <row r="116" spans="1:11" hidden="1" x14ac:dyDescent="0.3">
      <c r="A116" t="s">
        <v>11</v>
      </c>
      <c r="B116" t="s">
        <v>50</v>
      </c>
      <c r="C116" t="s">
        <v>74</v>
      </c>
      <c r="D116">
        <v>8</v>
      </c>
      <c r="E116">
        <f>Tableau4[[#This Row],[Potential (PJ)]]/3.6</f>
        <v>2.2222222222222223</v>
      </c>
      <c r="F116">
        <v>3.3484500000000001</v>
      </c>
      <c r="G116">
        <f>Tableau4[[#This Row],[Cost (€/GJ)]]*3.6</f>
        <v>12.05442</v>
      </c>
      <c r="H116">
        <v>2.0635593220338988</v>
      </c>
      <c r="I116">
        <f>Tableau4[[#This Row],[GHG (kgCO2eq/GJ)]]*3.6</f>
        <v>7.4288135593220357</v>
      </c>
      <c r="J116" t="s">
        <v>105</v>
      </c>
      <c r="K116" t="s">
        <v>108</v>
      </c>
    </row>
    <row r="117" spans="1:11" hidden="1" x14ac:dyDescent="0.3">
      <c r="A117" t="s">
        <v>11</v>
      </c>
      <c r="B117" t="s">
        <v>59</v>
      </c>
      <c r="C117" t="s">
        <v>96</v>
      </c>
      <c r="D117">
        <v>0.20150000000000001</v>
      </c>
      <c r="E117">
        <f>Tableau4[[#This Row],[Potential (PJ)]]/3.6</f>
        <v>5.5972222222222222E-2</v>
      </c>
      <c r="F117">
        <v>31.494</v>
      </c>
      <c r="G117">
        <f>Tableau4[[#This Row],[Cost (€/GJ)]]*3.6</f>
        <v>113.3784</v>
      </c>
      <c r="H117">
        <v>15.4</v>
      </c>
      <c r="I117">
        <f>Tableau4[[#This Row],[GHG (kgCO2eq/GJ)]]*3.6</f>
        <v>55.440000000000005</v>
      </c>
      <c r="J117" t="s">
        <v>107</v>
      </c>
      <c r="K117" t="s">
        <v>109</v>
      </c>
    </row>
    <row r="118" spans="1:11" hidden="1" x14ac:dyDescent="0.3">
      <c r="A118" t="s">
        <v>11</v>
      </c>
      <c r="B118" t="s">
        <v>59</v>
      </c>
      <c r="C118" t="s">
        <v>97</v>
      </c>
      <c r="D118">
        <v>5.2123999999999997</v>
      </c>
      <c r="E118">
        <f>Tableau4[[#This Row],[Potential (PJ)]]/3.6</f>
        <v>1.4478888888888888</v>
      </c>
      <c r="F118">
        <v>13.4020618556701</v>
      </c>
      <c r="G118">
        <f>Tableau4[[#This Row],[Cost (€/GJ)]]*3.6</f>
        <v>48.247422680412363</v>
      </c>
      <c r="H118">
        <v>15.4</v>
      </c>
      <c r="I118">
        <f>Tableau4[[#This Row],[GHG (kgCO2eq/GJ)]]*3.6</f>
        <v>55.440000000000005</v>
      </c>
      <c r="J118" t="s">
        <v>107</v>
      </c>
      <c r="K118" t="s">
        <v>109</v>
      </c>
    </row>
    <row r="119" spans="1:11" hidden="1" x14ac:dyDescent="0.3">
      <c r="A119" t="s">
        <v>11</v>
      </c>
      <c r="B119" t="s">
        <v>51</v>
      </c>
      <c r="C119" t="s">
        <v>75</v>
      </c>
      <c r="D119">
        <v>4.2135129999999998</v>
      </c>
      <c r="E119">
        <f>Tableau4[[#This Row],[Potential (PJ)]]/3.6</f>
        <v>1.1704202777777777</v>
      </c>
      <c r="F119">
        <v>5.6796584131830501E-5</v>
      </c>
      <c r="G119">
        <f>Tableau4[[#This Row],[Cost (€/GJ)]]*3.6</f>
        <v>2.0446770287458981E-4</v>
      </c>
      <c r="H119">
        <v>11.74</v>
      </c>
      <c r="I119">
        <f>Tableau4[[#This Row],[GHG (kgCO2eq/GJ)]]*3.6</f>
        <v>42.264000000000003</v>
      </c>
      <c r="J119" t="s">
        <v>104</v>
      </c>
      <c r="K119" t="s">
        <v>108</v>
      </c>
    </row>
    <row r="120" spans="1:11" hidden="1" x14ac:dyDescent="0.3">
      <c r="A120" t="s">
        <v>11</v>
      </c>
      <c r="B120" t="s">
        <v>60</v>
      </c>
      <c r="C120" t="s">
        <v>98</v>
      </c>
      <c r="D120">
        <v>25.552510000000002</v>
      </c>
      <c r="E120">
        <f>Tableau4[[#This Row],[Potential (PJ)]]/3.6</f>
        <v>7.0979194444444449</v>
      </c>
      <c r="F120">
        <v>15.789473684210529</v>
      </c>
      <c r="G120">
        <f>Tableau4[[#This Row],[Cost (€/GJ)]]*3.6</f>
        <v>56.842105263157904</v>
      </c>
      <c r="H120">
        <v>1.5</v>
      </c>
      <c r="I120">
        <f>Tableau4[[#This Row],[GHG (kgCO2eq/GJ)]]*3.6</f>
        <v>5.4</v>
      </c>
      <c r="J120" t="s">
        <v>107</v>
      </c>
      <c r="K120" t="s">
        <v>109</v>
      </c>
    </row>
    <row r="121" spans="1:11" hidden="1" x14ac:dyDescent="0.3">
      <c r="A121" t="s">
        <v>11</v>
      </c>
      <c r="B121" t="s">
        <v>53</v>
      </c>
      <c r="C121" t="s">
        <v>77</v>
      </c>
      <c r="D121">
        <v>5</v>
      </c>
      <c r="E121">
        <f>Tableau4[[#This Row],[Potential (PJ)]]/3.6</f>
        <v>1.3888888888888888</v>
      </c>
      <c r="F121">
        <v>2.5082599999999999</v>
      </c>
      <c r="G121">
        <f>Tableau4[[#This Row],[Cost (€/GJ)]]*3.6</f>
        <v>9.0297359999999998</v>
      </c>
      <c r="H121">
        <v>3.86607608129234</v>
      </c>
      <c r="I121">
        <f>Tableau4[[#This Row],[GHG (kgCO2eq/GJ)]]*3.6</f>
        <v>13.917873892652425</v>
      </c>
      <c r="J121" t="s">
        <v>104</v>
      </c>
      <c r="K121" t="s">
        <v>108</v>
      </c>
    </row>
    <row r="122" spans="1:11" hidden="1" x14ac:dyDescent="0.3">
      <c r="A122" t="s">
        <v>11</v>
      </c>
      <c r="B122" t="s">
        <v>61</v>
      </c>
      <c r="C122" t="s">
        <v>99</v>
      </c>
      <c r="D122">
        <v>4</v>
      </c>
      <c r="E122">
        <f>Tableau4[[#This Row],[Potential (PJ)]]/3.6</f>
        <v>1.1111111111111112</v>
      </c>
      <c r="F122">
        <v>1.1709499999999999</v>
      </c>
      <c r="G122">
        <f>Tableau4[[#This Row],[Cost (€/GJ)]]*3.6</f>
        <v>4.2154199999999999</v>
      </c>
      <c r="H122">
        <v>2.9245635910224439</v>
      </c>
      <c r="I122">
        <f>Tableau4[[#This Row],[GHG (kgCO2eq/GJ)]]*3.6</f>
        <v>10.528428927680798</v>
      </c>
      <c r="J122" t="s">
        <v>104</v>
      </c>
      <c r="K122" t="s">
        <v>108</v>
      </c>
    </row>
    <row r="123" spans="1:11" hidden="1" x14ac:dyDescent="0.3">
      <c r="A123" t="s">
        <v>11</v>
      </c>
      <c r="B123" t="s">
        <v>62</v>
      </c>
      <c r="C123" t="s">
        <v>100</v>
      </c>
      <c r="D123">
        <v>1.1000000000000001</v>
      </c>
      <c r="E123">
        <f>Tableau4[[#This Row],[Potential (PJ)]]/3.6</f>
        <v>0.30555555555555558</v>
      </c>
      <c r="F123">
        <v>0.1545454545454546</v>
      </c>
      <c r="G123">
        <f>Tableau4[[#This Row],[Cost (€/GJ)]]*3.6</f>
        <v>0.55636363636363662</v>
      </c>
      <c r="H123">
        <v>2.6764106050305911</v>
      </c>
      <c r="I123">
        <f>Tableau4[[#This Row],[GHG (kgCO2eq/GJ)]]*3.6</f>
        <v>9.6350781781101276</v>
      </c>
      <c r="J123" t="s">
        <v>104</v>
      </c>
      <c r="K123" t="s">
        <v>108</v>
      </c>
    </row>
    <row r="124" spans="1:11" hidden="1" x14ac:dyDescent="0.3">
      <c r="A124" t="s">
        <v>11</v>
      </c>
      <c r="B124" t="s">
        <v>54</v>
      </c>
      <c r="C124" t="s">
        <v>78</v>
      </c>
      <c r="D124">
        <v>35.400000000000013</v>
      </c>
      <c r="E124">
        <f>Tableau4[[#This Row],[Potential (PJ)]]/3.6</f>
        <v>9.8333333333333375</v>
      </c>
      <c r="F124">
        <v>2.4798361581920898</v>
      </c>
      <c r="G124">
        <f>Tableau4[[#This Row],[Cost (€/GJ)]]*3.6</f>
        <v>8.9274101694915231</v>
      </c>
      <c r="H124">
        <v>3.86607608129234</v>
      </c>
      <c r="I124">
        <f>Tableau4[[#This Row],[GHG (kgCO2eq/GJ)]]*3.6</f>
        <v>13.917873892652425</v>
      </c>
      <c r="J124" t="s">
        <v>104</v>
      </c>
      <c r="K124" t="s">
        <v>108</v>
      </c>
    </row>
    <row r="125" spans="1:11" hidden="1" x14ac:dyDescent="0.3">
      <c r="A125" t="s">
        <v>12</v>
      </c>
      <c r="B125" t="s">
        <v>49</v>
      </c>
      <c r="C125" t="s">
        <v>71</v>
      </c>
      <c r="D125">
        <v>105.41513999999999</v>
      </c>
      <c r="E125">
        <f>Tableau4[[#This Row],[Potential (PJ)]]/3.6</f>
        <v>29.281983333333329</v>
      </c>
      <c r="F125">
        <v>0</v>
      </c>
      <c r="G125">
        <f>Tableau4[[#This Row],[Cost (€/GJ)]]*3.6</f>
        <v>0</v>
      </c>
      <c r="H125">
        <v>3.86607608129234</v>
      </c>
      <c r="I125">
        <f>Tableau4[[#This Row],[GHG (kgCO2eq/GJ)]]*3.6</f>
        <v>13.917873892652425</v>
      </c>
      <c r="J125" t="s">
        <v>104</v>
      </c>
      <c r="K125" t="s">
        <v>108</v>
      </c>
    </row>
    <row r="126" spans="1:11" hidden="1" x14ac:dyDescent="0.3">
      <c r="A126" t="s">
        <v>12</v>
      </c>
      <c r="B126" t="s">
        <v>49</v>
      </c>
      <c r="C126" t="s">
        <v>72</v>
      </c>
      <c r="D126">
        <v>8.6</v>
      </c>
      <c r="E126">
        <f>Tableau4[[#This Row],[Potential (PJ)]]/3.6</f>
        <v>2.3888888888888888</v>
      </c>
      <c r="F126">
        <v>0</v>
      </c>
      <c r="G126">
        <f>Tableau4[[#This Row],[Cost (€/GJ)]]*3.6</f>
        <v>0</v>
      </c>
      <c r="H126">
        <v>3.86607608129234</v>
      </c>
      <c r="I126">
        <f>Tableau4[[#This Row],[GHG (kgCO2eq/GJ)]]*3.6</f>
        <v>13.917873892652425</v>
      </c>
      <c r="J126" t="s">
        <v>104</v>
      </c>
      <c r="K126" t="s">
        <v>108</v>
      </c>
    </row>
    <row r="127" spans="1:11" hidden="1" x14ac:dyDescent="0.3">
      <c r="A127" t="s">
        <v>12</v>
      </c>
      <c r="B127" t="s">
        <v>51</v>
      </c>
      <c r="C127" t="s">
        <v>75</v>
      </c>
      <c r="D127">
        <v>38.812809999999999</v>
      </c>
      <c r="E127">
        <f>Tableau4[[#This Row],[Potential (PJ)]]/3.6</f>
        <v>10.781336111111111</v>
      </c>
      <c r="F127">
        <v>0.106920641299939</v>
      </c>
      <c r="G127">
        <f>Tableau4[[#This Row],[Cost (€/GJ)]]*3.6</f>
        <v>0.38491430867978044</v>
      </c>
      <c r="H127">
        <v>11.74</v>
      </c>
      <c r="I127">
        <f>Tableau4[[#This Row],[GHG (kgCO2eq/GJ)]]*3.6</f>
        <v>42.264000000000003</v>
      </c>
      <c r="J127" t="s">
        <v>104</v>
      </c>
      <c r="K127" t="s">
        <v>108</v>
      </c>
    </row>
    <row r="128" spans="1:11" hidden="1" x14ac:dyDescent="0.3">
      <c r="A128" t="s">
        <v>12</v>
      </c>
      <c r="B128" t="s">
        <v>53</v>
      </c>
      <c r="C128" t="s">
        <v>77</v>
      </c>
      <c r="D128">
        <v>3.8</v>
      </c>
      <c r="E128">
        <f>Tableau4[[#This Row],[Potential (PJ)]]/3.6</f>
        <v>1.0555555555555556</v>
      </c>
      <c r="F128">
        <v>0</v>
      </c>
      <c r="G128">
        <f>Tableau4[[#This Row],[Cost (€/GJ)]]*3.6</f>
        <v>0</v>
      </c>
      <c r="H128">
        <v>3.86607608129234</v>
      </c>
      <c r="I128">
        <f>Tableau4[[#This Row],[GHG (kgCO2eq/GJ)]]*3.6</f>
        <v>13.917873892652425</v>
      </c>
      <c r="J128" t="s">
        <v>104</v>
      </c>
      <c r="K128" t="s">
        <v>108</v>
      </c>
    </row>
    <row r="129" spans="1:11" hidden="1" x14ac:dyDescent="0.3">
      <c r="A129" t="s">
        <v>12</v>
      </c>
      <c r="B129" t="s">
        <v>54</v>
      </c>
      <c r="C129" t="s">
        <v>78</v>
      </c>
      <c r="D129">
        <v>47.2</v>
      </c>
      <c r="E129">
        <f>Tableau4[[#This Row],[Potential (PJ)]]/3.6</f>
        <v>13.111111111111111</v>
      </c>
      <c r="F129">
        <v>0</v>
      </c>
      <c r="G129">
        <f>Tableau4[[#This Row],[Cost (€/GJ)]]*3.6</f>
        <v>0</v>
      </c>
      <c r="H129">
        <v>3.86607608129234</v>
      </c>
      <c r="I129">
        <f>Tableau4[[#This Row],[GHG (kgCO2eq/GJ)]]*3.6</f>
        <v>13.917873892652425</v>
      </c>
      <c r="J129" t="s">
        <v>104</v>
      </c>
      <c r="K129" t="s">
        <v>108</v>
      </c>
    </row>
    <row r="130" spans="1:11" hidden="1" x14ac:dyDescent="0.3">
      <c r="A130" t="s">
        <v>13</v>
      </c>
      <c r="B130" t="s">
        <v>46</v>
      </c>
      <c r="C130" t="s">
        <v>63</v>
      </c>
      <c r="D130">
        <v>6.8900000000000003E-2</v>
      </c>
      <c r="E130">
        <f>Tableau4[[#This Row],[Potential (PJ)]]/3.6</f>
        <v>1.9138888888888889E-2</v>
      </c>
      <c r="F130">
        <v>2.9286474973375931</v>
      </c>
      <c r="G130">
        <f>Tableau4[[#This Row],[Cost (€/GJ)]]*3.6</f>
        <v>10.543130990415335</v>
      </c>
      <c r="H130">
        <v>3.950479233226837</v>
      </c>
      <c r="I130">
        <f>Tableau4[[#This Row],[GHG (kgCO2eq/GJ)]]*3.6</f>
        <v>14.221725239616614</v>
      </c>
      <c r="J130" t="s">
        <v>104</v>
      </c>
      <c r="K130" t="s">
        <v>108</v>
      </c>
    </row>
    <row r="131" spans="1:11" hidden="1" x14ac:dyDescent="0.3">
      <c r="A131" t="s">
        <v>13</v>
      </c>
      <c r="B131" t="s">
        <v>46</v>
      </c>
      <c r="C131" t="s">
        <v>64</v>
      </c>
      <c r="D131">
        <v>1.685E-2</v>
      </c>
      <c r="E131">
        <f>Tableau4[[#This Row],[Potential (PJ)]]/3.6</f>
        <v>4.6805555555555559E-3</v>
      </c>
      <c r="F131">
        <v>7.5709999999999997</v>
      </c>
      <c r="G131">
        <f>Tableau4[[#This Row],[Cost (€/GJ)]]*3.6</f>
        <v>27.255600000000001</v>
      </c>
      <c r="H131">
        <v>2.9521711768407801</v>
      </c>
      <c r="I131">
        <f>Tableau4[[#This Row],[GHG (kgCO2eq/GJ)]]*3.6</f>
        <v>10.627816236626808</v>
      </c>
      <c r="J131" t="s">
        <v>104</v>
      </c>
      <c r="K131" t="s">
        <v>108</v>
      </c>
    </row>
    <row r="132" spans="1:11" hidden="1" x14ac:dyDescent="0.3">
      <c r="A132" t="s">
        <v>13</v>
      </c>
      <c r="B132" t="s">
        <v>46</v>
      </c>
      <c r="C132" t="s">
        <v>65</v>
      </c>
      <c r="D132">
        <v>0.1</v>
      </c>
      <c r="E132">
        <f>Tableau4[[#This Row],[Potential (PJ)]]/3.6</f>
        <v>2.777777777777778E-2</v>
      </c>
      <c r="F132">
        <v>4.2789999999999999</v>
      </c>
      <c r="G132">
        <f>Tableau4[[#This Row],[Cost (€/GJ)]]*3.6</f>
        <v>15.404400000000001</v>
      </c>
      <c r="H132">
        <v>2.9521711768407801</v>
      </c>
      <c r="I132">
        <f>Tableau4[[#This Row],[GHG (kgCO2eq/GJ)]]*3.6</f>
        <v>10.627816236626808</v>
      </c>
      <c r="J132" t="s">
        <v>104</v>
      </c>
      <c r="K132" t="s">
        <v>108</v>
      </c>
    </row>
    <row r="133" spans="1:11" hidden="1" x14ac:dyDescent="0.3">
      <c r="A133" t="s">
        <v>13</v>
      </c>
      <c r="B133" t="s">
        <v>46</v>
      </c>
      <c r="C133" t="s">
        <v>102</v>
      </c>
      <c r="D133">
        <v>0.3</v>
      </c>
      <c r="E133">
        <f>Tableau4[[#This Row],[Potential (PJ)]]/3.6</f>
        <v>8.3333333333333329E-2</v>
      </c>
      <c r="F133">
        <v>3.8159999999999989</v>
      </c>
      <c r="G133">
        <f>Tableau4[[#This Row],[Cost (€/GJ)]]*3.6</f>
        <v>13.737599999999997</v>
      </c>
      <c r="H133">
        <v>2.9521711768407801</v>
      </c>
      <c r="I133">
        <f>Tableau4[[#This Row],[GHG (kgCO2eq/GJ)]]*3.6</f>
        <v>10.627816236626808</v>
      </c>
      <c r="J133" t="s">
        <v>104</v>
      </c>
      <c r="K133" t="s">
        <v>108</v>
      </c>
    </row>
    <row r="134" spans="1:11" hidden="1" x14ac:dyDescent="0.3">
      <c r="A134" t="s">
        <v>13</v>
      </c>
      <c r="B134" t="s">
        <v>46</v>
      </c>
      <c r="C134" t="s">
        <v>80</v>
      </c>
      <c r="D134">
        <v>0.13569999999999999</v>
      </c>
      <c r="E134">
        <f>Tableau4[[#This Row],[Potential (PJ)]]/3.6</f>
        <v>3.769444444444444E-2</v>
      </c>
      <c r="F134">
        <v>1.2157788267026299</v>
      </c>
      <c r="G134">
        <f>Tableau4[[#This Row],[Cost (€/GJ)]]*3.6</f>
        <v>4.376803776129468</v>
      </c>
      <c r="H134">
        <v>28.139870918023309</v>
      </c>
      <c r="I134">
        <f>Tableau4[[#This Row],[GHG (kgCO2eq/GJ)]]*3.6</f>
        <v>101.30353530488391</v>
      </c>
      <c r="J134" t="s">
        <v>105</v>
      </c>
      <c r="K134" t="s">
        <v>108</v>
      </c>
    </row>
    <row r="135" spans="1:11" hidden="1" x14ac:dyDescent="0.3">
      <c r="A135" t="s">
        <v>13</v>
      </c>
      <c r="B135" t="s">
        <v>46</v>
      </c>
      <c r="C135" t="s">
        <v>81</v>
      </c>
      <c r="D135">
        <v>3.3999999999999998E-3</v>
      </c>
      <c r="E135">
        <f>Tableau4[[#This Row],[Potential (PJ)]]/3.6</f>
        <v>9.4444444444444437E-4</v>
      </c>
      <c r="F135">
        <v>3.252643948296122</v>
      </c>
      <c r="G135">
        <f>Tableau4[[#This Row],[Cost (€/GJ)]]*3.6</f>
        <v>11.709518213866039</v>
      </c>
      <c r="H135">
        <v>8.9647473560517046</v>
      </c>
      <c r="I135">
        <f>Tableau4[[#This Row],[GHG (kgCO2eq/GJ)]]*3.6</f>
        <v>32.273090481786134</v>
      </c>
      <c r="J135" t="s">
        <v>105</v>
      </c>
      <c r="K135" t="s">
        <v>108</v>
      </c>
    </row>
    <row r="136" spans="1:11" hidden="1" x14ac:dyDescent="0.3">
      <c r="A136" t="s">
        <v>13</v>
      </c>
      <c r="B136" t="s">
        <v>46</v>
      </c>
      <c r="C136" t="s">
        <v>67</v>
      </c>
      <c r="D136">
        <v>0.2</v>
      </c>
      <c r="E136">
        <f>Tableau4[[#This Row],[Potential (PJ)]]/3.6</f>
        <v>5.5555555555555559E-2</v>
      </c>
      <c r="F136">
        <v>5.7959999999999994</v>
      </c>
      <c r="G136">
        <f>Tableau4[[#This Row],[Cost (€/GJ)]]*3.6</f>
        <v>20.865599999999997</v>
      </c>
      <c r="H136">
        <v>2.9521711768407801</v>
      </c>
      <c r="I136">
        <f>Tableau4[[#This Row],[GHG (kgCO2eq/GJ)]]*3.6</f>
        <v>10.627816236626808</v>
      </c>
      <c r="J136" t="s">
        <v>104</v>
      </c>
      <c r="K136" t="s">
        <v>108</v>
      </c>
    </row>
    <row r="137" spans="1:11" x14ac:dyDescent="0.3">
      <c r="A137" t="s">
        <v>13</v>
      </c>
      <c r="B137" t="s">
        <v>47</v>
      </c>
      <c r="C137" t="s">
        <v>68</v>
      </c>
      <c r="D137">
        <v>1.4</v>
      </c>
      <c r="E137">
        <f>Tableau4[[#This Row],[Potential (PJ)]]/3.6</f>
        <v>0.38888888888888884</v>
      </c>
      <c r="F137">
        <v>5.1970000000000001</v>
      </c>
      <c r="G137">
        <f>Tableau4[[#This Row],[Cost (€/GJ)]]*3.6</f>
        <v>18.709199999999999</v>
      </c>
      <c r="H137">
        <v>13.5</v>
      </c>
      <c r="I137">
        <f>Tableau4[[#This Row],[GHG (kgCO2eq/GJ)]]*3.6</f>
        <v>48.6</v>
      </c>
      <c r="J137" t="s">
        <v>104</v>
      </c>
      <c r="K137" t="s">
        <v>109</v>
      </c>
    </row>
    <row r="138" spans="1:11" x14ac:dyDescent="0.3">
      <c r="A138" t="s">
        <v>13</v>
      </c>
      <c r="B138" t="s">
        <v>48</v>
      </c>
      <c r="C138" t="s">
        <v>70</v>
      </c>
      <c r="D138">
        <v>0.6</v>
      </c>
      <c r="E138">
        <f>Tableau4[[#This Row],[Potential (PJ)]]/3.6</f>
        <v>0.16666666666666666</v>
      </c>
      <c r="F138">
        <v>12.824</v>
      </c>
      <c r="G138">
        <f>Tableau4[[#This Row],[Cost (€/GJ)]]*3.6</f>
        <v>46.166400000000003</v>
      </c>
      <c r="H138">
        <v>0</v>
      </c>
      <c r="I138">
        <f>Tableau4[[#This Row],[GHG (kgCO2eq/GJ)]]*3.6</f>
        <v>0</v>
      </c>
      <c r="J138" t="s">
        <v>104</v>
      </c>
      <c r="K138" t="s">
        <v>109</v>
      </c>
    </row>
    <row r="139" spans="1:11" hidden="1" x14ac:dyDescent="0.3">
      <c r="A139" t="s">
        <v>13</v>
      </c>
      <c r="B139" t="s">
        <v>50</v>
      </c>
      <c r="C139" t="s">
        <v>73</v>
      </c>
      <c r="D139">
        <v>0.8</v>
      </c>
      <c r="E139">
        <f>Tableau4[[#This Row],[Potential (PJ)]]/3.6</f>
        <v>0.22222222222222224</v>
      </c>
      <c r="F139">
        <v>5.37</v>
      </c>
      <c r="G139">
        <f>Tableau4[[#This Row],[Cost (€/GJ)]]*3.6</f>
        <v>19.332000000000001</v>
      </c>
      <c r="H139">
        <v>20.723404255319149</v>
      </c>
      <c r="I139">
        <f>Tableau4[[#This Row],[GHG (kgCO2eq/GJ)]]*3.6</f>
        <v>74.604255319148933</v>
      </c>
      <c r="J139" t="s">
        <v>105</v>
      </c>
      <c r="K139" t="s">
        <v>108</v>
      </c>
    </row>
    <row r="140" spans="1:11" hidden="1" x14ac:dyDescent="0.3">
      <c r="A140" t="s">
        <v>13</v>
      </c>
      <c r="B140" t="s">
        <v>50</v>
      </c>
      <c r="C140" t="s">
        <v>74</v>
      </c>
      <c r="D140">
        <v>4.8</v>
      </c>
      <c r="E140">
        <f>Tableau4[[#This Row],[Potential (PJ)]]/3.6</f>
        <v>1.3333333333333333</v>
      </c>
      <c r="F140">
        <v>4.2619999999999996</v>
      </c>
      <c r="G140">
        <f>Tableau4[[#This Row],[Cost (€/GJ)]]*3.6</f>
        <v>15.3432</v>
      </c>
      <c r="H140">
        <v>2.0635593220338988</v>
      </c>
      <c r="I140">
        <f>Tableau4[[#This Row],[GHG (kgCO2eq/GJ)]]*3.6</f>
        <v>7.4288135593220357</v>
      </c>
      <c r="J140" t="s">
        <v>105</v>
      </c>
      <c r="K140" t="s">
        <v>108</v>
      </c>
    </row>
    <row r="141" spans="1:11" hidden="1" x14ac:dyDescent="0.3">
      <c r="A141" t="s">
        <v>13</v>
      </c>
      <c r="B141" t="s">
        <v>51</v>
      </c>
      <c r="C141" t="s">
        <v>75</v>
      </c>
      <c r="D141">
        <v>2.9514580000000001</v>
      </c>
      <c r="E141">
        <f>Tableau4[[#This Row],[Potential (PJ)]]/3.6</f>
        <v>0.81984944444444441</v>
      </c>
      <c r="F141">
        <v>4.5037413979272297E-3</v>
      </c>
      <c r="G141">
        <f>Tableau4[[#This Row],[Cost (€/GJ)]]*3.6</f>
        <v>1.6213469032538029E-2</v>
      </c>
      <c r="H141">
        <v>11.74</v>
      </c>
      <c r="I141">
        <f>Tableau4[[#This Row],[GHG (kgCO2eq/GJ)]]*3.6</f>
        <v>42.264000000000003</v>
      </c>
      <c r="J141" t="s">
        <v>104</v>
      </c>
      <c r="K141" t="s">
        <v>108</v>
      </c>
    </row>
    <row r="142" spans="1:11" hidden="1" x14ac:dyDescent="0.3">
      <c r="A142" t="s">
        <v>13</v>
      </c>
      <c r="B142" t="s">
        <v>52</v>
      </c>
      <c r="C142" t="s">
        <v>76</v>
      </c>
      <c r="D142">
        <v>4.0000000000000001E-3</v>
      </c>
      <c r="E142">
        <f>Tableau4[[#This Row],[Potential (PJ)]]/3.6</f>
        <v>1.1111111111111111E-3</v>
      </c>
      <c r="F142">
        <v>4.7567250000000003</v>
      </c>
      <c r="G142">
        <f>Tableau4[[#This Row],[Cost (€/GJ)]]*3.6</f>
        <v>17.124210000000001</v>
      </c>
      <c r="H142">
        <v>12.68872359754714</v>
      </c>
      <c r="I142">
        <f>Tableau4[[#This Row],[GHG (kgCO2eq/GJ)]]*3.6</f>
        <v>45.679404951169708</v>
      </c>
      <c r="J142" t="s">
        <v>105</v>
      </c>
      <c r="K142" t="s">
        <v>108</v>
      </c>
    </row>
    <row r="143" spans="1:11" hidden="1" x14ac:dyDescent="0.3">
      <c r="A143" t="s">
        <v>14</v>
      </c>
      <c r="B143" t="s">
        <v>46</v>
      </c>
      <c r="C143" t="s">
        <v>64</v>
      </c>
      <c r="D143">
        <v>0.22222</v>
      </c>
      <c r="E143">
        <f>Tableau4[[#This Row],[Potential (PJ)]]/3.6</f>
        <v>6.1727777777777777E-2</v>
      </c>
      <c r="F143">
        <v>7.421949374493745</v>
      </c>
      <c r="G143">
        <f>Tableau4[[#This Row],[Cost (€/GJ)]]*3.6</f>
        <v>26.719017748177482</v>
      </c>
      <c r="H143">
        <v>2.9521711768407801</v>
      </c>
      <c r="I143">
        <f>Tableau4[[#This Row],[GHG (kgCO2eq/GJ)]]*3.6</f>
        <v>10.627816236626808</v>
      </c>
      <c r="J143" t="s">
        <v>104</v>
      </c>
      <c r="K143" t="s">
        <v>108</v>
      </c>
    </row>
    <row r="144" spans="1:11" hidden="1" x14ac:dyDescent="0.3">
      <c r="A144" t="s">
        <v>14</v>
      </c>
      <c r="B144" t="s">
        <v>46</v>
      </c>
      <c r="C144" t="s">
        <v>79</v>
      </c>
      <c r="D144">
        <v>38.4</v>
      </c>
      <c r="E144">
        <f>Tableau4[[#This Row],[Potential (PJ)]]/3.6</f>
        <v>10.666666666666666</v>
      </c>
      <c r="F144">
        <v>3.0714192708333332</v>
      </c>
      <c r="G144">
        <f>Tableau4[[#This Row],[Cost (€/GJ)]]*3.6</f>
        <v>11.057109375</v>
      </c>
      <c r="H144">
        <v>6.8428961748633883</v>
      </c>
      <c r="I144">
        <f>Tableau4[[#This Row],[GHG (kgCO2eq/GJ)]]*3.6</f>
        <v>24.634426229508197</v>
      </c>
      <c r="J144" t="s">
        <v>104</v>
      </c>
      <c r="K144" t="s">
        <v>108</v>
      </c>
    </row>
    <row r="145" spans="1:11" hidden="1" x14ac:dyDescent="0.3">
      <c r="A145" t="s">
        <v>14</v>
      </c>
      <c r="B145" t="s">
        <v>46</v>
      </c>
      <c r="C145" t="s">
        <v>80</v>
      </c>
      <c r="D145">
        <v>0.55549999999999999</v>
      </c>
      <c r="E145">
        <f>Tableau4[[#This Row],[Potential (PJ)]]/3.6</f>
        <v>0.15430555555555556</v>
      </c>
      <c r="F145">
        <v>0.48482805124747141</v>
      </c>
      <c r="G145">
        <f>Tableau4[[#This Row],[Cost (€/GJ)]]*3.6</f>
        <v>1.7453809844908972</v>
      </c>
      <c r="H145">
        <v>28.139870918023309</v>
      </c>
      <c r="I145">
        <f>Tableau4[[#This Row],[GHG (kgCO2eq/GJ)]]*3.6</f>
        <v>101.30353530488391</v>
      </c>
      <c r="J145" t="s">
        <v>105</v>
      </c>
      <c r="K145" t="s">
        <v>108</v>
      </c>
    </row>
    <row r="146" spans="1:11" hidden="1" x14ac:dyDescent="0.3">
      <c r="A146" t="s">
        <v>14</v>
      </c>
      <c r="B146" t="s">
        <v>46</v>
      </c>
      <c r="C146" t="s">
        <v>81</v>
      </c>
      <c r="D146">
        <v>0.35460000000000003</v>
      </c>
      <c r="E146">
        <f>Tableau4[[#This Row],[Potential (PJ)]]/3.6</f>
        <v>9.8500000000000004E-2</v>
      </c>
      <c r="F146">
        <v>1.2338425381903639</v>
      </c>
      <c r="G146">
        <f>Tableau4[[#This Row],[Cost (€/GJ)]]*3.6</f>
        <v>4.4418331374853102</v>
      </c>
      <c r="H146">
        <v>8.9647473560517046</v>
      </c>
      <c r="I146">
        <f>Tableau4[[#This Row],[GHG (kgCO2eq/GJ)]]*3.6</f>
        <v>32.273090481786134</v>
      </c>
      <c r="J146" t="s">
        <v>105</v>
      </c>
      <c r="K146" t="s">
        <v>108</v>
      </c>
    </row>
    <row r="147" spans="1:11" hidden="1" x14ac:dyDescent="0.3">
      <c r="A147" t="s">
        <v>14</v>
      </c>
      <c r="B147" t="s">
        <v>46</v>
      </c>
      <c r="C147" t="s">
        <v>66</v>
      </c>
      <c r="D147">
        <v>1.7</v>
      </c>
      <c r="E147">
        <f>Tableau4[[#This Row],[Potential (PJ)]]/3.6</f>
        <v>0.47222222222222221</v>
      </c>
      <c r="F147">
        <v>3.3077058823529408</v>
      </c>
      <c r="G147">
        <f>Tableau4[[#This Row],[Cost (€/GJ)]]*3.6</f>
        <v>11.907741176470587</v>
      </c>
      <c r="H147">
        <v>6.8428961748633883</v>
      </c>
      <c r="I147">
        <f>Tableau4[[#This Row],[GHG (kgCO2eq/GJ)]]*3.6</f>
        <v>24.634426229508197</v>
      </c>
      <c r="J147" t="s">
        <v>104</v>
      </c>
      <c r="K147" t="s">
        <v>108</v>
      </c>
    </row>
    <row r="148" spans="1:11" hidden="1" x14ac:dyDescent="0.3">
      <c r="A148" t="s">
        <v>14</v>
      </c>
      <c r="B148" t="s">
        <v>46</v>
      </c>
      <c r="C148" t="s">
        <v>82</v>
      </c>
      <c r="D148">
        <v>7.9</v>
      </c>
      <c r="E148">
        <f>Tableau4[[#This Row],[Potential (PJ)]]/3.6</f>
        <v>2.1944444444444446</v>
      </c>
      <c r="F148">
        <v>1.938493670886076</v>
      </c>
      <c r="G148">
        <f>Tableau4[[#This Row],[Cost (€/GJ)]]*3.6</f>
        <v>6.9785772151898735</v>
      </c>
      <c r="H148">
        <v>6.8428961748633883</v>
      </c>
      <c r="I148">
        <f>Tableau4[[#This Row],[GHG (kgCO2eq/GJ)]]*3.6</f>
        <v>24.634426229508197</v>
      </c>
      <c r="J148" t="s">
        <v>104</v>
      </c>
      <c r="K148" t="s">
        <v>108</v>
      </c>
    </row>
    <row r="149" spans="1:11" hidden="1" x14ac:dyDescent="0.3">
      <c r="A149" t="s">
        <v>14</v>
      </c>
      <c r="B149" t="s">
        <v>46</v>
      </c>
      <c r="C149" t="s">
        <v>84</v>
      </c>
      <c r="D149">
        <v>0.5</v>
      </c>
      <c r="E149">
        <f>Tableau4[[#This Row],[Potential (PJ)]]/3.6</f>
        <v>0.1388888888888889</v>
      </c>
      <c r="F149">
        <v>1.917</v>
      </c>
      <c r="G149">
        <f>Tableau4[[#This Row],[Cost (€/GJ)]]*3.6</f>
        <v>6.9012000000000002</v>
      </c>
      <c r="H149">
        <v>28.139870918023309</v>
      </c>
      <c r="I149">
        <f>Tableau4[[#This Row],[GHG (kgCO2eq/GJ)]]*3.6</f>
        <v>101.30353530488391</v>
      </c>
      <c r="J149" t="s">
        <v>105</v>
      </c>
      <c r="K149" t="s">
        <v>108</v>
      </c>
    </row>
    <row r="150" spans="1:11" hidden="1" x14ac:dyDescent="0.3">
      <c r="A150" t="s">
        <v>14</v>
      </c>
      <c r="B150" t="s">
        <v>46</v>
      </c>
      <c r="C150" t="s">
        <v>85</v>
      </c>
      <c r="D150">
        <v>0.3</v>
      </c>
      <c r="E150">
        <f>Tableau4[[#This Row],[Potential (PJ)]]/3.6</f>
        <v>8.3333333333333329E-2</v>
      </c>
      <c r="F150">
        <v>5.62</v>
      </c>
      <c r="G150">
        <f>Tableau4[[#This Row],[Cost (€/GJ)]]*3.6</f>
        <v>20.231999999999999</v>
      </c>
      <c r="H150">
        <v>2.9521711768407801</v>
      </c>
      <c r="I150">
        <f>Tableau4[[#This Row],[GHG (kgCO2eq/GJ)]]*3.6</f>
        <v>10.627816236626808</v>
      </c>
      <c r="J150" t="s">
        <v>104</v>
      </c>
      <c r="K150" t="s">
        <v>108</v>
      </c>
    </row>
    <row r="151" spans="1:11" hidden="1" x14ac:dyDescent="0.3">
      <c r="A151" t="s">
        <v>14</v>
      </c>
      <c r="B151" t="s">
        <v>55</v>
      </c>
      <c r="C151" t="s">
        <v>86</v>
      </c>
      <c r="D151">
        <v>0.93579999999999997</v>
      </c>
      <c r="E151">
        <f>Tableau4[[#This Row],[Potential (PJ)]]/3.6</f>
        <v>0.25994444444444442</v>
      </c>
      <c r="F151">
        <v>16.027000000000001</v>
      </c>
      <c r="G151">
        <f>Tableau4[[#This Row],[Cost (€/GJ)]]*3.6</f>
        <v>57.697200000000002</v>
      </c>
      <c r="H151">
        <v>11.7</v>
      </c>
      <c r="I151">
        <f>Tableau4[[#This Row],[GHG (kgCO2eq/GJ)]]*3.6</f>
        <v>42.12</v>
      </c>
      <c r="J151" t="s">
        <v>106</v>
      </c>
      <c r="K151" t="s">
        <v>109</v>
      </c>
    </row>
    <row r="152" spans="1:11" hidden="1" x14ac:dyDescent="0.3">
      <c r="A152" t="s">
        <v>14</v>
      </c>
      <c r="B152" t="s">
        <v>55</v>
      </c>
      <c r="C152" t="s">
        <v>88</v>
      </c>
      <c r="D152">
        <v>0.87729999999999997</v>
      </c>
      <c r="E152">
        <f>Tableau4[[#This Row],[Potential (PJ)]]/3.6</f>
        <v>0.24369444444444444</v>
      </c>
      <c r="F152">
        <v>16.309999999999999</v>
      </c>
      <c r="G152">
        <f>Tableau4[[#This Row],[Cost (€/GJ)]]*3.6</f>
        <v>58.715999999999994</v>
      </c>
      <c r="H152">
        <v>11.7</v>
      </c>
      <c r="I152">
        <f>Tableau4[[#This Row],[GHG (kgCO2eq/GJ)]]*3.6</f>
        <v>42.12</v>
      </c>
      <c r="J152" t="s">
        <v>106</v>
      </c>
      <c r="K152" t="s">
        <v>109</v>
      </c>
    </row>
    <row r="153" spans="1:11" hidden="1" x14ac:dyDescent="0.3">
      <c r="A153" t="s">
        <v>14</v>
      </c>
      <c r="B153" t="s">
        <v>55</v>
      </c>
      <c r="C153" t="s">
        <v>89</v>
      </c>
      <c r="D153">
        <v>0.11650000000000001</v>
      </c>
      <c r="E153">
        <f>Tableau4[[#This Row],[Potential (PJ)]]/3.6</f>
        <v>3.2361111111111111E-2</v>
      </c>
      <c r="F153">
        <v>0</v>
      </c>
      <c r="G153">
        <f>Tableau4[[#This Row],[Cost (€/GJ)]]*3.6</f>
        <v>0</v>
      </c>
      <c r="H153">
        <v>11.7</v>
      </c>
      <c r="I153">
        <f>Tableau4[[#This Row],[GHG (kgCO2eq/GJ)]]*3.6</f>
        <v>42.12</v>
      </c>
      <c r="J153" t="s">
        <v>106</v>
      </c>
      <c r="K153" t="s">
        <v>109</v>
      </c>
    </row>
    <row r="154" spans="1:11" hidden="1" x14ac:dyDescent="0.3">
      <c r="A154" t="s">
        <v>14</v>
      </c>
      <c r="B154" t="s">
        <v>55</v>
      </c>
      <c r="C154" t="s">
        <v>90</v>
      </c>
      <c r="D154">
        <v>7.8000000000000014E-3</v>
      </c>
      <c r="E154">
        <f>Tableau4[[#This Row],[Potential (PJ)]]/3.6</f>
        <v>2.166666666666667E-3</v>
      </c>
      <c r="F154">
        <v>13.617000000000001</v>
      </c>
      <c r="G154">
        <f>Tableau4[[#This Row],[Cost (€/GJ)]]*3.6</f>
        <v>49.021200000000007</v>
      </c>
      <c r="H154">
        <v>11.7</v>
      </c>
      <c r="I154">
        <f>Tableau4[[#This Row],[GHG (kgCO2eq/GJ)]]*3.6</f>
        <v>42.12</v>
      </c>
      <c r="J154" t="s">
        <v>106</v>
      </c>
      <c r="K154" t="s">
        <v>109</v>
      </c>
    </row>
    <row r="155" spans="1:11" hidden="1" x14ac:dyDescent="0.3">
      <c r="A155" t="s">
        <v>14</v>
      </c>
      <c r="B155" t="s">
        <v>55</v>
      </c>
      <c r="C155" t="s">
        <v>91</v>
      </c>
      <c r="D155">
        <v>0.36370000000000002</v>
      </c>
      <c r="E155">
        <f>Tableau4[[#This Row],[Potential (PJ)]]/3.6</f>
        <v>0.10102777777777779</v>
      </c>
      <c r="F155">
        <v>14.637</v>
      </c>
      <c r="G155">
        <f>Tableau4[[#This Row],[Cost (€/GJ)]]*3.6</f>
        <v>52.693200000000004</v>
      </c>
      <c r="H155">
        <v>11.7</v>
      </c>
      <c r="I155">
        <f>Tableau4[[#This Row],[GHG (kgCO2eq/GJ)]]*3.6</f>
        <v>42.12</v>
      </c>
      <c r="J155" t="s">
        <v>106</v>
      </c>
      <c r="K155" t="s">
        <v>109</v>
      </c>
    </row>
    <row r="156" spans="1:11" hidden="1" x14ac:dyDescent="0.3">
      <c r="A156" t="s">
        <v>14</v>
      </c>
      <c r="B156" t="s">
        <v>55</v>
      </c>
      <c r="C156" t="s">
        <v>92</v>
      </c>
      <c r="D156">
        <v>0.96472999999999998</v>
      </c>
      <c r="E156">
        <f>Tableau4[[#This Row],[Potential (PJ)]]/3.6</f>
        <v>0.26798055555555556</v>
      </c>
      <c r="F156">
        <v>14.288</v>
      </c>
      <c r="G156">
        <f>Tableau4[[#This Row],[Cost (€/GJ)]]*3.6</f>
        <v>51.436800000000005</v>
      </c>
      <c r="H156">
        <v>11.7</v>
      </c>
      <c r="I156">
        <f>Tableau4[[#This Row],[GHG (kgCO2eq/GJ)]]*3.6</f>
        <v>42.12</v>
      </c>
      <c r="J156" t="s">
        <v>106</v>
      </c>
      <c r="K156" t="s">
        <v>109</v>
      </c>
    </row>
    <row r="157" spans="1:11" hidden="1" x14ac:dyDescent="0.3">
      <c r="A157" t="s">
        <v>14</v>
      </c>
      <c r="B157" t="s">
        <v>56</v>
      </c>
      <c r="C157" t="s">
        <v>93</v>
      </c>
      <c r="D157">
        <v>37.827100000000002</v>
      </c>
      <c r="E157">
        <f>Tableau4[[#This Row],[Potential (PJ)]]/3.6</f>
        <v>10.507527777777778</v>
      </c>
      <c r="F157">
        <v>2.9493975903614462</v>
      </c>
      <c r="G157">
        <f>Tableau4[[#This Row],[Cost (€/GJ)]]*3.6</f>
        <v>10.617831325301207</v>
      </c>
      <c r="H157">
        <v>20.3</v>
      </c>
      <c r="I157">
        <f>Tableau4[[#This Row],[GHG (kgCO2eq/GJ)]]*3.6</f>
        <v>73.08</v>
      </c>
      <c r="J157" t="s">
        <v>106</v>
      </c>
      <c r="K157" t="s">
        <v>109</v>
      </c>
    </row>
    <row r="158" spans="1:11" x14ac:dyDescent="0.3">
      <c r="A158" t="s">
        <v>14</v>
      </c>
      <c r="B158" t="s">
        <v>47</v>
      </c>
      <c r="C158" t="s">
        <v>68</v>
      </c>
      <c r="D158">
        <v>25.1</v>
      </c>
      <c r="E158">
        <f>Tableau4[[#This Row],[Potential (PJ)]]/3.6</f>
        <v>6.9722222222222223</v>
      </c>
      <c r="F158">
        <v>2.8774382470119519</v>
      </c>
      <c r="G158">
        <f>Tableau4[[#This Row],[Cost (€/GJ)]]*3.6</f>
        <v>10.358777689243027</v>
      </c>
      <c r="H158">
        <v>18.100000000000001</v>
      </c>
      <c r="I158">
        <f>Tableau4[[#This Row],[GHG (kgCO2eq/GJ)]]*3.6</f>
        <v>65.160000000000011</v>
      </c>
      <c r="J158" t="s">
        <v>104</v>
      </c>
      <c r="K158" t="s">
        <v>109</v>
      </c>
    </row>
    <row r="159" spans="1:11" x14ac:dyDescent="0.3">
      <c r="A159" t="s">
        <v>14</v>
      </c>
      <c r="B159" t="s">
        <v>47</v>
      </c>
      <c r="C159" t="s">
        <v>69</v>
      </c>
      <c r="D159">
        <v>24.2</v>
      </c>
      <c r="E159">
        <f>Tableau4[[#This Row],[Potential (PJ)]]/3.6</f>
        <v>6.7222222222222214</v>
      </c>
      <c r="F159">
        <v>2.5539917355371902</v>
      </c>
      <c r="G159">
        <f>Tableau4[[#This Row],[Cost (€/GJ)]]*3.6</f>
        <v>9.1943702479338842</v>
      </c>
      <c r="H159">
        <v>18.100000000000001</v>
      </c>
      <c r="I159">
        <f>Tableau4[[#This Row],[GHG (kgCO2eq/GJ)]]*3.6</f>
        <v>65.160000000000011</v>
      </c>
      <c r="J159" t="s">
        <v>104</v>
      </c>
      <c r="K159" t="s">
        <v>109</v>
      </c>
    </row>
    <row r="160" spans="1:11" x14ac:dyDescent="0.3">
      <c r="A160" t="s">
        <v>14</v>
      </c>
      <c r="B160" t="s">
        <v>57</v>
      </c>
      <c r="C160" t="s">
        <v>94</v>
      </c>
      <c r="D160">
        <v>18</v>
      </c>
      <c r="E160">
        <f>Tableau4[[#This Row],[Potential (PJ)]]/3.6</f>
        <v>5</v>
      </c>
      <c r="F160">
        <v>6.228416666666666</v>
      </c>
      <c r="G160">
        <f>Tableau4[[#This Row],[Cost (€/GJ)]]*3.6</f>
        <v>22.4223</v>
      </c>
      <c r="H160">
        <v>14.2</v>
      </c>
      <c r="I160">
        <f>Tableau4[[#This Row],[GHG (kgCO2eq/GJ)]]*3.6</f>
        <v>51.12</v>
      </c>
      <c r="J160" t="s">
        <v>104</v>
      </c>
      <c r="K160" t="s">
        <v>109</v>
      </c>
    </row>
    <row r="161" spans="1:11" hidden="1" x14ac:dyDescent="0.3">
      <c r="A161" t="s">
        <v>14</v>
      </c>
      <c r="B161" t="s">
        <v>49</v>
      </c>
      <c r="C161" t="s">
        <v>71</v>
      </c>
      <c r="D161">
        <v>139.73688000000001</v>
      </c>
      <c r="E161">
        <f>Tableau4[[#This Row],[Potential (PJ)]]/3.6</f>
        <v>38.815800000000003</v>
      </c>
      <c r="F161">
        <v>3.533753595113903</v>
      </c>
      <c r="G161">
        <f>Tableau4[[#This Row],[Cost (€/GJ)]]*3.6</f>
        <v>12.721512942410051</v>
      </c>
      <c r="H161">
        <v>3.86607608129234</v>
      </c>
      <c r="I161">
        <f>Tableau4[[#This Row],[GHG (kgCO2eq/GJ)]]*3.6</f>
        <v>13.917873892652425</v>
      </c>
      <c r="J161" t="s">
        <v>104</v>
      </c>
      <c r="K161" t="s">
        <v>108</v>
      </c>
    </row>
    <row r="162" spans="1:11" hidden="1" x14ac:dyDescent="0.3">
      <c r="A162" t="s">
        <v>14</v>
      </c>
      <c r="B162" t="s">
        <v>49</v>
      </c>
      <c r="C162" t="s">
        <v>72</v>
      </c>
      <c r="D162">
        <v>9.6</v>
      </c>
      <c r="E162">
        <f>Tableau4[[#This Row],[Potential (PJ)]]/3.6</f>
        <v>2.6666666666666665</v>
      </c>
      <c r="F162">
        <v>2.8375729166666668</v>
      </c>
      <c r="G162">
        <f>Tableau4[[#This Row],[Cost (€/GJ)]]*3.6</f>
        <v>10.215262500000001</v>
      </c>
      <c r="H162">
        <v>3.86607608129234</v>
      </c>
      <c r="I162">
        <f>Tableau4[[#This Row],[GHG (kgCO2eq/GJ)]]*3.6</f>
        <v>13.917873892652425</v>
      </c>
      <c r="J162" t="s">
        <v>104</v>
      </c>
      <c r="K162" t="s">
        <v>108</v>
      </c>
    </row>
    <row r="163" spans="1:11" hidden="1" x14ac:dyDescent="0.3">
      <c r="A163" t="s">
        <v>14</v>
      </c>
      <c r="B163" t="s">
        <v>58</v>
      </c>
      <c r="C163" t="s">
        <v>95</v>
      </c>
      <c r="D163">
        <v>17.74212</v>
      </c>
      <c r="E163">
        <f>Tableau4[[#This Row],[Potential (PJ)]]/3.6</f>
        <v>4.9283666666666663</v>
      </c>
      <c r="F163">
        <v>2.2599999999999998</v>
      </c>
      <c r="G163">
        <f>Tableau4[[#This Row],[Cost (€/GJ)]]*3.6</f>
        <v>8.1359999999999992</v>
      </c>
      <c r="H163">
        <v>2.9521711768407801</v>
      </c>
      <c r="I163">
        <f>Tableau4[[#This Row],[GHG (kgCO2eq/GJ)]]*3.6</f>
        <v>10.627816236626808</v>
      </c>
      <c r="J163" t="s">
        <v>104</v>
      </c>
      <c r="K163" t="s">
        <v>108</v>
      </c>
    </row>
    <row r="164" spans="1:11" hidden="1" x14ac:dyDescent="0.3">
      <c r="A164" t="s">
        <v>14</v>
      </c>
      <c r="B164" t="s">
        <v>50</v>
      </c>
      <c r="C164" t="s">
        <v>73</v>
      </c>
      <c r="D164">
        <v>4.0999999999999996</v>
      </c>
      <c r="E164">
        <f>Tableau4[[#This Row],[Potential (PJ)]]/3.6</f>
        <v>1.1388888888888888</v>
      </c>
      <c r="F164">
        <v>5.0959512195121954</v>
      </c>
      <c r="G164">
        <f>Tableau4[[#This Row],[Cost (€/GJ)]]*3.6</f>
        <v>18.345424390243902</v>
      </c>
      <c r="H164">
        <v>20.723404255319149</v>
      </c>
      <c r="I164">
        <f>Tableau4[[#This Row],[GHG (kgCO2eq/GJ)]]*3.6</f>
        <v>74.604255319148933</v>
      </c>
      <c r="J164" t="s">
        <v>105</v>
      </c>
      <c r="K164" t="s">
        <v>108</v>
      </c>
    </row>
    <row r="165" spans="1:11" hidden="1" x14ac:dyDescent="0.3">
      <c r="A165" t="s">
        <v>14</v>
      </c>
      <c r="B165" t="s">
        <v>50</v>
      </c>
      <c r="C165" t="s">
        <v>74</v>
      </c>
      <c r="D165">
        <v>45.3</v>
      </c>
      <c r="E165">
        <f>Tableau4[[#This Row],[Potential (PJ)]]/3.6</f>
        <v>12.583333333333332</v>
      </c>
      <c r="F165">
        <v>3.544920529801324</v>
      </c>
      <c r="G165">
        <f>Tableau4[[#This Row],[Cost (€/GJ)]]*3.6</f>
        <v>12.761713907284767</v>
      </c>
      <c r="H165">
        <v>2.0635593220338988</v>
      </c>
      <c r="I165">
        <f>Tableau4[[#This Row],[GHG (kgCO2eq/GJ)]]*3.6</f>
        <v>7.4288135593220357</v>
      </c>
      <c r="J165" t="s">
        <v>105</v>
      </c>
      <c r="K165" t="s">
        <v>108</v>
      </c>
    </row>
    <row r="166" spans="1:11" hidden="1" x14ac:dyDescent="0.3">
      <c r="A166" t="s">
        <v>14</v>
      </c>
      <c r="B166" t="s">
        <v>59</v>
      </c>
      <c r="C166" t="s">
        <v>96</v>
      </c>
      <c r="D166">
        <v>0.21879999999999999</v>
      </c>
      <c r="E166">
        <f>Tableau4[[#This Row],[Potential (PJ)]]/3.6</f>
        <v>6.0777777777777778E-2</v>
      </c>
      <c r="F166">
        <v>30.024000000000001</v>
      </c>
      <c r="G166">
        <f>Tableau4[[#This Row],[Cost (€/GJ)]]*3.6</f>
        <v>108.08640000000001</v>
      </c>
      <c r="H166">
        <v>8.4</v>
      </c>
      <c r="I166">
        <f>Tableau4[[#This Row],[GHG (kgCO2eq/GJ)]]*3.6</f>
        <v>30.240000000000002</v>
      </c>
      <c r="J166" t="s">
        <v>107</v>
      </c>
      <c r="K166" t="s">
        <v>109</v>
      </c>
    </row>
    <row r="167" spans="1:11" hidden="1" x14ac:dyDescent="0.3">
      <c r="A167" t="s">
        <v>14</v>
      </c>
      <c r="B167" t="s">
        <v>59</v>
      </c>
      <c r="C167" t="s">
        <v>97</v>
      </c>
      <c r="D167">
        <v>0.1095</v>
      </c>
      <c r="E167">
        <f>Tableau4[[#This Row],[Potential (PJ)]]/3.6</f>
        <v>3.0416666666666665E-2</v>
      </c>
      <c r="F167">
        <v>14.81280520889853</v>
      </c>
      <c r="G167">
        <f>Tableau4[[#This Row],[Cost (€/GJ)]]*3.6</f>
        <v>53.32609875203471</v>
      </c>
      <c r="H167">
        <v>8.4</v>
      </c>
      <c r="I167">
        <f>Tableau4[[#This Row],[GHG (kgCO2eq/GJ)]]*3.6</f>
        <v>30.240000000000002</v>
      </c>
      <c r="J167" t="s">
        <v>107</v>
      </c>
      <c r="K167" t="s">
        <v>109</v>
      </c>
    </row>
    <row r="168" spans="1:11" hidden="1" x14ac:dyDescent="0.3">
      <c r="A168" t="s">
        <v>14</v>
      </c>
      <c r="B168" t="s">
        <v>51</v>
      </c>
      <c r="C168" t="s">
        <v>75</v>
      </c>
      <c r="D168">
        <v>4.5522989999999997</v>
      </c>
      <c r="E168">
        <f>Tableau4[[#This Row],[Potential (PJ)]]/3.6</f>
        <v>1.2645274999999998</v>
      </c>
      <c r="F168">
        <v>2.08677795794245E-4</v>
      </c>
      <c r="G168">
        <f>Tableau4[[#This Row],[Cost (€/GJ)]]*3.6</f>
        <v>7.5124006485928203E-4</v>
      </c>
      <c r="H168">
        <v>11.74</v>
      </c>
      <c r="I168">
        <f>Tableau4[[#This Row],[GHG (kgCO2eq/GJ)]]*3.6</f>
        <v>42.264000000000003</v>
      </c>
      <c r="J168" t="s">
        <v>104</v>
      </c>
      <c r="K168" t="s">
        <v>108</v>
      </c>
    </row>
    <row r="169" spans="1:11" hidden="1" x14ac:dyDescent="0.3">
      <c r="A169" t="s">
        <v>14</v>
      </c>
      <c r="B169" t="s">
        <v>60</v>
      </c>
      <c r="C169" t="s">
        <v>98</v>
      </c>
      <c r="D169">
        <v>3.2034899999999999</v>
      </c>
      <c r="E169">
        <f>Tableau4[[#This Row],[Potential (PJ)]]/3.6</f>
        <v>0.88985833333333331</v>
      </c>
      <c r="F169">
        <v>16.380236305048339</v>
      </c>
      <c r="G169">
        <f>Tableau4[[#This Row],[Cost (€/GJ)]]*3.6</f>
        <v>58.968850698174023</v>
      </c>
      <c r="H169">
        <v>27.8</v>
      </c>
      <c r="I169">
        <f>Tableau4[[#This Row],[GHG (kgCO2eq/GJ)]]*3.6</f>
        <v>100.08</v>
      </c>
      <c r="J169" t="s">
        <v>107</v>
      </c>
      <c r="K169" t="s">
        <v>109</v>
      </c>
    </row>
    <row r="170" spans="1:11" hidden="1" x14ac:dyDescent="0.3">
      <c r="A170" t="s">
        <v>14</v>
      </c>
      <c r="B170" t="s">
        <v>52</v>
      </c>
      <c r="C170" t="s">
        <v>76</v>
      </c>
      <c r="D170">
        <v>0.89300000000000002</v>
      </c>
      <c r="E170">
        <f>Tableau4[[#This Row],[Potential (PJ)]]/3.6</f>
        <v>0.24805555555555556</v>
      </c>
      <c r="F170">
        <v>4.7567250000000003</v>
      </c>
      <c r="G170">
        <f>Tableau4[[#This Row],[Cost (€/GJ)]]*3.6</f>
        <v>17.124210000000001</v>
      </c>
      <c r="H170">
        <v>12.68872359754714</v>
      </c>
      <c r="I170">
        <f>Tableau4[[#This Row],[GHG (kgCO2eq/GJ)]]*3.6</f>
        <v>45.679404951169708</v>
      </c>
      <c r="J170" t="s">
        <v>105</v>
      </c>
      <c r="K170" t="s">
        <v>108</v>
      </c>
    </row>
    <row r="171" spans="1:11" hidden="1" x14ac:dyDescent="0.3">
      <c r="A171" t="s">
        <v>14</v>
      </c>
      <c r="B171" t="s">
        <v>53</v>
      </c>
      <c r="C171" t="s">
        <v>77</v>
      </c>
      <c r="D171">
        <v>5.8</v>
      </c>
      <c r="E171">
        <f>Tableau4[[#This Row],[Potential (PJ)]]/3.6</f>
        <v>1.6111111111111109</v>
      </c>
      <c r="F171">
        <v>2.8375689655172418</v>
      </c>
      <c r="G171">
        <f>Tableau4[[#This Row],[Cost (€/GJ)]]*3.6</f>
        <v>10.21524827586207</v>
      </c>
      <c r="H171">
        <v>3.86607608129234</v>
      </c>
      <c r="I171">
        <f>Tableau4[[#This Row],[GHG (kgCO2eq/GJ)]]*3.6</f>
        <v>13.917873892652425</v>
      </c>
      <c r="J171" t="s">
        <v>104</v>
      </c>
      <c r="K171" t="s">
        <v>108</v>
      </c>
    </row>
    <row r="172" spans="1:11" hidden="1" x14ac:dyDescent="0.3">
      <c r="A172" t="s">
        <v>14</v>
      </c>
      <c r="B172" t="s">
        <v>61</v>
      </c>
      <c r="C172" t="s">
        <v>99</v>
      </c>
      <c r="D172">
        <v>36.5</v>
      </c>
      <c r="E172">
        <f>Tableau4[[#This Row],[Potential (PJ)]]/3.6</f>
        <v>10.138888888888889</v>
      </c>
      <c r="F172">
        <v>1.2747671232876709</v>
      </c>
      <c r="G172">
        <f>Tableau4[[#This Row],[Cost (€/GJ)]]*3.6</f>
        <v>4.5891616438356158</v>
      </c>
      <c r="H172">
        <v>2.9245635910224439</v>
      </c>
      <c r="I172">
        <f>Tableau4[[#This Row],[GHG (kgCO2eq/GJ)]]*3.6</f>
        <v>10.528428927680798</v>
      </c>
      <c r="J172" t="s">
        <v>104</v>
      </c>
      <c r="K172" t="s">
        <v>108</v>
      </c>
    </row>
    <row r="173" spans="1:11" hidden="1" x14ac:dyDescent="0.3">
      <c r="A173" t="s">
        <v>14</v>
      </c>
      <c r="B173" t="s">
        <v>62</v>
      </c>
      <c r="C173" t="s">
        <v>100</v>
      </c>
      <c r="D173">
        <v>12.9</v>
      </c>
      <c r="E173">
        <f>Tableau4[[#This Row],[Potential (PJ)]]/3.6</f>
        <v>3.5833333333333335</v>
      </c>
      <c r="F173">
        <v>7.441860465116279E-2</v>
      </c>
      <c r="G173">
        <f>Tableau4[[#This Row],[Cost (€/GJ)]]*3.6</f>
        <v>0.26790697674418606</v>
      </c>
      <c r="H173">
        <v>2.6764106050305911</v>
      </c>
      <c r="I173">
        <f>Tableau4[[#This Row],[GHG (kgCO2eq/GJ)]]*3.6</f>
        <v>9.6350781781101276</v>
      </c>
      <c r="J173" t="s">
        <v>104</v>
      </c>
      <c r="K173" t="s">
        <v>108</v>
      </c>
    </row>
    <row r="174" spans="1:11" hidden="1" x14ac:dyDescent="0.3">
      <c r="A174" t="s">
        <v>14</v>
      </c>
      <c r="B174" t="s">
        <v>54</v>
      </c>
      <c r="C174" t="s">
        <v>78</v>
      </c>
      <c r="D174">
        <v>84.9</v>
      </c>
      <c r="E174">
        <f>Tableau4[[#This Row],[Potential (PJ)]]/3.6</f>
        <v>23.583333333333336</v>
      </c>
      <c r="F174">
        <v>5.8743180212014128</v>
      </c>
      <c r="G174">
        <f>Tableau4[[#This Row],[Cost (€/GJ)]]*3.6</f>
        <v>21.147544876325085</v>
      </c>
      <c r="H174">
        <v>3.86607608129234</v>
      </c>
      <c r="I174">
        <f>Tableau4[[#This Row],[GHG (kgCO2eq/GJ)]]*3.6</f>
        <v>13.917873892652425</v>
      </c>
      <c r="J174" t="s">
        <v>104</v>
      </c>
      <c r="K174" t="s">
        <v>108</v>
      </c>
    </row>
    <row r="175" spans="1:11" hidden="1" x14ac:dyDescent="0.3">
      <c r="A175" t="s">
        <v>15</v>
      </c>
      <c r="B175" t="s">
        <v>46</v>
      </c>
      <c r="C175" t="s">
        <v>64</v>
      </c>
      <c r="D175">
        <v>0.43258999999999997</v>
      </c>
      <c r="E175">
        <f>Tableau4[[#This Row],[Potential (PJ)]]/3.6</f>
        <v>0.12016388888888888</v>
      </c>
      <c r="F175">
        <v>6.9208251693289258</v>
      </c>
      <c r="G175">
        <f>Tableau4[[#This Row],[Cost (€/GJ)]]*3.6</f>
        <v>24.914970609584135</v>
      </c>
      <c r="H175">
        <v>2.9521711768407801</v>
      </c>
      <c r="I175">
        <f>Tableau4[[#This Row],[GHG (kgCO2eq/GJ)]]*3.6</f>
        <v>10.627816236626808</v>
      </c>
      <c r="J175" t="s">
        <v>104</v>
      </c>
      <c r="K175" t="s">
        <v>108</v>
      </c>
    </row>
    <row r="176" spans="1:11" hidden="1" x14ac:dyDescent="0.3">
      <c r="A176" t="s">
        <v>15</v>
      </c>
      <c r="B176" t="s">
        <v>46</v>
      </c>
      <c r="C176" t="s">
        <v>79</v>
      </c>
      <c r="D176">
        <v>125.2</v>
      </c>
      <c r="E176">
        <f>Tableau4[[#This Row],[Potential (PJ)]]/3.6</f>
        <v>34.777777777777779</v>
      </c>
      <c r="F176">
        <v>4.0333354632587852</v>
      </c>
      <c r="G176">
        <f>Tableau4[[#This Row],[Cost (€/GJ)]]*3.6</f>
        <v>14.520007667731628</v>
      </c>
      <c r="H176">
        <v>6.8428961748633883</v>
      </c>
      <c r="I176">
        <f>Tableau4[[#This Row],[GHG (kgCO2eq/GJ)]]*3.6</f>
        <v>24.634426229508197</v>
      </c>
      <c r="J176" t="s">
        <v>104</v>
      </c>
      <c r="K176" t="s">
        <v>108</v>
      </c>
    </row>
    <row r="177" spans="1:11" hidden="1" x14ac:dyDescent="0.3">
      <c r="A177" t="s">
        <v>15</v>
      </c>
      <c r="B177" t="s">
        <v>46</v>
      </c>
      <c r="C177" t="s">
        <v>65</v>
      </c>
      <c r="D177">
        <v>0.4</v>
      </c>
      <c r="E177">
        <f>Tableau4[[#This Row],[Potential (PJ)]]/3.6</f>
        <v>0.11111111111111112</v>
      </c>
      <c r="F177">
        <v>5.1292500000000008</v>
      </c>
      <c r="G177">
        <f>Tableau4[[#This Row],[Cost (€/GJ)]]*3.6</f>
        <v>18.465300000000003</v>
      </c>
      <c r="H177">
        <v>2.9521711768407801</v>
      </c>
      <c r="I177">
        <f>Tableau4[[#This Row],[GHG (kgCO2eq/GJ)]]*3.6</f>
        <v>10.627816236626808</v>
      </c>
      <c r="J177" t="s">
        <v>104</v>
      </c>
      <c r="K177" t="s">
        <v>108</v>
      </c>
    </row>
    <row r="178" spans="1:11" hidden="1" x14ac:dyDescent="0.3">
      <c r="A178" t="s">
        <v>15</v>
      </c>
      <c r="B178" t="s">
        <v>46</v>
      </c>
      <c r="C178" t="s">
        <v>80</v>
      </c>
      <c r="D178">
        <v>31.672699999999999</v>
      </c>
      <c r="E178">
        <f>Tableau4[[#This Row],[Potential (PJ)]]/3.6</f>
        <v>8.7979722222222225</v>
      </c>
      <c r="F178">
        <v>1.21105866486851</v>
      </c>
      <c r="G178">
        <f>Tableau4[[#This Row],[Cost (€/GJ)]]*3.6</f>
        <v>4.3598111935266362</v>
      </c>
      <c r="H178">
        <v>28.139870918023309</v>
      </c>
      <c r="I178">
        <f>Tableau4[[#This Row],[GHG (kgCO2eq/GJ)]]*3.6</f>
        <v>101.30353530488391</v>
      </c>
      <c r="J178" t="s">
        <v>105</v>
      </c>
      <c r="K178" t="s">
        <v>108</v>
      </c>
    </row>
    <row r="179" spans="1:11" hidden="1" x14ac:dyDescent="0.3">
      <c r="A179" t="s">
        <v>15</v>
      </c>
      <c r="B179" t="s">
        <v>46</v>
      </c>
      <c r="C179" t="s">
        <v>81</v>
      </c>
      <c r="D179">
        <v>67.678200000000004</v>
      </c>
      <c r="E179">
        <f>Tableau4[[#This Row],[Potential (PJ)]]/3.6</f>
        <v>18.799500000000002</v>
      </c>
      <c r="F179">
        <v>1.7549941245593419</v>
      </c>
      <c r="G179">
        <f>Tableau4[[#This Row],[Cost (€/GJ)]]*3.6</f>
        <v>6.317978848413631</v>
      </c>
      <c r="H179">
        <v>8.9647473560517046</v>
      </c>
      <c r="I179">
        <f>Tableau4[[#This Row],[GHG (kgCO2eq/GJ)]]*3.6</f>
        <v>32.273090481786134</v>
      </c>
      <c r="J179" t="s">
        <v>105</v>
      </c>
      <c r="K179" t="s">
        <v>108</v>
      </c>
    </row>
    <row r="180" spans="1:11" hidden="1" x14ac:dyDescent="0.3">
      <c r="A180" t="s">
        <v>15</v>
      </c>
      <c r="B180" t="s">
        <v>46</v>
      </c>
      <c r="C180" t="s">
        <v>66</v>
      </c>
      <c r="D180">
        <v>14.9</v>
      </c>
      <c r="E180">
        <f>Tableau4[[#This Row],[Potential (PJ)]]/3.6</f>
        <v>4.1388888888888893</v>
      </c>
      <c r="F180">
        <v>4.1812751677852349</v>
      </c>
      <c r="G180">
        <f>Tableau4[[#This Row],[Cost (€/GJ)]]*3.6</f>
        <v>15.052590604026847</v>
      </c>
      <c r="H180">
        <v>6.8428961748633883</v>
      </c>
      <c r="I180">
        <f>Tableau4[[#This Row],[GHG (kgCO2eq/GJ)]]*3.6</f>
        <v>24.634426229508197</v>
      </c>
      <c r="J180" t="s">
        <v>104</v>
      </c>
      <c r="K180" t="s">
        <v>108</v>
      </c>
    </row>
    <row r="181" spans="1:11" hidden="1" x14ac:dyDescent="0.3">
      <c r="A181" t="s">
        <v>15</v>
      </c>
      <c r="B181" t="s">
        <v>46</v>
      </c>
      <c r="C181" t="s">
        <v>82</v>
      </c>
      <c r="D181">
        <v>17.7</v>
      </c>
      <c r="E181">
        <f>Tableau4[[#This Row],[Potential (PJ)]]/3.6</f>
        <v>4.9166666666666661</v>
      </c>
      <c r="F181">
        <v>2.5689717514124299</v>
      </c>
      <c r="G181">
        <f>Tableau4[[#This Row],[Cost (€/GJ)]]*3.6</f>
        <v>9.2482983050847487</v>
      </c>
      <c r="H181">
        <v>6.8428961748633883</v>
      </c>
      <c r="I181">
        <f>Tableau4[[#This Row],[GHG (kgCO2eq/GJ)]]*3.6</f>
        <v>24.634426229508197</v>
      </c>
      <c r="J181" t="s">
        <v>104</v>
      </c>
      <c r="K181" t="s">
        <v>108</v>
      </c>
    </row>
    <row r="182" spans="1:11" hidden="1" x14ac:dyDescent="0.3">
      <c r="A182" t="s">
        <v>15</v>
      </c>
      <c r="B182" t="s">
        <v>46</v>
      </c>
      <c r="C182" t="s">
        <v>84</v>
      </c>
      <c r="D182">
        <v>1.9</v>
      </c>
      <c r="E182">
        <f>Tableau4[[#This Row],[Potential (PJ)]]/3.6</f>
        <v>0.52777777777777779</v>
      </c>
      <c r="F182">
        <v>2.4390000000000001</v>
      </c>
      <c r="G182">
        <f>Tableau4[[#This Row],[Cost (€/GJ)]]*3.6</f>
        <v>8.7804000000000002</v>
      </c>
      <c r="H182">
        <v>28.139870918023309</v>
      </c>
      <c r="I182">
        <f>Tableau4[[#This Row],[GHG (kgCO2eq/GJ)]]*3.6</f>
        <v>101.30353530488391</v>
      </c>
      <c r="J182" t="s">
        <v>105</v>
      </c>
      <c r="K182" t="s">
        <v>108</v>
      </c>
    </row>
    <row r="183" spans="1:11" hidden="1" x14ac:dyDescent="0.3">
      <c r="A183" t="s">
        <v>15</v>
      </c>
      <c r="B183" t="s">
        <v>46</v>
      </c>
      <c r="C183" t="s">
        <v>85</v>
      </c>
      <c r="D183">
        <v>1.7</v>
      </c>
      <c r="E183">
        <f>Tableau4[[#This Row],[Potential (PJ)]]/3.6</f>
        <v>0.47222222222222221</v>
      </c>
      <c r="F183">
        <v>4.5541176470588232</v>
      </c>
      <c r="G183">
        <f>Tableau4[[#This Row],[Cost (€/GJ)]]*3.6</f>
        <v>16.394823529411763</v>
      </c>
      <c r="H183">
        <v>2.9521711768407801</v>
      </c>
      <c r="I183">
        <f>Tableau4[[#This Row],[GHG (kgCO2eq/GJ)]]*3.6</f>
        <v>10.627816236626808</v>
      </c>
      <c r="J183" t="s">
        <v>104</v>
      </c>
      <c r="K183" t="s">
        <v>108</v>
      </c>
    </row>
    <row r="184" spans="1:11" hidden="1" x14ac:dyDescent="0.3">
      <c r="A184" t="s">
        <v>15</v>
      </c>
      <c r="B184" t="s">
        <v>55</v>
      </c>
      <c r="C184" t="s">
        <v>86</v>
      </c>
      <c r="D184">
        <v>0.20910000000000001</v>
      </c>
      <c r="E184">
        <f>Tableau4[[#This Row],[Potential (PJ)]]/3.6</f>
        <v>5.8083333333333334E-2</v>
      </c>
      <c r="F184">
        <v>17.73800000000001</v>
      </c>
      <c r="G184">
        <f>Tableau4[[#This Row],[Cost (€/GJ)]]*3.6</f>
        <v>63.856800000000035</v>
      </c>
      <c r="H184">
        <v>6.7</v>
      </c>
      <c r="I184">
        <f>Tableau4[[#This Row],[GHG (kgCO2eq/GJ)]]*3.6</f>
        <v>24.12</v>
      </c>
      <c r="J184" t="s">
        <v>106</v>
      </c>
      <c r="K184" t="s">
        <v>109</v>
      </c>
    </row>
    <row r="185" spans="1:11" hidden="1" x14ac:dyDescent="0.3">
      <c r="A185" t="s">
        <v>15</v>
      </c>
      <c r="B185" t="s">
        <v>55</v>
      </c>
      <c r="C185" t="s">
        <v>87</v>
      </c>
      <c r="D185">
        <v>0.14810000000000001</v>
      </c>
      <c r="E185">
        <f>Tableau4[[#This Row],[Potential (PJ)]]/3.6</f>
        <v>4.1138888888888892E-2</v>
      </c>
      <c r="F185">
        <v>18.88999999999999</v>
      </c>
      <c r="G185">
        <f>Tableau4[[#This Row],[Cost (€/GJ)]]*3.6</f>
        <v>68.003999999999962</v>
      </c>
      <c r="H185">
        <v>6.7</v>
      </c>
      <c r="I185">
        <f>Tableau4[[#This Row],[GHG (kgCO2eq/GJ)]]*3.6</f>
        <v>24.12</v>
      </c>
      <c r="J185" t="s">
        <v>106</v>
      </c>
      <c r="K185" t="s">
        <v>109</v>
      </c>
    </row>
    <row r="186" spans="1:11" hidden="1" x14ac:dyDescent="0.3">
      <c r="A186" t="s">
        <v>15</v>
      </c>
      <c r="B186" t="s">
        <v>55</v>
      </c>
      <c r="C186" t="s">
        <v>88</v>
      </c>
      <c r="D186">
        <v>0.85809999999999997</v>
      </c>
      <c r="E186">
        <f>Tableau4[[#This Row],[Potential (PJ)]]/3.6</f>
        <v>0.23836111111111111</v>
      </c>
      <c r="F186">
        <v>18.000999999999991</v>
      </c>
      <c r="G186">
        <f>Tableau4[[#This Row],[Cost (€/GJ)]]*3.6</f>
        <v>64.803599999999975</v>
      </c>
      <c r="H186">
        <v>6.7</v>
      </c>
      <c r="I186">
        <f>Tableau4[[#This Row],[GHG (kgCO2eq/GJ)]]*3.6</f>
        <v>24.12</v>
      </c>
      <c r="J186" t="s">
        <v>106</v>
      </c>
      <c r="K186" t="s">
        <v>109</v>
      </c>
    </row>
    <row r="187" spans="1:11" hidden="1" x14ac:dyDescent="0.3">
      <c r="A187" t="s">
        <v>15</v>
      </c>
      <c r="B187" t="s">
        <v>55</v>
      </c>
      <c r="C187" t="s">
        <v>89</v>
      </c>
      <c r="D187">
        <v>0.27089999999999997</v>
      </c>
      <c r="E187">
        <f>Tableau4[[#This Row],[Potential (PJ)]]/3.6</f>
        <v>7.5249999999999997E-2</v>
      </c>
      <c r="F187">
        <v>0</v>
      </c>
      <c r="G187">
        <f>Tableau4[[#This Row],[Cost (€/GJ)]]*3.6</f>
        <v>0</v>
      </c>
      <c r="H187">
        <v>6.7</v>
      </c>
      <c r="I187">
        <f>Tableau4[[#This Row],[GHG (kgCO2eq/GJ)]]*3.6</f>
        <v>24.12</v>
      </c>
      <c r="J187" t="s">
        <v>106</v>
      </c>
      <c r="K187" t="s">
        <v>109</v>
      </c>
    </row>
    <row r="188" spans="1:11" hidden="1" x14ac:dyDescent="0.3">
      <c r="A188" t="s">
        <v>15</v>
      </c>
      <c r="B188" t="s">
        <v>55</v>
      </c>
      <c r="C188" t="s">
        <v>90</v>
      </c>
      <c r="D188">
        <v>0.1124</v>
      </c>
      <c r="E188">
        <f>Tableau4[[#This Row],[Potential (PJ)]]/3.6</f>
        <v>3.1222222222222221E-2</v>
      </c>
      <c r="F188">
        <v>19.126999999999988</v>
      </c>
      <c r="G188">
        <f>Tableau4[[#This Row],[Cost (€/GJ)]]*3.6</f>
        <v>68.857199999999963</v>
      </c>
      <c r="H188">
        <v>6.7</v>
      </c>
      <c r="I188">
        <f>Tableau4[[#This Row],[GHG (kgCO2eq/GJ)]]*3.6</f>
        <v>24.12</v>
      </c>
      <c r="J188" t="s">
        <v>106</v>
      </c>
      <c r="K188" t="s">
        <v>109</v>
      </c>
    </row>
    <row r="189" spans="1:11" hidden="1" x14ac:dyDescent="0.3">
      <c r="A189" t="s">
        <v>15</v>
      </c>
      <c r="B189" t="s">
        <v>55</v>
      </c>
      <c r="C189" t="s">
        <v>91</v>
      </c>
      <c r="D189">
        <v>5.0373999999999999</v>
      </c>
      <c r="E189">
        <f>Tableau4[[#This Row],[Potential (PJ)]]/3.6</f>
        <v>1.3992777777777776</v>
      </c>
      <c r="F189">
        <v>16.501999999999999</v>
      </c>
      <c r="G189">
        <f>Tableau4[[#This Row],[Cost (€/GJ)]]*3.6</f>
        <v>59.407199999999996</v>
      </c>
      <c r="H189">
        <v>6.7</v>
      </c>
      <c r="I189">
        <f>Tableau4[[#This Row],[GHG (kgCO2eq/GJ)]]*3.6</f>
        <v>24.12</v>
      </c>
      <c r="J189" t="s">
        <v>106</v>
      </c>
      <c r="K189" t="s">
        <v>109</v>
      </c>
    </row>
    <row r="190" spans="1:11" hidden="1" x14ac:dyDescent="0.3">
      <c r="A190" t="s">
        <v>15</v>
      </c>
      <c r="B190" t="s">
        <v>55</v>
      </c>
      <c r="C190" t="s">
        <v>92</v>
      </c>
      <c r="D190">
        <v>2.4919699999999998</v>
      </c>
      <c r="E190">
        <f>Tableau4[[#This Row],[Potential (PJ)]]/3.6</f>
        <v>0.6922138888888888</v>
      </c>
      <c r="F190">
        <v>18.88999999999999</v>
      </c>
      <c r="G190">
        <f>Tableau4[[#This Row],[Cost (€/GJ)]]*3.6</f>
        <v>68.003999999999962</v>
      </c>
      <c r="H190">
        <v>6.7</v>
      </c>
      <c r="I190">
        <f>Tableau4[[#This Row],[GHG (kgCO2eq/GJ)]]*3.6</f>
        <v>24.12</v>
      </c>
      <c r="J190" t="s">
        <v>106</v>
      </c>
      <c r="K190" t="s">
        <v>109</v>
      </c>
    </row>
    <row r="191" spans="1:11" hidden="1" x14ac:dyDescent="0.3">
      <c r="A191" t="s">
        <v>15</v>
      </c>
      <c r="B191" t="s">
        <v>56</v>
      </c>
      <c r="C191" t="s">
        <v>93</v>
      </c>
      <c r="D191">
        <v>47.865000000000002</v>
      </c>
      <c r="E191">
        <f>Tableau4[[#This Row],[Potential (PJ)]]/3.6</f>
        <v>13.295833333333334</v>
      </c>
      <c r="F191">
        <v>2.939759036144578</v>
      </c>
      <c r="G191">
        <f>Tableau4[[#This Row],[Cost (€/GJ)]]*3.6</f>
        <v>10.583132530120482</v>
      </c>
      <c r="H191">
        <v>22.3</v>
      </c>
      <c r="I191">
        <f>Tableau4[[#This Row],[GHG (kgCO2eq/GJ)]]*3.6</f>
        <v>80.28</v>
      </c>
      <c r="J191" t="s">
        <v>106</v>
      </c>
      <c r="K191" t="s">
        <v>109</v>
      </c>
    </row>
    <row r="192" spans="1:11" x14ac:dyDescent="0.3">
      <c r="A192" t="s">
        <v>15</v>
      </c>
      <c r="B192" t="s">
        <v>47</v>
      </c>
      <c r="C192" t="s">
        <v>68</v>
      </c>
      <c r="D192">
        <v>77</v>
      </c>
      <c r="E192">
        <f>Tableau4[[#This Row],[Potential (PJ)]]/3.6</f>
        <v>21.388888888888889</v>
      </c>
      <c r="F192">
        <v>5.1229220779220777</v>
      </c>
      <c r="G192">
        <f>Tableau4[[#This Row],[Cost (€/GJ)]]*3.6</f>
        <v>18.442519480519479</v>
      </c>
      <c r="H192">
        <v>25.4</v>
      </c>
      <c r="I192">
        <f>Tableau4[[#This Row],[GHG (kgCO2eq/GJ)]]*3.6</f>
        <v>91.44</v>
      </c>
      <c r="J192" t="s">
        <v>104</v>
      </c>
      <c r="K192" t="s">
        <v>109</v>
      </c>
    </row>
    <row r="193" spans="1:11" x14ac:dyDescent="0.3">
      <c r="A193" t="s">
        <v>15</v>
      </c>
      <c r="B193" t="s">
        <v>47</v>
      </c>
      <c r="C193" t="s">
        <v>69</v>
      </c>
      <c r="D193">
        <v>138</v>
      </c>
      <c r="E193">
        <f>Tableau4[[#This Row],[Potential (PJ)]]/3.6</f>
        <v>38.333333333333336</v>
      </c>
      <c r="F193">
        <v>4.4290695652173913</v>
      </c>
      <c r="G193">
        <f>Tableau4[[#This Row],[Cost (€/GJ)]]*3.6</f>
        <v>15.944650434782609</v>
      </c>
      <c r="H193">
        <v>25.4</v>
      </c>
      <c r="I193">
        <f>Tableau4[[#This Row],[GHG (kgCO2eq/GJ)]]*3.6</f>
        <v>91.44</v>
      </c>
      <c r="J193" t="s">
        <v>104</v>
      </c>
      <c r="K193" t="s">
        <v>109</v>
      </c>
    </row>
    <row r="194" spans="1:11" x14ac:dyDescent="0.3">
      <c r="A194" t="s">
        <v>15</v>
      </c>
      <c r="B194" t="s">
        <v>57</v>
      </c>
      <c r="C194" t="s">
        <v>94</v>
      </c>
      <c r="D194">
        <v>28.1</v>
      </c>
      <c r="E194">
        <f>Tableau4[[#This Row],[Potential (PJ)]]/3.6</f>
        <v>7.8055555555555554</v>
      </c>
      <c r="F194">
        <v>9.2809430604982186</v>
      </c>
      <c r="G194">
        <f>Tableau4[[#This Row],[Cost (€/GJ)]]*3.6</f>
        <v>33.411395017793588</v>
      </c>
      <c r="H194">
        <v>23.7</v>
      </c>
      <c r="I194">
        <f>Tableau4[[#This Row],[GHG (kgCO2eq/GJ)]]*3.6</f>
        <v>85.32</v>
      </c>
      <c r="J194" t="s">
        <v>104</v>
      </c>
      <c r="K194" t="s">
        <v>109</v>
      </c>
    </row>
    <row r="195" spans="1:11" hidden="1" x14ac:dyDescent="0.3">
      <c r="A195" t="s">
        <v>15</v>
      </c>
      <c r="B195" t="s">
        <v>49</v>
      </c>
      <c r="C195" t="s">
        <v>71</v>
      </c>
      <c r="D195">
        <v>824.89931999999999</v>
      </c>
      <c r="E195">
        <f>Tableau4[[#This Row],[Potential (PJ)]]/3.6</f>
        <v>229.1387</v>
      </c>
      <c r="F195">
        <v>3.7906528286142849</v>
      </c>
      <c r="G195">
        <f>Tableau4[[#This Row],[Cost (€/GJ)]]*3.6</f>
        <v>13.646350183011426</v>
      </c>
      <c r="H195">
        <v>3.86607608129234</v>
      </c>
      <c r="I195">
        <f>Tableau4[[#This Row],[GHG (kgCO2eq/GJ)]]*3.6</f>
        <v>13.917873892652425</v>
      </c>
      <c r="J195" t="s">
        <v>104</v>
      </c>
      <c r="K195" t="s">
        <v>108</v>
      </c>
    </row>
    <row r="196" spans="1:11" hidden="1" x14ac:dyDescent="0.3">
      <c r="A196" t="s">
        <v>15</v>
      </c>
      <c r="B196" t="s">
        <v>49</v>
      </c>
      <c r="C196" t="s">
        <v>72</v>
      </c>
      <c r="D196">
        <v>52.5</v>
      </c>
      <c r="E196">
        <f>Tableau4[[#This Row],[Potential (PJ)]]/3.6</f>
        <v>14.583333333333332</v>
      </c>
      <c r="F196">
        <v>3.0403542857142849</v>
      </c>
      <c r="G196">
        <f>Tableau4[[#This Row],[Cost (€/GJ)]]*3.6</f>
        <v>10.945275428571426</v>
      </c>
      <c r="H196">
        <v>3.86607608129234</v>
      </c>
      <c r="I196">
        <f>Tableau4[[#This Row],[GHG (kgCO2eq/GJ)]]*3.6</f>
        <v>13.917873892652425</v>
      </c>
      <c r="J196" t="s">
        <v>104</v>
      </c>
      <c r="K196" t="s">
        <v>108</v>
      </c>
    </row>
    <row r="197" spans="1:11" hidden="1" x14ac:dyDescent="0.3">
      <c r="A197" t="s">
        <v>15</v>
      </c>
      <c r="B197" t="s">
        <v>58</v>
      </c>
      <c r="C197" t="s">
        <v>95</v>
      </c>
      <c r="D197">
        <v>33.48021</v>
      </c>
      <c r="E197">
        <f>Tableau4[[#This Row],[Potential (PJ)]]/3.6</f>
        <v>9.3000583333333324</v>
      </c>
      <c r="F197">
        <v>2.079645252225121</v>
      </c>
      <c r="G197">
        <f>Tableau4[[#This Row],[Cost (€/GJ)]]*3.6</f>
        <v>7.4867229080104361</v>
      </c>
      <c r="H197">
        <v>2.9521711768407801</v>
      </c>
      <c r="I197">
        <f>Tableau4[[#This Row],[GHG (kgCO2eq/GJ)]]*3.6</f>
        <v>10.627816236626808</v>
      </c>
      <c r="J197" t="s">
        <v>104</v>
      </c>
      <c r="K197" t="s">
        <v>108</v>
      </c>
    </row>
    <row r="198" spans="1:11" hidden="1" x14ac:dyDescent="0.3">
      <c r="A198" t="s">
        <v>15</v>
      </c>
      <c r="B198" t="s">
        <v>50</v>
      </c>
      <c r="C198" t="s">
        <v>73</v>
      </c>
      <c r="D198">
        <v>83.8</v>
      </c>
      <c r="E198">
        <f>Tableau4[[#This Row],[Potential (PJ)]]/3.6</f>
        <v>23.277777777777775</v>
      </c>
      <c r="F198">
        <v>5.6669677804295944</v>
      </c>
      <c r="G198">
        <f>Tableau4[[#This Row],[Cost (€/GJ)]]*3.6</f>
        <v>20.40108400954654</v>
      </c>
      <c r="H198">
        <v>20.723404255319149</v>
      </c>
      <c r="I198">
        <f>Tableau4[[#This Row],[GHG (kgCO2eq/GJ)]]*3.6</f>
        <v>74.604255319148933</v>
      </c>
      <c r="J198" t="s">
        <v>105</v>
      </c>
      <c r="K198" t="s">
        <v>108</v>
      </c>
    </row>
    <row r="199" spans="1:11" hidden="1" x14ac:dyDescent="0.3">
      <c r="A199" t="s">
        <v>15</v>
      </c>
      <c r="B199" t="s">
        <v>50</v>
      </c>
      <c r="C199" t="s">
        <v>74</v>
      </c>
      <c r="D199">
        <v>82</v>
      </c>
      <c r="E199">
        <f>Tableau4[[#This Row],[Potential (PJ)]]/3.6</f>
        <v>22.777777777777779</v>
      </c>
      <c r="F199">
        <v>6.2889243902439027</v>
      </c>
      <c r="G199">
        <f>Tableau4[[#This Row],[Cost (€/GJ)]]*3.6</f>
        <v>22.640127804878052</v>
      </c>
      <c r="H199">
        <v>2.0635593220338988</v>
      </c>
      <c r="I199">
        <f>Tableau4[[#This Row],[GHG (kgCO2eq/GJ)]]*3.6</f>
        <v>7.4288135593220357</v>
      </c>
      <c r="J199" t="s">
        <v>105</v>
      </c>
      <c r="K199" t="s">
        <v>108</v>
      </c>
    </row>
    <row r="200" spans="1:11" hidden="1" x14ac:dyDescent="0.3">
      <c r="A200" t="s">
        <v>15</v>
      </c>
      <c r="B200" t="s">
        <v>51</v>
      </c>
      <c r="C200" t="s">
        <v>75</v>
      </c>
      <c r="D200">
        <v>168.85900000000001</v>
      </c>
      <c r="E200">
        <f>Tableau4[[#This Row],[Potential (PJ)]]/3.6</f>
        <v>46.905277777777776</v>
      </c>
      <c r="F200">
        <v>4.3142055548883403E-2</v>
      </c>
      <c r="G200">
        <f>Tableau4[[#This Row],[Cost (€/GJ)]]*3.6</f>
        <v>0.15531139997598026</v>
      </c>
      <c r="H200">
        <v>11.74</v>
      </c>
      <c r="I200">
        <f>Tableau4[[#This Row],[GHG (kgCO2eq/GJ)]]*3.6</f>
        <v>42.264000000000003</v>
      </c>
      <c r="J200" t="s">
        <v>104</v>
      </c>
      <c r="K200" t="s">
        <v>108</v>
      </c>
    </row>
    <row r="201" spans="1:11" hidden="1" x14ac:dyDescent="0.3">
      <c r="A201" t="s">
        <v>15</v>
      </c>
      <c r="B201" t="s">
        <v>60</v>
      </c>
      <c r="C201" t="s">
        <v>98</v>
      </c>
      <c r="D201">
        <v>103.05166</v>
      </c>
      <c r="E201">
        <f>Tableau4[[#This Row],[Potential (PJ)]]/3.6</f>
        <v>28.625461111111111</v>
      </c>
      <c r="F201">
        <v>18.259935553168631</v>
      </c>
      <c r="G201">
        <f>Tableau4[[#This Row],[Cost (€/GJ)]]*3.6</f>
        <v>65.735767991407073</v>
      </c>
      <c r="H201">
        <v>19.399999999999999</v>
      </c>
      <c r="I201">
        <f>Tableau4[[#This Row],[GHG (kgCO2eq/GJ)]]*3.6</f>
        <v>69.84</v>
      </c>
      <c r="J201" t="s">
        <v>107</v>
      </c>
      <c r="K201" t="s">
        <v>109</v>
      </c>
    </row>
    <row r="202" spans="1:11" hidden="1" x14ac:dyDescent="0.3">
      <c r="A202" t="s">
        <v>15</v>
      </c>
      <c r="B202" t="s">
        <v>52</v>
      </c>
      <c r="C202" t="s">
        <v>76</v>
      </c>
      <c r="D202">
        <v>14.829000000000001</v>
      </c>
      <c r="E202">
        <f>Tableau4[[#This Row],[Potential (PJ)]]/3.6</f>
        <v>4.1191666666666666</v>
      </c>
      <c r="F202">
        <v>4.7567250000000003</v>
      </c>
      <c r="G202">
        <f>Tableau4[[#This Row],[Cost (€/GJ)]]*3.6</f>
        <v>17.124210000000001</v>
      </c>
      <c r="H202">
        <v>12.68872359754714</v>
      </c>
      <c r="I202">
        <f>Tableau4[[#This Row],[GHG (kgCO2eq/GJ)]]*3.6</f>
        <v>45.679404951169708</v>
      </c>
      <c r="J202" t="s">
        <v>105</v>
      </c>
      <c r="K202" t="s">
        <v>108</v>
      </c>
    </row>
    <row r="203" spans="1:11" hidden="1" x14ac:dyDescent="0.3">
      <c r="A203" t="s">
        <v>15</v>
      </c>
      <c r="B203" t="s">
        <v>53</v>
      </c>
      <c r="C203" t="s">
        <v>77</v>
      </c>
      <c r="D203">
        <v>25.5</v>
      </c>
      <c r="E203">
        <f>Tableau4[[#This Row],[Potential (PJ)]]/3.6</f>
        <v>7.083333333333333</v>
      </c>
      <c r="F203">
        <v>3.0404392156862738</v>
      </c>
      <c r="G203">
        <f>Tableau4[[#This Row],[Cost (€/GJ)]]*3.6</f>
        <v>10.945581176470586</v>
      </c>
      <c r="H203">
        <v>3.86607608129234</v>
      </c>
      <c r="I203">
        <f>Tableau4[[#This Row],[GHG (kgCO2eq/GJ)]]*3.6</f>
        <v>13.917873892652425</v>
      </c>
      <c r="J203" t="s">
        <v>104</v>
      </c>
      <c r="K203" t="s">
        <v>108</v>
      </c>
    </row>
    <row r="204" spans="1:11" hidden="1" x14ac:dyDescent="0.3">
      <c r="A204" t="s">
        <v>15</v>
      </c>
      <c r="B204" t="s">
        <v>61</v>
      </c>
      <c r="C204" t="s">
        <v>99</v>
      </c>
      <c r="D204">
        <v>102.5</v>
      </c>
      <c r="E204">
        <f>Tableau4[[#This Row],[Potential (PJ)]]/3.6</f>
        <v>28.472222222222221</v>
      </c>
      <c r="F204">
        <v>1.633119024390244</v>
      </c>
      <c r="G204">
        <f>Tableau4[[#This Row],[Cost (€/GJ)]]*3.6</f>
        <v>5.8792284878048786</v>
      </c>
      <c r="H204">
        <v>2.9245635910224439</v>
      </c>
      <c r="I204">
        <f>Tableau4[[#This Row],[GHG (kgCO2eq/GJ)]]*3.6</f>
        <v>10.528428927680798</v>
      </c>
      <c r="J204" t="s">
        <v>104</v>
      </c>
      <c r="K204" t="s">
        <v>108</v>
      </c>
    </row>
    <row r="205" spans="1:11" hidden="1" x14ac:dyDescent="0.3">
      <c r="A205" t="s">
        <v>15</v>
      </c>
      <c r="B205" t="s">
        <v>62</v>
      </c>
      <c r="C205" t="s">
        <v>100</v>
      </c>
      <c r="D205">
        <v>27.8</v>
      </c>
      <c r="E205">
        <f>Tableau4[[#This Row],[Potential (PJ)]]/3.6</f>
        <v>7.7222222222222223</v>
      </c>
      <c r="F205">
        <v>3.2374100719424467E-2</v>
      </c>
      <c r="G205">
        <f>Tableau4[[#This Row],[Cost (€/GJ)]]*3.6</f>
        <v>0.11654676258992809</v>
      </c>
      <c r="H205">
        <v>2.6764106050305911</v>
      </c>
      <c r="I205">
        <f>Tableau4[[#This Row],[GHG (kgCO2eq/GJ)]]*3.6</f>
        <v>9.6350781781101276</v>
      </c>
      <c r="J205" t="s">
        <v>104</v>
      </c>
      <c r="K205" t="s">
        <v>108</v>
      </c>
    </row>
    <row r="206" spans="1:11" hidden="1" x14ac:dyDescent="0.3">
      <c r="A206" t="s">
        <v>15</v>
      </c>
      <c r="B206" t="s">
        <v>54</v>
      </c>
      <c r="C206" t="s">
        <v>78</v>
      </c>
      <c r="D206">
        <v>400.2</v>
      </c>
      <c r="E206">
        <f>Tableau4[[#This Row],[Potential (PJ)]]/3.6</f>
        <v>111.16666666666666</v>
      </c>
      <c r="F206">
        <v>5.8796746626686653</v>
      </c>
      <c r="G206">
        <f>Tableau4[[#This Row],[Cost (€/GJ)]]*3.6</f>
        <v>21.166828785607194</v>
      </c>
      <c r="H206">
        <v>3.86607608129234</v>
      </c>
      <c r="I206">
        <f>Tableau4[[#This Row],[GHG (kgCO2eq/GJ)]]*3.6</f>
        <v>13.917873892652425</v>
      </c>
      <c r="J206" t="s">
        <v>104</v>
      </c>
      <c r="K206" t="s">
        <v>108</v>
      </c>
    </row>
    <row r="207" spans="1:11" hidden="1" x14ac:dyDescent="0.3">
      <c r="A207" t="s">
        <v>16</v>
      </c>
      <c r="B207" t="s">
        <v>46</v>
      </c>
      <c r="C207" t="s">
        <v>64</v>
      </c>
      <c r="D207">
        <v>1.9689999999999999E-2</v>
      </c>
      <c r="E207">
        <f>Tableau4[[#This Row],[Potential (PJ)]]/3.6</f>
        <v>5.4694444444444443E-3</v>
      </c>
      <c r="F207">
        <v>2.8250492635855768</v>
      </c>
      <c r="G207">
        <f>Tableau4[[#This Row],[Cost (€/GJ)]]*3.6</f>
        <v>10.170177348908076</v>
      </c>
      <c r="H207">
        <v>2.9521711768407801</v>
      </c>
      <c r="I207">
        <f>Tableau4[[#This Row],[GHG (kgCO2eq/GJ)]]*3.6</f>
        <v>10.627816236626808</v>
      </c>
      <c r="J207" t="s">
        <v>104</v>
      </c>
      <c r="K207" t="s">
        <v>108</v>
      </c>
    </row>
    <row r="208" spans="1:11" hidden="1" x14ac:dyDescent="0.3">
      <c r="A208" t="s">
        <v>16</v>
      </c>
      <c r="B208" t="s">
        <v>46</v>
      </c>
      <c r="C208" t="s">
        <v>79</v>
      </c>
      <c r="D208">
        <v>30.8</v>
      </c>
      <c r="E208">
        <f>Tableau4[[#This Row],[Potential (PJ)]]/3.6</f>
        <v>8.5555555555555554</v>
      </c>
      <c r="F208">
        <v>3.449938311688312</v>
      </c>
      <c r="G208">
        <f>Tableau4[[#This Row],[Cost (€/GJ)]]*3.6</f>
        <v>12.419777922077923</v>
      </c>
      <c r="H208">
        <v>6.8428961748633883</v>
      </c>
      <c r="I208">
        <f>Tableau4[[#This Row],[GHG (kgCO2eq/GJ)]]*3.6</f>
        <v>24.634426229508197</v>
      </c>
      <c r="J208" t="s">
        <v>104</v>
      </c>
      <c r="K208" t="s">
        <v>108</v>
      </c>
    </row>
    <row r="209" spans="1:11" hidden="1" x14ac:dyDescent="0.3">
      <c r="A209" t="s">
        <v>16</v>
      </c>
      <c r="B209" t="s">
        <v>46</v>
      </c>
      <c r="C209" t="s">
        <v>80</v>
      </c>
      <c r="D209">
        <v>0.23219999999999999</v>
      </c>
      <c r="E209">
        <f>Tableau4[[#This Row],[Potential (PJ)]]/3.6</f>
        <v>6.4500000000000002E-2</v>
      </c>
      <c r="F209">
        <v>0.58125421443020897</v>
      </c>
      <c r="G209">
        <f>Tableau4[[#This Row],[Cost (€/GJ)]]*3.6</f>
        <v>2.0925151719487523</v>
      </c>
      <c r="H209">
        <v>28.139870918023309</v>
      </c>
      <c r="I209">
        <f>Tableau4[[#This Row],[GHG (kgCO2eq/GJ)]]*3.6</f>
        <v>101.30353530488391</v>
      </c>
      <c r="J209" t="s">
        <v>105</v>
      </c>
      <c r="K209" t="s">
        <v>108</v>
      </c>
    </row>
    <row r="210" spans="1:11" hidden="1" x14ac:dyDescent="0.3">
      <c r="A210" t="s">
        <v>16</v>
      </c>
      <c r="B210" t="s">
        <v>46</v>
      </c>
      <c r="C210" t="s">
        <v>81</v>
      </c>
      <c r="D210">
        <v>2.4744999999999999</v>
      </c>
      <c r="E210">
        <f>Tableau4[[#This Row],[Potential (PJ)]]/3.6</f>
        <v>0.68736111111111109</v>
      </c>
      <c r="F210">
        <v>1.7121034077555819</v>
      </c>
      <c r="G210">
        <f>Tableau4[[#This Row],[Cost (€/GJ)]]*3.6</f>
        <v>6.1635722679200953</v>
      </c>
      <c r="H210">
        <v>8.9647473560517046</v>
      </c>
      <c r="I210">
        <f>Tableau4[[#This Row],[GHG (kgCO2eq/GJ)]]*3.6</f>
        <v>32.273090481786134</v>
      </c>
      <c r="J210" t="s">
        <v>105</v>
      </c>
      <c r="K210" t="s">
        <v>108</v>
      </c>
    </row>
    <row r="211" spans="1:11" hidden="1" x14ac:dyDescent="0.3">
      <c r="A211" t="s">
        <v>16</v>
      </c>
      <c r="B211" t="s">
        <v>46</v>
      </c>
      <c r="C211" t="s">
        <v>84</v>
      </c>
      <c r="D211">
        <v>0.2</v>
      </c>
      <c r="E211">
        <f>Tableau4[[#This Row],[Potential (PJ)]]/3.6</f>
        <v>5.5555555555555559E-2</v>
      </c>
      <c r="F211">
        <v>3.0910000000000002</v>
      </c>
      <c r="G211">
        <f>Tableau4[[#This Row],[Cost (€/GJ)]]*3.6</f>
        <v>11.127600000000001</v>
      </c>
      <c r="H211">
        <v>28.139870918023309</v>
      </c>
      <c r="I211">
        <f>Tableau4[[#This Row],[GHG (kgCO2eq/GJ)]]*3.6</f>
        <v>101.30353530488391</v>
      </c>
      <c r="J211" t="s">
        <v>105</v>
      </c>
      <c r="K211" t="s">
        <v>108</v>
      </c>
    </row>
    <row r="212" spans="1:11" hidden="1" x14ac:dyDescent="0.3">
      <c r="A212" t="s">
        <v>16</v>
      </c>
      <c r="B212" t="s">
        <v>55</v>
      </c>
      <c r="C212" t="s">
        <v>86</v>
      </c>
      <c r="D212">
        <v>1.1796</v>
      </c>
      <c r="E212">
        <f>Tableau4[[#This Row],[Potential (PJ)]]/3.6</f>
        <v>0.32766666666666666</v>
      </c>
      <c r="F212">
        <v>18.36</v>
      </c>
      <c r="G212">
        <f>Tableau4[[#This Row],[Cost (€/GJ)]]*3.6</f>
        <v>66.096000000000004</v>
      </c>
      <c r="H212">
        <v>22.2</v>
      </c>
      <c r="I212">
        <f>Tableau4[[#This Row],[GHG (kgCO2eq/GJ)]]*3.6</f>
        <v>79.92</v>
      </c>
      <c r="J212" t="s">
        <v>106</v>
      </c>
      <c r="K212" t="s">
        <v>109</v>
      </c>
    </row>
    <row r="213" spans="1:11" hidden="1" x14ac:dyDescent="0.3">
      <c r="A213" t="s">
        <v>16</v>
      </c>
      <c r="B213" t="s">
        <v>55</v>
      </c>
      <c r="C213" t="s">
        <v>91</v>
      </c>
      <c r="D213">
        <v>3.7000000000000002E-3</v>
      </c>
      <c r="E213">
        <f>Tableau4[[#This Row],[Potential (PJ)]]/3.6</f>
        <v>1.0277777777777778E-3</v>
      </c>
      <c r="F213">
        <v>15.871</v>
      </c>
      <c r="G213">
        <f>Tableau4[[#This Row],[Cost (€/GJ)]]*3.6</f>
        <v>57.135600000000004</v>
      </c>
      <c r="H213">
        <v>22.2</v>
      </c>
      <c r="I213">
        <f>Tableau4[[#This Row],[GHG (kgCO2eq/GJ)]]*3.6</f>
        <v>79.92</v>
      </c>
      <c r="J213" t="s">
        <v>106</v>
      </c>
      <c r="K213" t="s">
        <v>109</v>
      </c>
    </row>
    <row r="214" spans="1:11" hidden="1" x14ac:dyDescent="0.3">
      <c r="A214" t="s">
        <v>16</v>
      </c>
      <c r="B214" t="s">
        <v>55</v>
      </c>
      <c r="C214" t="s">
        <v>92</v>
      </c>
      <c r="D214">
        <v>0.71046999999999993</v>
      </c>
      <c r="E214">
        <f>Tableau4[[#This Row],[Potential (PJ)]]/3.6</f>
        <v>0.19735277777777777</v>
      </c>
      <c r="F214">
        <v>17.760000000000002</v>
      </c>
      <c r="G214">
        <f>Tableau4[[#This Row],[Cost (€/GJ)]]*3.6</f>
        <v>63.936000000000007</v>
      </c>
      <c r="H214">
        <v>22.2</v>
      </c>
      <c r="I214">
        <f>Tableau4[[#This Row],[GHG (kgCO2eq/GJ)]]*3.6</f>
        <v>79.92</v>
      </c>
      <c r="J214" t="s">
        <v>106</v>
      </c>
      <c r="K214" t="s">
        <v>109</v>
      </c>
    </row>
    <row r="215" spans="1:11" hidden="1" x14ac:dyDescent="0.3">
      <c r="A215" t="s">
        <v>16</v>
      </c>
      <c r="B215" t="s">
        <v>56</v>
      </c>
      <c r="C215" t="s">
        <v>93</v>
      </c>
      <c r="D215">
        <v>2.9689999999999999</v>
      </c>
      <c r="E215">
        <f>Tableau4[[#This Row],[Potential (PJ)]]/3.6</f>
        <v>0.82472222222222213</v>
      </c>
      <c r="F215">
        <v>4.3084337349397588</v>
      </c>
      <c r="G215">
        <f>Tableau4[[#This Row],[Cost (€/GJ)]]*3.6</f>
        <v>15.510361445783133</v>
      </c>
      <c r="H215">
        <v>29.8</v>
      </c>
      <c r="I215">
        <f>Tableau4[[#This Row],[GHG (kgCO2eq/GJ)]]*3.6</f>
        <v>107.28</v>
      </c>
      <c r="J215" t="s">
        <v>106</v>
      </c>
      <c r="K215" t="s">
        <v>109</v>
      </c>
    </row>
    <row r="216" spans="1:11" x14ac:dyDescent="0.3">
      <c r="A216" t="s">
        <v>16</v>
      </c>
      <c r="B216" t="s">
        <v>47</v>
      </c>
      <c r="C216" t="s">
        <v>101</v>
      </c>
      <c r="D216">
        <v>7.6999999999999993</v>
      </c>
      <c r="E216">
        <f>Tableau4[[#This Row],[Potential (PJ)]]/3.6</f>
        <v>2.1388888888888888</v>
      </c>
      <c r="F216">
        <v>7.2739610389610387</v>
      </c>
      <c r="G216">
        <f>Tableau4[[#This Row],[Cost (€/GJ)]]*3.6</f>
        <v>26.186259740259739</v>
      </c>
      <c r="H216">
        <v>37.5</v>
      </c>
      <c r="I216">
        <f>Tableau4[[#This Row],[GHG (kgCO2eq/GJ)]]*3.6</f>
        <v>135</v>
      </c>
      <c r="J216" t="s">
        <v>104</v>
      </c>
      <c r="K216" t="s">
        <v>109</v>
      </c>
    </row>
    <row r="217" spans="1:11" x14ac:dyDescent="0.3">
      <c r="A217" t="s">
        <v>16</v>
      </c>
      <c r="B217" t="s">
        <v>57</v>
      </c>
      <c r="C217" t="s">
        <v>94</v>
      </c>
      <c r="D217">
        <v>3.3</v>
      </c>
      <c r="E217">
        <f>Tableau4[[#This Row],[Potential (PJ)]]/3.6</f>
        <v>0.91666666666666663</v>
      </c>
      <c r="F217">
        <v>14.366424242424239</v>
      </c>
      <c r="G217">
        <f>Tableau4[[#This Row],[Cost (€/GJ)]]*3.6</f>
        <v>51.719127272727263</v>
      </c>
      <c r="H217">
        <v>15.9</v>
      </c>
      <c r="I217">
        <f>Tableau4[[#This Row],[GHG (kgCO2eq/GJ)]]*3.6</f>
        <v>57.24</v>
      </c>
      <c r="J217" t="s">
        <v>104</v>
      </c>
      <c r="K217" t="s">
        <v>109</v>
      </c>
    </row>
    <row r="218" spans="1:11" hidden="1" x14ac:dyDescent="0.3">
      <c r="A218" t="s">
        <v>16</v>
      </c>
      <c r="B218" t="s">
        <v>49</v>
      </c>
      <c r="C218" t="s">
        <v>71</v>
      </c>
      <c r="D218">
        <v>42.285080000000001</v>
      </c>
      <c r="E218">
        <f>Tableau4[[#This Row],[Potential (PJ)]]/3.6</f>
        <v>11.745855555555556</v>
      </c>
      <c r="F218">
        <v>3.3323964369938519</v>
      </c>
      <c r="G218">
        <f>Tableau4[[#This Row],[Cost (€/GJ)]]*3.6</f>
        <v>11.996627173177867</v>
      </c>
      <c r="H218">
        <v>3.86607608129234</v>
      </c>
      <c r="I218">
        <f>Tableau4[[#This Row],[GHG (kgCO2eq/GJ)]]*3.6</f>
        <v>13.917873892652425</v>
      </c>
      <c r="J218" t="s">
        <v>104</v>
      </c>
      <c r="K218" t="s">
        <v>108</v>
      </c>
    </row>
    <row r="219" spans="1:11" hidden="1" x14ac:dyDescent="0.3">
      <c r="A219" t="s">
        <v>16</v>
      </c>
      <c r="B219" t="s">
        <v>49</v>
      </c>
      <c r="C219" t="s">
        <v>72</v>
      </c>
      <c r="D219">
        <v>10.8</v>
      </c>
      <c r="E219">
        <f>Tableau4[[#This Row],[Potential (PJ)]]/3.6</f>
        <v>3</v>
      </c>
      <c r="F219">
        <v>2.6842870370370369</v>
      </c>
      <c r="G219">
        <f>Tableau4[[#This Row],[Cost (€/GJ)]]*3.6</f>
        <v>9.6634333333333338</v>
      </c>
      <c r="H219">
        <v>3.86607608129234</v>
      </c>
      <c r="I219">
        <f>Tableau4[[#This Row],[GHG (kgCO2eq/GJ)]]*3.6</f>
        <v>13.917873892652425</v>
      </c>
      <c r="J219" t="s">
        <v>104</v>
      </c>
      <c r="K219" t="s">
        <v>108</v>
      </c>
    </row>
    <row r="220" spans="1:11" hidden="1" x14ac:dyDescent="0.3">
      <c r="A220" t="s">
        <v>16</v>
      </c>
      <c r="B220" t="s">
        <v>58</v>
      </c>
      <c r="C220" t="s">
        <v>95</v>
      </c>
      <c r="D220">
        <v>7.4134799999999998</v>
      </c>
      <c r="E220">
        <f>Tableau4[[#This Row],[Potential (PJ)]]/3.6</f>
        <v>2.0592999999999999</v>
      </c>
      <c r="F220">
        <v>2.2709999999999999</v>
      </c>
      <c r="G220">
        <f>Tableau4[[#This Row],[Cost (€/GJ)]]*3.6</f>
        <v>8.1755999999999993</v>
      </c>
      <c r="H220">
        <v>2.9521711768407801</v>
      </c>
      <c r="I220">
        <f>Tableau4[[#This Row],[GHG (kgCO2eq/GJ)]]*3.6</f>
        <v>10.627816236626808</v>
      </c>
      <c r="J220" t="s">
        <v>104</v>
      </c>
      <c r="K220" t="s">
        <v>108</v>
      </c>
    </row>
    <row r="221" spans="1:11" hidden="1" x14ac:dyDescent="0.3">
      <c r="A221" t="s">
        <v>16</v>
      </c>
      <c r="B221" t="s">
        <v>50</v>
      </c>
      <c r="C221" t="s">
        <v>73</v>
      </c>
      <c r="D221">
        <v>22.4</v>
      </c>
      <c r="E221">
        <f>Tableau4[[#This Row],[Potential (PJ)]]/3.6</f>
        <v>6.2222222222222214</v>
      </c>
      <c r="F221">
        <v>6.6314419642857141</v>
      </c>
      <c r="G221">
        <f>Tableau4[[#This Row],[Cost (€/GJ)]]*3.6</f>
        <v>23.873191071428572</v>
      </c>
      <c r="H221">
        <v>20.723404255319149</v>
      </c>
      <c r="I221">
        <f>Tableau4[[#This Row],[GHG (kgCO2eq/GJ)]]*3.6</f>
        <v>74.604255319148933</v>
      </c>
      <c r="J221" t="s">
        <v>105</v>
      </c>
      <c r="K221" t="s">
        <v>108</v>
      </c>
    </row>
    <row r="222" spans="1:11" hidden="1" x14ac:dyDescent="0.3">
      <c r="A222" t="s">
        <v>16</v>
      </c>
      <c r="B222" t="s">
        <v>50</v>
      </c>
      <c r="C222" t="s">
        <v>74</v>
      </c>
      <c r="D222">
        <v>32.799999999999997</v>
      </c>
      <c r="E222">
        <f>Tableau4[[#This Row],[Potential (PJ)]]/3.6</f>
        <v>9.1111111111111107</v>
      </c>
      <c r="F222">
        <v>7.2445731707317069</v>
      </c>
      <c r="G222">
        <f>Tableau4[[#This Row],[Cost (€/GJ)]]*3.6</f>
        <v>26.080463414634146</v>
      </c>
      <c r="H222">
        <v>2.0635593220338988</v>
      </c>
      <c r="I222">
        <f>Tableau4[[#This Row],[GHG (kgCO2eq/GJ)]]*3.6</f>
        <v>7.4288135593220357</v>
      </c>
      <c r="J222" t="s">
        <v>105</v>
      </c>
      <c r="K222" t="s">
        <v>108</v>
      </c>
    </row>
    <row r="223" spans="1:11" hidden="1" x14ac:dyDescent="0.3">
      <c r="A223" t="s">
        <v>16</v>
      </c>
      <c r="B223" t="s">
        <v>51</v>
      </c>
      <c r="C223" t="s">
        <v>75</v>
      </c>
      <c r="D223">
        <v>33.210090000000001</v>
      </c>
      <c r="E223">
        <f>Tableau4[[#This Row],[Potential (PJ)]]/3.6</f>
        <v>9.2250250000000005</v>
      </c>
      <c r="F223">
        <v>3.2264125419211699E-3</v>
      </c>
      <c r="G223">
        <f>Tableau4[[#This Row],[Cost (€/GJ)]]*3.6</f>
        <v>1.1615085150916213E-2</v>
      </c>
      <c r="H223">
        <v>11.74</v>
      </c>
      <c r="I223">
        <f>Tableau4[[#This Row],[GHG (kgCO2eq/GJ)]]*3.6</f>
        <v>42.264000000000003</v>
      </c>
      <c r="J223" t="s">
        <v>104</v>
      </c>
      <c r="K223" t="s">
        <v>108</v>
      </c>
    </row>
    <row r="224" spans="1:11" hidden="1" x14ac:dyDescent="0.3">
      <c r="A224" t="s">
        <v>16</v>
      </c>
      <c r="B224" t="s">
        <v>60</v>
      </c>
      <c r="C224" t="s">
        <v>98</v>
      </c>
      <c r="D224">
        <v>7.8700000000000003E-3</v>
      </c>
      <c r="E224">
        <f>Tableau4[[#This Row],[Potential (PJ)]]/3.6</f>
        <v>2.1861111111111113E-3</v>
      </c>
      <c r="F224">
        <v>18.421052631578949</v>
      </c>
      <c r="G224">
        <f>Tableau4[[#This Row],[Cost (€/GJ)]]*3.6</f>
        <v>66.31578947368422</v>
      </c>
      <c r="H224">
        <v>32.6</v>
      </c>
      <c r="I224">
        <f>Tableau4[[#This Row],[GHG (kgCO2eq/GJ)]]*3.6</f>
        <v>117.36000000000001</v>
      </c>
      <c r="J224" t="s">
        <v>107</v>
      </c>
      <c r="K224" t="s">
        <v>109</v>
      </c>
    </row>
    <row r="225" spans="1:11" hidden="1" x14ac:dyDescent="0.3">
      <c r="A225" t="s">
        <v>16</v>
      </c>
      <c r="B225" t="s">
        <v>52</v>
      </c>
      <c r="C225" t="s">
        <v>76</v>
      </c>
      <c r="D225">
        <v>0.48599999999999999</v>
      </c>
      <c r="E225">
        <f>Tableau4[[#This Row],[Potential (PJ)]]/3.6</f>
        <v>0.13499999999999998</v>
      </c>
      <c r="F225">
        <v>4.7567250000000003</v>
      </c>
      <c r="G225">
        <f>Tableau4[[#This Row],[Cost (€/GJ)]]*3.6</f>
        <v>17.124210000000001</v>
      </c>
      <c r="H225">
        <v>12.68872359754714</v>
      </c>
      <c r="I225">
        <f>Tableau4[[#This Row],[GHG (kgCO2eq/GJ)]]*3.6</f>
        <v>45.679404951169708</v>
      </c>
      <c r="J225" t="s">
        <v>105</v>
      </c>
      <c r="K225" t="s">
        <v>108</v>
      </c>
    </row>
    <row r="226" spans="1:11" hidden="1" x14ac:dyDescent="0.3">
      <c r="A226" t="s">
        <v>16</v>
      </c>
      <c r="B226" t="s">
        <v>53</v>
      </c>
      <c r="C226" t="s">
        <v>77</v>
      </c>
      <c r="D226">
        <v>4.5999999999999996</v>
      </c>
      <c r="E226">
        <f>Tableau4[[#This Row],[Potential (PJ)]]/3.6</f>
        <v>1.2777777777777777</v>
      </c>
      <c r="F226">
        <v>2.684347826086956</v>
      </c>
      <c r="G226">
        <f>Tableau4[[#This Row],[Cost (€/GJ)]]*3.6</f>
        <v>9.6636521739130412</v>
      </c>
      <c r="H226">
        <v>3.86607608129234</v>
      </c>
      <c r="I226">
        <f>Tableau4[[#This Row],[GHG (kgCO2eq/GJ)]]*3.6</f>
        <v>13.917873892652425</v>
      </c>
      <c r="J226" t="s">
        <v>104</v>
      </c>
      <c r="K226" t="s">
        <v>108</v>
      </c>
    </row>
    <row r="227" spans="1:11" hidden="1" x14ac:dyDescent="0.3">
      <c r="A227" t="s">
        <v>16</v>
      </c>
      <c r="B227" t="s">
        <v>61</v>
      </c>
      <c r="C227" t="s">
        <v>99</v>
      </c>
      <c r="D227">
        <v>1.8</v>
      </c>
      <c r="E227">
        <f>Tableau4[[#This Row],[Potential (PJ)]]/3.6</f>
        <v>0.5</v>
      </c>
      <c r="F227">
        <v>1.6928888888888891</v>
      </c>
      <c r="G227">
        <f>Tableau4[[#This Row],[Cost (€/GJ)]]*3.6</f>
        <v>6.0944000000000011</v>
      </c>
      <c r="H227">
        <v>2.9245635910224439</v>
      </c>
      <c r="I227">
        <f>Tableau4[[#This Row],[GHG (kgCO2eq/GJ)]]*3.6</f>
        <v>10.528428927680798</v>
      </c>
      <c r="J227" t="s">
        <v>104</v>
      </c>
      <c r="K227" t="s">
        <v>108</v>
      </c>
    </row>
    <row r="228" spans="1:11" hidden="1" x14ac:dyDescent="0.3">
      <c r="A228" t="s">
        <v>16</v>
      </c>
      <c r="B228" t="s">
        <v>62</v>
      </c>
      <c r="C228" t="s">
        <v>100</v>
      </c>
      <c r="D228">
        <v>0.60000000000000009</v>
      </c>
      <c r="E228">
        <f>Tableau4[[#This Row],[Potential (PJ)]]/3.6</f>
        <v>0.16666666666666669</v>
      </c>
      <c r="F228">
        <v>0.58333333333333326</v>
      </c>
      <c r="G228">
        <f>Tableau4[[#This Row],[Cost (€/GJ)]]*3.6</f>
        <v>2.0999999999999996</v>
      </c>
      <c r="H228">
        <v>2.6764106050305911</v>
      </c>
      <c r="I228">
        <f>Tableau4[[#This Row],[GHG (kgCO2eq/GJ)]]*3.6</f>
        <v>9.6350781781101276</v>
      </c>
      <c r="J228" t="s">
        <v>104</v>
      </c>
      <c r="K228" t="s">
        <v>108</v>
      </c>
    </row>
    <row r="229" spans="1:11" hidden="1" x14ac:dyDescent="0.3">
      <c r="A229" t="s">
        <v>16</v>
      </c>
      <c r="B229" t="s">
        <v>54</v>
      </c>
      <c r="C229" t="s">
        <v>78</v>
      </c>
      <c r="D229">
        <v>17.899999999999999</v>
      </c>
      <c r="E229">
        <f>Tableau4[[#This Row],[Potential (PJ)]]/3.6</f>
        <v>4.9722222222222214</v>
      </c>
      <c r="F229">
        <v>5.0235139664804471</v>
      </c>
      <c r="G229">
        <f>Tableau4[[#This Row],[Cost (€/GJ)]]*3.6</f>
        <v>18.084650279329612</v>
      </c>
      <c r="H229">
        <v>3.86607608129234</v>
      </c>
      <c r="I229">
        <f>Tableau4[[#This Row],[GHG (kgCO2eq/GJ)]]*3.6</f>
        <v>13.917873892652425</v>
      </c>
      <c r="J229" t="s">
        <v>104</v>
      </c>
      <c r="K229" t="s">
        <v>108</v>
      </c>
    </row>
    <row r="230" spans="1:11" hidden="1" x14ac:dyDescent="0.3">
      <c r="A230" t="s">
        <v>17</v>
      </c>
      <c r="B230" t="s">
        <v>46</v>
      </c>
      <c r="C230" t="s">
        <v>64</v>
      </c>
      <c r="D230">
        <v>3.46E-3</v>
      </c>
      <c r="E230">
        <f>Tableau4[[#This Row],[Potential (PJ)]]/3.6</f>
        <v>9.6111111111111104E-4</v>
      </c>
      <c r="F230">
        <v>2.577</v>
      </c>
      <c r="G230">
        <f>Tableau4[[#This Row],[Cost (€/GJ)]]*3.6</f>
        <v>9.2772000000000006</v>
      </c>
      <c r="H230">
        <v>2.9521711768407801</v>
      </c>
      <c r="I230">
        <f>Tableau4[[#This Row],[GHG (kgCO2eq/GJ)]]*3.6</f>
        <v>10.627816236626808</v>
      </c>
      <c r="J230" t="s">
        <v>104</v>
      </c>
      <c r="K230" t="s">
        <v>108</v>
      </c>
    </row>
    <row r="231" spans="1:11" hidden="1" x14ac:dyDescent="0.3">
      <c r="A231" t="s">
        <v>17</v>
      </c>
      <c r="B231" t="s">
        <v>46</v>
      </c>
      <c r="C231" t="s">
        <v>79</v>
      </c>
      <c r="D231">
        <v>7.4</v>
      </c>
      <c r="E231">
        <f>Tableau4[[#This Row],[Potential (PJ)]]/3.6</f>
        <v>2.0555555555555558</v>
      </c>
      <c r="F231">
        <v>1.925</v>
      </c>
      <c r="G231">
        <f>Tableau4[[#This Row],[Cost (€/GJ)]]*3.6</f>
        <v>6.9300000000000006</v>
      </c>
      <c r="H231">
        <v>6.8428961748633883</v>
      </c>
      <c r="I231">
        <f>Tableau4[[#This Row],[GHG (kgCO2eq/GJ)]]*3.6</f>
        <v>24.634426229508197</v>
      </c>
      <c r="J231" t="s">
        <v>104</v>
      </c>
      <c r="K231" t="s">
        <v>108</v>
      </c>
    </row>
    <row r="232" spans="1:11" hidden="1" x14ac:dyDescent="0.3">
      <c r="A232" t="s">
        <v>17</v>
      </c>
      <c r="B232" t="s">
        <v>46</v>
      </c>
      <c r="C232" t="s">
        <v>80</v>
      </c>
      <c r="D232">
        <v>3.6299999999999999E-2</v>
      </c>
      <c r="E232">
        <f>Tableau4[[#This Row],[Potential (PJ)]]/3.6</f>
        <v>1.0083333333333333E-2</v>
      </c>
      <c r="F232">
        <v>0.28186109238031021</v>
      </c>
      <c r="G232">
        <f>Tableau4[[#This Row],[Cost (€/GJ)]]*3.6</f>
        <v>1.0146999325691168</v>
      </c>
      <c r="H232">
        <v>28.139870918023309</v>
      </c>
      <c r="I232">
        <f>Tableau4[[#This Row],[GHG (kgCO2eq/GJ)]]*3.6</f>
        <v>101.30353530488391</v>
      </c>
      <c r="J232" t="s">
        <v>105</v>
      </c>
      <c r="K232" t="s">
        <v>108</v>
      </c>
    </row>
    <row r="233" spans="1:11" hidden="1" x14ac:dyDescent="0.3">
      <c r="A233" t="s">
        <v>17</v>
      </c>
      <c r="B233" t="s">
        <v>46</v>
      </c>
      <c r="C233" t="s">
        <v>81</v>
      </c>
      <c r="D233">
        <v>0.56189999999999996</v>
      </c>
      <c r="E233">
        <f>Tableau4[[#This Row],[Potential (PJ)]]/3.6</f>
        <v>0.15608333333333332</v>
      </c>
      <c r="F233">
        <v>2.0681551116333732</v>
      </c>
      <c r="G233">
        <f>Tableau4[[#This Row],[Cost (€/GJ)]]*3.6</f>
        <v>7.445358401880144</v>
      </c>
      <c r="H233">
        <v>8.9647473560517046</v>
      </c>
      <c r="I233">
        <f>Tableau4[[#This Row],[GHG (kgCO2eq/GJ)]]*3.6</f>
        <v>32.273090481786134</v>
      </c>
      <c r="J233" t="s">
        <v>105</v>
      </c>
      <c r="K233" t="s">
        <v>108</v>
      </c>
    </row>
    <row r="234" spans="1:11" hidden="1" x14ac:dyDescent="0.3">
      <c r="A234" t="s">
        <v>17</v>
      </c>
      <c r="B234" t="s">
        <v>55</v>
      </c>
      <c r="C234" t="s">
        <v>86</v>
      </c>
      <c r="D234">
        <v>5.0461999999999998</v>
      </c>
      <c r="E234">
        <f>Tableau4[[#This Row],[Potential (PJ)]]/3.6</f>
        <v>1.4017222222222221</v>
      </c>
      <c r="F234">
        <v>13.441000000000001</v>
      </c>
      <c r="G234">
        <f>Tableau4[[#This Row],[Cost (€/GJ)]]*3.6</f>
        <v>48.387600000000006</v>
      </c>
      <c r="H234">
        <v>27</v>
      </c>
      <c r="I234">
        <f>Tableau4[[#This Row],[GHG (kgCO2eq/GJ)]]*3.6</f>
        <v>97.2</v>
      </c>
      <c r="J234" t="s">
        <v>106</v>
      </c>
      <c r="K234" t="s">
        <v>109</v>
      </c>
    </row>
    <row r="235" spans="1:11" hidden="1" x14ac:dyDescent="0.3">
      <c r="A235" t="s">
        <v>17</v>
      </c>
      <c r="B235" t="s">
        <v>55</v>
      </c>
      <c r="C235" t="s">
        <v>89</v>
      </c>
      <c r="D235">
        <v>1.3100000000000001E-2</v>
      </c>
      <c r="E235">
        <f>Tableau4[[#This Row],[Potential (PJ)]]/3.6</f>
        <v>3.638888888888889E-3</v>
      </c>
      <c r="F235">
        <v>0</v>
      </c>
      <c r="G235">
        <f>Tableau4[[#This Row],[Cost (€/GJ)]]*3.6</f>
        <v>0</v>
      </c>
      <c r="H235">
        <v>27</v>
      </c>
      <c r="I235">
        <f>Tableau4[[#This Row],[GHG (kgCO2eq/GJ)]]*3.6</f>
        <v>97.2</v>
      </c>
      <c r="J235" t="s">
        <v>106</v>
      </c>
      <c r="K235" t="s">
        <v>109</v>
      </c>
    </row>
    <row r="236" spans="1:11" hidden="1" x14ac:dyDescent="0.3">
      <c r="A236" t="s">
        <v>17</v>
      </c>
      <c r="B236" t="s">
        <v>55</v>
      </c>
      <c r="C236" t="s">
        <v>91</v>
      </c>
      <c r="D236">
        <v>4.6908000000000003</v>
      </c>
      <c r="E236">
        <f>Tableau4[[#This Row],[Potential (PJ)]]/3.6</f>
        <v>1.3030000000000002</v>
      </c>
      <c r="F236">
        <v>14.701000000000001</v>
      </c>
      <c r="G236">
        <f>Tableau4[[#This Row],[Cost (€/GJ)]]*3.6</f>
        <v>52.9236</v>
      </c>
      <c r="H236">
        <v>27</v>
      </c>
      <c r="I236">
        <f>Tableau4[[#This Row],[GHG (kgCO2eq/GJ)]]*3.6</f>
        <v>97.2</v>
      </c>
      <c r="J236" t="s">
        <v>106</v>
      </c>
      <c r="K236" t="s">
        <v>109</v>
      </c>
    </row>
    <row r="237" spans="1:11" hidden="1" x14ac:dyDescent="0.3">
      <c r="A237" t="s">
        <v>17</v>
      </c>
      <c r="B237" t="s">
        <v>55</v>
      </c>
      <c r="C237" t="s">
        <v>92</v>
      </c>
      <c r="D237">
        <v>5.7811500000000002</v>
      </c>
      <c r="E237">
        <f>Tableau4[[#This Row],[Potential (PJ)]]/3.6</f>
        <v>1.6058749999999999</v>
      </c>
      <c r="F237">
        <v>15.894</v>
      </c>
      <c r="G237">
        <f>Tableau4[[#This Row],[Cost (€/GJ)]]*3.6</f>
        <v>57.218400000000003</v>
      </c>
      <c r="H237">
        <v>27</v>
      </c>
      <c r="I237">
        <f>Tableau4[[#This Row],[GHG (kgCO2eq/GJ)]]*3.6</f>
        <v>97.2</v>
      </c>
      <c r="J237" t="s">
        <v>106</v>
      </c>
      <c r="K237" t="s">
        <v>109</v>
      </c>
    </row>
    <row r="238" spans="1:11" x14ac:dyDescent="0.3">
      <c r="A238" t="s">
        <v>17</v>
      </c>
      <c r="B238" t="s">
        <v>47</v>
      </c>
      <c r="C238" t="s">
        <v>101</v>
      </c>
      <c r="D238">
        <v>2.7</v>
      </c>
      <c r="E238">
        <f>Tableau4[[#This Row],[Potential (PJ)]]/3.6</f>
        <v>0.75</v>
      </c>
      <c r="F238">
        <v>3.1379999999999999</v>
      </c>
      <c r="G238">
        <f>Tableau4[[#This Row],[Cost (€/GJ)]]*3.6</f>
        <v>11.296799999999999</v>
      </c>
      <c r="H238">
        <v>44</v>
      </c>
      <c r="I238">
        <f>Tableau4[[#This Row],[GHG (kgCO2eq/GJ)]]*3.6</f>
        <v>158.4</v>
      </c>
      <c r="J238" t="s">
        <v>104</v>
      </c>
      <c r="K238" t="s">
        <v>109</v>
      </c>
    </row>
    <row r="239" spans="1:11" x14ac:dyDescent="0.3">
      <c r="A239" t="s">
        <v>17</v>
      </c>
      <c r="B239" t="s">
        <v>57</v>
      </c>
      <c r="C239" t="s">
        <v>94</v>
      </c>
      <c r="D239">
        <v>1.6</v>
      </c>
      <c r="E239">
        <f>Tableau4[[#This Row],[Potential (PJ)]]/3.6</f>
        <v>0.44444444444444448</v>
      </c>
      <c r="F239">
        <v>8.7379999999999995</v>
      </c>
      <c r="G239">
        <f>Tableau4[[#This Row],[Cost (€/GJ)]]*3.6</f>
        <v>31.456799999999998</v>
      </c>
      <c r="H239">
        <v>19.899999999999999</v>
      </c>
      <c r="I239">
        <f>Tableau4[[#This Row],[GHG (kgCO2eq/GJ)]]*3.6</f>
        <v>71.64</v>
      </c>
      <c r="J239" t="s">
        <v>104</v>
      </c>
      <c r="K239" t="s">
        <v>109</v>
      </c>
    </row>
    <row r="240" spans="1:11" hidden="1" x14ac:dyDescent="0.3">
      <c r="A240" t="s">
        <v>17</v>
      </c>
      <c r="B240" t="s">
        <v>49</v>
      </c>
      <c r="C240" t="s">
        <v>71</v>
      </c>
      <c r="D240">
        <v>83.321439999999996</v>
      </c>
      <c r="E240">
        <f>Tableau4[[#This Row],[Potential (PJ)]]/3.6</f>
        <v>23.144844444444441</v>
      </c>
      <c r="F240">
        <v>1.9670000000000001</v>
      </c>
      <c r="G240">
        <f>Tableau4[[#This Row],[Cost (€/GJ)]]*3.6</f>
        <v>7.0812000000000008</v>
      </c>
      <c r="H240">
        <v>3.86607608129234</v>
      </c>
      <c r="I240">
        <f>Tableau4[[#This Row],[GHG (kgCO2eq/GJ)]]*3.6</f>
        <v>13.917873892652425</v>
      </c>
      <c r="J240" t="s">
        <v>104</v>
      </c>
      <c r="K240" t="s">
        <v>108</v>
      </c>
    </row>
    <row r="241" spans="1:11" hidden="1" x14ac:dyDescent="0.3">
      <c r="A241" t="s">
        <v>17</v>
      </c>
      <c r="B241" t="s">
        <v>49</v>
      </c>
      <c r="C241" t="s">
        <v>72</v>
      </c>
      <c r="D241">
        <v>10</v>
      </c>
      <c r="E241">
        <f>Tableau4[[#This Row],[Potential (PJ)]]/3.6</f>
        <v>2.7777777777777777</v>
      </c>
      <c r="F241">
        <v>2.593</v>
      </c>
      <c r="G241">
        <f>Tableau4[[#This Row],[Cost (€/GJ)]]*3.6</f>
        <v>9.3347999999999995</v>
      </c>
      <c r="H241">
        <v>3.86607608129234</v>
      </c>
      <c r="I241">
        <f>Tableau4[[#This Row],[GHG (kgCO2eq/GJ)]]*3.6</f>
        <v>13.917873892652425</v>
      </c>
      <c r="J241" t="s">
        <v>104</v>
      </c>
      <c r="K241" t="s">
        <v>108</v>
      </c>
    </row>
    <row r="242" spans="1:11" hidden="1" x14ac:dyDescent="0.3">
      <c r="A242" t="s">
        <v>17</v>
      </c>
      <c r="B242" t="s">
        <v>50</v>
      </c>
      <c r="C242" t="s">
        <v>73</v>
      </c>
      <c r="D242">
        <v>1.1000000000000001</v>
      </c>
      <c r="E242">
        <f>Tableau4[[#This Row],[Potential (PJ)]]/3.6</f>
        <v>0.30555555555555558</v>
      </c>
      <c r="F242">
        <v>5.0869999999999997</v>
      </c>
      <c r="G242">
        <f>Tableau4[[#This Row],[Cost (€/GJ)]]*3.6</f>
        <v>18.313199999999998</v>
      </c>
      <c r="H242">
        <v>20.723404255319149</v>
      </c>
      <c r="I242">
        <f>Tableau4[[#This Row],[GHG (kgCO2eq/GJ)]]*3.6</f>
        <v>74.604255319148933</v>
      </c>
      <c r="J242" t="s">
        <v>105</v>
      </c>
      <c r="K242" t="s">
        <v>108</v>
      </c>
    </row>
    <row r="243" spans="1:11" hidden="1" x14ac:dyDescent="0.3">
      <c r="A243" t="s">
        <v>17</v>
      </c>
      <c r="B243" t="s">
        <v>50</v>
      </c>
      <c r="C243" t="s">
        <v>74</v>
      </c>
      <c r="D243">
        <v>9.1</v>
      </c>
      <c r="E243">
        <f>Tableau4[[#This Row],[Potential (PJ)]]/3.6</f>
        <v>2.5277777777777777</v>
      </c>
      <c r="F243">
        <v>3.665</v>
      </c>
      <c r="G243">
        <f>Tableau4[[#This Row],[Cost (€/GJ)]]*3.6</f>
        <v>13.194000000000001</v>
      </c>
      <c r="H243">
        <v>2.0635593220338988</v>
      </c>
      <c r="I243">
        <f>Tableau4[[#This Row],[GHG (kgCO2eq/GJ)]]*3.6</f>
        <v>7.4288135593220357</v>
      </c>
      <c r="J243" t="s">
        <v>105</v>
      </c>
      <c r="K243" t="s">
        <v>108</v>
      </c>
    </row>
    <row r="244" spans="1:11" hidden="1" x14ac:dyDescent="0.3">
      <c r="A244" t="s">
        <v>17</v>
      </c>
      <c r="B244" t="s">
        <v>51</v>
      </c>
      <c r="C244" t="s">
        <v>75</v>
      </c>
      <c r="D244">
        <v>4.5820239999999997</v>
      </c>
      <c r="E244">
        <f>Tableau4[[#This Row],[Potential (PJ)]]/3.6</f>
        <v>1.2727844444444443</v>
      </c>
      <c r="F244">
        <v>2.8852476978831901E-3</v>
      </c>
      <c r="G244">
        <f>Tableau4[[#This Row],[Cost (€/GJ)]]*3.6</f>
        <v>1.0386891712379484E-2</v>
      </c>
      <c r="H244">
        <v>11.74</v>
      </c>
      <c r="I244">
        <f>Tableau4[[#This Row],[GHG (kgCO2eq/GJ)]]*3.6</f>
        <v>42.264000000000003</v>
      </c>
      <c r="J244" t="s">
        <v>104</v>
      </c>
      <c r="K244" t="s">
        <v>108</v>
      </c>
    </row>
    <row r="245" spans="1:11" hidden="1" x14ac:dyDescent="0.3">
      <c r="A245" t="s">
        <v>17</v>
      </c>
      <c r="B245" t="s">
        <v>60</v>
      </c>
      <c r="C245" t="s">
        <v>98</v>
      </c>
      <c r="D245">
        <v>7.1199999999999996E-3</v>
      </c>
      <c r="E245">
        <f>Tableau4[[#This Row],[Potential (PJ)]]/3.6</f>
        <v>1.9777777777777775E-3</v>
      </c>
      <c r="F245">
        <v>18.045112781954892</v>
      </c>
      <c r="G245">
        <f>Tableau4[[#This Row],[Cost (€/GJ)]]*3.6</f>
        <v>64.962406015037615</v>
      </c>
      <c r="H245">
        <v>41.8</v>
      </c>
      <c r="I245">
        <f>Tableau4[[#This Row],[GHG (kgCO2eq/GJ)]]*3.6</f>
        <v>150.47999999999999</v>
      </c>
      <c r="J245" t="s">
        <v>107</v>
      </c>
      <c r="K245" t="s">
        <v>109</v>
      </c>
    </row>
    <row r="246" spans="1:11" hidden="1" x14ac:dyDescent="0.3">
      <c r="A246" t="s">
        <v>17</v>
      </c>
      <c r="B246" t="s">
        <v>53</v>
      </c>
      <c r="C246" t="s">
        <v>77</v>
      </c>
      <c r="D246">
        <v>5.3</v>
      </c>
      <c r="E246">
        <f>Tableau4[[#This Row],[Potential (PJ)]]/3.6</f>
        <v>1.4722222222222221</v>
      </c>
      <c r="F246">
        <v>2.593</v>
      </c>
      <c r="G246">
        <f>Tableau4[[#This Row],[Cost (€/GJ)]]*3.6</f>
        <v>9.3347999999999995</v>
      </c>
      <c r="H246">
        <v>3.86607608129234</v>
      </c>
      <c r="I246">
        <f>Tableau4[[#This Row],[GHG (kgCO2eq/GJ)]]*3.6</f>
        <v>13.917873892652425</v>
      </c>
      <c r="J246" t="s">
        <v>104</v>
      </c>
      <c r="K246" t="s">
        <v>108</v>
      </c>
    </row>
    <row r="247" spans="1:11" hidden="1" x14ac:dyDescent="0.3">
      <c r="A247" t="s">
        <v>17</v>
      </c>
      <c r="B247" t="s">
        <v>54</v>
      </c>
      <c r="C247" t="s">
        <v>78</v>
      </c>
      <c r="D247">
        <v>44.5</v>
      </c>
      <c r="E247">
        <f>Tableau4[[#This Row],[Potential (PJ)]]/3.6</f>
        <v>12.361111111111111</v>
      </c>
      <c r="F247">
        <v>2.5880000000000001</v>
      </c>
      <c r="G247">
        <f>Tableau4[[#This Row],[Cost (€/GJ)]]*3.6</f>
        <v>9.3168000000000006</v>
      </c>
      <c r="H247">
        <v>3.86607608129234</v>
      </c>
      <c r="I247">
        <f>Tableau4[[#This Row],[GHG (kgCO2eq/GJ)]]*3.6</f>
        <v>13.917873892652425</v>
      </c>
      <c r="J247" t="s">
        <v>104</v>
      </c>
      <c r="K247" t="s">
        <v>108</v>
      </c>
    </row>
    <row r="248" spans="1:11" hidden="1" x14ac:dyDescent="0.3">
      <c r="A248" t="s">
        <v>18</v>
      </c>
      <c r="B248" t="s">
        <v>46</v>
      </c>
      <c r="C248" t="s">
        <v>63</v>
      </c>
      <c r="D248">
        <v>5.3613999999999997</v>
      </c>
      <c r="E248">
        <f>Tableau4[[#This Row],[Potential (PJ)]]/3.6</f>
        <v>1.4892777777777777</v>
      </c>
      <c r="F248">
        <v>2.9286474973375931</v>
      </c>
      <c r="G248">
        <f>Tableau4[[#This Row],[Cost (€/GJ)]]*3.6</f>
        <v>10.543130990415335</v>
      </c>
      <c r="H248">
        <v>3.950479233226837</v>
      </c>
      <c r="I248">
        <f>Tableau4[[#This Row],[GHG (kgCO2eq/GJ)]]*3.6</f>
        <v>14.221725239616614</v>
      </c>
      <c r="J248" t="s">
        <v>104</v>
      </c>
      <c r="K248" t="s">
        <v>108</v>
      </c>
    </row>
    <row r="249" spans="1:11" hidden="1" x14ac:dyDescent="0.3">
      <c r="A249" t="s">
        <v>18</v>
      </c>
      <c r="B249" t="s">
        <v>46</v>
      </c>
      <c r="C249" t="s">
        <v>64</v>
      </c>
      <c r="D249">
        <v>0.90344999999999998</v>
      </c>
      <c r="E249">
        <f>Tableau4[[#This Row],[Potential (PJ)]]/3.6</f>
        <v>0.25095833333333334</v>
      </c>
      <c r="F249">
        <v>2.5554258010958</v>
      </c>
      <c r="G249">
        <f>Tableau4[[#This Row],[Cost (€/GJ)]]*3.6</f>
        <v>9.1995328839448796</v>
      </c>
      <c r="H249">
        <v>2.9521711768407801</v>
      </c>
      <c r="I249">
        <f>Tableau4[[#This Row],[GHG (kgCO2eq/GJ)]]*3.6</f>
        <v>10.627816236626808</v>
      </c>
      <c r="J249" t="s">
        <v>104</v>
      </c>
      <c r="K249" t="s">
        <v>108</v>
      </c>
    </row>
    <row r="250" spans="1:11" hidden="1" x14ac:dyDescent="0.3">
      <c r="A250" t="s">
        <v>18</v>
      </c>
      <c r="B250" t="s">
        <v>46</v>
      </c>
      <c r="C250" t="s">
        <v>79</v>
      </c>
      <c r="D250">
        <v>8.1</v>
      </c>
      <c r="E250">
        <f>Tableau4[[#This Row],[Potential (PJ)]]/3.6</f>
        <v>2.25</v>
      </c>
      <c r="F250">
        <v>2.6331604938271611</v>
      </c>
      <c r="G250">
        <f>Tableau4[[#This Row],[Cost (€/GJ)]]*3.6</f>
        <v>9.4793777777777795</v>
      </c>
      <c r="H250">
        <v>6.8428961748633883</v>
      </c>
      <c r="I250">
        <f>Tableau4[[#This Row],[GHG (kgCO2eq/GJ)]]*3.6</f>
        <v>24.634426229508197</v>
      </c>
      <c r="J250" t="s">
        <v>104</v>
      </c>
      <c r="K250" t="s">
        <v>108</v>
      </c>
    </row>
    <row r="251" spans="1:11" hidden="1" x14ac:dyDescent="0.3">
      <c r="A251" t="s">
        <v>18</v>
      </c>
      <c r="B251" t="s">
        <v>46</v>
      </c>
      <c r="C251" t="s">
        <v>65</v>
      </c>
      <c r="D251">
        <v>1.3</v>
      </c>
      <c r="E251">
        <f>Tableau4[[#This Row],[Potential (PJ)]]/3.6</f>
        <v>0.3611111111111111</v>
      </c>
      <c r="F251">
        <v>4.2944615384615394</v>
      </c>
      <c r="G251">
        <f>Tableau4[[#This Row],[Cost (€/GJ)]]*3.6</f>
        <v>15.460061538461542</v>
      </c>
      <c r="H251">
        <v>2.9521711768407801</v>
      </c>
      <c r="I251">
        <f>Tableau4[[#This Row],[GHG (kgCO2eq/GJ)]]*3.6</f>
        <v>10.627816236626808</v>
      </c>
      <c r="J251" t="s">
        <v>104</v>
      </c>
      <c r="K251" t="s">
        <v>108</v>
      </c>
    </row>
    <row r="252" spans="1:11" hidden="1" x14ac:dyDescent="0.3">
      <c r="A252" t="s">
        <v>18</v>
      </c>
      <c r="B252" t="s">
        <v>46</v>
      </c>
      <c r="C252" t="s">
        <v>102</v>
      </c>
      <c r="D252">
        <v>0.60000000000000009</v>
      </c>
      <c r="E252">
        <f>Tableau4[[#This Row],[Potential (PJ)]]/3.6</f>
        <v>0.16666666666666669</v>
      </c>
      <c r="F252">
        <v>3.832666666666666</v>
      </c>
      <c r="G252">
        <f>Tableau4[[#This Row],[Cost (€/GJ)]]*3.6</f>
        <v>13.797599999999997</v>
      </c>
      <c r="H252">
        <v>2.9521711768407801</v>
      </c>
      <c r="I252">
        <f>Tableau4[[#This Row],[GHG (kgCO2eq/GJ)]]*3.6</f>
        <v>10.627816236626808</v>
      </c>
      <c r="J252" t="s">
        <v>104</v>
      </c>
      <c r="K252" t="s">
        <v>108</v>
      </c>
    </row>
    <row r="253" spans="1:11" hidden="1" x14ac:dyDescent="0.3">
      <c r="A253" t="s">
        <v>18</v>
      </c>
      <c r="B253" t="s">
        <v>46</v>
      </c>
      <c r="C253" t="s">
        <v>80</v>
      </c>
      <c r="D253">
        <v>0.39700000000000002</v>
      </c>
      <c r="E253">
        <f>Tableau4[[#This Row],[Potential (PJ)]]/3.6</f>
        <v>0.11027777777777778</v>
      </c>
      <c r="F253">
        <v>1.2016183412002699</v>
      </c>
      <c r="G253">
        <f>Tableau4[[#This Row],[Cost (€/GJ)]]*3.6</f>
        <v>4.3258260283209715</v>
      </c>
      <c r="H253">
        <v>28.139870918023309</v>
      </c>
      <c r="I253">
        <f>Tableau4[[#This Row],[GHG (kgCO2eq/GJ)]]*3.6</f>
        <v>101.30353530488391</v>
      </c>
      <c r="J253" t="s">
        <v>105</v>
      </c>
      <c r="K253" t="s">
        <v>108</v>
      </c>
    </row>
    <row r="254" spans="1:11" hidden="1" x14ac:dyDescent="0.3">
      <c r="A254" t="s">
        <v>18</v>
      </c>
      <c r="B254" t="s">
        <v>46</v>
      </c>
      <c r="C254" t="s">
        <v>81</v>
      </c>
      <c r="D254">
        <v>0.16889999999999999</v>
      </c>
      <c r="E254">
        <f>Tableau4[[#This Row],[Potential (PJ)]]/3.6</f>
        <v>4.6916666666666662E-2</v>
      </c>
      <c r="F254">
        <v>2.6686251468860172</v>
      </c>
      <c r="G254">
        <f>Tableau4[[#This Row],[Cost (€/GJ)]]*3.6</f>
        <v>9.6070505287896619</v>
      </c>
      <c r="H254">
        <v>8.9647473560517046</v>
      </c>
      <c r="I254">
        <f>Tableau4[[#This Row],[GHG (kgCO2eq/GJ)]]*3.6</f>
        <v>32.273090481786134</v>
      </c>
      <c r="J254" t="s">
        <v>105</v>
      </c>
      <c r="K254" t="s">
        <v>108</v>
      </c>
    </row>
    <row r="255" spans="1:11" hidden="1" x14ac:dyDescent="0.3">
      <c r="A255" t="s">
        <v>18</v>
      </c>
      <c r="B255" t="s">
        <v>46</v>
      </c>
      <c r="C255" t="s">
        <v>66</v>
      </c>
      <c r="D255">
        <v>7.7</v>
      </c>
      <c r="E255">
        <f>Tableau4[[#This Row],[Potential (PJ)]]/3.6</f>
        <v>2.1388888888888888</v>
      </c>
      <c r="F255">
        <v>2.7368181818181818</v>
      </c>
      <c r="G255">
        <f>Tableau4[[#This Row],[Cost (€/GJ)]]*3.6</f>
        <v>9.8525454545454547</v>
      </c>
      <c r="H255">
        <v>6.8428961748633883</v>
      </c>
      <c r="I255">
        <f>Tableau4[[#This Row],[GHG (kgCO2eq/GJ)]]*3.6</f>
        <v>24.634426229508197</v>
      </c>
      <c r="J255" t="s">
        <v>104</v>
      </c>
      <c r="K255" t="s">
        <v>108</v>
      </c>
    </row>
    <row r="256" spans="1:11" hidden="1" x14ac:dyDescent="0.3">
      <c r="A256" t="s">
        <v>18</v>
      </c>
      <c r="B256" t="s">
        <v>46</v>
      </c>
      <c r="C256" t="s">
        <v>67</v>
      </c>
      <c r="D256">
        <v>11.5</v>
      </c>
      <c r="E256">
        <f>Tableau4[[#This Row],[Potential (PJ)]]/3.6</f>
        <v>3.1944444444444442</v>
      </c>
      <c r="F256">
        <v>5.7813826086956519</v>
      </c>
      <c r="G256">
        <f>Tableau4[[#This Row],[Cost (€/GJ)]]*3.6</f>
        <v>20.812977391304347</v>
      </c>
      <c r="H256">
        <v>2.9521711768407801</v>
      </c>
      <c r="I256">
        <f>Tableau4[[#This Row],[GHG (kgCO2eq/GJ)]]*3.6</f>
        <v>10.627816236626808</v>
      </c>
      <c r="J256" t="s">
        <v>104</v>
      </c>
      <c r="K256" t="s">
        <v>108</v>
      </c>
    </row>
    <row r="257" spans="1:11" hidden="1" x14ac:dyDescent="0.3">
      <c r="A257" t="s">
        <v>18</v>
      </c>
      <c r="B257" t="s">
        <v>46</v>
      </c>
      <c r="C257" t="s">
        <v>82</v>
      </c>
      <c r="D257">
        <v>1.2</v>
      </c>
      <c r="E257">
        <f>Tableau4[[#This Row],[Potential (PJ)]]/3.6</f>
        <v>0.33333333333333331</v>
      </c>
      <c r="F257">
        <v>1.6878333333333331</v>
      </c>
      <c r="G257">
        <f>Tableau4[[#This Row],[Cost (€/GJ)]]*3.6</f>
        <v>6.0761999999999992</v>
      </c>
      <c r="H257">
        <v>6.8428961748633883</v>
      </c>
      <c r="I257">
        <f>Tableau4[[#This Row],[GHG (kgCO2eq/GJ)]]*3.6</f>
        <v>24.634426229508197</v>
      </c>
      <c r="J257" t="s">
        <v>104</v>
      </c>
      <c r="K257" t="s">
        <v>108</v>
      </c>
    </row>
    <row r="258" spans="1:11" hidden="1" x14ac:dyDescent="0.3">
      <c r="A258" t="s">
        <v>18</v>
      </c>
      <c r="B258" t="s">
        <v>46</v>
      </c>
      <c r="C258" t="s">
        <v>83</v>
      </c>
      <c r="D258">
        <v>1.3521399999999999</v>
      </c>
      <c r="E258">
        <f>Tableau4[[#This Row],[Potential (PJ)]]/3.6</f>
        <v>0.3755944444444444</v>
      </c>
      <c r="F258">
        <v>2.5560995459050102</v>
      </c>
      <c r="G258">
        <f>Tableau4[[#This Row],[Cost (€/GJ)]]*3.6</f>
        <v>9.2019583652580366</v>
      </c>
      <c r="H258">
        <v>6.8428961748633883</v>
      </c>
      <c r="I258">
        <f>Tableau4[[#This Row],[GHG (kgCO2eq/GJ)]]*3.6</f>
        <v>24.634426229508197</v>
      </c>
      <c r="J258" t="s">
        <v>104</v>
      </c>
      <c r="K258" t="s">
        <v>108</v>
      </c>
    </row>
    <row r="259" spans="1:11" hidden="1" x14ac:dyDescent="0.3">
      <c r="A259" t="s">
        <v>18</v>
      </c>
      <c r="B259" t="s">
        <v>46</v>
      </c>
      <c r="C259" t="s">
        <v>84</v>
      </c>
      <c r="D259">
        <v>0.3</v>
      </c>
      <c r="E259">
        <f>Tableau4[[#This Row],[Potential (PJ)]]/3.6</f>
        <v>8.3333333333333329E-2</v>
      </c>
      <c r="F259">
        <v>2.1473333333333331</v>
      </c>
      <c r="G259">
        <f>Tableau4[[#This Row],[Cost (€/GJ)]]*3.6</f>
        <v>7.7303999999999995</v>
      </c>
      <c r="H259">
        <v>28.139870918023309</v>
      </c>
      <c r="I259">
        <f>Tableau4[[#This Row],[GHG (kgCO2eq/GJ)]]*3.6</f>
        <v>101.30353530488391</v>
      </c>
      <c r="J259" t="s">
        <v>105</v>
      </c>
      <c r="K259" t="s">
        <v>108</v>
      </c>
    </row>
    <row r="260" spans="1:11" hidden="1" x14ac:dyDescent="0.3">
      <c r="A260" t="s">
        <v>18</v>
      </c>
      <c r="B260" t="s">
        <v>46</v>
      </c>
      <c r="C260" t="s">
        <v>85</v>
      </c>
      <c r="D260">
        <v>1</v>
      </c>
      <c r="E260">
        <f>Tableau4[[#This Row],[Potential (PJ)]]/3.6</f>
        <v>0.27777777777777779</v>
      </c>
      <c r="F260">
        <v>0</v>
      </c>
      <c r="G260">
        <f>Tableau4[[#This Row],[Cost (€/GJ)]]*3.6</f>
        <v>0</v>
      </c>
      <c r="H260">
        <v>2.9521711768407801</v>
      </c>
      <c r="I260">
        <f>Tableau4[[#This Row],[GHG (kgCO2eq/GJ)]]*3.6</f>
        <v>10.627816236626808</v>
      </c>
      <c r="J260" t="s">
        <v>104</v>
      </c>
      <c r="K260" t="s">
        <v>108</v>
      </c>
    </row>
    <row r="261" spans="1:11" hidden="1" x14ac:dyDescent="0.3">
      <c r="A261" t="s">
        <v>18</v>
      </c>
      <c r="B261" t="s">
        <v>55</v>
      </c>
      <c r="C261" t="s">
        <v>86</v>
      </c>
      <c r="D261">
        <v>0.2366</v>
      </c>
      <c r="E261">
        <f>Tableau4[[#This Row],[Potential (PJ)]]/3.6</f>
        <v>6.5722222222222224E-2</v>
      </c>
      <c r="F261">
        <v>21.38900000000001</v>
      </c>
      <c r="G261">
        <f>Tableau4[[#This Row],[Cost (€/GJ)]]*3.6</f>
        <v>77.000400000000042</v>
      </c>
      <c r="I261">
        <f>Tableau4[[#This Row],[GHG (kgCO2eq/GJ)]]*3.6</f>
        <v>0</v>
      </c>
      <c r="J261" t="s">
        <v>106</v>
      </c>
      <c r="K261" t="s">
        <v>109</v>
      </c>
    </row>
    <row r="262" spans="1:11" hidden="1" x14ac:dyDescent="0.3">
      <c r="A262" t="s">
        <v>18</v>
      </c>
      <c r="B262" t="s">
        <v>55</v>
      </c>
      <c r="C262" t="s">
        <v>87</v>
      </c>
      <c r="D262">
        <v>7.1073000000000004</v>
      </c>
      <c r="E262">
        <f>Tableau4[[#This Row],[Potential (PJ)]]/3.6</f>
        <v>1.9742500000000001</v>
      </c>
      <c r="F262">
        <v>29.125</v>
      </c>
      <c r="G262">
        <f>Tableau4[[#This Row],[Cost (€/GJ)]]*3.6</f>
        <v>104.85000000000001</v>
      </c>
      <c r="I262">
        <f>Tableau4[[#This Row],[GHG (kgCO2eq/GJ)]]*3.6</f>
        <v>0</v>
      </c>
      <c r="J262" t="s">
        <v>106</v>
      </c>
      <c r="K262" t="s">
        <v>109</v>
      </c>
    </row>
    <row r="263" spans="1:11" hidden="1" x14ac:dyDescent="0.3">
      <c r="A263" t="s">
        <v>18</v>
      </c>
      <c r="B263" t="s">
        <v>55</v>
      </c>
      <c r="C263" t="s">
        <v>88</v>
      </c>
      <c r="D263">
        <v>0.23549999999999999</v>
      </c>
      <c r="E263">
        <f>Tableau4[[#This Row],[Potential (PJ)]]/3.6</f>
        <v>6.5416666666666665E-2</v>
      </c>
      <c r="F263">
        <v>24.968</v>
      </c>
      <c r="G263">
        <f>Tableau4[[#This Row],[Cost (€/GJ)]]*3.6</f>
        <v>89.884799999999998</v>
      </c>
      <c r="I263">
        <f>Tableau4[[#This Row],[GHG (kgCO2eq/GJ)]]*3.6</f>
        <v>0</v>
      </c>
      <c r="J263" t="s">
        <v>106</v>
      </c>
      <c r="K263" t="s">
        <v>109</v>
      </c>
    </row>
    <row r="264" spans="1:11" hidden="1" x14ac:dyDescent="0.3">
      <c r="A264" t="s">
        <v>18</v>
      </c>
      <c r="B264" t="s">
        <v>55</v>
      </c>
      <c r="C264" t="s">
        <v>89</v>
      </c>
      <c r="D264">
        <v>1.9699999999999999E-2</v>
      </c>
      <c r="E264">
        <f>Tableau4[[#This Row],[Potential (PJ)]]/3.6</f>
        <v>5.4722222222222221E-3</v>
      </c>
      <c r="F264">
        <v>0</v>
      </c>
      <c r="G264">
        <f>Tableau4[[#This Row],[Cost (€/GJ)]]*3.6</f>
        <v>0</v>
      </c>
      <c r="I264">
        <f>Tableau4[[#This Row],[GHG (kgCO2eq/GJ)]]*3.6</f>
        <v>0</v>
      </c>
      <c r="J264" t="s">
        <v>106</v>
      </c>
      <c r="K264" t="s">
        <v>109</v>
      </c>
    </row>
    <row r="265" spans="1:11" hidden="1" x14ac:dyDescent="0.3">
      <c r="A265" t="s">
        <v>18</v>
      </c>
      <c r="B265" t="s">
        <v>56</v>
      </c>
      <c r="C265" t="s">
        <v>93</v>
      </c>
      <c r="D265">
        <v>23.951599999999999</v>
      </c>
      <c r="E265">
        <f>Tableau4[[#This Row],[Potential (PJ)]]/3.6</f>
        <v>6.6532222222222215</v>
      </c>
      <c r="F265">
        <v>2.939759036144578</v>
      </c>
      <c r="G265">
        <f>Tableau4[[#This Row],[Cost (€/GJ)]]*3.6</f>
        <v>10.583132530120482</v>
      </c>
      <c r="I265">
        <f>Tableau4[[#This Row],[GHG (kgCO2eq/GJ)]]*3.6</f>
        <v>0</v>
      </c>
      <c r="J265" t="s">
        <v>106</v>
      </c>
      <c r="K265" t="s">
        <v>109</v>
      </c>
    </row>
    <row r="266" spans="1:11" x14ac:dyDescent="0.3">
      <c r="A266" t="s">
        <v>18</v>
      </c>
      <c r="B266" t="s">
        <v>47</v>
      </c>
      <c r="C266" t="s">
        <v>68</v>
      </c>
      <c r="D266">
        <v>21.5</v>
      </c>
      <c r="E266">
        <f>Tableau4[[#This Row],[Potential (PJ)]]/3.6</f>
        <v>5.9722222222222223</v>
      </c>
      <c r="F266">
        <v>6.0393023255813949</v>
      </c>
      <c r="G266">
        <f>Tableau4[[#This Row],[Cost (€/GJ)]]*3.6</f>
        <v>21.741488372093023</v>
      </c>
      <c r="I266">
        <f>Tableau4[[#This Row],[GHG (kgCO2eq/GJ)]]*3.6</f>
        <v>0</v>
      </c>
      <c r="J266" t="s">
        <v>104</v>
      </c>
      <c r="K266" t="s">
        <v>109</v>
      </c>
    </row>
    <row r="267" spans="1:11" x14ac:dyDescent="0.3">
      <c r="A267" t="s">
        <v>18</v>
      </c>
      <c r="B267" t="s">
        <v>47</v>
      </c>
      <c r="C267" t="s">
        <v>69</v>
      </c>
      <c r="D267">
        <v>9.9</v>
      </c>
      <c r="E267">
        <f>Tableau4[[#This Row],[Potential (PJ)]]/3.6</f>
        <v>2.75</v>
      </c>
      <c r="F267">
        <v>9.495303030303031</v>
      </c>
      <c r="G267">
        <f>Tableau4[[#This Row],[Cost (€/GJ)]]*3.6</f>
        <v>34.183090909090915</v>
      </c>
      <c r="I267">
        <f>Tableau4[[#This Row],[GHG (kgCO2eq/GJ)]]*3.6</f>
        <v>0</v>
      </c>
      <c r="J267" t="s">
        <v>104</v>
      </c>
      <c r="K267" t="s">
        <v>109</v>
      </c>
    </row>
    <row r="268" spans="1:11" x14ac:dyDescent="0.3">
      <c r="A268" t="s">
        <v>18</v>
      </c>
      <c r="B268" t="s">
        <v>48</v>
      </c>
      <c r="C268" t="s">
        <v>70</v>
      </c>
      <c r="D268">
        <v>9</v>
      </c>
      <c r="E268">
        <f>Tableau4[[#This Row],[Potential (PJ)]]/3.6</f>
        <v>2.5</v>
      </c>
      <c r="F268">
        <v>14.56134444444444</v>
      </c>
      <c r="G268">
        <f>Tableau4[[#This Row],[Cost (€/GJ)]]*3.6</f>
        <v>52.420839999999984</v>
      </c>
      <c r="I268">
        <f>Tableau4[[#This Row],[GHG (kgCO2eq/GJ)]]*3.6</f>
        <v>0</v>
      </c>
      <c r="J268" t="s">
        <v>104</v>
      </c>
      <c r="K268" t="s">
        <v>109</v>
      </c>
    </row>
    <row r="269" spans="1:11" hidden="1" x14ac:dyDescent="0.3">
      <c r="A269" t="s">
        <v>18</v>
      </c>
      <c r="B269" t="s">
        <v>49</v>
      </c>
      <c r="C269" t="s">
        <v>71</v>
      </c>
      <c r="D269">
        <v>31.903549999999999</v>
      </c>
      <c r="E269">
        <f>Tableau4[[#This Row],[Potential (PJ)]]/3.6</f>
        <v>8.8620972222222214</v>
      </c>
      <c r="F269">
        <v>3.4639746109758951</v>
      </c>
      <c r="G269">
        <f>Tableau4[[#This Row],[Cost (€/GJ)]]*3.6</f>
        <v>12.470308599513222</v>
      </c>
      <c r="H269">
        <v>3.86607608129234</v>
      </c>
      <c r="I269">
        <f>Tableau4[[#This Row],[GHG (kgCO2eq/GJ)]]*3.6</f>
        <v>13.917873892652425</v>
      </c>
      <c r="J269" t="s">
        <v>104</v>
      </c>
      <c r="K269" t="s">
        <v>108</v>
      </c>
    </row>
    <row r="270" spans="1:11" hidden="1" x14ac:dyDescent="0.3">
      <c r="A270" t="s">
        <v>18</v>
      </c>
      <c r="B270" t="s">
        <v>49</v>
      </c>
      <c r="C270" t="s">
        <v>72</v>
      </c>
      <c r="D270">
        <v>7.6000000000000014</v>
      </c>
      <c r="E270">
        <f>Tableau4[[#This Row],[Potential (PJ)]]/3.6</f>
        <v>2.1111111111111116</v>
      </c>
      <c r="F270">
        <v>2.7782236842105261</v>
      </c>
      <c r="G270">
        <f>Tableau4[[#This Row],[Cost (€/GJ)]]*3.6</f>
        <v>10.001605263157895</v>
      </c>
      <c r="H270">
        <v>3.86607608129234</v>
      </c>
      <c r="I270">
        <f>Tableau4[[#This Row],[GHG (kgCO2eq/GJ)]]*3.6</f>
        <v>13.917873892652425</v>
      </c>
      <c r="J270" t="s">
        <v>104</v>
      </c>
      <c r="K270" t="s">
        <v>108</v>
      </c>
    </row>
    <row r="271" spans="1:11" hidden="1" x14ac:dyDescent="0.3">
      <c r="A271" t="s">
        <v>18</v>
      </c>
      <c r="B271" t="s">
        <v>58</v>
      </c>
      <c r="C271" t="s">
        <v>95</v>
      </c>
      <c r="D271">
        <v>15.612719999999999</v>
      </c>
      <c r="E271">
        <f>Tableau4[[#This Row],[Potential (PJ)]]/3.6</f>
        <v>4.3368666666666664</v>
      </c>
      <c r="F271">
        <v>2.428618322752218</v>
      </c>
      <c r="G271">
        <f>Tableau4[[#This Row],[Cost (€/GJ)]]*3.6</f>
        <v>8.7430259619079855</v>
      </c>
      <c r="H271">
        <v>2.9521711768407801</v>
      </c>
      <c r="I271">
        <f>Tableau4[[#This Row],[GHG (kgCO2eq/GJ)]]*3.6</f>
        <v>10.627816236626808</v>
      </c>
      <c r="J271" t="s">
        <v>104</v>
      </c>
      <c r="K271" t="s">
        <v>108</v>
      </c>
    </row>
    <row r="272" spans="1:11" hidden="1" x14ac:dyDescent="0.3">
      <c r="A272" t="s">
        <v>18</v>
      </c>
      <c r="B272" t="s">
        <v>50</v>
      </c>
      <c r="C272" t="s">
        <v>73</v>
      </c>
      <c r="D272">
        <v>1.4</v>
      </c>
      <c r="E272">
        <f>Tableau4[[#This Row],[Potential (PJ)]]/3.6</f>
        <v>0.38888888888888884</v>
      </c>
      <c r="F272">
        <v>5.3477142857142859</v>
      </c>
      <c r="G272">
        <f>Tableau4[[#This Row],[Cost (€/GJ)]]*3.6</f>
        <v>19.251771428571431</v>
      </c>
      <c r="H272">
        <v>20.723404255319149</v>
      </c>
      <c r="I272">
        <f>Tableau4[[#This Row],[GHG (kgCO2eq/GJ)]]*3.6</f>
        <v>74.604255319148933</v>
      </c>
      <c r="J272" t="s">
        <v>105</v>
      </c>
      <c r="K272" t="s">
        <v>108</v>
      </c>
    </row>
    <row r="273" spans="1:11" hidden="1" x14ac:dyDescent="0.3">
      <c r="A273" t="s">
        <v>18</v>
      </c>
      <c r="B273" t="s">
        <v>50</v>
      </c>
      <c r="C273" t="s">
        <v>74</v>
      </c>
      <c r="D273">
        <v>10.6</v>
      </c>
      <c r="E273">
        <f>Tableau4[[#This Row],[Potential (PJ)]]/3.6</f>
        <v>2.9444444444444442</v>
      </c>
      <c r="F273">
        <v>4.3124622641509438</v>
      </c>
      <c r="G273">
        <f>Tableau4[[#This Row],[Cost (€/GJ)]]*3.6</f>
        <v>15.524864150943397</v>
      </c>
      <c r="H273">
        <v>2.0635593220338988</v>
      </c>
      <c r="I273">
        <f>Tableau4[[#This Row],[GHG (kgCO2eq/GJ)]]*3.6</f>
        <v>7.4288135593220357</v>
      </c>
      <c r="J273" t="s">
        <v>105</v>
      </c>
      <c r="K273" t="s">
        <v>108</v>
      </c>
    </row>
    <row r="274" spans="1:11" hidden="1" x14ac:dyDescent="0.3">
      <c r="A274" t="s">
        <v>18</v>
      </c>
      <c r="B274" t="s">
        <v>59</v>
      </c>
      <c r="C274" t="s">
        <v>96</v>
      </c>
      <c r="D274">
        <v>1.9630000000000001</v>
      </c>
      <c r="E274">
        <f>Tableau4[[#This Row],[Potential (PJ)]]/3.6</f>
        <v>0.54527777777777775</v>
      </c>
      <c r="F274">
        <v>28.3</v>
      </c>
      <c r="G274">
        <f>Tableau4[[#This Row],[Cost (€/GJ)]]*3.6</f>
        <v>101.88000000000001</v>
      </c>
      <c r="I274">
        <f>Tableau4[[#This Row],[GHG (kgCO2eq/GJ)]]*3.6</f>
        <v>0</v>
      </c>
      <c r="J274" t="s">
        <v>107</v>
      </c>
      <c r="K274" t="s">
        <v>109</v>
      </c>
    </row>
    <row r="275" spans="1:11" hidden="1" x14ac:dyDescent="0.3">
      <c r="A275" t="s">
        <v>18</v>
      </c>
      <c r="B275" t="s">
        <v>59</v>
      </c>
      <c r="C275" t="s">
        <v>97</v>
      </c>
      <c r="D275">
        <v>1.5201</v>
      </c>
      <c r="E275">
        <f>Tableau4[[#This Row],[Potential (PJ)]]/3.6</f>
        <v>0.42225000000000001</v>
      </c>
      <c r="F275">
        <v>19.96744438415627</v>
      </c>
      <c r="G275">
        <f>Tableau4[[#This Row],[Cost (€/GJ)]]*3.6</f>
        <v>71.882799782962579</v>
      </c>
      <c r="I275">
        <f>Tableau4[[#This Row],[GHG (kgCO2eq/GJ)]]*3.6</f>
        <v>0</v>
      </c>
      <c r="J275" t="s">
        <v>107</v>
      </c>
      <c r="K275" t="s">
        <v>109</v>
      </c>
    </row>
    <row r="276" spans="1:11" hidden="1" x14ac:dyDescent="0.3">
      <c r="A276" t="s">
        <v>18</v>
      </c>
      <c r="B276" t="s">
        <v>51</v>
      </c>
      <c r="C276" t="s">
        <v>75</v>
      </c>
      <c r="D276">
        <v>3.9219539999999999</v>
      </c>
      <c r="E276">
        <f>Tableau4[[#This Row],[Potential (PJ)]]/3.6</f>
        <v>1.0894316666666666</v>
      </c>
      <c r="F276">
        <v>5.7050588900881098E-2</v>
      </c>
      <c r="G276">
        <f>Tableau4[[#This Row],[Cost (€/GJ)]]*3.6</f>
        <v>0.20538212004317197</v>
      </c>
      <c r="H276">
        <v>11.74</v>
      </c>
      <c r="I276">
        <f>Tableau4[[#This Row],[GHG (kgCO2eq/GJ)]]*3.6</f>
        <v>42.264000000000003</v>
      </c>
      <c r="J276" t="s">
        <v>104</v>
      </c>
      <c r="K276" t="s">
        <v>108</v>
      </c>
    </row>
    <row r="277" spans="1:11" hidden="1" x14ac:dyDescent="0.3">
      <c r="A277" t="s">
        <v>18</v>
      </c>
      <c r="B277" t="s">
        <v>52</v>
      </c>
      <c r="C277" t="s">
        <v>76</v>
      </c>
      <c r="D277">
        <v>0.94599999999999995</v>
      </c>
      <c r="E277">
        <f>Tableau4[[#This Row],[Potential (PJ)]]/3.6</f>
        <v>0.26277777777777778</v>
      </c>
      <c r="F277">
        <v>0</v>
      </c>
      <c r="G277">
        <f>Tableau4[[#This Row],[Cost (€/GJ)]]*3.6</f>
        <v>0</v>
      </c>
      <c r="H277">
        <v>12.68872359754714</v>
      </c>
      <c r="I277">
        <f>Tableau4[[#This Row],[GHG (kgCO2eq/GJ)]]*3.6</f>
        <v>45.679404951169708</v>
      </c>
      <c r="J277" t="s">
        <v>105</v>
      </c>
      <c r="K277" t="s">
        <v>108</v>
      </c>
    </row>
    <row r="278" spans="1:11" hidden="1" x14ac:dyDescent="0.3">
      <c r="A278" t="s">
        <v>18</v>
      </c>
      <c r="B278" t="s">
        <v>53</v>
      </c>
      <c r="C278" t="s">
        <v>77</v>
      </c>
      <c r="D278">
        <v>3.3</v>
      </c>
      <c r="E278">
        <f>Tableau4[[#This Row],[Potential (PJ)]]/3.6</f>
        <v>0.91666666666666663</v>
      </c>
      <c r="F278">
        <v>2.777636363636363</v>
      </c>
      <c r="G278">
        <f>Tableau4[[#This Row],[Cost (€/GJ)]]*3.6</f>
        <v>9.9994909090909072</v>
      </c>
      <c r="H278">
        <v>3.86607608129234</v>
      </c>
      <c r="I278">
        <f>Tableau4[[#This Row],[GHG (kgCO2eq/GJ)]]*3.6</f>
        <v>13.917873892652425</v>
      </c>
      <c r="J278" t="s">
        <v>104</v>
      </c>
      <c r="K278" t="s">
        <v>108</v>
      </c>
    </row>
    <row r="279" spans="1:11" hidden="1" x14ac:dyDescent="0.3">
      <c r="A279" t="s">
        <v>18</v>
      </c>
      <c r="B279" t="s">
        <v>61</v>
      </c>
      <c r="C279" t="s">
        <v>99</v>
      </c>
      <c r="D279">
        <v>3.7</v>
      </c>
      <c r="E279">
        <f>Tableau4[[#This Row],[Potential (PJ)]]/3.6</f>
        <v>1.0277777777777779</v>
      </c>
      <c r="F279">
        <v>1.4102972972972969</v>
      </c>
      <c r="G279">
        <f>Tableau4[[#This Row],[Cost (€/GJ)]]*3.6</f>
        <v>5.0770702702702692</v>
      </c>
      <c r="H279">
        <v>2.9245635910224439</v>
      </c>
      <c r="I279">
        <f>Tableau4[[#This Row],[GHG (kgCO2eq/GJ)]]*3.6</f>
        <v>10.528428927680798</v>
      </c>
      <c r="J279" t="s">
        <v>104</v>
      </c>
      <c r="K279" t="s">
        <v>108</v>
      </c>
    </row>
    <row r="280" spans="1:11" hidden="1" x14ac:dyDescent="0.3">
      <c r="A280" t="s">
        <v>18</v>
      </c>
      <c r="B280" t="s">
        <v>62</v>
      </c>
      <c r="C280" t="s">
        <v>100</v>
      </c>
      <c r="D280">
        <v>0.4</v>
      </c>
      <c r="E280">
        <f>Tableau4[[#This Row],[Potential (PJ)]]/3.6</f>
        <v>0.11111111111111112</v>
      </c>
      <c r="F280">
        <v>7.5000000000000011E-2</v>
      </c>
      <c r="G280">
        <f>Tableau4[[#This Row],[Cost (€/GJ)]]*3.6</f>
        <v>0.27000000000000007</v>
      </c>
      <c r="H280">
        <v>2.6764106050305911</v>
      </c>
      <c r="I280">
        <f>Tableau4[[#This Row],[GHG (kgCO2eq/GJ)]]*3.6</f>
        <v>9.6350781781101276</v>
      </c>
      <c r="J280" t="s">
        <v>104</v>
      </c>
      <c r="K280" t="s">
        <v>108</v>
      </c>
    </row>
    <row r="281" spans="1:11" hidden="1" x14ac:dyDescent="0.3">
      <c r="A281" t="s">
        <v>18</v>
      </c>
      <c r="B281" t="s">
        <v>54</v>
      </c>
      <c r="C281" t="s">
        <v>78</v>
      </c>
      <c r="D281">
        <v>14.5</v>
      </c>
      <c r="E281">
        <f>Tableau4[[#This Row],[Potential (PJ)]]/3.6</f>
        <v>4.0277777777777777</v>
      </c>
      <c r="F281">
        <v>5.698655172413793</v>
      </c>
      <c r="G281">
        <f>Tableau4[[#This Row],[Cost (€/GJ)]]*3.6</f>
        <v>20.515158620689654</v>
      </c>
      <c r="H281">
        <v>3.86607608129234</v>
      </c>
      <c r="I281">
        <f>Tableau4[[#This Row],[GHG (kgCO2eq/GJ)]]*3.6</f>
        <v>13.917873892652425</v>
      </c>
      <c r="J281" t="s">
        <v>104</v>
      </c>
      <c r="K281" t="s">
        <v>108</v>
      </c>
    </row>
    <row r="282" spans="1:11" hidden="1" x14ac:dyDescent="0.3">
      <c r="A282" t="s">
        <v>19</v>
      </c>
      <c r="B282" t="s">
        <v>46</v>
      </c>
      <c r="C282" t="s">
        <v>63</v>
      </c>
      <c r="D282">
        <v>13.142899999999999</v>
      </c>
      <c r="E282">
        <f>Tableau4[[#This Row],[Potential (PJ)]]/3.6</f>
        <v>3.6508055555555554</v>
      </c>
      <c r="F282">
        <v>2.9286474973375931</v>
      </c>
      <c r="G282">
        <f>Tableau4[[#This Row],[Cost (€/GJ)]]*3.6</f>
        <v>10.543130990415335</v>
      </c>
      <c r="H282">
        <v>3.950479233226837</v>
      </c>
      <c r="I282">
        <f>Tableau4[[#This Row],[GHG (kgCO2eq/GJ)]]*3.6</f>
        <v>14.221725239616614</v>
      </c>
      <c r="J282" t="s">
        <v>104</v>
      </c>
      <c r="K282" t="s">
        <v>108</v>
      </c>
    </row>
    <row r="283" spans="1:11" hidden="1" x14ac:dyDescent="0.3">
      <c r="A283" t="s">
        <v>19</v>
      </c>
      <c r="B283" t="s">
        <v>46</v>
      </c>
      <c r="C283" t="s">
        <v>64</v>
      </c>
      <c r="D283">
        <v>1.1117900000000001</v>
      </c>
      <c r="E283">
        <f>Tableau4[[#This Row],[Potential (PJ)]]/3.6</f>
        <v>0.30883055555555555</v>
      </c>
      <c r="F283">
        <v>5.9096121569720896</v>
      </c>
      <c r="G283">
        <f>Tableau4[[#This Row],[Cost (€/GJ)]]*3.6</f>
        <v>21.274603765099524</v>
      </c>
      <c r="H283">
        <v>2.9521711768407801</v>
      </c>
      <c r="I283">
        <f>Tableau4[[#This Row],[GHG (kgCO2eq/GJ)]]*3.6</f>
        <v>10.627816236626808</v>
      </c>
      <c r="J283" t="s">
        <v>104</v>
      </c>
      <c r="K283" t="s">
        <v>108</v>
      </c>
    </row>
    <row r="284" spans="1:11" hidden="1" x14ac:dyDescent="0.3">
      <c r="A284" t="s">
        <v>19</v>
      </c>
      <c r="B284" t="s">
        <v>46</v>
      </c>
      <c r="C284" t="s">
        <v>79</v>
      </c>
      <c r="D284">
        <v>63.9</v>
      </c>
      <c r="E284">
        <f>Tableau4[[#This Row],[Potential (PJ)]]/3.6</f>
        <v>17.75</v>
      </c>
      <c r="F284">
        <v>1.814025039123631</v>
      </c>
      <c r="G284">
        <f>Tableau4[[#This Row],[Cost (€/GJ)]]*3.6</f>
        <v>6.530490140845072</v>
      </c>
      <c r="H284">
        <v>6.8428961748633883</v>
      </c>
      <c r="I284">
        <f>Tableau4[[#This Row],[GHG (kgCO2eq/GJ)]]*3.6</f>
        <v>24.634426229508197</v>
      </c>
      <c r="J284" t="s">
        <v>104</v>
      </c>
      <c r="K284" t="s">
        <v>108</v>
      </c>
    </row>
    <row r="285" spans="1:11" hidden="1" x14ac:dyDescent="0.3">
      <c r="A285" t="s">
        <v>19</v>
      </c>
      <c r="B285" t="s">
        <v>46</v>
      </c>
      <c r="C285" t="s">
        <v>65</v>
      </c>
      <c r="D285">
        <v>13.3</v>
      </c>
      <c r="E285">
        <f>Tableau4[[#This Row],[Potential (PJ)]]/3.6</f>
        <v>3.6944444444444446</v>
      </c>
      <c r="F285">
        <v>4.7123909774436088</v>
      </c>
      <c r="G285">
        <f>Tableau4[[#This Row],[Cost (€/GJ)]]*3.6</f>
        <v>16.964607518796992</v>
      </c>
      <c r="H285">
        <v>2.9521711768407801</v>
      </c>
      <c r="I285">
        <f>Tableau4[[#This Row],[GHG (kgCO2eq/GJ)]]*3.6</f>
        <v>10.627816236626808</v>
      </c>
      <c r="J285" t="s">
        <v>104</v>
      </c>
      <c r="K285" t="s">
        <v>108</v>
      </c>
    </row>
    <row r="286" spans="1:11" hidden="1" x14ac:dyDescent="0.3">
      <c r="A286" t="s">
        <v>19</v>
      </c>
      <c r="B286" t="s">
        <v>46</v>
      </c>
      <c r="C286" t="s">
        <v>102</v>
      </c>
      <c r="D286">
        <v>7.4</v>
      </c>
      <c r="E286">
        <f>Tableau4[[#This Row],[Potential (PJ)]]/3.6</f>
        <v>2.0555555555555558</v>
      </c>
      <c r="F286">
        <v>4.1234729729729729</v>
      </c>
      <c r="G286">
        <f>Tableau4[[#This Row],[Cost (€/GJ)]]*3.6</f>
        <v>14.844502702702703</v>
      </c>
      <c r="H286">
        <v>2.9521711768407801</v>
      </c>
      <c r="I286">
        <f>Tableau4[[#This Row],[GHG (kgCO2eq/GJ)]]*3.6</f>
        <v>10.627816236626808</v>
      </c>
      <c r="J286" t="s">
        <v>104</v>
      </c>
      <c r="K286" t="s">
        <v>108</v>
      </c>
    </row>
    <row r="287" spans="1:11" hidden="1" x14ac:dyDescent="0.3">
      <c r="A287" t="s">
        <v>19</v>
      </c>
      <c r="B287" t="s">
        <v>46</v>
      </c>
      <c r="C287" t="s">
        <v>80</v>
      </c>
      <c r="D287">
        <v>3.3877999999999999</v>
      </c>
      <c r="E287">
        <f>Tableau4[[#This Row],[Potential (PJ)]]/3.6</f>
        <v>0.94105555555555553</v>
      </c>
      <c r="F287">
        <v>0.53674983142279165</v>
      </c>
      <c r="G287">
        <f>Tableau4[[#This Row],[Cost (€/GJ)]]*3.6</f>
        <v>1.93229939312205</v>
      </c>
      <c r="H287">
        <v>28.139870918023309</v>
      </c>
      <c r="I287">
        <f>Tableau4[[#This Row],[GHG (kgCO2eq/GJ)]]*3.6</f>
        <v>101.30353530488391</v>
      </c>
      <c r="J287" t="s">
        <v>105</v>
      </c>
      <c r="K287" t="s">
        <v>108</v>
      </c>
    </row>
    <row r="288" spans="1:11" hidden="1" x14ac:dyDescent="0.3">
      <c r="A288" t="s">
        <v>19</v>
      </c>
      <c r="B288" t="s">
        <v>46</v>
      </c>
      <c r="C288" t="s">
        <v>81</v>
      </c>
      <c r="D288">
        <v>0.73980000000000001</v>
      </c>
      <c r="E288">
        <f>Tableau4[[#This Row],[Potential (PJ)]]/3.6</f>
        <v>0.20549999999999999</v>
      </c>
      <c r="F288">
        <v>1.0987074030552291</v>
      </c>
      <c r="G288">
        <f>Tableau4[[#This Row],[Cost (€/GJ)]]*3.6</f>
        <v>3.9553466509988247</v>
      </c>
      <c r="H288">
        <v>8.9647473560517046</v>
      </c>
      <c r="I288">
        <f>Tableau4[[#This Row],[GHG (kgCO2eq/GJ)]]*3.6</f>
        <v>32.273090481786134</v>
      </c>
      <c r="J288" t="s">
        <v>105</v>
      </c>
      <c r="K288" t="s">
        <v>108</v>
      </c>
    </row>
    <row r="289" spans="1:11" hidden="1" x14ac:dyDescent="0.3">
      <c r="A289" t="s">
        <v>19</v>
      </c>
      <c r="B289" t="s">
        <v>46</v>
      </c>
      <c r="C289" t="s">
        <v>66</v>
      </c>
      <c r="D289">
        <v>8.9</v>
      </c>
      <c r="E289">
        <f>Tableau4[[#This Row],[Potential (PJ)]]/3.6</f>
        <v>2.4722222222222223</v>
      </c>
      <c r="F289">
        <v>1.8662022471910109</v>
      </c>
      <c r="G289">
        <f>Tableau4[[#This Row],[Cost (€/GJ)]]*3.6</f>
        <v>6.7183280898876392</v>
      </c>
      <c r="H289">
        <v>6.8428961748633883</v>
      </c>
      <c r="I289">
        <f>Tableau4[[#This Row],[GHG (kgCO2eq/GJ)]]*3.6</f>
        <v>24.634426229508197</v>
      </c>
      <c r="J289" t="s">
        <v>104</v>
      </c>
      <c r="K289" t="s">
        <v>108</v>
      </c>
    </row>
    <row r="290" spans="1:11" hidden="1" x14ac:dyDescent="0.3">
      <c r="A290" t="s">
        <v>19</v>
      </c>
      <c r="B290" t="s">
        <v>46</v>
      </c>
      <c r="C290" t="s">
        <v>67</v>
      </c>
      <c r="D290">
        <v>28.8</v>
      </c>
      <c r="E290">
        <f>Tableau4[[#This Row],[Potential (PJ)]]/3.6</f>
        <v>8</v>
      </c>
      <c r="F290">
        <v>6.6847048611111122</v>
      </c>
      <c r="G290">
        <f>Tableau4[[#This Row],[Cost (€/GJ)]]*3.6</f>
        <v>24.064937500000003</v>
      </c>
      <c r="H290">
        <v>2.9521711768407801</v>
      </c>
      <c r="I290">
        <f>Tableau4[[#This Row],[GHG (kgCO2eq/GJ)]]*3.6</f>
        <v>10.627816236626808</v>
      </c>
      <c r="J290" t="s">
        <v>104</v>
      </c>
      <c r="K290" t="s">
        <v>108</v>
      </c>
    </row>
    <row r="291" spans="1:11" hidden="1" x14ac:dyDescent="0.3">
      <c r="A291" t="s">
        <v>19</v>
      </c>
      <c r="B291" t="s">
        <v>46</v>
      </c>
      <c r="C291" t="s">
        <v>82</v>
      </c>
      <c r="D291">
        <v>6.3000000000000007</v>
      </c>
      <c r="E291">
        <f>Tableau4[[#This Row],[Potential (PJ)]]/3.6</f>
        <v>1.7500000000000002</v>
      </c>
      <c r="F291">
        <v>1.2986984126984129</v>
      </c>
      <c r="G291">
        <f>Tableau4[[#This Row],[Cost (€/GJ)]]*3.6</f>
        <v>4.6753142857142862</v>
      </c>
      <c r="H291">
        <v>6.8428961748633883</v>
      </c>
      <c r="I291">
        <f>Tableau4[[#This Row],[GHG (kgCO2eq/GJ)]]*3.6</f>
        <v>24.634426229508197</v>
      </c>
      <c r="J291" t="s">
        <v>104</v>
      </c>
      <c r="K291" t="s">
        <v>108</v>
      </c>
    </row>
    <row r="292" spans="1:11" hidden="1" x14ac:dyDescent="0.3">
      <c r="A292" t="s">
        <v>19</v>
      </c>
      <c r="B292" t="s">
        <v>46</v>
      </c>
      <c r="C292" t="s">
        <v>83</v>
      </c>
      <c r="D292">
        <v>3.8029999999999999</v>
      </c>
      <c r="E292">
        <f>Tableau4[[#This Row],[Potential (PJ)]]/3.6</f>
        <v>1.0563888888888888</v>
      </c>
      <c r="F292">
        <v>1.782946431764397</v>
      </c>
      <c r="G292">
        <f>Tableau4[[#This Row],[Cost (€/GJ)]]*3.6</f>
        <v>6.4186071543518297</v>
      </c>
      <c r="H292">
        <v>6.8428961748633883</v>
      </c>
      <c r="I292">
        <f>Tableau4[[#This Row],[GHG (kgCO2eq/GJ)]]*3.6</f>
        <v>24.634426229508197</v>
      </c>
      <c r="J292" t="s">
        <v>104</v>
      </c>
      <c r="K292" t="s">
        <v>108</v>
      </c>
    </row>
    <row r="293" spans="1:11" hidden="1" x14ac:dyDescent="0.3">
      <c r="A293" t="s">
        <v>19</v>
      </c>
      <c r="B293" t="s">
        <v>46</v>
      </c>
      <c r="C293" t="s">
        <v>84</v>
      </c>
      <c r="D293">
        <v>1.6</v>
      </c>
      <c r="E293">
        <f>Tableau4[[#This Row],[Potential (PJ)]]/3.6</f>
        <v>0.44444444444444448</v>
      </c>
      <c r="F293">
        <v>1.6170625000000001</v>
      </c>
      <c r="G293">
        <f>Tableau4[[#This Row],[Cost (€/GJ)]]*3.6</f>
        <v>5.8214250000000005</v>
      </c>
      <c r="H293">
        <v>28.139870918023309</v>
      </c>
      <c r="I293">
        <f>Tableau4[[#This Row],[GHG (kgCO2eq/GJ)]]*3.6</f>
        <v>101.30353530488391</v>
      </c>
      <c r="J293" t="s">
        <v>105</v>
      </c>
      <c r="K293" t="s">
        <v>108</v>
      </c>
    </row>
    <row r="294" spans="1:11" hidden="1" x14ac:dyDescent="0.3">
      <c r="A294" t="s">
        <v>19</v>
      </c>
      <c r="B294" t="s">
        <v>46</v>
      </c>
      <c r="C294" t="s">
        <v>85</v>
      </c>
      <c r="D294">
        <v>11.6</v>
      </c>
      <c r="E294">
        <f>Tableau4[[#This Row],[Potential (PJ)]]/3.6</f>
        <v>3.2222222222222219</v>
      </c>
      <c r="F294">
        <v>3.77178448275862</v>
      </c>
      <c r="G294">
        <f>Tableau4[[#This Row],[Cost (€/GJ)]]*3.6</f>
        <v>13.578424137931032</v>
      </c>
      <c r="H294">
        <v>2.9521711768407801</v>
      </c>
      <c r="I294">
        <f>Tableau4[[#This Row],[GHG (kgCO2eq/GJ)]]*3.6</f>
        <v>10.627816236626808</v>
      </c>
      <c r="J294" t="s">
        <v>104</v>
      </c>
      <c r="K294" t="s">
        <v>108</v>
      </c>
    </row>
    <row r="295" spans="1:11" hidden="1" x14ac:dyDescent="0.3">
      <c r="A295" t="s">
        <v>19</v>
      </c>
      <c r="B295" t="s">
        <v>55</v>
      </c>
      <c r="C295" t="s">
        <v>86</v>
      </c>
      <c r="D295">
        <v>14.814500000000001</v>
      </c>
      <c r="E295">
        <f>Tableau4[[#This Row],[Potential (PJ)]]/3.6</f>
        <v>4.1151388888888887</v>
      </c>
      <c r="F295">
        <v>18.76499999999999</v>
      </c>
      <c r="G295">
        <f>Tableau4[[#This Row],[Cost (€/GJ)]]*3.6</f>
        <v>67.553999999999959</v>
      </c>
      <c r="H295">
        <v>13.1</v>
      </c>
      <c r="I295">
        <f>Tableau4[[#This Row],[GHG (kgCO2eq/GJ)]]*3.6</f>
        <v>47.16</v>
      </c>
      <c r="J295" t="s">
        <v>106</v>
      </c>
      <c r="K295" t="s">
        <v>109</v>
      </c>
    </row>
    <row r="296" spans="1:11" hidden="1" x14ac:dyDescent="0.3">
      <c r="A296" t="s">
        <v>19</v>
      </c>
      <c r="B296" t="s">
        <v>55</v>
      </c>
      <c r="C296" t="s">
        <v>87</v>
      </c>
      <c r="D296">
        <v>10.098800000000001</v>
      </c>
      <c r="E296">
        <f>Tableau4[[#This Row],[Potential (PJ)]]/3.6</f>
        <v>2.8052222222222225</v>
      </c>
      <c r="F296">
        <v>22.024000000000001</v>
      </c>
      <c r="G296">
        <f>Tableau4[[#This Row],[Cost (€/GJ)]]*3.6</f>
        <v>79.2864</v>
      </c>
      <c r="H296">
        <v>13.1</v>
      </c>
      <c r="I296">
        <f>Tableau4[[#This Row],[GHG (kgCO2eq/GJ)]]*3.6</f>
        <v>47.16</v>
      </c>
      <c r="J296" t="s">
        <v>106</v>
      </c>
      <c r="K296" t="s">
        <v>109</v>
      </c>
    </row>
    <row r="297" spans="1:11" hidden="1" x14ac:dyDescent="0.3">
      <c r="A297" t="s">
        <v>19</v>
      </c>
      <c r="B297" t="s">
        <v>55</v>
      </c>
      <c r="C297" t="s">
        <v>88</v>
      </c>
      <c r="D297">
        <v>4.5166000000000004</v>
      </c>
      <c r="E297">
        <f>Tableau4[[#This Row],[Potential (PJ)]]/3.6</f>
        <v>1.2546111111111111</v>
      </c>
      <c r="F297">
        <v>21.882999999999999</v>
      </c>
      <c r="G297">
        <f>Tableau4[[#This Row],[Cost (€/GJ)]]*3.6</f>
        <v>78.778800000000004</v>
      </c>
      <c r="H297">
        <v>13.1</v>
      </c>
      <c r="I297">
        <f>Tableau4[[#This Row],[GHG (kgCO2eq/GJ)]]*3.6</f>
        <v>47.16</v>
      </c>
      <c r="J297" t="s">
        <v>106</v>
      </c>
      <c r="K297" t="s">
        <v>109</v>
      </c>
    </row>
    <row r="298" spans="1:11" hidden="1" x14ac:dyDescent="0.3">
      <c r="A298" t="s">
        <v>19</v>
      </c>
      <c r="B298" t="s">
        <v>55</v>
      </c>
      <c r="C298" t="s">
        <v>89</v>
      </c>
      <c r="D298">
        <v>3.3651</v>
      </c>
      <c r="E298">
        <f>Tableau4[[#This Row],[Potential (PJ)]]/3.6</f>
        <v>0.93474999999999997</v>
      </c>
      <c r="F298">
        <v>0</v>
      </c>
      <c r="G298">
        <f>Tableau4[[#This Row],[Cost (€/GJ)]]*3.6</f>
        <v>0</v>
      </c>
      <c r="H298">
        <v>13.1</v>
      </c>
      <c r="I298">
        <f>Tableau4[[#This Row],[GHG (kgCO2eq/GJ)]]*3.6</f>
        <v>47.16</v>
      </c>
      <c r="J298" t="s">
        <v>106</v>
      </c>
      <c r="K298" t="s">
        <v>109</v>
      </c>
    </row>
    <row r="299" spans="1:11" hidden="1" x14ac:dyDescent="0.3">
      <c r="A299" t="s">
        <v>19</v>
      </c>
      <c r="B299" t="s">
        <v>55</v>
      </c>
      <c r="C299" t="s">
        <v>90</v>
      </c>
      <c r="D299">
        <v>0.1492</v>
      </c>
      <c r="E299">
        <f>Tableau4[[#This Row],[Potential (PJ)]]/3.6</f>
        <v>4.1444444444444443E-2</v>
      </c>
      <c r="F299">
        <v>22.61099999999999</v>
      </c>
      <c r="G299">
        <f>Tableau4[[#This Row],[Cost (€/GJ)]]*3.6</f>
        <v>81.399599999999964</v>
      </c>
      <c r="H299">
        <v>13.1</v>
      </c>
      <c r="I299">
        <f>Tableau4[[#This Row],[GHG (kgCO2eq/GJ)]]*3.6</f>
        <v>47.16</v>
      </c>
      <c r="J299" t="s">
        <v>106</v>
      </c>
      <c r="K299" t="s">
        <v>109</v>
      </c>
    </row>
    <row r="300" spans="1:11" hidden="1" x14ac:dyDescent="0.3">
      <c r="A300" t="s">
        <v>19</v>
      </c>
      <c r="B300" t="s">
        <v>55</v>
      </c>
      <c r="C300" t="s">
        <v>91</v>
      </c>
      <c r="D300">
        <v>2.2094999999999998</v>
      </c>
      <c r="E300">
        <f>Tableau4[[#This Row],[Potential (PJ)]]/3.6</f>
        <v>0.61374999999999991</v>
      </c>
      <c r="F300">
        <v>18.987000000000009</v>
      </c>
      <c r="G300">
        <f>Tableau4[[#This Row],[Cost (€/GJ)]]*3.6</f>
        <v>68.353200000000029</v>
      </c>
      <c r="H300">
        <v>13.1</v>
      </c>
      <c r="I300">
        <f>Tableau4[[#This Row],[GHG (kgCO2eq/GJ)]]*3.6</f>
        <v>47.16</v>
      </c>
      <c r="J300" t="s">
        <v>106</v>
      </c>
      <c r="K300" t="s">
        <v>109</v>
      </c>
    </row>
    <row r="301" spans="1:11" hidden="1" x14ac:dyDescent="0.3">
      <c r="A301" t="s">
        <v>19</v>
      </c>
      <c r="B301" t="s">
        <v>55</v>
      </c>
      <c r="C301" t="s">
        <v>92</v>
      </c>
      <c r="D301">
        <v>1.3548</v>
      </c>
      <c r="E301">
        <f>Tableau4[[#This Row],[Potential (PJ)]]/3.6</f>
        <v>0.3763333333333333</v>
      </c>
      <c r="F301">
        <v>22.024000000000001</v>
      </c>
      <c r="G301">
        <f>Tableau4[[#This Row],[Cost (€/GJ)]]*3.6</f>
        <v>79.2864</v>
      </c>
      <c r="H301">
        <v>13.1</v>
      </c>
      <c r="I301">
        <f>Tableau4[[#This Row],[GHG (kgCO2eq/GJ)]]*3.6</f>
        <v>47.16</v>
      </c>
      <c r="J301" t="s">
        <v>106</v>
      </c>
      <c r="K301" t="s">
        <v>109</v>
      </c>
    </row>
    <row r="302" spans="1:11" hidden="1" x14ac:dyDescent="0.3">
      <c r="A302" t="s">
        <v>19</v>
      </c>
      <c r="B302" t="s">
        <v>56</v>
      </c>
      <c r="C302" t="s">
        <v>93</v>
      </c>
      <c r="D302">
        <v>187.0052</v>
      </c>
      <c r="E302">
        <f>Tableau4[[#This Row],[Potential (PJ)]]/3.6</f>
        <v>51.945888888888888</v>
      </c>
      <c r="F302">
        <v>2.939759036144578</v>
      </c>
      <c r="G302">
        <f>Tableau4[[#This Row],[Cost (€/GJ)]]*3.6</f>
        <v>10.583132530120482</v>
      </c>
      <c r="H302">
        <v>23.6</v>
      </c>
      <c r="I302">
        <f>Tableau4[[#This Row],[GHG (kgCO2eq/GJ)]]*3.6</f>
        <v>84.960000000000008</v>
      </c>
      <c r="J302" t="s">
        <v>106</v>
      </c>
      <c r="K302" t="s">
        <v>109</v>
      </c>
    </row>
    <row r="303" spans="1:11" x14ac:dyDescent="0.3">
      <c r="A303" t="s">
        <v>19</v>
      </c>
      <c r="B303" t="s">
        <v>47</v>
      </c>
      <c r="C303" t="s">
        <v>68</v>
      </c>
      <c r="D303">
        <v>409.4</v>
      </c>
      <c r="E303">
        <f>Tableau4[[#This Row],[Potential (PJ)]]/3.6</f>
        <v>113.72222222222221</v>
      </c>
      <c r="F303">
        <v>4.9376511968734729</v>
      </c>
      <c r="G303">
        <f>Tableau4[[#This Row],[Cost (€/GJ)]]*3.6</f>
        <v>17.775544308744504</v>
      </c>
      <c r="H303">
        <v>15</v>
      </c>
      <c r="I303">
        <f>Tableau4[[#This Row],[GHG (kgCO2eq/GJ)]]*3.6</f>
        <v>54</v>
      </c>
      <c r="J303" t="s">
        <v>104</v>
      </c>
      <c r="K303" t="s">
        <v>109</v>
      </c>
    </row>
    <row r="304" spans="1:11" x14ac:dyDescent="0.3">
      <c r="A304" t="s">
        <v>19</v>
      </c>
      <c r="B304" t="s">
        <v>47</v>
      </c>
      <c r="C304" t="s">
        <v>69</v>
      </c>
      <c r="D304">
        <v>144.5</v>
      </c>
      <c r="E304">
        <f>Tableau4[[#This Row],[Potential (PJ)]]/3.6</f>
        <v>40.138888888888886</v>
      </c>
      <c r="F304">
        <v>8.2683833910034608</v>
      </c>
      <c r="G304">
        <f>Tableau4[[#This Row],[Cost (€/GJ)]]*3.6</f>
        <v>29.766180207612461</v>
      </c>
      <c r="H304">
        <v>15</v>
      </c>
      <c r="I304">
        <f>Tableau4[[#This Row],[GHG (kgCO2eq/GJ)]]*3.6</f>
        <v>54</v>
      </c>
      <c r="J304" t="s">
        <v>104</v>
      </c>
      <c r="K304" t="s">
        <v>109</v>
      </c>
    </row>
    <row r="305" spans="1:11" x14ac:dyDescent="0.3">
      <c r="A305" t="s">
        <v>19</v>
      </c>
      <c r="B305" t="s">
        <v>48</v>
      </c>
      <c r="C305" t="s">
        <v>70</v>
      </c>
      <c r="D305">
        <v>107.8</v>
      </c>
      <c r="E305">
        <f>Tableau4[[#This Row],[Potential (PJ)]]/3.6</f>
        <v>29.944444444444443</v>
      </c>
      <c r="F305">
        <v>13.36413729128015</v>
      </c>
      <c r="G305">
        <f>Tableau4[[#This Row],[Cost (€/GJ)]]*3.6</f>
        <v>48.110894248608538</v>
      </c>
      <c r="H305">
        <v>16.8</v>
      </c>
      <c r="I305">
        <f>Tableau4[[#This Row],[GHG (kgCO2eq/GJ)]]*3.6</f>
        <v>60.480000000000004</v>
      </c>
      <c r="J305" t="s">
        <v>104</v>
      </c>
      <c r="K305" t="s">
        <v>109</v>
      </c>
    </row>
    <row r="306" spans="1:11" hidden="1" x14ac:dyDescent="0.3">
      <c r="A306" t="s">
        <v>19</v>
      </c>
      <c r="B306" t="s">
        <v>49</v>
      </c>
      <c r="C306" t="s">
        <v>71</v>
      </c>
      <c r="D306">
        <v>273.84926999999999</v>
      </c>
      <c r="E306">
        <f>Tableau4[[#This Row],[Potential (PJ)]]/3.6</f>
        <v>76.069241666666656</v>
      </c>
      <c r="F306">
        <v>3.9539224775366391</v>
      </c>
      <c r="G306">
        <f>Tableau4[[#This Row],[Cost (€/GJ)]]*3.6</f>
        <v>14.2341209191319</v>
      </c>
      <c r="H306">
        <v>3.86607608129234</v>
      </c>
      <c r="I306">
        <f>Tableau4[[#This Row],[GHG (kgCO2eq/GJ)]]*3.6</f>
        <v>13.917873892652425</v>
      </c>
      <c r="J306" t="s">
        <v>104</v>
      </c>
      <c r="K306" t="s">
        <v>108</v>
      </c>
    </row>
    <row r="307" spans="1:11" hidden="1" x14ac:dyDescent="0.3">
      <c r="A307" t="s">
        <v>19</v>
      </c>
      <c r="B307" t="s">
        <v>49</v>
      </c>
      <c r="C307" t="s">
        <v>72</v>
      </c>
      <c r="D307">
        <v>32.799999999999997</v>
      </c>
      <c r="E307">
        <f>Tableau4[[#This Row],[Potential (PJ)]]/3.6</f>
        <v>9.1111111111111107</v>
      </c>
      <c r="F307">
        <v>3.175798780487805</v>
      </c>
      <c r="G307">
        <f>Tableau4[[#This Row],[Cost (€/GJ)]]*3.6</f>
        <v>11.432875609756097</v>
      </c>
      <c r="H307">
        <v>3.86607608129234</v>
      </c>
      <c r="I307">
        <f>Tableau4[[#This Row],[GHG (kgCO2eq/GJ)]]*3.6</f>
        <v>13.917873892652425</v>
      </c>
      <c r="J307" t="s">
        <v>104</v>
      </c>
      <c r="K307" t="s">
        <v>108</v>
      </c>
    </row>
    <row r="308" spans="1:11" hidden="1" x14ac:dyDescent="0.3">
      <c r="A308" t="s">
        <v>19</v>
      </c>
      <c r="B308" t="s">
        <v>58</v>
      </c>
      <c r="C308" t="s">
        <v>95</v>
      </c>
      <c r="D308">
        <v>63.496280000000013</v>
      </c>
      <c r="E308">
        <f>Tableau4[[#This Row],[Potential (PJ)]]/3.6</f>
        <v>17.637855555555557</v>
      </c>
      <c r="F308">
        <v>2.2541341080138859</v>
      </c>
      <c r="G308">
        <f>Tableau4[[#This Row],[Cost (€/GJ)]]*3.6</f>
        <v>8.1148827888499895</v>
      </c>
      <c r="H308">
        <v>2.9521711768407801</v>
      </c>
      <c r="I308">
        <f>Tableau4[[#This Row],[GHG (kgCO2eq/GJ)]]*3.6</f>
        <v>10.627816236626808</v>
      </c>
      <c r="J308" t="s">
        <v>104</v>
      </c>
      <c r="K308" t="s">
        <v>108</v>
      </c>
    </row>
    <row r="309" spans="1:11" hidden="1" x14ac:dyDescent="0.3">
      <c r="A309" t="s">
        <v>19</v>
      </c>
      <c r="B309" t="s">
        <v>50</v>
      </c>
      <c r="C309" t="s">
        <v>73</v>
      </c>
      <c r="D309">
        <v>38.4</v>
      </c>
      <c r="E309">
        <f>Tableau4[[#This Row],[Potential (PJ)]]/3.6</f>
        <v>10.666666666666666</v>
      </c>
      <c r="F309">
        <v>5.4896458333333333</v>
      </c>
      <c r="G309">
        <f>Tableau4[[#This Row],[Cost (€/GJ)]]*3.6</f>
        <v>19.762725</v>
      </c>
      <c r="H309">
        <v>20.723404255319149</v>
      </c>
      <c r="I309">
        <f>Tableau4[[#This Row],[GHG (kgCO2eq/GJ)]]*3.6</f>
        <v>74.604255319148933</v>
      </c>
      <c r="J309" t="s">
        <v>105</v>
      </c>
      <c r="K309" t="s">
        <v>108</v>
      </c>
    </row>
    <row r="310" spans="1:11" hidden="1" x14ac:dyDescent="0.3">
      <c r="A310" t="s">
        <v>19</v>
      </c>
      <c r="B310" t="s">
        <v>50</v>
      </c>
      <c r="C310" t="s">
        <v>74</v>
      </c>
      <c r="D310">
        <v>106</v>
      </c>
      <c r="E310">
        <f>Tableau4[[#This Row],[Potential (PJ)]]/3.6</f>
        <v>29.444444444444443</v>
      </c>
      <c r="F310">
        <v>4.3067820754716966</v>
      </c>
      <c r="G310">
        <f>Tableau4[[#This Row],[Cost (€/GJ)]]*3.6</f>
        <v>15.504415471698108</v>
      </c>
      <c r="H310">
        <v>2.0635593220338988</v>
      </c>
      <c r="I310">
        <f>Tableau4[[#This Row],[GHG (kgCO2eq/GJ)]]*3.6</f>
        <v>7.4288135593220357</v>
      </c>
      <c r="J310" t="s">
        <v>105</v>
      </c>
      <c r="K310" t="s">
        <v>108</v>
      </c>
    </row>
    <row r="311" spans="1:11" hidden="1" x14ac:dyDescent="0.3">
      <c r="A311" t="s">
        <v>19</v>
      </c>
      <c r="B311" t="s">
        <v>59</v>
      </c>
      <c r="C311" t="s">
        <v>97</v>
      </c>
      <c r="D311">
        <v>2.6153</v>
      </c>
      <c r="E311">
        <f>Tableau4[[#This Row],[Potential (PJ)]]/3.6</f>
        <v>0.72647222222222219</v>
      </c>
      <c r="F311">
        <v>20.835594139989151</v>
      </c>
      <c r="G311">
        <f>Tableau4[[#This Row],[Cost (€/GJ)]]*3.6</f>
        <v>75.008138903960941</v>
      </c>
      <c r="H311">
        <v>33.700000000000003</v>
      </c>
      <c r="I311">
        <f>Tableau4[[#This Row],[GHG (kgCO2eq/GJ)]]*3.6</f>
        <v>121.32000000000001</v>
      </c>
      <c r="J311" t="s">
        <v>107</v>
      </c>
      <c r="K311" t="s">
        <v>109</v>
      </c>
    </row>
    <row r="312" spans="1:11" hidden="1" x14ac:dyDescent="0.3">
      <c r="A312" t="s">
        <v>19</v>
      </c>
      <c r="B312" t="s">
        <v>51</v>
      </c>
      <c r="C312" t="s">
        <v>75</v>
      </c>
      <c r="D312">
        <v>47.066980000000001</v>
      </c>
      <c r="E312">
        <f>Tableau4[[#This Row],[Potential (PJ)]]/3.6</f>
        <v>13.074161111111112</v>
      </c>
      <c r="F312">
        <v>1.4773096309188001E-4</v>
      </c>
      <c r="G312">
        <f>Tableau4[[#This Row],[Cost (€/GJ)]]*3.6</f>
        <v>5.3183146713076807E-4</v>
      </c>
      <c r="H312">
        <v>11.74</v>
      </c>
      <c r="I312">
        <f>Tableau4[[#This Row],[GHG (kgCO2eq/GJ)]]*3.6</f>
        <v>42.264000000000003</v>
      </c>
      <c r="J312" t="s">
        <v>104</v>
      </c>
      <c r="K312" t="s">
        <v>108</v>
      </c>
    </row>
    <row r="313" spans="1:11" hidden="1" x14ac:dyDescent="0.3">
      <c r="A313" t="s">
        <v>19</v>
      </c>
      <c r="B313" t="s">
        <v>60</v>
      </c>
      <c r="C313" t="s">
        <v>98</v>
      </c>
      <c r="D313">
        <v>0.74412</v>
      </c>
      <c r="E313">
        <f>Tableau4[[#This Row],[Potential (PJ)]]/3.6</f>
        <v>0.20669999999999999</v>
      </c>
      <c r="F313">
        <v>25.563909774436091</v>
      </c>
      <c r="G313">
        <f>Tableau4[[#This Row],[Cost (€/GJ)]]*3.6</f>
        <v>92.030075187969928</v>
      </c>
      <c r="H313">
        <v>19.899999999999999</v>
      </c>
      <c r="I313">
        <f>Tableau4[[#This Row],[GHG (kgCO2eq/GJ)]]*3.6</f>
        <v>71.64</v>
      </c>
      <c r="J313" t="s">
        <v>107</v>
      </c>
      <c r="K313" t="s">
        <v>109</v>
      </c>
    </row>
    <row r="314" spans="1:11" hidden="1" x14ac:dyDescent="0.3">
      <c r="A314" t="s">
        <v>19</v>
      </c>
      <c r="B314" t="s">
        <v>52</v>
      </c>
      <c r="C314" t="s">
        <v>76</v>
      </c>
      <c r="D314">
        <v>2.7210000000000001</v>
      </c>
      <c r="E314">
        <f>Tableau4[[#This Row],[Potential (PJ)]]/3.6</f>
        <v>0.75583333333333336</v>
      </c>
      <c r="F314">
        <v>4.7567250000000003</v>
      </c>
      <c r="G314">
        <f>Tableau4[[#This Row],[Cost (€/GJ)]]*3.6</f>
        <v>17.124210000000001</v>
      </c>
      <c r="H314">
        <v>12.68872359754714</v>
      </c>
      <c r="I314">
        <f>Tableau4[[#This Row],[GHG (kgCO2eq/GJ)]]*3.6</f>
        <v>45.679404951169708</v>
      </c>
      <c r="J314" t="s">
        <v>105</v>
      </c>
      <c r="K314" t="s">
        <v>108</v>
      </c>
    </row>
    <row r="315" spans="1:11" hidden="1" x14ac:dyDescent="0.3">
      <c r="A315" t="s">
        <v>19</v>
      </c>
      <c r="B315" t="s">
        <v>53</v>
      </c>
      <c r="C315" t="s">
        <v>77</v>
      </c>
      <c r="D315">
        <v>12.3</v>
      </c>
      <c r="E315">
        <f>Tableau4[[#This Row],[Potential (PJ)]]/3.6</f>
        <v>3.416666666666667</v>
      </c>
      <c r="F315">
        <v>3.1757642276422762</v>
      </c>
      <c r="G315">
        <f>Tableau4[[#This Row],[Cost (€/GJ)]]*3.6</f>
        <v>11.432751219512195</v>
      </c>
      <c r="H315">
        <v>3.86607608129234</v>
      </c>
      <c r="I315">
        <f>Tableau4[[#This Row],[GHG (kgCO2eq/GJ)]]*3.6</f>
        <v>13.917873892652425</v>
      </c>
      <c r="J315" t="s">
        <v>104</v>
      </c>
      <c r="K315" t="s">
        <v>108</v>
      </c>
    </row>
    <row r="316" spans="1:11" hidden="1" x14ac:dyDescent="0.3">
      <c r="A316" t="s">
        <v>19</v>
      </c>
      <c r="B316" t="s">
        <v>61</v>
      </c>
      <c r="C316" t="s">
        <v>99</v>
      </c>
      <c r="D316">
        <v>31.5</v>
      </c>
      <c r="E316">
        <f>Tableau4[[#This Row],[Potential (PJ)]]/3.6</f>
        <v>8.75</v>
      </c>
      <c r="F316">
        <v>1.717019047619047</v>
      </c>
      <c r="G316">
        <f>Tableau4[[#This Row],[Cost (€/GJ)]]*3.6</f>
        <v>6.1812685714285696</v>
      </c>
      <c r="H316">
        <v>2.9245635910224439</v>
      </c>
      <c r="I316">
        <f>Tableau4[[#This Row],[GHG (kgCO2eq/GJ)]]*3.6</f>
        <v>10.528428927680798</v>
      </c>
      <c r="J316" t="s">
        <v>104</v>
      </c>
      <c r="K316" t="s">
        <v>108</v>
      </c>
    </row>
    <row r="317" spans="1:11" hidden="1" x14ac:dyDescent="0.3">
      <c r="A317" t="s">
        <v>19</v>
      </c>
      <c r="B317" t="s">
        <v>62</v>
      </c>
      <c r="C317" t="s">
        <v>100</v>
      </c>
      <c r="D317">
        <v>6</v>
      </c>
      <c r="E317">
        <f>Tableau4[[#This Row],[Potential (PJ)]]/3.6</f>
        <v>1.6666666666666665</v>
      </c>
      <c r="F317">
        <v>8.8333333333333333E-2</v>
      </c>
      <c r="G317">
        <f>Tableau4[[#This Row],[Cost (€/GJ)]]*3.6</f>
        <v>0.318</v>
      </c>
      <c r="H317">
        <v>2.6764106050305911</v>
      </c>
      <c r="I317">
        <f>Tableau4[[#This Row],[GHG (kgCO2eq/GJ)]]*3.6</f>
        <v>9.6350781781101276</v>
      </c>
      <c r="J317" t="s">
        <v>104</v>
      </c>
      <c r="K317" t="s">
        <v>108</v>
      </c>
    </row>
    <row r="318" spans="1:11" hidden="1" x14ac:dyDescent="0.3">
      <c r="A318" t="s">
        <v>19</v>
      </c>
      <c r="B318" t="s">
        <v>54</v>
      </c>
      <c r="C318" t="s">
        <v>78</v>
      </c>
      <c r="D318">
        <v>102.8</v>
      </c>
      <c r="E318">
        <f>Tableau4[[#This Row],[Potential (PJ)]]/3.6</f>
        <v>28.555555555555554</v>
      </c>
      <c r="F318">
        <v>6.5364503891050587</v>
      </c>
      <c r="G318">
        <f>Tableau4[[#This Row],[Cost (€/GJ)]]*3.6</f>
        <v>23.531221400778211</v>
      </c>
      <c r="H318">
        <v>3.86607608129234</v>
      </c>
      <c r="I318">
        <f>Tableau4[[#This Row],[GHG (kgCO2eq/GJ)]]*3.6</f>
        <v>13.917873892652425</v>
      </c>
      <c r="J318" t="s">
        <v>104</v>
      </c>
      <c r="K318" t="s">
        <v>108</v>
      </c>
    </row>
    <row r="319" spans="1:11" hidden="1" x14ac:dyDescent="0.3">
      <c r="A319" t="s">
        <v>20</v>
      </c>
      <c r="B319" t="s">
        <v>46</v>
      </c>
      <c r="C319" t="s">
        <v>64</v>
      </c>
      <c r="D319">
        <v>3.1210000000000002E-2</v>
      </c>
      <c r="E319">
        <f>Tableau4[[#This Row],[Potential (PJ)]]/3.6</f>
        <v>8.6694444444444449E-3</v>
      </c>
      <c r="F319">
        <v>5.1397792374239026</v>
      </c>
      <c r="G319">
        <f>Tableau4[[#This Row],[Cost (€/GJ)]]*3.6</f>
        <v>18.503205254726051</v>
      </c>
      <c r="H319">
        <v>2.9521711768407801</v>
      </c>
      <c r="I319">
        <f>Tableau4[[#This Row],[GHG (kgCO2eq/GJ)]]*3.6</f>
        <v>10.627816236626808</v>
      </c>
      <c r="J319" t="s">
        <v>104</v>
      </c>
      <c r="K319" t="s">
        <v>108</v>
      </c>
    </row>
    <row r="320" spans="1:11" hidden="1" x14ac:dyDescent="0.3">
      <c r="A320" t="s">
        <v>20</v>
      </c>
      <c r="B320" t="s">
        <v>46</v>
      </c>
      <c r="C320" t="s">
        <v>79</v>
      </c>
      <c r="D320">
        <v>23.5</v>
      </c>
      <c r="E320">
        <f>Tableau4[[#This Row],[Potential (PJ)]]/3.6</f>
        <v>6.5277777777777777</v>
      </c>
      <c r="F320">
        <v>3.2337829787234038</v>
      </c>
      <c r="G320">
        <f>Tableau4[[#This Row],[Cost (€/GJ)]]*3.6</f>
        <v>11.641618723404253</v>
      </c>
      <c r="H320">
        <v>6.8428961748633883</v>
      </c>
      <c r="I320">
        <f>Tableau4[[#This Row],[GHG (kgCO2eq/GJ)]]*3.6</f>
        <v>24.634426229508197</v>
      </c>
      <c r="J320" t="s">
        <v>104</v>
      </c>
      <c r="K320" t="s">
        <v>108</v>
      </c>
    </row>
    <row r="321" spans="1:11" hidden="1" x14ac:dyDescent="0.3">
      <c r="A321" t="s">
        <v>20</v>
      </c>
      <c r="B321" t="s">
        <v>46</v>
      </c>
      <c r="C321" t="s">
        <v>65</v>
      </c>
      <c r="D321">
        <v>0.1</v>
      </c>
      <c r="E321">
        <f>Tableau4[[#This Row],[Potential (PJ)]]/3.6</f>
        <v>2.777777777777778E-2</v>
      </c>
      <c r="F321">
        <v>5.0709999999999997</v>
      </c>
      <c r="G321">
        <f>Tableau4[[#This Row],[Cost (€/GJ)]]*3.6</f>
        <v>18.255600000000001</v>
      </c>
      <c r="H321">
        <v>2.9521711768407801</v>
      </c>
      <c r="I321">
        <f>Tableau4[[#This Row],[GHG (kgCO2eq/GJ)]]*3.6</f>
        <v>10.627816236626808</v>
      </c>
      <c r="J321" t="s">
        <v>104</v>
      </c>
      <c r="K321" t="s">
        <v>108</v>
      </c>
    </row>
    <row r="322" spans="1:11" hidden="1" x14ac:dyDescent="0.3">
      <c r="A322" t="s">
        <v>20</v>
      </c>
      <c r="B322" t="s">
        <v>46</v>
      </c>
      <c r="C322" t="s">
        <v>82</v>
      </c>
      <c r="D322">
        <v>0.3</v>
      </c>
      <c r="E322">
        <f>Tableau4[[#This Row],[Potential (PJ)]]/3.6</f>
        <v>8.3333333333333329E-2</v>
      </c>
      <c r="F322">
        <v>2.2543333333333329</v>
      </c>
      <c r="G322">
        <f>Tableau4[[#This Row],[Cost (€/GJ)]]*3.6</f>
        <v>8.1155999999999988</v>
      </c>
      <c r="H322">
        <v>6.8428961748633883</v>
      </c>
      <c r="I322">
        <f>Tableau4[[#This Row],[GHG (kgCO2eq/GJ)]]*3.6</f>
        <v>24.634426229508197</v>
      </c>
      <c r="J322" t="s">
        <v>104</v>
      </c>
      <c r="K322" t="s">
        <v>108</v>
      </c>
    </row>
    <row r="323" spans="1:11" hidden="1" x14ac:dyDescent="0.3">
      <c r="A323" t="s">
        <v>20</v>
      </c>
      <c r="B323" t="s">
        <v>46</v>
      </c>
      <c r="C323" t="s">
        <v>84</v>
      </c>
      <c r="D323">
        <v>0.2</v>
      </c>
      <c r="E323">
        <f>Tableau4[[#This Row],[Potential (PJ)]]/3.6</f>
        <v>5.5555555555555559E-2</v>
      </c>
      <c r="F323">
        <v>2.27</v>
      </c>
      <c r="G323">
        <f>Tableau4[[#This Row],[Cost (€/GJ)]]*3.6</f>
        <v>8.1720000000000006</v>
      </c>
      <c r="H323">
        <v>28.139870918023309</v>
      </c>
      <c r="I323">
        <f>Tableau4[[#This Row],[GHG (kgCO2eq/GJ)]]*3.6</f>
        <v>101.30353530488391</v>
      </c>
      <c r="J323" t="s">
        <v>105</v>
      </c>
      <c r="K323" t="s">
        <v>108</v>
      </c>
    </row>
    <row r="324" spans="1:11" hidden="1" x14ac:dyDescent="0.3">
      <c r="A324" t="s">
        <v>20</v>
      </c>
      <c r="B324" t="s">
        <v>55</v>
      </c>
      <c r="C324" t="s">
        <v>86</v>
      </c>
      <c r="D324">
        <v>0.93100000000000005</v>
      </c>
      <c r="E324">
        <f>Tableau4[[#This Row],[Potential (PJ)]]/3.6</f>
        <v>0.25861111111111112</v>
      </c>
      <c r="F324">
        <v>16.652000000000001</v>
      </c>
      <c r="G324">
        <f>Tableau4[[#This Row],[Cost (€/GJ)]]*3.6</f>
        <v>59.947200000000002</v>
      </c>
      <c r="H324">
        <v>43.2</v>
      </c>
      <c r="I324">
        <f>Tableau4[[#This Row],[GHG (kgCO2eq/GJ)]]*3.6</f>
        <v>155.52000000000001</v>
      </c>
      <c r="J324" t="s">
        <v>106</v>
      </c>
      <c r="K324" t="s">
        <v>109</v>
      </c>
    </row>
    <row r="325" spans="1:11" hidden="1" x14ac:dyDescent="0.3">
      <c r="A325" t="s">
        <v>20</v>
      </c>
      <c r="B325" t="s">
        <v>55</v>
      </c>
      <c r="C325" t="s">
        <v>89</v>
      </c>
      <c r="D325">
        <v>8.5599999999999996E-2</v>
      </c>
      <c r="E325">
        <f>Tableau4[[#This Row],[Potential (PJ)]]/3.6</f>
        <v>2.3777777777777776E-2</v>
      </c>
      <c r="F325">
        <v>0</v>
      </c>
      <c r="G325">
        <f>Tableau4[[#This Row],[Cost (€/GJ)]]*3.6</f>
        <v>0</v>
      </c>
      <c r="H325">
        <v>43.2</v>
      </c>
      <c r="I325">
        <f>Tableau4[[#This Row],[GHG (kgCO2eq/GJ)]]*3.6</f>
        <v>155.52000000000001</v>
      </c>
      <c r="J325" t="s">
        <v>106</v>
      </c>
      <c r="K325" t="s">
        <v>109</v>
      </c>
    </row>
    <row r="326" spans="1:11" hidden="1" x14ac:dyDescent="0.3">
      <c r="A326" t="s">
        <v>20</v>
      </c>
      <c r="B326" t="s">
        <v>55</v>
      </c>
      <c r="C326" t="s">
        <v>91</v>
      </c>
      <c r="D326">
        <v>5.0000000000000001E-4</v>
      </c>
      <c r="E326">
        <f>Tableau4[[#This Row],[Potential (PJ)]]/3.6</f>
        <v>1.3888888888888889E-4</v>
      </c>
      <c r="F326">
        <v>20.088000000000001</v>
      </c>
      <c r="G326">
        <f>Tableau4[[#This Row],[Cost (€/GJ)]]*3.6</f>
        <v>72.316800000000001</v>
      </c>
      <c r="H326">
        <v>43.2</v>
      </c>
      <c r="I326">
        <f>Tableau4[[#This Row],[GHG (kgCO2eq/GJ)]]*3.6</f>
        <v>155.52000000000001</v>
      </c>
      <c r="J326" t="s">
        <v>106</v>
      </c>
      <c r="K326" t="s">
        <v>109</v>
      </c>
    </row>
    <row r="327" spans="1:11" hidden="1" x14ac:dyDescent="0.3">
      <c r="A327" t="s">
        <v>20</v>
      </c>
      <c r="B327" t="s">
        <v>55</v>
      </c>
      <c r="C327" t="s">
        <v>92</v>
      </c>
      <c r="D327">
        <v>0.44127</v>
      </c>
      <c r="E327">
        <f>Tableau4[[#This Row],[Potential (PJ)]]/3.6</f>
        <v>0.12257499999999999</v>
      </c>
      <c r="F327">
        <v>16.559000000000001</v>
      </c>
      <c r="G327">
        <f>Tableau4[[#This Row],[Cost (€/GJ)]]*3.6</f>
        <v>59.612400000000008</v>
      </c>
      <c r="H327">
        <v>43.2</v>
      </c>
      <c r="I327">
        <f>Tableau4[[#This Row],[GHG (kgCO2eq/GJ)]]*3.6</f>
        <v>155.52000000000001</v>
      </c>
      <c r="J327" t="s">
        <v>106</v>
      </c>
      <c r="K327" t="s">
        <v>109</v>
      </c>
    </row>
    <row r="328" spans="1:11" x14ac:dyDescent="0.3">
      <c r="A328" t="s">
        <v>20</v>
      </c>
      <c r="B328" t="s">
        <v>47</v>
      </c>
      <c r="C328" t="s">
        <v>101</v>
      </c>
      <c r="D328">
        <v>34.1</v>
      </c>
      <c r="E328">
        <f>Tableau4[[#This Row],[Potential (PJ)]]/3.6</f>
        <v>9.4722222222222232</v>
      </c>
      <c r="F328">
        <v>4.3204662756598244</v>
      </c>
      <c r="G328">
        <f>Tableau4[[#This Row],[Cost (€/GJ)]]*3.6</f>
        <v>15.553678592375368</v>
      </c>
      <c r="H328">
        <v>43.1</v>
      </c>
      <c r="I328">
        <f>Tableau4[[#This Row],[GHG (kgCO2eq/GJ)]]*3.6</f>
        <v>155.16</v>
      </c>
      <c r="J328" t="s">
        <v>104</v>
      </c>
      <c r="K328" t="s">
        <v>109</v>
      </c>
    </row>
    <row r="329" spans="1:11" x14ac:dyDescent="0.3">
      <c r="A329" t="s">
        <v>20</v>
      </c>
      <c r="B329" t="s">
        <v>57</v>
      </c>
      <c r="C329" t="s">
        <v>94</v>
      </c>
      <c r="D329">
        <v>11.8</v>
      </c>
      <c r="E329">
        <f>Tableau4[[#This Row],[Potential (PJ)]]/3.6</f>
        <v>3.2777777777777777</v>
      </c>
      <c r="F329">
        <v>10.987330508474569</v>
      </c>
      <c r="G329">
        <f>Tableau4[[#This Row],[Cost (€/GJ)]]*3.6</f>
        <v>39.554389830508448</v>
      </c>
      <c r="H329">
        <v>24.4</v>
      </c>
      <c r="I329">
        <f>Tableau4[[#This Row],[GHG (kgCO2eq/GJ)]]*3.6</f>
        <v>87.84</v>
      </c>
      <c r="J329" t="s">
        <v>104</v>
      </c>
      <c r="K329" t="s">
        <v>109</v>
      </c>
    </row>
    <row r="330" spans="1:11" hidden="1" x14ac:dyDescent="0.3">
      <c r="A330" t="s">
        <v>20</v>
      </c>
      <c r="B330" t="s">
        <v>49</v>
      </c>
      <c r="C330" t="s">
        <v>71</v>
      </c>
      <c r="D330">
        <v>405.87815999999998</v>
      </c>
      <c r="E330">
        <f>Tableau4[[#This Row],[Potential (PJ)]]/3.6</f>
        <v>112.74393333333333</v>
      </c>
      <c r="F330">
        <v>4.3272265849436193</v>
      </c>
      <c r="G330">
        <f>Tableau4[[#This Row],[Cost (€/GJ)]]*3.6</f>
        <v>15.57801570579703</v>
      </c>
      <c r="H330">
        <v>3.86607608129234</v>
      </c>
      <c r="I330">
        <f>Tableau4[[#This Row],[GHG (kgCO2eq/GJ)]]*3.6</f>
        <v>13.917873892652425</v>
      </c>
      <c r="J330" t="s">
        <v>104</v>
      </c>
      <c r="K330" t="s">
        <v>108</v>
      </c>
    </row>
    <row r="331" spans="1:11" hidden="1" x14ac:dyDescent="0.3">
      <c r="A331" t="s">
        <v>20</v>
      </c>
      <c r="B331" t="s">
        <v>49</v>
      </c>
      <c r="C331" t="s">
        <v>72</v>
      </c>
      <c r="D331">
        <v>27</v>
      </c>
      <c r="E331">
        <f>Tableau4[[#This Row],[Potential (PJ)]]/3.6</f>
        <v>7.5</v>
      </c>
      <c r="F331">
        <v>3.4622037037037039</v>
      </c>
      <c r="G331">
        <f>Tableau4[[#This Row],[Cost (€/GJ)]]*3.6</f>
        <v>12.463933333333335</v>
      </c>
      <c r="H331">
        <v>3.86607608129234</v>
      </c>
      <c r="I331">
        <f>Tableau4[[#This Row],[GHG (kgCO2eq/GJ)]]*3.6</f>
        <v>13.917873892652425</v>
      </c>
      <c r="J331" t="s">
        <v>104</v>
      </c>
      <c r="K331" t="s">
        <v>108</v>
      </c>
    </row>
    <row r="332" spans="1:11" hidden="1" x14ac:dyDescent="0.3">
      <c r="A332" t="s">
        <v>20</v>
      </c>
      <c r="B332" t="s">
        <v>58</v>
      </c>
      <c r="C332" t="s">
        <v>95</v>
      </c>
      <c r="D332">
        <v>21.591329999999999</v>
      </c>
      <c r="E332">
        <f>Tableau4[[#This Row],[Potential (PJ)]]/3.6</f>
        <v>5.9975916666666667</v>
      </c>
      <c r="F332">
        <v>2.3028040644091869</v>
      </c>
      <c r="G332">
        <f>Tableau4[[#This Row],[Cost (€/GJ)]]*3.6</f>
        <v>8.2900946318730728</v>
      </c>
      <c r="H332">
        <v>2.9521711768407801</v>
      </c>
      <c r="I332">
        <f>Tableau4[[#This Row],[GHG (kgCO2eq/GJ)]]*3.6</f>
        <v>10.627816236626808</v>
      </c>
      <c r="J332" t="s">
        <v>104</v>
      </c>
      <c r="K332" t="s">
        <v>108</v>
      </c>
    </row>
    <row r="333" spans="1:11" hidden="1" x14ac:dyDescent="0.3">
      <c r="A333" t="s">
        <v>20</v>
      </c>
      <c r="B333" t="s">
        <v>50</v>
      </c>
      <c r="C333" t="s">
        <v>73</v>
      </c>
      <c r="D333">
        <v>2.4</v>
      </c>
      <c r="E333">
        <f>Tableau4[[#This Row],[Potential (PJ)]]/3.6</f>
        <v>0.66666666666666663</v>
      </c>
      <c r="F333">
        <v>5.6757916666666661</v>
      </c>
      <c r="G333">
        <f>Tableau4[[#This Row],[Cost (€/GJ)]]*3.6</f>
        <v>20.432849999999998</v>
      </c>
      <c r="H333">
        <v>20.723404255319149</v>
      </c>
      <c r="I333">
        <f>Tableau4[[#This Row],[GHG (kgCO2eq/GJ)]]*3.6</f>
        <v>74.604255319148933</v>
      </c>
      <c r="J333" t="s">
        <v>105</v>
      </c>
      <c r="K333" t="s">
        <v>108</v>
      </c>
    </row>
    <row r="334" spans="1:11" hidden="1" x14ac:dyDescent="0.3">
      <c r="A334" t="s">
        <v>20</v>
      </c>
      <c r="B334" t="s">
        <v>50</v>
      </c>
      <c r="C334" t="s">
        <v>74</v>
      </c>
      <c r="D334">
        <v>4.5</v>
      </c>
      <c r="E334">
        <f>Tableau4[[#This Row],[Potential (PJ)]]/3.6</f>
        <v>1.25</v>
      </c>
      <c r="F334">
        <v>6.6401555555555554</v>
      </c>
      <c r="G334">
        <f>Tableau4[[#This Row],[Cost (€/GJ)]]*3.6</f>
        <v>23.90456</v>
      </c>
      <c r="H334">
        <v>2.0635593220338988</v>
      </c>
      <c r="I334">
        <f>Tableau4[[#This Row],[GHG (kgCO2eq/GJ)]]*3.6</f>
        <v>7.4288135593220357</v>
      </c>
      <c r="J334" t="s">
        <v>105</v>
      </c>
      <c r="K334" t="s">
        <v>108</v>
      </c>
    </row>
    <row r="335" spans="1:11" hidden="1" x14ac:dyDescent="0.3">
      <c r="A335" t="s">
        <v>20</v>
      </c>
      <c r="B335" t="s">
        <v>51</v>
      </c>
      <c r="C335" t="s">
        <v>75</v>
      </c>
      <c r="D335">
        <v>21.998840000000001</v>
      </c>
      <c r="E335">
        <f>Tableau4[[#This Row],[Potential (PJ)]]/3.6</f>
        <v>6.110788888888889</v>
      </c>
      <c r="F335">
        <v>2.5852009020234198E-2</v>
      </c>
      <c r="G335">
        <f>Tableau4[[#This Row],[Cost (€/GJ)]]*3.6</f>
        <v>9.3067232472843112E-2</v>
      </c>
      <c r="H335">
        <v>11.74</v>
      </c>
      <c r="I335">
        <f>Tableau4[[#This Row],[GHG (kgCO2eq/GJ)]]*3.6</f>
        <v>42.264000000000003</v>
      </c>
      <c r="J335" t="s">
        <v>104</v>
      </c>
      <c r="K335" t="s">
        <v>108</v>
      </c>
    </row>
    <row r="336" spans="1:11" hidden="1" x14ac:dyDescent="0.3">
      <c r="A336" t="s">
        <v>20</v>
      </c>
      <c r="B336" t="s">
        <v>60</v>
      </c>
      <c r="C336" t="s">
        <v>98</v>
      </c>
      <c r="D336">
        <v>0.17559</v>
      </c>
      <c r="E336">
        <f>Tableau4[[#This Row],[Potential (PJ)]]/3.6</f>
        <v>4.8774999999999999E-2</v>
      </c>
      <c r="F336">
        <v>19.01181525241676</v>
      </c>
      <c r="G336">
        <f>Tableau4[[#This Row],[Cost (€/GJ)]]*3.6</f>
        <v>68.442534908700338</v>
      </c>
      <c r="H336">
        <v>98.1</v>
      </c>
      <c r="I336">
        <f>Tableau4[[#This Row],[GHG (kgCO2eq/GJ)]]*3.6</f>
        <v>353.15999999999997</v>
      </c>
      <c r="J336" t="s">
        <v>107</v>
      </c>
      <c r="K336" t="s">
        <v>109</v>
      </c>
    </row>
    <row r="337" spans="1:11" hidden="1" x14ac:dyDescent="0.3">
      <c r="A337" t="s">
        <v>20</v>
      </c>
      <c r="B337" t="s">
        <v>52</v>
      </c>
      <c r="C337" t="s">
        <v>76</v>
      </c>
      <c r="D337">
        <v>5.3659999999999997</v>
      </c>
      <c r="E337">
        <f>Tableau4[[#This Row],[Potential (PJ)]]/3.6</f>
        <v>1.4905555555555554</v>
      </c>
      <c r="F337">
        <v>4.7567250000000003</v>
      </c>
      <c r="G337">
        <f>Tableau4[[#This Row],[Cost (€/GJ)]]*3.6</f>
        <v>17.124210000000001</v>
      </c>
      <c r="H337">
        <v>12.68872359754714</v>
      </c>
      <c r="I337">
        <f>Tableau4[[#This Row],[GHG (kgCO2eq/GJ)]]*3.6</f>
        <v>45.679404951169708</v>
      </c>
      <c r="J337" t="s">
        <v>105</v>
      </c>
      <c r="K337" t="s">
        <v>108</v>
      </c>
    </row>
    <row r="338" spans="1:11" hidden="1" x14ac:dyDescent="0.3">
      <c r="A338" t="s">
        <v>20</v>
      </c>
      <c r="B338" t="s">
        <v>53</v>
      </c>
      <c r="C338" t="s">
        <v>77</v>
      </c>
      <c r="D338">
        <v>15.5</v>
      </c>
      <c r="E338">
        <f>Tableau4[[#This Row],[Potential (PJ)]]/3.6</f>
        <v>4.3055555555555554</v>
      </c>
      <c r="F338">
        <v>3.4623741935483872</v>
      </c>
      <c r="G338">
        <f>Tableau4[[#This Row],[Cost (€/GJ)]]*3.6</f>
        <v>12.464547096774194</v>
      </c>
      <c r="H338">
        <v>3.86607608129234</v>
      </c>
      <c r="I338">
        <f>Tableau4[[#This Row],[GHG (kgCO2eq/GJ)]]*3.6</f>
        <v>13.917873892652425</v>
      </c>
      <c r="J338" t="s">
        <v>104</v>
      </c>
      <c r="K338" t="s">
        <v>108</v>
      </c>
    </row>
    <row r="339" spans="1:11" hidden="1" x14ac:dyDescent="0.3">
      <c r="A339" t="s">
        <v>20</v>
      </c>
      <c r="B339" t="s">
        <v>61</v>
      </c>
      <c r="C339" t="s">
        <v>99</v>
      </c>
      <c r="D339">
        <v>79.8</v>
      </c>
      <c r="E339">
        <f>Tableau4[[#This Row],[Potential (PJ)]]/3.6</f>
        <v>22.166666666666664</v>
      </c>
      <c r="F339">
        <v>1.3610451127819549</v>
      </c>
      <c r="G339">
        <f>Tableau4[[#This Row],[Cost (€/GJ)]]*3.6</f>
        <v>4.8997624060150375</v>
      </c>
      <c r="H339">
        <v>2.9245635910224439</v>
      </c>
      <c r="I339">
        <f>Tableau4[[#This Row],[GHG (kgCO2eq/GJ)]]*3.6</f>
        <v>10.528428927680798</v>
      </c>
      <c r="J339" t="s">
        <v>104</v>
      </c>
      <c r="K339" t="s">
        <v>108</v>
      </c>
    </row>
    <row r="340" spans="1:11" hidden="1" x14ac:dyDescent="0.3">
      <c r="A340" t="s">
        <v>20</v>
      </c>
      <c r="B340" t="s">
        <v>62</v>
      </c>
      <c r="C340" t="s">
        <v>100</v>
      </c>
      <c r="D340">
        <v>33.200000000000003</v>
      </c>
      <c r="E340">
        <f>Tableau4[[#This Row],[Potential (PJ)]]/3.6</f>
        <v>9.2222222222222232</v>
      </c>
      <c r="F340">
        <v>0.17138554216867469</v>
      </c>
      <c r="G340">
        <f>Tableau4[[#This Row],[Cost (€/GJ)]]*3.6</f>
        <v>0.61698795180722887</v>
      </c>
      <c r="H340">
        <v>2.6764106050305911</v>
      </c>
      <c r="I340">
        <f>Tableau4[[#This Row],[GHG (kgCO2eq/GJ)]]*3.6</f>
        <v>9.6350781781101276</v>
      </c>
      <c r="J340" t="s">
        <v>104</v>
      </c>
      <c r="K340" t="s">
        <v>108</v>
      </c>
    </row>
    <row r="341" spans="1:11" hidden="1" x14ac:dyDescent="0.3">
      <c r="A341" t="s">
        <v>20</v>
      </c>
      <c r="B341" t="s">
        <v>54</v>
      </c>
      <c r="C341" t="s">
        <v>78</v>
      </c>
      <c r="D341">
        <v>232.9</v>
      </c>
      <c r="E341">
        <f>Tableau4[[#This Row],[Potential (PJ)]]/3.6</f>
        <v>64.694444444444443</v>
      </c>
      <c r="F341">
        <v>7.1297969085444386</v>
      </c>
      <c r="G341">
        <f>Tableau4[[#This Row],[Cost (€/GJ)]]*3.6</f>
        <v>25.66726887075998</v>
      </c>
      <c r="H341">
        <v>3.86607608129234</v>
      </c>
      <c r="I341">
        <f>Tableau4[[#This Row],[GHG (kgCO2eq/GJ)]]*3.6</f>
        <v>13.917873892652425</v>
      </c>
      <c r="J341" t="s">
        <v>104</v>
      </c>
      <c r="K341" t="s">
        <v>108</v>
      </c>
    </row>
    <row r="342" spans="1:11" hidden="1" x14ac:dyDescent="0.3">
      <c r="A342" t="s">
        <v>21</v>
      </c>
      <c r="B342" t="s">
        <v>62</v>
      </c>
      <c r="C342" t="s">
        <v>100</v>
      </c>
      <c r="D342">
        <v>16</v>
      </c>
      <c r="E342">
        <f>Tableau4[[#This Row],[Potential (PJ)]]/3.6</f>
        <v>4.4444444444444446</v>
      </c>
      <c r="F342">
        <v>6.8750000000000006E-2</v>
      </c>
      <c r="G342">
        <f>Tableau4[[#This Row],[Cost (€/GJ)]]*3.6</f>
        <v>0.24750000000000003</v>
      </c>
      <c r="H342">
        <v>2.6764106050305911</v>
      </c>
      <c r="I342">
        <f>Tableau4[[#This Row],[GHG (kgCO2eq/GJ)]]*3.6</f>
        <v>9.6350781781101276</v>
      </c>
      <c r="J342" t="s">
        <v>104</v>
      </c>
      <c r="K342" t="s">
        <v>108</v>
      </c>
    </row>
    <row r="343" spans="1:11" hidden="1" x14ac:dyDescent="0.3">
      <c r="A343" t="s">
        <v>21</v>
      </c>
      <c r="B343" t="s">
        <v>61</v>
      </c>
      <c r="C343" t="s">
        <v>99</v>
      </c>
      <c r="D343">
        <v>54.6</v>
      </c>
      <c r="E343">
        <f>Tableau4[[#This Row],[Potential (PJ)]]/3.6</f>
        <v>15.166666666666666</v>
      </c>
      <c r="F343">
        <v>1.551824175824176</v>
      </c>
      <c r="G343">
        <f>Tableau4[[#This Row],[Cost (€/GJ)]]*3.6</f>
        <v>5.5865670329670341</v>
      </c>
      <c r="H343">
        <v>2.9245635910224439</v>
      </c>
      <c r="I343">
        <f>Tableau4[[#This Row],[GHG (kgCO2eq/GJ)]]*3.6</f>
        <v>10.528428927680798</v>
      </c>
      <c r="J343" t="s">
        <v>104</v>
      </c>
      <c r="K343" t="s">
        <v>108</v>
      </c>
    </row>
    <row r="344" spans="1:11" hidden="1" x14ac:dyDescent="0.3">
      <c r="A344" t="s">
        <v>21</v>
      </c>
      <c r="B344" t="s">
        <v>46</v>
      </c>
      <c r="C344" t="s">
        <v>64</v>
      </c>
      <c r="D344">
        <v>0.39588000000000001</v>
      </c>
      <c r="E344">
        <f>Tableau4[[#This Row],[Potential (PJ)]]/3.6</f>
        <v>0.10996666666666667</v>
      </c>
      <c r="F344">
        <v>6.4219722390623426</v>
      </c>
      <c r="G344">
        <f>Tableau4[[#This Row],[Cost (€/GJ)]]*3.6</f>
        <v>23.119100060624433</v>
      </c>
      <c r="H344">
        <v>2.9521711768407801</v>
      </c>
      <c r="I344">
        <f>Tableau4[[#This Row],[GHG (kgCO2eq/GJ)]]*3.6</f>
        <v>10.627816236626808</v>
      </c>
      <c r="J344" t="s">
        <v>104</v>
      </c>
      <c r="K344" t="s">
        <v>108</v>
      </c>
    </row>
    <row r="345" spans="1:11" hidden="1" x14ac:dyDescent="0.3">
      <c r="A345" t="s">
        <v>21</v>
      </c>
      <c r="B345" t="s">
        <v>46</v>
      </c>
      <c r="C345" t="s">
        <v>65</v>
      </c>
      <c r="D345">
        <v>1.4</v>
      </c>
      <c r="E345">
        <f>Tableau4[[#This Row],[Potential (PJ)]]/3.6</f>
        <v>0.38888888888888884</v>
      </c>
      <c r="F345">
        <v>5.4710000000000001</v>
      </c>
      <c r="G345">
        <f>Tableau4[[#This Row],[Cost (€/GJ)]]*3.6</f>
        <v>19.695600000000002</v>
      </c>
      <c r="H345">
        <v>2.9521711768407801</v>
      </c>
      <c r="I345">
        <f>Tableau4[[#This Row],[GHG (kgCO2eq/GJ)]]*3.6</f>
        <v>10.627816236626808</v>
      </c>
      <c r="J345" t="s">
        <v>104</v>
      </c>
      <c r="K345" t="s">
        <v>108</v>
      </c>
    </row>
    <row r="346" spans="1:11" hidden="1" x14ac:dyDescent="0.3">
      <c r="A346" t="s">
        <v>21</v>
      </c>
      <c r="B346" t="s">
        <v>46</v>
      </c>
      <c r="C346" t="s">
        <v>80</v>
      </c>
      <c r="D346">
        <v>3.0964999999999998</v>
      </c>
      <c r="E346">
        <f>Tableau4[[#This Row],[Potential (PJ)]]/3.6</f>
        <v>0.86013888888888879</v>
      </c>
      <c r="F346">
        <v>0.72016183412002699</v>
      </c>
      <c r="G346">
        <f>Tableau4[[#This Row],[Cost (€/GJ)]]*3.6</f>
        <v>2.5925826028320973</v>
      </c>
      <c r="H346">
        <v>28.139870918023309</v>
      </c>
      <c r="I346">
        <f>Tableau4[[#This Row],[GHG (kgCO2eq/GJ)]]*3.6</f>
        <v>101.30353530488391</v>
      </c>
      <c r="J346" t="s">
        <v>105</v>
      </c>
      <c r="K346" t="s">
        <v>108</v>
      </c>
    </row>
    <row r="347" spans="1:11" hidden="1" x14ac:dyDescent="0.3">
      <c r="A347" t="s">
        <v>21</v>
      </c>
      <c r="B347" t="s">
        <v>46</v>
      </c>
      <c r="C347" t="s">
        <v>81</v>
      </c>
      <c r="D347">
        <v>8.9489999999999998</v>
      </c>
      <c r="E347">
        <f>Tableau4[[#This Row],[Potential (PJ)]]/3.6</f>
        <v>2.4858333333333333</v>
      </c>
      <c r="F347">
        <v>0.98883666274970616</v>
      </c>
      <c r="G347">
        <f>Tableau4[[#This Row],[Cost (€/GJ)]]*3.6</f>
        <v>3.5598119858989423</v>
      </c>
      <c r="H347">
        <v>8.9647473560517046</v>
      </c>
      <c r="I347">
        <f>Tableau4[[#This Row],[GHG (kgCO2eq/GJ)]]*3.6</f>
        <v>32.273090481786134</v>
      </c>
      <c r="J347" t="s">
        <v>105</v>
      </c>
      <c r="K347" t="s">
        <v>108</v>
      </c>
    </row>
    <row r="348" spans="1:11" hidden="1" x14ac:dyDescent="0.3">
      <c r="A348" t="s">
        <v>21</v>
      </c>
      <c r="B348" t="s">
        <v>46</v>
      </c>
      <c r="C348" t="s">
        <v>67</v>
      </c>
      <c r="D348">
        <v>0.60000000000000009</v>
      </c>
      <c r="E348">
        <f>Tableau4[[#This Row],[Potential (PJ)]]/3.6</f>
        <v>0.16666666666666669</v>
      </c>
      <c r="F348">
        <v>7.6069999999999993</v>
      </c>
      <c r="G348">
        <f>Tableau4[[#This Row],[Cost (€/GJ)]]*3.6</f>
        <v>27.385199999999998</v>
      </c>
      <c r="H348">
        <v>2.9521711768407801</v>
      </c>
      <c r="I348">
        <f>Tableau4[[#This Row],[GHG (kgCO2eq/GJ)]]*3.6</f>
        <v>10.627816236626808</v>
      </c>
      <c r="J348" t="s">
        <v>104</v>
      </c>
      <c r="K348" t="s">
        <v>108</v>
      </c>
    </row>
    <row r="349" spans="1:11" hidden="1" x14ac:dyDescent="0.3">
      <c r="A349" t="s">
        <v>21</v>
      </c>
      <c r="B349" t="s">
        <v>46</v>
      </c>
      <c r="C349" t="s">
        <v>85</v>
      </c>
      <c r="D349">
        <v>10.6</v>
      </c>
      <c r="E349">
        <f>Tableau4[[#This Row],[Potential (PJ)]]/3.6</f>
        <v>2.9444444444444442</v>
      </c>
      <c r="F349">
        <v>4.4085000000000001</v>
      </c>
      <c r="G349">
        <f>Tableau4[[#This Row],[Cost (€/GJ)]]*3.6</f>
        <v>15.870600000000001</v>
      </c>
      <c r="H349">
        <v>2.9521711768407801</v>
      </c>
      <c r="I349">
        <f>Tableau4[[#This Row],[GHG (kgCO2eq/GJ)]]*3.6</f>
        <v>10.627816236626808</v>
      </c>
      <c r="J349" t="s">
        <v>104</v>
      </c>
      <c r="K349" t="s">
        <v>108</v>
      </c>
    </row>
    <row r="350" spans="1:11" hidden="1" x14ac:dyDescent="0.3">
      <c r="A350" t="s">
        <v>21</v>
      </c>
      <c r="B350" t="s">
        <v>58</v>
      </c>
      <c r="C350" t="s">
        <v>95</v>
      </c>
      <c r="D350">
        <v>127.55284</v>
      </c>
      <c r="E350">
        <f>Tableau4[[#This Row],[Potential (PJ)]]/3.6</f>
        <v>35.431344444444441</v>
      </c>
      <c r="F350">
        <v>2.3233846161324201</v>
      </c>
      <c r="G350">
        <f>Tableau4[[#This Row],[Cost (€/GJ)]]*3.6</f>
        <v>8.3641846180767132</v>
      </c>
      <c r="H350">
        <v>2.9521711768407801</v>
      </c>
      <c r="I350">
        <f>Tableau4[[#This Row],[GHG (kgCO2eq/GJ)]]*3.6</f>
        <v>10.627816236626808</v>
      </c>
      <c r="J350" t="s">
        <v>104</v>
      </c>
      <c r="K350" t="s">
        <v>108</v>
      </c>
    </row>
    <row r="351" spans="1:11" hidden="1" x14ac:dyDescent="0.3">
      <c r="A351" t="s">
        <v>21</v>
      </c>
      <c r="B351" t="s">
        <v>49</v>
      </c>
      <c r="C351" t="s">
        <v>71</v>
      </c>
      <c r="D351">
        <v>435.02460000000002</v>
      </c>
      <c r="E351">
        <f>Tableau4[[#This Row],[Potential (PJ)]]/3.6</f>
        <v>120.84016666666668</v>
      </c>
      <c r="F351">
        <v>3.5874193961904681</v>
      </c>
      <c r="G351">
        <f>Tableau4[[#This Row],[Cost (€/GJ)]]*3.6</f>
        <v>12.914709826285685</v>
      </c>
      <c r="H351">
        <v>3.86607608129234</v>
      </c>
      <c r="I351">
        <f>Tableau4[[#This Row],[GHG (kgCO2eq/GJ)]]*3.6</f>
        <v>13.917873892652425</v>
      </c>
      <c r="J351" t="s">
        <v>104</v>
      </c>
      <c r="K351" t="s">
        <v>108</v>
      </c>
    </row>
    <row r="352" spans="1:11" hidden="1" x14ac:dyDescent="0.3">
      <c r="A352" t="s">
        <v>21</v>
      </c>
      <c r="B352" t="s">
        <v>46</v>
      </c>
      <c r="C352" t="s">
        <v>84</v>
      </c>
      <c r="D352">
        <v>3.1</v>
      </c>
      <c r="E352">
        <f>Tableau4[[#This Row],[Potential (PJ)]]/3.6</f>
        <v>0.86111111111111116</v>
      </c>
      <c r="F352">
        <v>1.927741935483871</v>
      </c>
      <c r="G352">
        <f>Tableau4[[#This Row],[Cost (€/GJ)]]*3.6</f>
        <v>6.9398709677419355</v>
      </c>
      <c r="H352">
        <v>28.139870918023309</v>
      </c>
      <c r="I352">
        <f>Tableau4[[#This Row],[GHG (kgCO2eq/GJ)]]*3.6</f>
        <v>101.30353530488391</v>
      </c>
      <c r="J352" t="s">
        <v>105</v>
      </c>
      <c r="K352" t="s">
        <v>108</v>
      </c>
    </row>
    <row r="353" spans="1:11" hidden="1" x14ac:dyDescent="0.3">
      <c r="A353" t="s">
        <v>21</v>
      </c>
      <c r="B353" t="s">
        <v>49</v>
      </c>
      <c r="C353" t="s">
        <v>72</v>
      </c>
      <c r="D353">
        <v>159.80000000000001</v>
      </c>
      <c r="E353">
        <f>Tableau4[[#This Row],[Potential (PJ)]]/3.6</f>
        <v>44.388888888888893</v>
      </c>
      <c r="F353">
        <v>2.8730018773466832</v>
      </c>
      <c r="G353">
        <f>Tableau4[[#This Row],[Cost (€/GJ)]]*3.6</f>
        <v>10.342806758448059</v>
      </c>
      <c r="H353">
        <v>3.86607608129234</v>
      </c>
      <c r="I353">
        <f>Tableau4[[#This Row],[GHG (kgCO2eq/GJ)]]*3.6</f>
        <v>13.917873892652425</v>
      </c>
      <c r="J353" t="s">
        <v>104</v>
      </c>
      <c r="K353" t="s">
        <v>108</v>
      </c>
    </row>
    <row r="354" spans="1:11" hidden="1" x14ac:dyDescent="0.3">
      <c r="A354" t="s">
        <v>21</v>
      </c>
      <c r="B354" t="s">
        <v>55</v>
      </c>
      <c r="C354" t="s">
        <v>86</v>
      </c>
      <c r="D354">
        <v>2.2181000000000002</v>
      </c>
      <c r="E354">
        <f>Tableau4[[#This Row],[Potential (PJ)]]/3.6</f>
        <v>0.6161388888888889</v>
      </c>
      <c r="F354">
        <v>16.649999999999991</v>
      </c>
      <c r="G354">
        <f>Tableau4[[#This Row],[Cost (€/GJ)]]*3.6</f>
        <v>59.939999999999969</v>
      </c>
      <c r="H354">
        <v>18.100000000000001</v>
      </c>
      <c r="I354">
        <f>Tableau4[[#This Row],[GHG (kgCO2eq/GJ)]]*3.6</f>
        <v>65.160000000000011</v>
      </c>
      <c r="J354" t="s">
        <v>106</v>
      </c>
      <c r="K354" t="s">
        <v>109</v>
      </c>
    </row>
    <row r="355" spans="1:11" hidden="1" x14ac:dyDescent="0.3">
      <c r="A355" t="s">
        <v>21</v>
      </c>
      <c r="B355" t="s">
        <v>55</v>
      </c>
      <c r="C355" t="s">
        <v>87</v>
      </c>
      <c r="D355">
        <v>11.79</v>
      </c>
      <c r="E355">
        <f>Tableau4[[#This Row],[Potential (PJ)]]/3.6</f>
        <v>3.2749999999999995</v>
      </c>
      <c r="F355">
        <v>18.841000000000001</v>
      </c>
      <c r="G355">
        <f>Tableau4[[#This Row],[Cost (€/GJ)]]*3.6</f>
        <v>67.827600000000004</v>
      </c>
      <c r="H355">
        <v>18.100000000000001</v>
      </c>
      <c r="I355">
        <f>Tableau4[[#This Row],[GHG (kgCO2eq/GJ)]]*3.6</f>
        <v>65.160000000000011</v>
      </c>
      <c r="J355" t="s">
        <v>106</v>
      </c>
      <c r="K355" t="s">
        <v>109</v>
      </c>
    </row>
    <row r="356" spans="1:11" hidden="1" x14ac:dyDescent="0.3">
      <c r="A356" t="s">
        <v>21</v>
      </c>
      <c r="B356" t="s">
        <v>55</v>
      </c>
      <c r="C356" t="s">
        <v>88</v>
      </c>
      <c r="D356">
        <v>12.815099999999999</v>
      </c>
      <c r="E356">
        <f>Tableau4[[#This Row],[Potential (PJ)]]/3.6</f>
        <v>3.5597499999999997</v>
      </c>
      <c r="F356">
        <v>18.274000000000001</v>
      </c>
      <c r="G356">
        <f>Tableau4[[#This Row],[Cost (€/GJ)]]*3.6</f>
        <v>65.7864</v>
      </c>
      <c r="H356">
        <v>18.100000000000001</v>
      </c>
      <c r="I356">
        <f>Tableau4[[#This Row],[GHG (kgCO2eq/GJ)]]*3.6</f>
        <v>65.160000000000011</v>
      </c>
      <c r="J356" t="s">
        <v>106</v>
      </c>
      <c r="K356" t="s">
        <v>109</v>
      </c>
    </row>
    <row r="357" spans="1:11" hidden="1" x14ac:dyDescent="0.3">
      <c r="A357" t="s">
        <v>21</v>
      </c>
      <c r="B357" t="s">
        <v>55</v>
      </c>
      <c r="C357" t="s">
        <v>92</v>
      </c>
      <c r="D357">
        <v>2.4423599999999999</v>
      </c>
      <c r="E357">
        <f>Tableau4[[#This Row],[Potential (PJ)]]/3.6</f>
        <v>0.67843333333333333</v>
      </c>
      <c r="F357">
        <v>18.841000000000001</v>
      </c>
      <c r="G357">
        <f>Tableau4[[#This Row],[Cost (€/GJ)]]*3.6</f>
        <v>67.827600000000004</v>
      </c>
      <c r="H357">
        <v>18.100000000000001</v>
      </c>
      <c r="I357">
        <f>Tableau4[[#This Row],[GHG (kgCO2eq/GJ)]]*3.6</f>
        <v>65.160000000000011</v>
      </c>
      <c r="J357" t="s">
        <v>106</v>
      </c>
      <c r="K357" t="s">
        <v>109</v>
      </c>
    </row>
    <row r="358" spans="1:11" hidden="1" x14ac:dyDescent="0.3">
      <c r="A358" t="s">
        <v>21</v>
      </c>
      <c r="B358" t="s">
        <v>56</v>
      </c>
      <c r="C358" t="s">
        <v>93</v>
      </c>
      <c r="D358">
        <v>255.0694</v>
      </c>
      <c r="E358">
        <f>Tableau4[[#This Row],[Potential (PJ)]]/3.6</f>
        <v>70.852611111111116</v>
      </c>
      <c r="F358">
        <v>2.939759036144578</v>
      </c>
      <c r="G358">
        <f>Tableau4[[#This Row],[Cost (€/GJ)]]*3.6</f>
        <v>10.583132530120482</v>
      </c>
      <c r="H358">
        <v>25.9</v>
      </c>
      <c r="I358">
        <f>Tableau4[[#This Row],[GHG (kgCO2eq/GJ)]]*3.6</f>
        <v>93.24</v>
      </c>
      <c r="J358" t="s">
        <v>106</v>
      </c>
      <c r="K358" t="s">
        <v>109</v>
      </c>
    </row>
    <row r="359" spans="1:11" hidden="1" x14ac:dyDescent="0.3">
      <c r="A359" t="s">
        <v>21</v>
      </c>
      <c r="B359" t="s">
        <v>53</v>
      </c>
      <c r="C359" t="s">
        <v>77</v>
      </c>
      <c r="D359">
        <v>122.9</v>
      </c>
      <c r="E359">
        <f>Tableau4[[#This Row],[Potential (PJ)]]/3.6</f>
        <v>34.138888888888893</v>
      </c>
      <c r="F359">
        <v>2.8730406834825062</v>
      </c>
      <c r="G359">
        <f>Tableau4[[#This Row],[Cost (€/GJ)]]*3.6</f>
        <v>10.342946460537023</v>
      </c>
      <c r="H359">
        <v>3.86607608129234</v>
      </c>
      <c r="I359">
        <f>Tableau4[[#This Row],[GHG (kgCO2eq/GJ)]]*3.6</f>
        <v>13.917873892652425</v>
      </c>
      <c r="J359" t="s">
        <v>104</v>
      </c>
      <c r="K359" t="s">
        <v>108</v>
      </c>
    </row>
    <row r="360" spans="1:11" hidden="1" x14ac:dyDescent="0.3">
      <c r="A360" t="s">
        <v>21</v>
      </c>
      <c r="B360" t="s">
        <v>54</v>
      </c>
      <c r="C360" t="s">
        <v>78</v>
      </c>
      <c r="D360">
        <v>334.8</v>
      </c>
      <c r="E360">
        <f>Tableau4[[#This Row],[Potential (PJ)]]/3.6</f>
        <v>93</v>
      </c>
      <c r="F360">
        <v>5.8630609318996418</v>
      </c>
      <c r="G360">
        <f>Tableau4[[#This Row],[Cost (€/GJ)]]*3.6</f>
        <v>21.107019354838712</v>
      </c>
      <c r="H360">
        <v>3.86607608129234</v>
      </c>
      <c r="I360">
        <f>Tableau4[[#This Row],[GHG (kgCO2eq/GJ)]]*3.6</f>
        <v>13.917873892652425</v>
      </c>
      <c r="J360" t="s">
        <v>104</v>
      </c>
      <c r="K360" t="s">
        <v>108</v>
      </c>
    </row>
    <row r="361" spans="1:11" hidden="1" x14ac:dyDescent="0.3">
      <c r="A361" t="s">
        <v>21</v>
      </c>
      <c r="B361" t="s">
        <v>46</v>
      </c>
      <c r="C361" t="s">
        <v>63</v>
      </c>
      <c r="D361">
        <v>0.31979999999999997</v>
      </c>
      <c r="E361">
        <f>Tableau4[[#This Row],[Potential (PJ)]]/3.6</f>
        <v>8.883333333333332E-2</v>
      </c>
      <c r="F361">
        <v>2.9286474973375931</v>
      </c>
      <c r="G361">
        <f>Tableau4[[#This Row],[Cost (€/GJ)]]*3.6</f>
        <v>10.543130990415335</v>
      </c>
      <c r="H361">
        <v>3.950479233226837</v>
      </c>
      <c r="I361">
        <f>Tableau4[[#This Row],[GHG (kgCO2eq/GJ)]]*3.6</f>
        <v>14.221725239616614</v>
      </c>
      <c r="J361" t="s">
        <v>104</v>
      </c>
      <c r="K361" t="s">
        <v>108</v>
      </c>
    </row>
    <row r="362" spans="1:11" hidden="1" x14ac:dyDescent="0.3">
      <c r="A362" t="s">
        <v>21</v>
      </c>
      <c r="B362" t="s">
        <v>46</v>
      </c>
      <c r="C362" t="s">
        <v>79</v>
      </c>
      <c r="D362">
        <v>190.8</v>
      </c>
      <c r="E362">
        <f>Tableau4[[#This Row],[Potential (PJ)]]/3.6</f>
        <v>53</v>
      </c>
      <c r="F362">
        <v>2.0124135220125789</v>
      </c>
      <c r="G362">
        <f>Tableau4[[#This Row],[Cost (€/GJ)]]*3.6</f>
        <v>7.244688679245284</v>
      </c>
      <c r="H362">
        <v>6.8428961748633883</v>
      </c>
      <c r="I362">
        <f>Tableau4[[#This Row],[GHG (kgCO2eq/GJ)]]*3.6</f>
        <v>24.634426229508197</v>
      </c>
      <c r="J362" t="s">
        <v>104</v>
      </c>
      <c r="K362" t="s">
        <v>108</v>
      </c>
    </row>
    <row r="363" spans="1:11" hidden="1" x14ac:dyDescent="0.3">
      <c r="A363" t="s">
        <v>21</v>
      </c>
      <c r="B363" t="s">
        <v>46</v>
      </c>
      <c r="C363" t="s">
        <v>66</v>
      </c>
      <c r="D363">
        <v>44.9</v>
      </c>
      <c r="E363">
        <f>Tableau4[[#This Row],[Potential (PJ)]]/3.6</f>
        <v>12.472222222222221</v>
      </c>
      <c r="F363">
        <v>2.0194298440979961</v>
      </c>
      <c r="G363">
        <f>Tableau4[[#This Row],[Cost (€/GJ)]]*3.6</f>
        <v>7.2699474387527863</v>
      </c>
      <c r="H363">
        <v>6.8428961748633883</v>
      </c>
      <c r="I363">
        <f>Tableau4[[#This Row],[GHG (kgCO2eq/GJ)]]*3.6</f>
        <v>24.634426229508197</v>
      </c>
      <c r="J363" t="s">
        <v>104</v>
      </c>
      <c r="K363" t="s">
        <v>108</v>
      </c>
    </row>
    <row r="364" spans="1:11" hidden="1" x14ac:dyDescent="0.3">
      <c r="A364" t="s">
        <v>21</v>
      </c>
      <c r="B364" t="s">
        <v>46</v>
      </c>
      <c r="C364" t="s">
        <v>82</v>
      </c>
      <c r="D364">
        <v>31.8</v>
      </c>
      <c r="E364">
        <f>Tableau4[[#This Row],[Potential (PJ)]]/3.6</f>
        <v>8.8333333333333339</v>
      </c>
      <c r="F364">
        <v>1.3743522012578619</v>
      </c>
      <c r="G364">
        <f>Tableau4[[#This Row],[Cost (€/GJ)]]*3.6</f>
        <v>4.9476679245283028</v>
      </c>
      <c r="H364">
        <v>6.8428961748633883</v>
      </c>
      <c r="I364">
        <f>Tableau4[[#This Row],[GHG (kgCO2eq/GJ)]]*3.6</f>
        <v>24.634426229508197</v>
      </c>
      <c r="J364" t="s">
        <v>104</v>
      </c>
      <c r="K364" t="s">
        <v>108</v>
      </c>
    </row>
    <row r="365" spans="1:11" hidden="1" x14ac:dyDescent="0.3">
      <c r="A365" t="s">
        <v>21</v>
      </c>
      <c r="B365" t="s">
        <v>46</v>
      </c>
      <c r="C365" t="s">
        <v>83</v>
      </c>
      <c r="D365">
        <v>1.8149299999999999</v>
      </c>
      <c r="E365">
        <f>Tableau4[[#This Row],[Potential (PJ)]]/3.6</f>
        <v>0.50414722222222219</v>
      </c>
      <c r="F365">
        <v>1.868384587835344</v>
      </c>
      <c r="G365">
        <f>Tableau4[[#This Row],[Cost (€/GJ)]]*3.6</f>
        <v>6.7261845162072387</v>
      </c>
      <c r="H365">
        <v>6.8428961748633883</v>
      </c>
      <c r="I365">
        <f>Tableau4[[#This Row],[GHG (kgCO2eq/GJ)]]*3.6</f>
        <v>24.634426229508197</v>
      </c>
      <c r="J365" t="s">
        <v>104</v>
      </c>
      <c r="K365" t="s">
        <v>108</v>
      </c>
    </row>
    <row r="366" spans="1:11" hidden="1" x14ac:dyDescent="0.3">
      <c r="A366" t="s">
        <v>21</v>
      </c>
      <c r="B366" t="s">
        <v>50</v>
      </c>
      <c r="C366" t="s">
        <v>73</v>
      </c>
      <c r="D366">
        <v>38.1</v>
      </c>
      <c r="E366">
        <f>Tableau4[[#This Row],[Potential (PJ)]]/3.6</f>
        <v>10.583333333333334</v>
      </c>
      <c r="F366">
        <v>5.5668950131233599</v>
      </c>
      <c r="G366">
        <f>Tableau4[[#This Row],[Cost (€/GJ)]]*3.6</f>
        <v>20.040822047244095</v>
      </c>
      <c r="H366">
        <v>20.723404255319149</v>
      </c>
      <c r="I366">
        <f>Tableau4[[#This Row],[GHG (kgCO2eq/GJ)]]*3.6</f>
        <v>74.604255319148933</v>
      </c>
      <c r="J366" t="s">
        <v>105</v>
      </c>
      <c r="K366" t="s">
        <v>108</v>
      </c>
    </row>
    <row r="367" spans="1:11" hidden="1" x14ac:dyDescent="0.3">
      <c r="A367" t="s">
        <v>21</v>
      </c>
      <c r="B367" t="s">
        <v>50</v>
      </c>
      <c r="C367" t="s">
        <v>74</v>
      </c>
      <c r="D367">
        <v>422.8</v>
      </c>
      <c r="E367">
        <f>Tableau4[[#This Row],[Potential (PJ)]]/3.6</f>
        <v>117.44444444444444</v>
      </c>
      <c r="F367">
        <v>6.3662379375591289</v>
      </c>
      <c r="G367">
        <f>Tableau4[[#This Row],[Cost (€/GJ)]]*3.6</f>
        <v>22.918456575212865</v>
      </c>
      <c r="H367">
        <v>2.0635593220338988</v>
      </c>
      <c r="I367">
        <f>Tableau4[[#This Row],[GHG (kgCO2eq/GJ)]]*3.6</f>
        <v>7.4288135593220357</v>
      </c>
      <c r="J367" t="s">
        <v>105</v>
      </c>
      <c r="K367" t="s">
        <v>108</v>
      </c>
    </row>
    <row r="368" spans="1:11" hidden="1" x14ac:dyDescent="0.3">
      <c r="A368" t="s">
        <v>21</v>
      </c>
      <c r="B368" t="s">
        <v>59</v>
      </c>
      <c r="C368" t="s">
        <v>96</v>
      </c>
      <c r="D368">
        <v>0.49709999999999999</v>
      </c>
      <c r="E368">
        <f>Tableau4[[#This Row],[Potential (PJ)]]/3.6</f>
        <v>0.13808333333333334</v>
      </c>
      <c r="F368">
        <v>28.434000000000001</v>
      </c>
      <c r="G368">
        <f>Tableau4[[#This Row],[Cost (€/GJ)]]*3.6</f>
        <v>102.36240000000001</v>
      </c>
      <c r="H368">
        <v>24.2</v>
      </c>
      <c r="I368">
        <f>Tableau4[[#This Row],[GHG (kgCO2eq/GJ)]]*3.6</f>
        <v>87.12</v>
      </c>
      <c r="J368" t="s">
        <v>107</v>
      </c>
      <c r="K368" t="s">
        <v>109</v>
      </c>
    </row>
    <row r="369" spans="1:11" hidden="1" x14ac:dyDescent="0.3">
      <c r="A369" t="s">
        <v>21</v>
      </c>
      <c r="B369" t="s">
        <v>59</v>
      </c>
      <c r="C369" t="s">
        <v>97</v>
      </c>
      <c r="D369">
        <v>7.2530000000000001</v>
      </c>
      <c r="E369">
        <f>Tableau4[[#This Row],[Potential (PJ)]]/3.6</f>
        <v>2.0147222222222223</v>
      </c>
      <c r="F369">
        <v>18.393922951709168</v>
      </c>
      <c r="G369">
        <f>Tableau4[[#This Row],[Cost (€/GJ)]]*3.6</f>
        <v>66.218122626153004</v>
      </c>
      <c r="H369">
        <v>24.2</v>
      </c>
      <c r="I369">
        <f>Tableau4[[#This Row],[GHG (kgCO2eq/GJ)]]*3.6</f>
        <v>87.12</v>
      </c>
      <c r="J369" t="s">
        <v>107</v>
      </c>
      <c r="K369" t="s">
        <v>109</v>
      </c>
    </row>
    <row r="370" spans="1:11" hidden="1" x14ac:dyDescent="0.3">
      <c r="A370" t="s">
        <v>21</v>
      </c>
      <c r="B370" t="s">
        <v>51</v>
      </c>
      <c r="C370" t="s">
        <v>75</v>
      </c>
      <c r="D370">
        <v>145.19880000000001</v>
      </c>
      <c r="E370">
        <f>Tableau4[[#This Row],[Potential (PJ)]]/3.6</f>
        <v>40.332999999999998</v>
      </c>
      <c r="F370">
        <v>4.9717737066582099E-2</v>
      </c>
      <c r="G370">
        <f>Tableau4[[#This Row],[Cost (€/GJ)]]*3.6</f>
        <v>0.17898385343969556</v>
      </c>
      <c r="H370">
        <v>11.74</v>
      </c>
      <c r="I370">
        <f>Tableau4[[#This Row],[GHG (kgCO2eq/GJ)]]*3.6</f>
        <v>42.264000000000003</v>
      </c>
      <c r="J370" t="s">
        <v>104</v>
      </c>
      <c r="K370" t="s">
        <v>108</v>
      </c>
    </row>
    <row r="371" spans="1:11" hidden="1" x14ac:dyDescent="0.3">
      <c r="A371" t="s">
        <v>21</v>
      </c>
      <c r="B371" t="s">
        <v>60</v>
      </c>
      <c r="C371" t="s">
        <v>98</v>
      </c>
      <c r="D371">
        <v>63.14658</v>
      </c>
      <c r="E371">
        <f>Tableau4[[#This Row],[Potential (PJ)]]/3.6</f>
        <v>17.540716666666665</v>
      </c>
      <c r="F371">
        <v>17.3469387755102</v>
      </c>
      <c r="G371">
        <f>Tableau4[[#This Row],[Cost (€/GJ)]]*3.6</f>
        <v>62.448979591836718</v>
      </c>
      <c r="H371">
        <v>26.3</v>
      </c>
      <c r="I371">
        <f>Tableau4[[#This Row],[GHG (kgCO2eq/GJ)]]*3.6</f>
        <v>94.68</v>
      </c>
      <c r="J371" t="s">
        <v>107</v>
      </c>
      <c r="K371" t="s">
        <v>109</v>
      </c>
    </row>
    <row r="372" spans="1:11" hidden="1" x14ac:dyDescent="0.3">
      <c r="A372" t="s">
        <v>21</v>
      </c>
      <c r="B372" t="s">
        <v>52</v>
      </c>
      <c r="C372" t="s">
        <v>76</v>
      </c>
      <c r="D372">
        <v>1.4999999999999999E-2</v>
      </c>
      <c r="E372">
        <f>Tableau4[[#This Row],[Potential (PJ)]]/3.6</f>
        <v>4.1666666666666666E-3</v>
      </c>
      <c r="F372">
        <v>4.7567250000000003</v>
      </c>
      <c r="G372">
        <f>Tableau4[[#This Row],[Cost (€/GJ)]]*3.6</f>
        <v>17.124210000000001</v>
      </c>
      <c r="H372">
        <v>12.68872359754714</v>
      </c>
      <c r="I372">
        <f>Tableau4[[#This Row],[GHG (kgCO2eq/GJ)]]*3.6</f>
        <v>45.679404951169708</v>
      </c>
      <c r="J372" t="s">
        <v>105</v>
      </c>
      <c r="K372" t="s">
        <v>108</v>
      </c>
    </row>
    <row r="373" spans="1:11" x14ac:dyDescent="0.3">
      <c r="A373" t="s">
        <v>21</v>
      </c>
      <c r="B373" t="s">
        <v>57</v>
      </c>
      <c r="C373" t="s">
        <v>94</v>
      </c>
      <c r="D373">
        <v>38.200000000000003</v>
      </c>
      <c r="E373">
        <f>Tableau4[[#This Row],[Potential (PJ)]]/3.6</f>
        <v>10.611111111111112</v>
      </c>
      <c r="F373">
        <v>8.3685497382198957</v>
      </c>
      <c r="G373">
        <f>Tableau4[[#This Row],[Cost (€/GJ)]]*3.6</f>
        <v>30.126779057591627</v>
      </c>
      <c r="H373">
        <v>15.2</v>
      </c>
      <c r="I373">
        <f>Tableau4[[#This Row],[GHG (kgCO2eq/GJ)]]*3.6</f>
        <v>54.72</v>
      </c>
      <c r="J373" t="s">
        <v>104</v>
      </c>
      <c r="K373" t="s">
        <v>109</v>
      </c>
    </row>
    <row r="374" spans="1:11" x14ac:dyDescent="0.3">
      <c r="A374" t="s">
        <v>21</v>
      </c>
      <c r="B374" t="s">
        <v>48</v>
      </c>
      <c r="C374" t="s">
        <v>70</v>
      </c>
      <c r="D374">
        <v>6.3</v>
      </c>
      <c r="E374">
        <f>Tableau4[[#This Row],[Potential (PJ)]]/3.6</f>
        <v>1.75</v>
      </c>
      <c r="F374">
        <v>10.52820634920635</v>
      </c>
      <c r="G374">
        <f>Tableau4[[#This Row],[Cost (€/GJ)]]*3.6</f>
        <v>37.901542857142864</v>
      </c>
      <c r="H374">
        <v>15.2</v>
      </c>
      <c r="I374">
        <f>Tableau4[[#This Row],[GHG (kgCO2eq/GJ)]]*3.6</f>
        <v>54.72</v>
      </c>
      <c r="J374" t="s">
        <v>104</v>
      </c>
      <c r="K374" t="s">
        <v>109</v>
      </c>
    </row>
    <row r="375" spans="1:11" x14ac:dyDescent="0.3">
      <c r="A375" t="s">
        <v>21</v>
      </c>
      <c r="B375" t="s">
        <v>47</v>
      </c>
      <c r="C375" t="s">
        <v>68</v>
      </c>
      <c r="D375">
        <v>157.30000000000001</v>
      </c>
      <c r="E375">
        <f>Tableau4[[#This Row],[Potential (PJ)]]/3.6</f>
        <v>43.69444444444445</v>
      </c>
      <c r="F375">
        <v>4.5033191354100444</v>
      </c>
      <c r="G375">
        <f>Tableau4[[#This Row],[Cost (€/GJ)]]*3.6</f>
        <v>16.211948887476161</v>
      </c>
      <c r="H375">
        <v>18.600000000000001</v>
      </c>
      <c r="I375">
        <f>Tableau4[[#This Row],[GHG (kgCO2eq/GJ)]]*3.6</f>
        <v>66.960000000000008</v>
      </c>
      <c r="J375" t="s">
        <v>104</v>
      </c>
      <c r="K375" t="s">
        <v>109</v>
      </c>
    </row>
    <row r="376" spans="1:11" x14ac:dyDescent="0.3">
      <c r="A376" t="s">
        <v>21</v>
      </c>
      <c r="B376" t="s">
        <v>47</v>
      </c>
      <c r="C376" t="s">
        <v>69</v>
      </c>
      <c r="D376">
        <v>158.6</v>
      </c>
      <c r="E376">
        <f>Tableau4[[#This Row],[Potential (PJ)]]/3.6</f>
        <v>44.05555555555555</v>
      </c>
      <c r="F376">
        <v>4.2870498108448931</v>
      </c>
      <c r="G376">
        <f>Tableau4[[#This Row],[Cost (€/GJ)]]*3.6</f>
        <v>15.433379319041615</v>
      </c>
      <c r="H376">
        <v>18.600000000000001</v>
      </c>
      <c r="I376">
        <f>Tableau4[[#This Row],[GHG (kgCO2eq/GJ)]]*3.6</f>
        <v>66.960000000000008</v>
      </c>
      <c r="J376" t="s">
        <v>104</v>
      </c>
      <c r="K376" t="s">
        <v>109</v>
      </c>
    </row>
    <row r="377" spans="1:11" hidden="1" x14ac:dyDescent="0.3">
      <c r="A377" t="s">
        <v>22</v>
      </c>
      <c r="B377" t="s">
        <v>46</v>
      </c>
      <c r="C377" t="s">
        <v>103</v>
      </c>
      <c r="D377">
        <v>14.394</v>
      </c>
      <c r="E377">
        <f>Tableau4[[#This Row],[Potential (PJ)]]/3.6</f>
        <v>3.9983333333333331</v>
      </c>
      <c r="F377">
        <v>0</v>
      </c>
      <c r="G377">
        <f>Tableau4[[#This Row],[Cost (€/GJ)]]*3.6</f>
        <v>0</v>
      </c>
      <c r="I377">
        <f>Tableau4[[#This Row],[GHG (kgCO2eq/GJ)]]*3.6</f>
        <v>0</v>
      </c>
    </row>
    <row r="378" spans="1:11" hidden="1" x14ac:dyDescent="0.3">
      <c r="A378" t="s">
        <v>22</v>
      </c>
      <c r="B378" t="s">
        <v>46</v>
      </c>
      <c r="C378" t="s">
        <v>63</v>
      </c>
      <c r="D378">
        <v>0.1057</v>
      </c>
      <c r="E378">
        <f>Tableau4[[#This Row],[Potential (PJ)]]/3.6</f>
        <v>2.9361111111111112E-2</v>
      </c>
      <c r="F378">
        <v>2.9286474973375931</v>
      </c>
      <c r="G378">
        <f>Tableau4[[#This Row],[Cost (€/GJ)]]*3.6</f>
        <v>10.543130990415335</v>
      </c>
      <c r="H378">
        <v>3.950479233226837</v>
      </c>
      <c r="I378">
        <f>Tableau4[[#This Row],[GHG (kgCO2eq/GJ)]]*3.6</f>
        <v>14.221725239616614</v>
      </c>
      <c r="J378" t="s">
        <v>104</v>
      </c>
      <c r="K378" t="s">
        <v>108</v>
      </c>
    </row>
    <row r="379" spans="1:11" hidden="1" x14ac:dyDescent="0.3">
      <c r="A379" t="s">
        <v>22</v>
      </c>
      <c r="B379" t="s">
        <v>46</v>
      </c>
      <c r="C379" t="s">
        <v>80</v>
      </c>
      <c r="D379">
        <v>0.63619999999999999</v>
      </c>
      <c r="E379">
        <f>Tableau4[[#This Row],[Potential (PJ)]]/3.6</f>
        <v>0.17672222222222222</v>
      </c>
      <c r="F379">
        <v>0.91773432231962238</v>
      </c>
      <c r="G379">
        <f>Tableau4[[#This Row],[Cost (€/GJ)]]*3.6</f>
        <v>3.3038435603506406</v>
      </c>
      <c r="H379">
        <v>28.139870918023309</v>
      </c>
      <c r="I379">
        <f>Tableau4[[#This Row],[GHG (kgCO2eq/GJ)]]*3.6</f>
        <v>101.30353530488391</v>
      </c>
      <c r="J379" t="s">
        <v>105</v>
      </c>
      <c r="K379" t="s">
        <v>108</v>
      </c>
    </row>
    <row r="380" spans="1:11" hidden="1" x14ac:dyDescent="0.3">
      <c r="A380" t="s">
        <v>22</v>
      </c>
      <c r="B380" t="s">
        <v>46</v>
      </c>
      <c r="C380" t="s">
        <v>81</v>
      </c>
      <c r="D380">
        <v>0.48409999999999997</v>
      </c>
      <c r="E380">
        <f>Tableau4[[#This Row],[Potential (PJ)]]/3.6</f>
        <v>0.13447222222222222</v>
      </c>
      <c r="F380">
        <v>3.6856639247943601</v>
      </c>
      <c r="G380">
        <f>Tableau4[[#This Row],[Cost (€/GJ)]]*3.6</f>
        <v>13.268390129259696</v>
      </c>
      <c r="H380">
        <v>8.9647473560517046</v>
      </c>
      <c r="I380">
        <f>Tableau4[[#This Row],[GHG (kgCO2eq/GJ)]]*3.6</f>
        <v>32.273090481786134</v>
      </c>
      <c r="J380" t="s">
        <v>105</v>
      </c>
      <c r="K380" t="s">
        <v>108</v>
      </c>
    </row>
    <row r="381" spans="1:11" hidden="1" x14ac:dyDescent="0.3">
      <c r="A381" t="s">
        <v>22</v>
      </c>
      <c r="B381" t="s">
        <v>55</v>
      </c>
      <c r="C381" t="s">
        <v>87</v>
      </c>
      <c r="D381">
        <v>44.175800000000002</v>
      </c>
      <c r="E381">
        <f>Tableau4[[#This Row],[Potential (PJ)]]/3.6</f>
        <v>12.271055555555556</v>
      </c>
      <c r="F381">
        <v>11.885999999999999</v>
      </c>
      <c r="G381">
        <f>Tableau4[[#This Row],[Cost (€/GJ)]]*3.6</f>
        <v>42.7896</v>
      </c>
      <c r="H381">
        <v>11.5</v>
      </c>
      <c r="I381">
        <f>Tableau4[[#This Row],[GHG (kgCO2eq/GJ)]]*3.6</f>
        <v>41.4</v>
      </c>
      <c r="J381" t="s">
        <v>106</v>
      </c>
      <c r="K381" t="s">
        <v>109</v>
      </c>
    </row>
    <row r="382" spans="1:11" hidden="1" x14ac:dyDescent="0.3">
      <c r="A382" t="s">
        <v>22</v>
      </c>
      <c r="B382" t="s">
        <v>55</v>
      </c>
      <c r="C382" t="s">
        <v>88</v>
      </c>
      <c r="D382">
        <v>1.2485999999999999</v>
      </c>
      <c r="E382">
        <f>Tableau4[[#This Row],[Potential (PJ)]]/3.6</f>
        <v>0.34683333333333333</v>
      </c>
      <c r="F382">
        <v>12.923999999999999</v>
      </c>
      <c r="G382">
        <f>Tableau4[[#This Row],[Cost (€/GJ)]]*3.6</f>
        <v>46.526400000000002</v>
      </c>
      <c r="H382">
        <v>11.5</v>
      </c>
      <c r="I382">
        <f>Tableau4[[#This Row],[GHG (kgCO2eq/GJ)]]*3.6</f>
        <v>41.4</v>
      </c>
      <c r="J382" t="s">
        <v>106</v>
      </c>
      <c r="K382" t="s">
        <v>109</v>
      </c>
    </row>
    <row r="383" spans="1:11" hidden="1" x14ac:dyDescent="0.3">
      <c r="A383" t="s">
        <v>22</v>
      </c>
      <c r="B383" t="s">
        <v>55</v>
      </c>
      <c r="C383" t="s">
        <v>89</v>
      </c>
      <c r="D383">
        <v>5.0000000000000001E-4</v>
      </c>
      <c r="E383">
        <f>Tableau4[[#This Row],[Potential (PJ)]]/3.6</f>
        <v>1.3888888888888889E-4</v>
      </c>
      <c r="F383">
        <v>0</v>
      </c>
      <c r="G383">
        <f>Tableau4[[#This Row],[Cost (€/GJ)]]*3.6</f>
        <v>0</v>
      </c>
      <c r="H383">
        <v>11.5</v>
      </c>
      <c r="I383">
        <f>Tableau4[[#This Row],[GHG (kgCO2eq/GJ)]]*3.6</f>
        <v>41.4</v>
      </c>
      <c r="J383" t="s">
        <v>106</v>
      </c>
      <c r="K383" t="s">
        <v>109</v>
      </c>
    </row>
    <row r="384" spans="1:11" hidden="1" x14ac:dyDescent="0.3">
      <c r="A384" t="s">
        <v>22</v>
      </c>
      <c r="B384" t="s">
        <v>49</v>
      </c>
      <c r="C384" t="s">
        <v>71</v>
      </c>
      <c r="D384">
        <v>43.414000000000001</v>
      </c>
      <c r="E384">
        <f>Tableau4[[#This Row],[Potential (PJ)]]/3.6</f>
        <v>12.059444444444445</v>
      </c>
      <c r="F384">
        <v>1.9554929624084401</v>
      </c>
      <c r="G384">
        <f>Tableau4[[#This Row],[Cost (€/GJ)]]*3.6</f>
        <v>7.039774664670384</v>
      </c>
      <c r="H384">
        <v>3.86607608129234</v>
      </c>
      <c r="I384">
        <f>Tableau4[[#This Row],[GHG (kgCO2eq/GJ)]]*3.6</f>
        <v>13.917873892652425</v>
      </c>
      <c r="J384" t="s">
        <v>104</v>
      </c>
      <c r="K384" t="s">
        <v>108</v>
      </c>
    </row>
    <row r="385" spans="1:11" hidden="1" x14ac:dyDescent="0.3">
      <c r="A385" t="s">
        <v>22</v>
      </c>
      <c r="B385" t="s">
        <v>49</v>
      </c>
      <c r="C385" t="s">
        <v>72</v>
      </c>
      <c r="D385">
        <v>7.9</v>
      </c>
      <c r="E385">
        <f>Tableau4[[#This Row],[Potential (PJ)]]/3.6</f>
        <v>2.1944444444444446</v>
      </c>
      <c r="F385">
        <v>1.353</v>
      </c>
      <c r="G385">
        <f>Tableau4[[#This Row],[Cost (€/GJ)]]*3.6</f>
        <v>4.8708</v>
      </c>
      <c r="H385">
        <v>3.86607608129234</v>
      </c>
      <c r="I385">
        <f>Tableau4[[#This Row],[GHG (kgCO2eq/GJ)]]*3.6</f>
        <v>13.917873892652425</v>
      </c>
      <c r="J385" t="s">
        <v>104</v>
      </c>
      <c r="K385" t="s">
        <v>108</v>
      </c>
    </row>
    <row r="386" spans="1:11" hidden="1" x14ac:dyDescent="0.3">
      <c r="A386" t="s">
        <v>22</v>
      </c>
      <c r="B386" t="s">
        <v>58</v>
      </c>
      <c r="C386" t="s">
        <v>103</v>
      </c>
      <c r="D386">
        <v>4.9329980000000004</v>
      </c>
      <c r="E386">
        <f>Tableau4[[#This Row],[Potential (PJ)]]/3.6</f>
        <v>1.3702772222222224</v>
      </c>
      <c r="F386">
        <v>0</v>
      </c>
      <c r="G386">
        <f>Tableau4[[#This Row],[Cost (€/GJ)]]*3.6</f>
        <v>0</v>
      </c>
      <c r="I386">
        <f>Tableau4[[#This Row],[GHG (kgCO2eq/GJ)]]*3.6</f>
        <v>0</v>
      </c>
    </row>
    <row r="387" spans="1:11" hidden="1" x14ac:dyDescent="0.3">
      <c r="A387" t="s">
        <v>22</v>
      </c>
      <c r="B387" t="s">
        <v>50</v>
      </c>
      <c r="C387" t="s">
        <v>103</v>
      </c>
      <c r="D387">
        <v>4.1274610000000003</v>
      </c>
      <c r="E387">
        <f>Tableau4[[#This Row],[Potential (PJ)]]/3.6</f>
        <v>1.1465169444444445</v>
      </c>
      <c r="F387">
        <v>0</v>
      </c>
      <c r="G387">
        <f>Tableau4[[#This Row],[Cost (€/GJ)]]*3.6</f>
        <v>0</v>
      </c>
      <c r="I387">
        <f>Tableau4[[#This Row],[GHG (kgCO2eq/GJ)]]*3.6</f>
        <v>0</v>
      </c>
    </row>
    <row r="388" spans="1:11" hidden="1" x14ac:dyDescent="0.3">
      <c r="A388" t="s">
        <v>22</v>
      </c>
      <c r="B388" t="s">
        <v>51</v>
      </c>
      <c r="C388" t="s">
        <v>75</v>
      </c>
      <c r="D388">
        <v>0.16598099999999999</v>
      </c>
      <c r="E388">
        <f>Tableau4[[#This Row],[Potential (PJ)]]/3.6</f>
        <v>4.6105833333333332E-2</v>
      </c>
      <c r="F388">
        <v>2.13793499225494E-2</v>
      </c>
      <c r="G388">
        <f>Tableau4[[#This Row],[Cost (€/GJ)]]*3.6</f>
        <v>7.6965659721177845E-2</v>
      </c>
      <c r="H388">
        <v>11.74</v>
      </c>
      <c r="I388">
        <f>Tableau4[[#This Row],[GHG (kgCO2eq/GJ)]]*3.6</f>
        <v>42.264000000000003</v>
      </c>
      <c r="J388" t="s">
        <v>104</v>
      </c>
      <c r="K388" t="s">
        <v>108</v>
      </c>
    </row>
    <row r="389" spans="1:11" hidden="1" x14ac:dyDescent="0.3">
      <c r="A389" t="s">
        <v>22</v>
      </c>
      <c r="B389" t="s">
        <v>52</v>
      </c>
      <c r="C389" t="s">
        <v>76</v>
      </c>
      <c r="D389">
        <v>7.0000000000000007E-2</v>
      </c>
      <c r="E389">
        <f>Tableau4[[#This Row],[Potential (PJ)]]/3.6</f>
        <v>1.9444444444444445E-2</v>
      </c>
      <c r="F389">
        <v>4.7567250000000003</v>
      </c>
      <c r="G389">
        <f>Tableau4[[#This Row],[Cost (€/GJ)]]*3.6</f>
        <v>17.124210000000001</v>
      </c>
      <c r="H389">
        <v>12.68872359754714</v>
      </c>
      <c r="I389">
        <f>Tableau4[[#This Row],[GHG (kgCO2eq/GJ)]]*3.6</f>
        <v>45.679404951169708</v>
      </c>
      <c r="J389" t="s">
        <v>105</v>
      </c>
      <c r="K389" t="s">
        <v>108</v>
      </c>
    </row>
    <row r="390" spans="1:11" hidden="1" x14ac:dyDescent="0.3">
      <c r="A390" t="s">
        <v>22</v>
      </c>
      <c r="B390" t="s">
        <v>53</v>
      </c>
      <c r="C390" t="s">
        <v>77</v>
      </c>
      <c r="D390">
        <v>4.5999999999999996</v>
      </c>
      <c r="E390">
        <f>Tableau4[[#This Row],[Potential (PJ)]]/3.6</f>
        <v>1.2777777777777777</v>
      </c>
      <c r="F390">
        <v>1.353</v>
      </c>
      <c r="G390">
        <f>Tableau4[[#This Row],[Cost (€/GJ)]]*3.6</f>
        <v>4.8708</v>
      </c>
      <c r="H390">
        <v>3.86607608129234</v>
      </c>
      <c r="I390">
        <f>Tableau4[[#This Row],[GHG (kgCO2eq/GJ)]]*3.6</f>
        <v>13.917873892652425</v>
      </c>
      <c r="J390" t="s">
        <v>104</v>
      </c>
      <c r="K390" t="s">
        <v>108</v>
      </c>
    </row>
    <row r="391" spans="1:11" hidden="1" x14ac:dyDescent="0.3">
      <c r="A391" t="s">
        <v>22</v>
      </c>
      <c r="B391" t="s">
        <v>61</v>
      </c>
      <c r="C391" t="s">
        <v>103</v>
      </c>
      <c r="D391">
        <v>1.276969</v>
      </c>
      <c r="E391">
        <f>Tableau4[[#This Row],[Potential (PJ)]]/3.6</f>
        <v>0.3547136111111111</v>
      </c>
      <c r="F391">
        <v>0</v>
      </c>
      <c r="G391">
        <f>Tableau4[[#This Row],[Cost (€/GJ)]]*3.6</f>
        <v>0</v>
      </c>
      <c r="I391">
        <f>Tableau4[[#This Row],[GHG (kgCO2eq/GJ)]]*3.6</f>
        <v>0</v>
      </c>
    </row>
    <row r="392" spans="1:11" hidden="1" x14ac:dyDescent="0.3">
      <c r="A392" t="s">
        <v>22</v>
      </c>
      <c r="B392" t="s">
        <v>62</v>
      </c>
      <c r="C392" t="s">
        <v>103</v>
      </c>
      <c r="D392">
        <v>0.39384999999999998</v>
      </c>
      <c r="E392">
        <f>Tableau4[[#This Row],[Potential (PJ)]]/3.6</f>
        <v>0.10940277777777777</v>
      </c>
      <c r="F392">
        <v>0</v>
      </c>
      <c r="G392">
        <f>Tableau4[[#This Row],[Cost (€/GJ)]]*3.6</f>
        <v>0</v>
      </c>
      <c r="I392">
        <f>Tableau4[[#This Row],[GHG (kgCO2eq/GJ)]]*3.6</f>
        <v>0</v>
      </c>
    </row>
    <row r="393" spans="1:11" hidden="1" x14ac:dyDescent="0.3">
      <c r="A393" t="s">
        <v>22</v>
      </c>
      <c r="B393" t="s">
        <v>54</v>
      </c>
      <c r="C393" t="s">
        <v>78</v>
      </c>
      <c r="D393">
        <v>25.4</v>
      </c>
      <c r="E393">
        <f>Tableau4[[#This Row],[Potential (PJ)]]/3.6</f>
        <v>7.0555555555555554</v>
      </c>
      <c r="F393">
        <v>2.4089999999999998</v>
      </c>
      <c r="G393">
        <f>Tableau4[[#This Row],[Cost (€/GJ)]]*3.6</f>
        <v>8.6723999999999997</v>
      </c>
      <c r="H393">
        <v>3.86607608129234</v>
      </c>
      <c r="I393">
        <f>Tableau4[[#This Row],[GHG (kgCO2eq/GJ)]]*3.6</f>
        <v>13.917873892652425</v>
      </c>
      <c r="J393" t="s">
        <v>104</v>
      </c>
      <c r="K393" t="s">
        <v>108</v>
      </c>
    </row>
    <row r="394" spans="1:11" hidden="1" x14ac:dyDescent="0.3">
      <c r="A394" t="s">
        <v>23</v>
      </c>
      <c r="B394" t="s">
        <v>46</v>
      </c>
      <c r="C394" t="s">
        <v>64</v>
      </c>
      <c r="D394">
        <v>0.96877999999999997</v>
      </c>
      <c r="E394">
        <f>Tableau4[[#This Row],[Potential (PJ)]]/3.6</f>
        <v>0.26910555555555554</v>
      </c>
      <c r="F394">
        <v>6.268251223187927</v>
      </c>
      <c r="G394">
        <f>Tableau4[[#This Row],[Cost (€/GJ)]]*3.6</f>
        <v>22.565704403476538</v>
      </c>
      <c r="H394">
        <v>2.9521711768407801</v>
      </c>
      <c r="I394">
        <f>Tableau4[[#This Row],[GHG (kgCO2eq/GJ)]]*3.6</f>
        <v>10.627816236626808</v>
      </c>
      <c r="J394" t="s">
        <v>104</v>
      </c>
      <c r="K394" t="s">
        <v>108</v>
      </c>
    </row>
    <row r="395" spans="1:11" hidden="1" x14ac:dyDescent="0.3">
      <c r="A395" t="s">
        <v>23</v>
      </c>
      <c r="B395" t="s">
        <v>46</v>
      </c>
      <c r="C395" t="s">
        <v>79</v>
      </c>
      <c r="D395">
        <v>28.2</v>
      </c>
      <c r="E395">
        <f>Tableau4[[#This Row],[Potential (PJ)]]/3.6</f>
        <v>7.833333333333333</v>
      </c>
      <c r="F395">
        <v>2.5360957446808512</v>
      </c>
      <c r="G395">
        <f>Tableau4[[#This Row],[Cost (€/GJ)]]*3.6</f>
        <v>9.1299446808510645</v>
      </c>
      <c r="H395">
        <v>6.8428961748633883</v>
      </c>
      <c r="I395">
        <f>Tableau4[[#This Row],[GHG (kgCO2eq/GJ)]]*3.6</f>
        <v>24.634426229508197</v>
      </c>
      <c r="J395" t="s">
        <v>104</v>
      </c>
      <c r="K395" t="s">
        <v>108</v>
      </c>
    </row>
    <row r="396" spans="1:11" hidden="1" x14ac:dyDescent="0.3">
      <c r="A396" t="s">
        <v>23</v>
      </c>
      <c r="B396" t="s">
        <v>46</v>
      </c>
      <c r="C396" t="s">
        <v>65</v>
      </c>
      <c r="D396">
        <v>0.4</v>
      </c>
      <c r="E396">
        <f>Tableau4[[#This Row],[Potential (PJ)]]/3.6</f>
        <v>0.11111111111111112</v>
      </c>
      <c r="F396">
        <v>3.3944999999999999</v>
      </c>
      <c r="G396">
        <f>Tableau4[[#This Row],[Cost (€/GJ)]]*3.6</f>
        <v>12.2202</v>
      </c>
      <c r="H396">
        <v>2.9521711768407801</v>
      </c>
      <c r="I396">
        <f>Tableau4[[#This Row],[GHG (kgCO2eq/GJ)]]*3.6</f>
        <v>10.627816236626808</v>
      </c>
      <c r="J396" t="s">
        <v>104</v>
      </c>
      <c r="K396" t="s">
        <v>108</v>
      </c>
    </row>
    <row r="397" spans="1:11" hidden="1" x14ac:dyDescent="0.3">
      <c r="A397" t="s">
        <v>23</v>
      </c>
      <c r="B397" t="s">
        <v>46</v>
      </c>
      <c r="C397" t="s">
        <v>80</v>
      </c>
      <c r="D397">
        <v>0.8901</v>
      </c>
      <c r="E397">
        <f>Tableau4[[#This Row],[Potential (PJ)]]/3.6</f>
        <v>0.24725</v>
      </c>
      <c r="F397">
        <v>0.26432906271072149</v>
      </c>
      <c r="G397">
        <f>Tableau4[[#This Row],[Cost (€/GJ)]]*3.6</f>
        <v>0.95158462575859737</v>
      </c>
      <c r="H397">
        <v>28.139870918023309</v>
      </c>
      <c r="I397">
        <f>Tableau4[[#This Row],[GHG (kgCO2eq/GJ)]]*3.6</f>
        <v>101.30353530488391</v>
      </c>
      <c r="J397" t="s">
        <v>105</v>
      </c>
      <c r="K397" t="s">
        <v>108</v>
      </c>
    </row>
    <row r="398" spans="1:11" hidden="1" x14ac:dyDescent="0.3">
      <c r="A398" t="s">
        <v>23</v>
      </c>
      <c r="B398" t="s">
        <v>46</v>
      </c>
      <c r="C398" t="s">
        <v>81</v>
      </c>
      <c r="D398">
        <v>0.62280000000000002</v>
      </c>
      <c r="E398">
        <f>Tableau4[[#This Row],[Potential (PJ)]]/3.6</f>
        <v>0.17300000000000001</v>
      </c>
      <c r="F398">
        <v>1.533490011750881</v>
      </c>
      <c r="G398">
        <f>Tableau4[[#This Row],[Cost (€/GJ)]]*3.6</f>
        <v>5.5205640423031719</v>
      </c>
      <c r="H398">
        <v>8.9647473560517046</v>
      </c>
      <c r="I398">
        <f>Tableau4[[#This Row],[GHG (kgCO2eq/GJ)]]*3.6</f>
        <v>32.273090481786134</v>
      </c>
      <c r="J398" t="s">
        <v>105</v>
      </c>
      <c r="K398" t="s">
        <v>108</v>
      </c>
    </row>
    <row r="399" spans="1:11" hidden="1" x14ac:dyDescent="0.3">
      <c r="A399" t="s">
        <v>23</v>
      </c>
      <c r="B399" t="s">
        <v>46</v>
      </c>
      <c r="C399" t="s">
        <v>66</v>
      </c>
      <c r="D399">
        <v>31.3</v>
      </c>
      <c r="E399">
        <f>Tableau4[[#This Row],[Potential (PJ)]]/3.6</f>
        <v>8.6944444444444446</v>
      </c>
      <c r="F399">
        <v>2.604281150159744</v>
      </c>
      <c r="G399">
        <f>Tableau4[[#This Row],[Cost (€/GJ)]]*3.6</f>
        <v>9.3754121405750794</v>
      </c>
      <c r="H399">
        <v>6.8428961748633883</v>
      </c>
      <c r="I399">
        <f>Tableau4[[#This Row],[GHG (kgCO2eq/GJ)]]*3.6</f>
        <v>24.634426229508197</v>
      </c>
      <c r="J399" t="s">
        <v>104</v>
      </c>
      <c r="K399" t="s">
        <v>108</v>
      </c>
    </row>
    <row r="400" spans="1:11" hidden="1" x14ac:dyDescent="0.3">
      <c r="A400" t="s">
        <v>23</v>
      </c>
      <c r="B400" t="s">
        <v>46</v>
      </c>
      <c r="C400" t="s">
        <v>82</v>
      </c>
      <c r="D400">
        <v>13.9</v>
      </c>
      <c r="E400">
        <f>Tableau4[[#This Row],[Potential (PJ)]]/3.6</f>
        <v>3.8611111111111112</v>
      </c>
      <c r="F400">
        <v>1.6253525179856121</v>
      </c>
      <c r="G400">
        <f>Tableau4[[#This Row],[Cost (€/GJ)]]*3.6</f>
        <v>5.8512690647482035</v>
      </c>
      <c r="H400">
        <v>6.8428961748633883</v>
      </c>
      <c r="I400">
        <f>Tableau4[[#This Row],[GHG (kgCO2eq/GJ)]]*3.6</f>
        <v>24.634426229508197</v>
      </c>
      <c r="J400" t="s">
        <v>104</v>
      </c>
      <c r="K400" t="s">
        <v>108</v>
      </c>
    </row>
    <row r="401" spans="1:11" hidden="1" x14ac:dyDescent="0.3">
      <c r="A401" t="s">
        <v>23</v>
      </c>
      <c r="B401" t="s">
        <v>46</v>
      </c>
      <c r="C401" t="s">
        <v>83</v>
      </c>
      <c r="D401">
        <v>7.1849999999999997E-2</v>
      </c>
      <c r="E401">
        <f>Tableau4[[#This Row],[Potential (PJ)]]/3.6</f>
        <v>1.9958333333333331E-2</v>
      </c>
      <c r="F401">
        <v>0</v>
      </c>
      <c r="G401">
        <f>Tableau4[[#This Row],[Cost (€/GJ)]]*3.6</f>
        <v>0</v>
      </c>
      <c r="H401">
        <v>6.8428961748633883</v>
      </c>
      <c r="I401">
        <f>Tableau4[[#This Row],[GHG (kgCO2eq/GJ)]]*3.6</f>
        <v>24.634426229508197</v>
      </c>
      <c r="J401" t="s">
        <v>104</v>
      </c>
      <c r="K401" t="s">
        <v>108</v>
      </c>
    </row>
    <row r="402" spans="1:11" hidden="1" x14ac:dyDescent="0.3">
      <c r="A402" t="s">
        <v>23</v>
      </c>
      <c r="B402" t="s">
        <v>46</v>
      </c>
      <c r="C402" t="s">
        <v>84</v>
      </c>
      <c r="D402">
        <v>0.2</v>
      </c>
      <c r="E402">
        <f>Tableau4[[#This Row],[Potential (PJ)]]/3.6</f>
        <v>5.5555555555555559E-2</v>
      </c>
      <c r="F402">
        <v>1.5115000000000001</v>
      </c>
      <c r="G402">
        <f>Tableau4[[#This Row],[Cost (€/GJ)]]*3.6</f>
        <v>5.4414000000000007</v>
      </c>
      <c r="H402">
        <v>28.139870918023309</v>
      </c>
      <c r="I402">
        <f>Tableau4[[#This Row],[GHG (kgCO2eq/GJ)]]*3.6</f>
        <v>101.30353530488391</v>
      </c>
      <c r="J402" t="s">
        <v>105</v>
      </c>
      <c r="K402" t="s">
        <v>108</v>
      </c>
    </row>
    <row r="403" spans="1:11" hidden="1" x14ac:dyDescent="0.3">
      <c r="A403" t="s">
        <v>23</v>
      </c>
      <c r="B403" t="s">
        <v>46</v>
      </c>
      <c r="C403" t="s">
        <v>85</v>
      </c>
      <c r="D403">
        <v>0.4</v>
      </c>
      <c r="E403">
        <f>Tableau4[[#This Row],[Potential (PJ)]]/3.6</f>
        <v>0.11111111111111112</v>
      </c>
      <c r="F403">
        <v>4.60975</v>
      </c>
      <c r="G403">
        <f>Tableau4[[#This Row],[Cost (€/GJ)]]*3.6</f>
        <v>16.595100000000002</v>
      </c>
      <c r="H403">
        <v>2.9521711768407801</v>
      </c>
      <c r="I403">
        <f>Tableau4[[#This Row],[GHG (kgCO2eq/GJ)]]*3.6</f>
        <v>10.627816236626808</v>
      </c>
      <c r="J403" t="s">
        <v>104</v>
      </c>
      <c r="K403" t="s">
        <v>108</v>
      </c>
    </row>
    <row r="404" spans="1:11" hidden="1" x14ac:dyDescent="0.3">
      <c r="A404" t="s">
        <v>23</v>
      </c>
      <c r="B404" t="s">
        <v>55</v>
      </c>
      <c r="C404" t="s">
        <v>86</v>
      </c>
      <c r="D404">
        <v>1.5610999999999999</v>
      </c>
      <c r="E404">
        <f>Tableau4[[#This Row],[Potential (PJ)]]/3.6</f>
        <v>0.43363888888888885</v>
      </c>
      <c r="F404">
        <v>16.266999999999999</v>
      </c>
      <c r="G404">
        <f>Tableau4[[#This Row],[Cost (€/GJ)]]*3.6</f>
        <v>58.561199999999999</v>
      </c>
      <c r="H404">
        <v>22.1</v>
      </c>
      <c r="I404">
        <f>Tableau4[[#This Row],[GHG (kgCO2eq/GJ)]]*3.6</f>
        <v>79.56</v>
      </c>
      <c r="J404" t="s">
        <v>106</v>
      </c>
      <c r="K404" t="s">
        <v>109</v>
      </c>
    </row>
    <row r="405" spans="1:11" hidden="1" x14ac:dyDescent="0.3">
      <c r="A405" t="s">
        <v>23</v>
      </c>
      <c r="B405" t="s">
        <v>55</v>
      </c>
      <c r="C405" t="s">
        <v>87</v>
      </c>
      <c r="D405">
        <v>0.70850000000000002</v>
      </c>
      <c r="E405">
        <f>Tableau4[[#This Row],[Potential (PJ)]]/3.6</f>
        <v>0.19680555555555557</v>
      </c>
      <c r="F405">
        <v>17.521999999999991</v>
      </c>
      <c r="G405">
        <f>Tableau4[[#This Row],[Cost (€/GJ)]]*3.6</f>
        <v>63.079199999999972</v>
      </c>
      <c r="H405">
        <v>22.1</v>
      </c>
      <c r="I405">
        <f>Tableau4[[#This Row],[GHG (kgCO2eq/GJ)]]*3.6</f>
        <v>79.56</v>
      </c>
      <c r="J405" t="s">
        <v>106</v>
      </c>
      <c r="K405" t="s">
        <v>109</v>
      </c>
    </row>
    <row r="406" spans="1:11" hidden="1" x14ac:dyDescent="0.3">
      <c r="A406" t="s">
        <v>23</v>
      </c>
      <c r="B406" t="s">
        <v>55</v>
      </c>
      <c r="C406" t="s">
        <v>88</v>
      </c>
      <c r="D406">
        <v>20.226900000000001</v>
      </c>
      <c r="E406">
        <f>Tableau4[[#This Row],[Potential (PJ)]]/3.6</f>
        <v>5.6185833333333335</v>
      </c>
      <c r="F406">
        <v>15.975</v>
      </c>
      <c r="G406">
        <f>Tableau4[[#This Row],[Cost (€/GJ)]]*3.6</f>
        <v>57.51</v>
      </c>
      <c r="H406">
        <v>22.1</v>
      </c>
      <c r="I406">
        <f>Tableau4[[#This Row],[GHG (kgCO2eq/GJ)]]*3.6</f>
        <v>79.56</v>
      </c>
      <c r="J406" t="s">
        <v>106</v>
      </c>
      <c r="K406" t="s">
        <v>109</v>
      </c>
    </row>
    <row r="407" spans="1:11" hidden="1" x14ac:dyDescent="0.3">
      <c r="A407" t="s">
        <v>23</v>
      </c>
      <c r="B407" t="s">
        <v>55</v>
      </c>
      <c r="C407" t="s">
        <v>89</v>
      </c>
      <c r="D407">
        <v>7.4999999999999997E-3</v>
      </c>
      <c r="E407">
        <f>Tableau4[[#This Row],[Potential (PJ)]]/3.6</f>
        <v>2.0833333333333333E-3</v>
      </c>
      <c r="F407">
        <v>0</v>
      </c>
      <c r="G407">
        <f>Tableau4[[#This Row],[Cost (€/GJ)]]*3.6</f>
        <v>0</v>
      </c>
      <c r="H407">
        <v>22.1</v>
      </c>
      <c r="I407">
        <f>Tableau4[[#This Row],[GHG (kgCO2eq/GJ)]]*3.6</f>
        <v>79.56</v>
      </c>
      <c r="J407" t="s">
        <v>106</v>
      </c>
      <c r="K407" t="s">
        <v>109</v>
      </c>
    </row>
    <row r="408" spans="1:11" hidden="1" x14ac:dyDescent="0.3">
      <c r="A408" t="s">
        <v>23</v>
      </c>
      <c r="B408" t="s">
        <v>55</v>
      </c>
      <c r="C408" t="s">
        <v>90</v>
      </c>
      <c r="D408">
        <v>0.58069999999999999</v>
      </c>
      <c r="E408">
        <f>Tableau4[[#This Row],[Potential (PJ)]]/3.6</f>
        <v>0.16130555555555556</v>
      </c>
      <c r="F408">
        <v>17.138000000000002</v>
      </c>
      <c r="G408">
        <f>Tableau4[[#This Row],[Cost (€/GJ)]]*3.6</f>
        <v>61.69680000000001</v>
      </c>
      <c r="H408">
        <v>22.1</v>
      </c>
      <c r="I408">
        <f>Tableau4[[#This Row],[GHG (kgCO2eq/GJ)]]*3.6</f>
        <v>79.56</v>
      </c>
      <c r="J408" t="s">
        <v>106</v>
      </c>
      <c r="K408" t="s">
        <v>109</v>
      </c>
    </row>
    <row r="409" spans="1:11" hidden="1" x14ac:dyDescent="0.3">
      <c r="A409" t="s">
        <v>23</v>
      </c>
      <c r="B409" t="s">
        <v>55</v>
      </c>
      <c r="C409" t="s">
        <v>92</v>
      </c>
      <c r="D409">
        <v>1.50352</v>
      </c>
      <c r="E409">
        <f>Tableau4[[#This Row],[Potential (PJ)]]/3.6</f>
        <v>0.41764444444444443</v>
      </c>
      <c r="F409">
        <v>17.521999999999991</v>
      </c>
      <c r="G409">
        <f>Tableau4[[#This Row],[Cost (€/GJ)]]*3.6</f>
        <v>63.079199999999972</v>
      </c>
      <c r="H409">
        <v>22.1</v>
      </c>
      <c r="I409">
        <f>Tableau4[[#This Row],[GHG (kgCO2eq/GJ)]]*3.6</f>
        <v>79.56</v>
      </c>
      <c r="J409" t="s">
        <v>106</v>
      </c>
      <c r="K409" t="s">
        <v>109</v>
      </c>
    </row>
    <row r="410" spans="1:11" hidden="1" x14ac:dyDescent="0.3">
      <c r="A410" t="s">
        <v>23</v>
      </c>
      <c r="B410" t="s">
        <v>56</v>
      </c>
      <c r="C410" t="s">
        <v>93</v>
      </c>
      <c r="D410">
        <v>18.697399999999998</v>
      </c>
      <c r="E410">
        <f>Tableau4[[#This Row],[Potential (PJ)]]/3.6</f>
        <v>5.1937222222222212</v>
      </c>
      <c r="F410">
        <v>2.9493975903614462</v>
      </c>
      <c r="G410">
        <f>Tableau4[[#This Row],[Cost (€/GJ)]]*3.6</f>
        <v>10.617831325301207</v>
      </c>
      <c r="H410">
        <v>26.1</v>
      </c>
      <c r="I410">
        <f>Tableau4[[#This Row],[GHG (kgCO2eq/GJ)]]*3.6</f>
        <v>93.960000000000008</v>
      </c>
      <c r="J410" t="s">
        <v>106</v>
      </c>
      <c r="K410" t="s">
        <v>109</v>
      </c>
    </row>
    <row r="411" spans="1:11" x14ac:dyDescent="0.3">
      <c r="A411" t="s">
        <v>23</v>
      </c>
      <c r="B411" t="s">
        <v>47</v>
      </c>
      <c r="C411" t="s">
        <v>68</v>
      </c>
      <c r="D411">
        <v>77.5</v>
      </c>
      <c r="E411">
        <f>Tableau4[[#This Row],[Potential (PJ)]]/3.6</f>
        <v>21.527777777777779</v>
      </c>
      <c r="F411">
        <v>2.627730322580645</v>
      </c>
      <c r="G411">
        <f>Tableau4[[#This Row],[Cost (€/GJ)]]*3.6</f>
        <v>9.4598291612903225</v>
      </c>
      <c r="H411">
        <v>43</v>
      </c>
      <c r="I411">
        <f>Tableau4[[#This Row],[GHG (kgCO2eq/GJ)]]*3.6</f>
        <v>154.80000000000001</v>
      </c>
      <c r="J411" t="s">
        <v>104</v>
      </c>
      <c r="K411" t="s">
        <v>109</v>
      </c>
    </row>
    <row r="412" spans="1:11" x14ac:dyDescent="0.3">
      <c r="A412" t="s">
        <v>23</v>
      </c>
      <c r="B412" t="s">
        <v>47</v>
      </c>
      <c r="C412" t="s">
        <v>69</v>
      </c>
      <c r="D412">
        <v>69.400000000000006</v>
      </c>
      <c r="E412">
        <f>Tableau4[[#This Row],[Potential (PJ)]]/3.6</f>
        <v>19.277777777777779</v>
      </c>
      <c r="F412">
        <v>2.472056195965417</v>
      </c>
      <c r="G412">
        <f>Tableau4[[#This Row],[Cost (€/GJ)]]*3.6</f>
        <v>8.8994023054755012</v>
      </c>
      <c r="H412">
        <v>43</v>
      </c>
      <c r="I412">
        <f>Tableau4[[#This Row],[GHG (kgCO2eq/GJ)]]*3.6</f>
        <v>154.80000000000001</v>
      </c>
      <c r="J412" t="s">
        <v>104</v>
      </c>
      <c r="K412" t="s">
        <v>109</v>
      </c>
    </row>
    <row r="413" spans="1:11" x14ac:dyDescent="0.3">
      <c r="A413" t="s">
        <v>23</v>
      </c>
      <c r="B413" t="s">
        <v>57</v>
      </c>
      <c r="C413" t="s">
        <v>94</v>
      </c>
      <c r="D413">
        <v>29.3</v>
      </c>
      <c r="E413">
        <f>Tableau4[[#This Row],[Potential (PJ)]]/3.6</f>
        <v>8.1388888888888893</v>
      </c>
      <c r="F413">
        <v>6.5294573378839598</v>
      </c>
      <c r="G413">
        <f>Tableau4[[#This Row],[Cost (€/GJ)]]*3.6</f>
        <v>23.506046416382254</v>
      </c>
      <c r="H413">
        <v>52.3</v>
      </c>
      <c r="I413">
        <f>Tableau4[[#This Row],[GHG (kgCO2eq/GJ)]]*3.6</f>
        <v>188.28</v>
      </c>
      <c r="J413" t="s">
        <v>104</v>
      </c>
      <c r="K413" t="s">
        <v>109</v>
      </c>
    </row>
    <row r="414" spans="1:11" hidden="1" x14ac:dyDescent="0.3">
      <c r="A414" t="s">
        <v>23</v>
      </c>
      <c r="B414" t="s">
        <v>49</v>
      </c>
      <c r="C414" t="s">
        <v>71</v>
      </c>
      <c r="D414">
        <v>126.81482</v>
      </c>
      <c r="E414">
        <f>Tableau4[[#This Row],[Potential (PJ)]]/3.6</f>
        <v>35.22633888888889</v>
      </c>
      <c r="F414">
        <v>1.6633376084908691</v>
      </c>
      <c r="G414">
        <f>Tableau4[[#This Row],[Cost (€/GJ)]]*3.6</f>
        <v>5.9880153905671287</v>
      </c>
      <c r="H414">
        <v>3.86607608129234</v>
      </c>
      <c r="I414">
        <f>Tableau4[[#This Row],[GHG (kgCO2eq/GJ)]]*3.6</f>
        <v>13.917873892652425</v>
      </c>
      <c r="J414" t="s">
        <v>104</v>
      </c>
      <c r="K414" t="s">
        <v>108</v>
      </c>
    </row>
    <row r="415" spans="1:11" hidden="1" x14ac:dyDescent="0.3">
      <c r="A415" t="s">
        <v>23</v>
      </c>
      <c r="B415" t="s">
        <v>49</v>
      </c>
      <c r="C415" t="s">
        <v>72</v>
      </c>
      <c r="D415">
        <v>30.1</v>
      </c>
      <c r="E415">
        <f>Tableau4[[#This Row],[Potential (PJ)]]/3.6</f>
        <v>8.3611111111111107</v>
      </c>
      <c r="F415">
        <v>2.1796079734219269</v>
      </c>
      <c r="G415">
        <f>Tableau4[[#This Row],[Cost (€/GJ)]]*3.6</f>
        <v>7.8465887043189371</v>
      </c>
      <c r="H415">
        <v>3.86607608129234</v>
      </c>
      <c r="I415">
        <f>Tableau4[[#This Row],[GHG (kgCO2eq/GJ)]]*3.6</f>
        <v>13.917873892652425</v>
      </c>
      <c r="J415" t="s">
        <v>104</v>
      </c>
      <c r="K415" t="s">
        <v>108</v>
      </c>
    </row>
    <row r="416" spans="1:11" hidden="1" x14ac:dyDescent="0.3">
      <c r="A416" t="s">
        <v>23</v>
      </c>
      <c r="B416" t="s">
        <v>58</v>
      </c>
      <c r="C416" t="s">
        <v>95</v>
      </c>
      <c r="D416">
        <v>14.389659999999999</v>
      </c>
      <c r="E416">
        <f>Tableau4[[#This Row],[Potential (PJ)]]/3.6</f>
        <v>3.9971277777777776</v>
      </c>
      <c r="F416">
        <v>2.0914124628378992</v>
      </c>
      <c r="G416">
        <f>Tableau4[[#This Row],[Cost (€/GJ)]]*3.6</f>
        <v>7.5290848662164374</v>
      </c>
      <c r="H416">
        <v>2.9521711768407801</v>
      </c>
      <c r="I416">
        <f>Tableau4[[#This Row],[GHG (kgCO2eq/GJ)]]*3.6</f>
        <v>10.627816236626808</v>
      </c>
      <c r="J416" t="s">
        <v>104</v>
      </c>
      <c r="K416" t="s">
        <v>108</v>
      </c>
    </row>
    <row r="417" spans="1:11" hidden="1" x14ac:dyDescent="0.3">
      <c r="A417" t="s">
        <v>23</v>
      </c>
      <c r="B417" t="s">
        <v>50</v>
      </c>
      <c r="C417" t="s">
        <v>73</v>
      </c>
      <c r="D417">
        <v>2.2000000000000002</v>
      </c>
      <c r="E417">
        <f>Tableau4[[#This Row],[Potential (PJ)]]/3.6</f>
        <v>0.61111111111111116</v>
      </c>
      <c r="F417">
        <v>5.1360454545454548</v>
      </c>
      <c r="G417">
        <f>Tableau4[[#This Row],[Cost (€/GJ)]]*3.6</f>
        <v>18.489763636363637</v>
      </c>
      <c r="H417">
        <v>20.723404255319149</v>
      </c>
      <c r="I417">
        <f>Tableau4[[#This Row],[GHG (kgCO2eq/GJ)]]*3.6</f>
        <v>74.604255319148933</v>
      </c>
      <c r="J417" t="s">
        <v>105</v>
      </c>
      <c r="K417" t="s">
        <v>108</v>
      </c>
    </row>
    <row r="418" spans="1:11" hidden="1" x14ac:dyDescent="0.3">
      <c r="A418" t="s">
        <v>23</v>
      </c>
      <c r="B418" t="s">
        <v>50</v>
      </c>
      <c r="C418" t="s">
        <v>74</v>
      </c>
      <c r="D418">
        <v>70.400000000000006</v>
      </c>
      <c r="E418">
        <f>Tableau4[[#This Row],[Potential (PJ)]]/3.6</f>
        <v>19.555555555555557</v>
      </c>
      <c r="F418">
        <v>3.5431903409090899</v>
      </c>
      <c r="G418">
        <f>Tableau4[[#This Row],[Cost (€/GJ)]]*3.6</f>
        <v>12.755485227272723</v>
      </c>
      <c r="H418">
        <v>2.0635593220338988</v>
      </c>
      <c r="I418">
        <f>Tableau4[[#This Row],[GHG (kgCO2eq/GJ)]]*3.6</f>
        <v>7.4288135593220357</v>
      </c>
      <c r="J418" t="s">
        <v>105</v>
      </c>
      <c r="K418" t="s">
        <v>108</v>
      </c>
    </row>
    <row r="419" spans="1:11" hidden="1" x14ac:dyDescent="0.3">
      <c r="A419" t="s">
        <v>23</v>
      </c>
      <c r="B419" t="s">
        <v>59</v>
      </c>
      <c r="C419" t="s">
        <v>96</v>
      </c>
      <c r="D419">
        <v>1.7699</v>
      </c>
      <c r="E419">
        <f>Tableau4[[#This Row],[Potential (PJ)]]/3.6</f>
        <v>0.4916388888888889</v>
      </c>
      <c r="F419">
        <v>29.956</v>
      </c>
      <c r="G419">
        <f>Tableau4[[#This Row],[Cost (€/GJ)]]*3.6</f>
        <v>107.8416</v>
      </c>
      <c r="H419">
        <v>29.4</v>
      </c>
      <c r="I419">
        <f>Tableau4[[#This Row],[GHG (kgCO2eq/GJ)]]*3.6</f>
        <v>105.84</v>
      </c>
      <c r="J419" t="s">
        <v>107</v>
      </c>
      <c r="K419" t="s">
        <v>109</v>
      </c>
    </row>
    <row r="420" spans="1:11" hidden="1" x14ac:dyDescent="0.3">
      <c r="A420" t="s">
        <v>23</v>
      </c>
      <c r="B420" t="s">
        <v>59</v>
      </c>
      <c r="C420" t="s">
        <v>97</v>
      </c>
      <c r="D420">
        <v>5.5587</v>
      </c>
      <c r="E420">
        <f>Tableau4[[#This Row],[Potential (PJ)]]/3.6</f>
        <v>1.5440833333333333</v>
      </c>
      <c r="F420">
        <v>18.55670103092784</v>
      </c>
      <c r="G420">
        <f>Tableau4[[#This Row],[Cost (€/GJ)]]*3.6</f>
        <v>66.804123711340225</v>
      </c>
      <c r="H420">
        <v>29.4</v>
      </c>
      <c r="I420">
        <f>Tableau4[[#This Row],[GHG (kgCO2eq/GJ)]]*3.6</f>
        <v>105.84</v>
      </c>
      <c r="J420" t="s">
        <v>107</v>
      </c>
      <c r="K420" t="s">
        <v>109</v>
      </c>
    </row>
    <row r="421" spans="1:11" hidden="1" x14ac:dyDescent="0.3">
      <c r="A421" t="s">
        <v>23</v>
      </c>
      <c r="B421" t="s">
        <v>51</v>
      </c>
      <c r="C421" t="s">
        <v>75</v>
      </c>
      <c r="D421">
        <v>15.347709999999999</v>
      </c>
      <c r="E421">
        <f>Tableau4[[#This Row],[Potential (PJ)]]/3.6</f>
        <v>4.2632527777777778</v>
      </c>
      <c r="F421">
        <v>2.6892544675485501E-3</v>
      </c>
      <c r="G421">
        <f>Tableau4[[#This Row],[Cost (€/GJ)]]*3.6</f>
        <v>9.6813160831747801E-3</v>
      </c>
      <c r="H421">
        <v>11.74</v>
      </c>
      <c r="I421">
        <f>Tableau4[[#This Row],[GHG (kgCO2eq/GJ)]]*3.6</f>
        <v>42.264000000000003</v>
      </c>
      <c r="J421" t="s">
        <v>104</v>
      </c>
      <c r="K421" t="s">
        <v>108</v>
      </c>
    </row>
    <row r="422" spans="1:11" hidden="1" x14ac:dyDescent="0.3">
      <c r="A422" t="s">
        <v>23</v>
      </c>
      <c r="B422" t="s">
        <v>60</v>
      </c>
      <c r="C422" t="s">
        <v>98</v>
      </c>
      <c r="D422">
        <v>3.17259</v>
      </c>
      <c r="E422">
        <f>Tableau4[[#This Row],[Potential (PJ)]]/3.6</f>
        <v>0.88127500000000003</v>
      </c>
      <c r="F422">
        <v>18.582169709989259</v>
      </c>
      <c r="G422">
        <f>Tableau4[[#This Row],[Cost (€/GJ)]]*3.6</f>
        <v>66.895810955961338</v>
      </c>
      <c r="H422">
        <v>47.4</v>
      </c>
      <c r="I422">
        <f>Tableau4[[#This Row],[GHG (kgCO2eq/GJ)]]*3.6</f>
        <v>170.64</v>
      </c>
      <c r="J422" t="s">
        <v>107</v>
      </c>
      <c r="K422" t="s">
        <v>109</v>
      </c>
    </row>
    <row r="423" spans="1:11" hidden="1" x14ac:dyDescent="0.3">
      <c r="A423" t="s">
        <v>23</v>
      </c>
      <c r="B423" t="s">
        <v>52</v>
      </c>
      <c r="C423" t="s">
        <v>76</v>
      </c>
      <c r="D423">
        <v>0.54</v>
      </c>
      <c r="E423">
        <f>Tableau4[[#This Row],[Potential (PJ)]]/3.6</f>
        <v>0.15</v>
      </c>
      <c r="F423">
        <v>4.7567250000000003</v>
      </c>
      <c r="G423">
        <f>Tableau4[[#This Row],[Cost (€/GJ)]]*3.6</f>
        <v>17.124210000000001</v>
      </c>
      <c r="H423">
        <v>12.68872359754714</v>
      </c>
      <c r="I423">
        <f>Tableau4[[#This Row],[GHG (kgCO2eq/GJ)]]*3.6</f>
        <v>45.679404951169708</v>
      </c>
      <c r="J423" t="s">
        <v>105</v>
      </c>
      <c r="K423" t="s">
        <v>108</v>
      </c>
    </row>
    <row r="424" spans="1:11" hidden="1" x14ac:dyDescent="0.3">
      <c r="A424" t="s">
        <v>23</v>
      </c>
      <c r="B424" t="s">
        <v>53</v>
      </c>
      <c r="C424" t="s">
        <v>77</v>
      </c>
      <c r="D424">
        <v>11.1</v>
      </c>
      <c r="E424">
        <f>Tableau4[[#This Row],[Potential (PJ)]]/3.6</f>
        <v>3.083333333333333</v>
      </c>
      <c r="F424">
        <v>2.1794324324324328</v>
      </c>
      <c r="G424">
        <f>Tableau4[[#This Row],[Cost (€/GJ)]]*3.6</f>
        <v>7.8459567567567579</v>
      </c>
      <c r="H424">
        <v>3.86607608129234</v>
      </c>
      <c r="I424">
        <f>Tableau4[[#This Row],[GHG (kgCO2eq/GJ)]]*3.6</f>
        <v>13.917873892652425</v>
      </c>
      <c r="J424" t="s">
        <v>104</v>
      </c>
      <c r="K424" t="s">
        <v>108</v>
      </c>
    </row>
    <row r="425" spans="1:11" hidden="1" x14ac:dyDescent="0.3">
      <c r="A425" t="s">
        <v>23</v>
      </c>
      <c r="B425" t="s">
        <v>61</v>
      </c>
      <c r="C425" t="s">
        <v>99</v>
      </c>
      <c r="D425">
        <v>4.2</v>
      </c>
      <c r="E425">
        <f>Tableau4[[#This Row],[Potential (PJ)]]/3.6</f>
        <v>1.1666666666666667</v>
      </c>
      <c r="F425">
        <v>1.540357142857143</v>
      </c>
      <c r="G425">
        <f>Tableau4[[#This Row],[Cost (€/GJ)]]*3.6</f>
        <v>5.5452857142857148</v>
      </c>
      <c r="H425">
        <v>2.9245635910224439</v>
      </c>
      <c r="I425">
        <f>Tableau4[[#This Row],[GHG (kgCO2eq/GJ)]]*3.6</f>
        <v>10.528428927680798</v>
      </c>
      <c r="J425" t="s">
        <v>104</v>
      </c>
      <c r="K425" t="s">
        <v>108</v>
      </c>
    </row>
    <row r="426" spans="1:11" hidden="1" x14ac:dyDescent="0.3">
      <c r="A426" t="s">
        <v>23</v>
      </c>
      <c r="B426" t="s">
        <v>62</v>
      </c>
      <c r="C426" t="s">
        <v>100</v>
      </c>
      <c r="D426">
        <v>1</v>
      </c>
      <c r="E426">
        <f>Tableau4[[#This Row],[Potential (PJ)]]/3.6</f>
        <v>0.27777777777777779</v>
      </c>
      <c r="F426">
        <v>0.34</v>
      </c>
      <c r="G426">
        <f>Tableau4[[#This Row],[Cost (€/GJ)]]*3.6</f>
        <v>1.2240000000000002</v>
      </c>
      <c r="H426">
        <v>2.6764106050305911</v>
      </c>
      <c r="I426">
        <f>Tableau4[[#This Row],[GHG (kgCO2eq/GJ)]]*3.6</f>
        <v>9.6350781781101276</v>
      </c>
      <c r="J426" t="s">
        <v>104</v>
      </c>
      <c r="K426" t="s">
        <v>108</v>
      </c>
    </row>
    <row r="427" spans="1:11" hidden="1" x14ac:dyDescent="0.3">
      <c r="A427" t="s">
        <v>23</v>
      </c>
      <c r="B427" t="s">
        <v>54</v>
      </c>
      <c r="C427" t="s">
        <v>78</v>
      </c>
      <c r="D427">
        <v>47</v>
      </c>
      <c r="E427">
        <f>Tableau4[[#This Row],[Potential (PJ)]]/3.6</f>
        <v>13.055555555555555</v>
      </c>
      <c r="F427">
        <v>2.173425531914893</v>
      </c>
      <c r="G427">
        <f>Tableau4[[#This Row],[Cost (€/GJ)]]*3.6</f>
        <v>7.824331914893615</v>
      </c>
      <c r="H427">
        <v>3.86607608129234</v>
      </c>
      <c r="I427">
        <f>Tableau4[[#This Row],[GHG (kgCO2eq/GJ)]]*3.6</f>
        <v>13.917873892652425</v>
      </c>
      <c r="J427" t="s">
        <v>104</v>
      </c>
      <c r="K427" t="s">
        <v>108</v>
      </c>
    </row>
    <row r="428" spans="1:11" hidden="1" x14ac:dyDescent="0.3">
      <c r="A428" t="s">
        <v>24</v>
      </c>
      <c r="B428" t="s">
        <v>46</v>
      </c>
      <c r="C428" t="s">
        <v>80</v>
      </c>
      <c r="D428">
        <v>7.6999999999999999E-2</v>
      </c>
      <c r="E428">
        <f>Tableau4[[#This Row],[Potential (PJ)]]/3.6</f>
        <v>2.1388888888888888E-2</v>
      </c>
      <c r="F428">
        <v>0.33378287255563049</v>
      </c>
      <c r="G428">
        <f>Tableau4[[#This Row],[Cost (€/GJ)]]*3.6</f>
        <v>1.2016183412002699</v>
      </c>
      <c r="H428">
        <v>28.139870918023309</v>
      </c>
      <c r="I428">
        <f>Tableau4[[#This Row],[GHG (kgCO2eq/GJ)]]*3.6</f>
        <v>101.30353530488391</v>
      </c>
      <c r="J428" t="s">
        <v>105</v>
      </c>
      <c r="K428" t="s">
        <v>108</v>
      </c>
    </row>
    <row r="429" spans="1:11" hidden="1" x14ac:dyDescent="0.3">
      <c r="A429" t="s">
        <v>24</v>
      </c>
      <c r="B429" t="s">
        <v>46</v>
      </c>
      <c r="C429" t="s">
        <v>81</v>
      </c>
      <c r="D429">
        <v>4.6899999999999997E-2</v>
      </c>
      <c r="E429">
        <f>Tableau4[[#This Row],[Potential (PJ)]]/3.6</f>
        <v>1.3027777777777777E-2</v>
      </c>
      <c r="F429">
        <v>2.6022326674500591</v>
      </c>
      <c r="G429">
        <f>Tableau4[[#This Row],[Cost (€/GJ)]]*3.6</f>
        <v>9.3680376028202126</v>
      </c>
      <c r="H429">
        <v>8.9647473560517046</v>
      </c>
      <c r="I429">
        <f>Tableau4[[#This Row],[GHG (kgCO2eq/GJ)]]*3.6</f>
        <v>32.273090481786134</v>
      </c>
      <c r="J429" t="s">
        <v>105</v>
      </c>
      <c r="K429" t="s">
        <v>108</v>
      </c>
    </row>
    <row r="430" spans="1:11" hidden="1" x14ac:dyDescent="0.3">
      <c r="A430" t="s">
        <v>24</v>
      </c>
      <c r="B430" t="s">
        <v>46</v>
      </c>
      <c r="C430" t="s">
        <v>82</v>
      </c>
      <c r="D430">
        <v>0.1</v>
      </c>
      <c r="E430">
        <f>Tableau4[[#This Row],[Potential (PJ)]]/3.6</f>
        <v>2.777777777777778E-2</v>
      </c>
      <c r="F430">
        <v>1.107</v>
      </c>
      <c r="G430">
        <f>Tableau4[[#This Row],[Cost (€/GJ)]]*3.6</f>
        <v>3.9851999999999999</v>
      </c>
      <c r="H430">
        <v>6.8428961748633883</v>
      </c>
      <c r="I430">
        <f>Tableau4[[#This Row],[GHG (kgCO2eq/GJ)]]*3.6</f>
        <v>24.634426229508197</v>
      </c>
      <c r="J430" t="s">
        <v>104</v>
      </c>
      <c r="K430" t="s">
        <v>108</v>
      </c>
    </row>
    <row r="431" spans="1:11" hidden="1" x14ac:dyDescent="0.3">
      <c r="A431" t="s">
        <v>24</v>
      </c>
      <c r="B431" t="s">
        <v>55</v>
      </c>
      <c r="C431" t="s">
        <v>86</v>
      </c>
      <c r="D431">
        <v>7.22E-2</v>
      </c>
      <c r="E431">
        <f>Tableau4[[#This Row],[Potential (PJ)]]/3.6</f>
        <v>2.0055555555555556E-2</v>
      </c>
      <c r="F431">
        <v>15.132999999999999</v>
      </c>
      <c r="G431">
        <f>Tableau4[[#This Row],[Cost (€/GJ)]]*3.6</f>
        <v>54.4788</v>
      </c>
      <c r="H431">
        <v>9.8000000000000007</v>
      </c>
      <c r="I431">
        <f>Tableau4[[#This Row],[GHG (kgCO2eq/GJ)]]*3.6</f>
        <v>35.28</v>
      </c>
      <c r="J431" t="s">
        <v>106</v>
      </c>
      <c r="K431" t="s">
        <v>109</v>
      </c>
    </row>
    <row r="432" spans="1:11" hidden="1" x14ac:dyDescent="0.3">
      <c r="A432" t="s">
        <v>24</v>
      </c>
      <c r="B432" t="s">
        <v>55</v>
      </c>
      <c r="C432" t="s">
        <v>89</v>
      </c>
      <c r="D432">
        <v>8.2199999999999995E-2</v>
      </c>
      <c r="E432">
        <f>Tableau4[[#This Row],[Potential (PJ)]]/3.6</f>
        <v>2.283333333333333E-2</v>
      </c>
      <c r="F432">
        <v>0</v>
      </c>
      <c r="G432">
        <f>Tableau4[[#This Row],[Cost (€/GJ)]]*3.6</f>
        <v>0</v>
      </c>
      <c r="H432">
        <v>9.8000000000000007</v>
      </c>
      <c r="I432">
        <f>Tableau4[[#This Row],[GHG (kgCO2eq/GJ)]]*3.6</f>
        <v>35.28</v>
      </c>
      <c r="J432" t="s">
        <v>106</v>
      </c>
      <c r="K432" t="s">
        <v>109</v>
      </c>
    </row>
    <row r="433" spans="1:11" hidden="1" x14ac:dyDescent="0.3">
      <c r="A433" t="s">
        <v>24</v>
      </c>
      <c r="B433" t="s">
        <v>55</v>
      </c>
      <c r="C433" t="s">
        <v>92</v>
      </c>
      <c r="D433">
        <v>8.4519999999999998E-2</v>
      </c>
      <c r="E433">
        <f>Tableau4[[#This Row],[Potential (PJ)]]/3.6</f>
        <v>2.3477777777777778E-2</v>
      </c>
      <c r="F433">
        <v>13.994</v>
      </c>
      <c r="G433">
        <f>Tableau4[[#This Row],[Cost (€/GJ)]]*3.6</f>
        <v>50.378399999999999</v>
      </c>
      <c r="H433">
        <v>9.8000000000000007</v>
      </c>
      <c r="I433">
        <f>Tableau4[[#This Row],[GHG (kgCO2eq/GJ)]]*3.6</f>
        <v>35.28</v>
      </c>
      <c r="J433" t="s">
        <v>106</v>
      </c>
      <c r="K433" t="s">
        <v>109</v>
      </c>
    </row>
    <row r="434" spans="1:11" x14ac:dyDescent="0.3">
      <c r="A434" t="s">
        <v>24</v>
      </c>
      <c r="B434" t="s">
        <v>47</v>
      </c>
      <c r="C434" t="s">
        <v>101</v>
      </c>
      <c r="D434">
        <v>6.9</v>
      </c>
      <c r="E434">
        <f>Tableau4[[#This Row],[Potential (PJ)]]/3.6</f>
        <v>1.9166666666666667</v>
      </c>
      <c r="F434">
        <v>4.778144927536232</v>
      </c>
      <c r="G434">
        <f>Tableau4[[#This Row],[Cost (€/GJ)]]*3.6</f>
        <v>17.201321739130435</v>
      </c>
      <c r="H434">
        <v>61.2</v>
      </c>
      <c r="I434">
        <f>Tableau4[[#This Row],[GHG (kgCO2eq/GJ)]]*3.6</f>
        <v>220.32000000000002</v>
      </c>
      <c r="J434" t="s">
        <v>104</v>
      </c>
      <c r="K434" t="s">
        <v>109</v>
      </c>
    </row>
    <row r="435" spans="1:11" x14ac:dyDescent="0.3">
      <c r="A435" t="s">
        <v>24</v>
      </c>
      <c r="B435" t="s">
        <v>57</v>
      </c>
      <c r="C435" t="s">
        <v>94</v>
      </c>
      <c r="D435">
        <v>3.7</v>
      </c>
      <c r="E435">
        <f>Tableau4[[#This Row],[Potential (PJ)]]/3.6</f>
        <v>1.0277777777777779</v>
      </c>
      <c r="F435">
        <v>10.392216216216219</v>
      </c>
      <c r="G435">
        <f>Tableau4[[#This Row],[Cost (€/GJ)]]*3.6</f>
        <v>37.411978378378393</v>
      </c>
      <c r="H435">
        <v>24.4</v>
      </c>
      <c r="I435">
        <f>Tableau4[[#This Row],[GHG (kgCO2eq/GJ)]]*3.6</f>
        <v>87.84</v>
      </c>
      <c r="J435" t="s">
        <v>104</v>
      </c>
      <c r="K435" t="s">
        <v>109</v>
      </c>
    </row>
    <row r="436" spans="1:11" hidden="1" x14ac:dyDescent="0.3">
      <c r="A436" t="s">
        <v>24</v>
      </c>
      <c r="B436" t="s">
        <v>49</v>
      </c>
      <c r="C436" t="s">
        <v>71</v>
      </c>
      <c r="D436">
        <v>41.862259999999999</v>
      </c>
      <c r="E436">
        <f>Tableau4[[#This Row],[Potential (PJ)]]/3.6</f>
        <v>11.628405555555554</v>
      </c>
      <c r="F436">
        <v>3.4809999999999999</v>
      </c>
      <c r="G436">
        <f>Tableau4[[#This Row],[Cost (€/GJ)]]*3.6</f>
        <v>12.531599999999999</v>
      </c>
      <c r="H436">
        <v>3.86607608129234</v>
      </c>
      <c r="I436">
        <f>Tableau4[[#This Row],[GHG (kgCO2eq/GJ)]]*3.6</f>
        <v>13.917873892652425</v>
      </c>
      <c r="J436" t="s">
        <v>104</v>
      </c>
      <c r="K436" t="s">
        <v>108</v>
      </c>
    </row>
    <row r="437" spans="1:11" hidden="1" x14ac:dyDescent="0.3">
      <c r="A437" t="s">
        <v>24</v>
      </c>
      <c r="B437" t="s">
        <v>49</v>
      </c>
      <c r="C437" t="s">
        <v>72</v>
      </c>
      <c r="D437">
        <v>1.7</v>
      </c>
      <c r="E437">
        <f>Tableau4[[#This Row],[Potential (PJ)]]/3.6</f>
        <v>0.47222222222222221</v>
      </c>
      <c r="F437">
        <v>2.7885882352941169</v>
      </c>
      <c r="G437">
        <f>Tableau4[[#This Row],[Cost (€/GJ)]]*3.6</f>
        <v>10.03891764705882</v>
      </c>
      <c r="H437">
        <v>3.86607608129234</v>
      </c>
      <c r="I437">
        <f>Tableau4[[#This Row],[GHG (kgCO2eq/GJ)]]*3.6</f>
        <v>13.917873892652425</v>
      </c>
      <c r="J437" t="s">
        <v>104</v>
      </c>
      <c r="K437" t="s">
        <v>108</v>
      </c>
    </row>
    <row r="438" spans="1:11" hidden="1" x14ac:dyDescent="0.3">
      <c r="A438" t="s">
        <v>24</v>
      </c>
      <c r="B438" t="s">
        <v>58</v>
      </c>
      <c r="C438" t="s">
        <v>95</v>
      </c>
      <c r="D438">
        <v>10.95965</v>
      </c>
      <c r="E438">
        <f>Tableau4[[#This Row],[Potential (PJ)]]/3.6</f>
        <v>3.0443472222222221</v>
      </c>
      <c r="F438">
        <v>2.1709999999999998</v>
      </c>
      <c r="G438">
        <f>Tableau4[[#This Row],[Cost (€/GJ)]]*3.6</f>
        <v>7.8155999999999999</v>
      </c>
      <c r="H438">
        <v>2.9521711768407801</v>
      </c>
      <c r="I438">
        <f>Tableau4[[#This Row],[GHG (kgCO2eq/GJ)]]*3.6</f>
        <v>10.627816236626808</v>
      </c>
      <c r="J438" t="s">
        <v>104</v>
      </c>
      <c r="K438" t="s">
        <v>108</v>
      </c>
    </row>
    <row r="439" spans="1:11" hidden="1" x14ac:dyDescent="0.3">
      <c r="A439" t="s">
        <v>24</v>
      </c>
      <c r="B439" t="s">
        <v>50</v>
      </c>
      <c r="C439" t="s">
        <v>73</v>
      </c>
      <c r="D439">
        <v>11.4</v>
      </c>
      <c r="E439">
        <f>Tableau4[[#This Row],[Potential (PJ)]]/3.6</f>
        <v>3.1666666666666665</v>
      </c>
      <c r="F439">
        <v>5.6319999999999997</v>
      </c>
      <c r="G439">
        <f>Tableau4[[#This Row],[Cost (€/GJ)]]*3.6</f>
        <v>20.275199999999998</v>
      </c>
      <c r="H439">
        <v>20.723404255319149</v>
      </c>
      <c r="I439">
        <f>Tableau4[[#This Row],[GHG (kgCO2eq/GJ)]]*3.6</f>
        <v>74.604255319148933</v>
      </c>
      <c r="J439" t="s">
        <v>105</v>
      </c>
      <c r="K439" t="s">
        <v>108</v>
      </c>
    </row>
    <row r="440" spans="1:11" hidden="1" x14ac:dyDescent="0.3">
      <c r="A440" t="s">
        <v>24</v>
      </c>
      <c r="B440" t="s">
        <v>50</v>
      </c>
      <c r="C440" t="s">
        <v>74</v>
      </c>
      <c r="D440">
        <v>21.2</v>
      </c>
      <c r="E440">
        <f>Tableau4[[#This Row],[Potential (PJ)]]/3.6</f>
        <v>5.8888888888888884</v>
      </c>
      <c r="F440">
        <v>6.2113962264150944</v>
      </c>
      <c r="G440">
        <f>Tableau4[[#This Row],[Cost (€/GJ)]]*3.6</f>
        <v>22.36102641509434</v>
      </c>
      <c r="H440">
        <v>2.0635593220338988</v>
      </c>
      <c r="I440">
        <f>Tableau4[[#This Row],[GHG (kgCO2eq/GJ)]]*3.6</f>
        <v>7.4288135593220357</v>
      </c>
      <c r="J440" t="s">
        <v>105</v>
      </c>
      <c r="K440" t="s">
        <v>108</v>
      </c>
    </row>
    <row r="441" spans="1:11" hidden="1" x14ac:dyDescent="0.3">
      <c r="A441" t="s">
        <v>24</v>
      </c>
      <c r="B441" t="s">
        <v>51</v>
      </c>
      <c r="C441" t="s">
        <v>75</v>
      </c>
      <c r="D441">
        <v>3.0983879999999999</v>
      </c>
      <c r="E441">
        <f>Tableau4[[#This Row],[Potential (PJ)]]/3.6</f>
        <v>0.86066333333333334</v>
      </c>
      <c r="F441">
        <v>2.62264631846305E-2</v>
      </c>
      <c r="G441">
        <f>Tableau4[[#This Row],[Cost (€/GJ)]]*3.6</f>
        <v>9.44152674646698E-2</v>
      </c>
      <c r="H441">
        <v>11.74</v>
      </c>
      <c r="I441">
        <f>Tableau4[[#This Row],[GHG (kgCO2eq/GJ)]]*3.6</f>
        <v>42.264000000000003</v>
      </c>
      <c r="J441" t="s">
        <v>104</v>
      </c>
      <c r="K441" t="s">
        <v>108</v>
      </c>
    </row>
    <row r="442" spans="1:11" hidden="1" x14ac:dyDescent="0.3">
      <c r="A442" t="s">
        <v>24</v>
      </c>
      <c r="B442" t="s">
        <v>60</v>
      </c>
      <c r="C442" t="s">
        <v>98</v>
      </c>
      <c r="D442">
        <v>0.50990000000000002</v>
      </c>
      <c r="E442">
        <f>Tableau4[[#This Row],[Potential (PJ)]]/3.6</f>
        <v>0.1416388888888889</v>
      </c>
      <c r="F442">
        <v>26.262083780880769</v>
      </c>
      <c r="G442">
        <f>Tableau4[[#This Row],[Cost (€/GJ)]]*3.6</f>
        <v>94.543501611170768</v>
      </c>
      <c r="H442">
        <v>33.200000000000003</v>
      </c>
      <c r="I442">
        <f>Tableau4[[#This Row],[GHG (kgCO2eq/GJ)]]*3.6</f>
        <v>119.52000000000001</v>
      </c>
      <c r="J442" t="s">
        <v>107</v>
      </c>
      <c r="K442" t="s">
        <v>109</v>
      </c>
    </row>
    <row r="443" spans="1:11" hidden="1" x14ac:dyDescent="0.3">
      <c r="A443" t="s">
        <v>24</v>
      </c>
      <c r="B443" t="s">
        <v>52</v>
      </c>
      <c r="C443" t="s">
        <v>76</v>
      </c>
      <c r="D443">
        <v>4.0000000000000001E-3</v>
      </c>
      <c r="E443">
        <f>Tableau4[[#This Row],[Potential (PJ)]]/3.6</f>
        <v>1.1111111111111111E-3</v>
      </c>
      <c r="F443">
        <v>4.7567250000000003</v>
      </c>
      <c r="G443">
        <f>Tableau4[[#This Row],[Cost (€/GJ)]]*3.6</f>
        <v>17.124210000000001</v>
      </c>
      <c r="H443">
        <v>12.68872359754714</v>
      </c>
      <c r="I443">
        <f>Tableau4[[#This Row],[GHG (kgCO2eq/GJ)]]*3.6</f>
        <v>45.679404951169708</v>
      </c>
      <c r="J443" t="s">
        <v>105</v>
      </c>
      <c r="K443" t="s">
        <v>108</v>
      </c>
    </row>
    <row r="444" spans="1:11" hidden="1" x14ac:dyDescent="0.3">
      <c r="A444" t="s">
        <v>24</v>
      </c>
      <c r="B444" t="s">
        <v>53</v>
      </c>
      <c r="C444" t="s">
        <v>77</v>
      </c>
      <c r="D444">
        <v>1.1000000000000001</v>
      </c>
      <c r="E444">
        <f>Tableau4[[#This Row],[Potential (PJ)]]/3.6</f>
        <v>0.30555555555555558</v>
      </c>
      <c r="F444">
        <v>2.7886363636363631</v>
      </c>
      <c r="G444">
        <f>Tableau4[[#This Row],[Cost (€/GJ)]]*3.6</f>
        <v>10.039090909090907</v>
      </c>
      <c r="H444">
        <v>3.86607608129234</v>
      </c>
      <c r="I444">
        <f>Tableau4[[#This Row],[GHG (kgCO2eq/GJ)]]*3.6</f>
        <v>13.917873892652425</v>
      </c>
      <c r="J444" t="s">
        <v>104</v>
      </c>
      <c r="K444" t="s">
        <v>108</v>
      </c>
    </row>
    <row r="445" spans="1:11" hidden="1" x14ac:dyDescent="0.3">
      <c r="A445" t="s">
        <v>24</v>
      </c>
      <c r="B445" t="s">
        <v>61</v>
      </c>
      <c r="C445" t="s">
        <v>99</v>
      </c>
      <c r="D445">
        <v>8.3999999999999986</v>
      </c>
      <c r="E445">
        <f>Tableau4[[#This Row],[Potential (PJ)]]/3.6</f>
        <v>2.333333333333333</v>
      </c>
      <c r="F445">
        <v>1.7190000000000001</v>
      </c>
      <c r="G445">
        <f>Tableau4[[#This Row],[Cost (€/GJ)]]*3.6</f>
        <v>6.1884000000000006</v>
      </c>
      <c r="H445">
        <v>2.9245635910224439</v>
      </c>
      <c r="I445">
        <f>Tableau4[[#This Row],[GHG (kgCO2eq/GJ)]]*3.6</f>
        <v>10.528428927680798</v>
      </c>
      <c r="J445" t="s">
        <v>104</v>
      </c>
      <c r="K445" t="s">
        <v>108</v>
      </c>
    </row>
    <row r="446" spans="1:11" hidden="1" x14ac:dyDescent="0.3">
      <c r="A446" t="s">
        <v>24</v>
      </c>
      <c r="B446" t="s">
        <v>62</v>
      </c>
      <c r="C446" t="s">
        <v>100</v>
      </c>
      <c r="D446">
        <v>2.9</v>
      </c>
      <c r="E446">
        <f>Tableau4[[#This Row],[Potential (PJ)]]/3.6</f>
        <v>0.80555555555555547</v>
      </c>
      <c r="F446">
        <v>0.51034482758620681</v>
      </c>
      <c r="G446">
        <f>Tableau4[[#This Row],[Cost (€/GJ)]]*3.6</f>
        <v>1.8372413793103446</v>
      </c>
      <c r="H446">
        <v>2.6764106050305911</v>
      </c>
      <c r="I446">
        <f>Tableau4[[#This Row],[GHG (kgCO2eq/GJ)]]*3.6</f>
        <v>9.6350781781101276</v>
      </c>
      <c r="J446" t="s">
        <v>104</v>
      </c>
      <c r="K446" t="s">
        <v>108</v>
      </c>
    </row>
    <row r="447" spans="1:11" hidden="1" x14ac:dyDescent="0.3">
      <c r="A447" t="s">
        <v>24</v>
      </c>
      <c r="B447" t="s">
        <v>54</v>
      </c>
      <c r="C447" t="s">
        <v>78</v>
      </c>
      <c r="D447">
        <v>27.6</v>
      </c>
      <c r="E447">
        <f>Tableau4[[#This Row],[Potential (PJ)]]/3.6</f>
        <v>7.666666666666667</v>
      </c>
      <c r="F447">
        <v>5.851</v>
      </c>
      <c r="G447">
        <f>Tableau4[[#This Row],[Cost (€/GJ)]]*3.6</f>
        <v>21.063600000000001</v>
      </c>
      <c r="H447">
        <v>3.86607608129234</v>
      </c>
      <c r="I447">
        <f>Tableau4[[#This Row],[GHG (kgCO2eq/GJ)]]*3.6</f>
        <v>13.917873892652425</v>
      </c>
      <c r="J447" t="s">
        <v>104</v>
      </c>
      <c r="K447" t="s">
        <v>108</v>
      </c>
    </row>
    <row r="448" spans="1:11" hidden="1" x14ac:dyDescent="0.3">
      <c r="A448" t="s">
        <v>25</v>
      </c>
      <c r="B448" t="s">
        <v>51</v>
      </c>
      <c r="C448" t="s">
        <v>75</v>
      </c>
      <c r="D448">
        <v>1.4673700000000001</v>
      </c>
      <c r="E448">
        <f>Tableau4[[#This Row],[Potential (PJ)]]/3.6</f>
        <v>0.40760277777777776</v>
      </c>
      <c r="F448">
        <v>3.2096293703716499E-3</v>
      </c>
      <c r="G448">
        <f>Tableau4[[#This Row],[Cost (€/GJ)]]*3.6</f>
        <v>1.1554665733337939E-2</v>
      </c>
      <c r="H448">
        <v>11.74</v>
      </c>
      <c r="I448">
        <f>Tableau4[[#This Row],[GHG (kgCO2eq/GJ)]]*3.6</f>
        <v>42.264000000000003</v>
      </c>
      <c r="J448" t="s">
        <v>104</v>
      </c>
      <c r="K448" t="s">
        <v>108</v>
      </c>
    </row>
    <row r="449" spans="1:11" hidden="1" x14ac:dyDescent="0.3">
      <c r="A449" t="s">
        <v>26</v>
      </c>
      <c r="B449" t="s">
        <v>46</v>
      </c>
      <c r="C449" t="s">
        <v>63</v>
      </c>
      <c r="D449">
        <v>6.9548000000000014</v>
      </c>
      <c r="E449">
        <f>Tableau4[[#This Row],[Potential (PJ)]]/3.6</f>
        <v>1.9318888888888892</v>
      </c>
      <c r="F449">
        <v>2.9286474973375931</v>
      </c>
      <c r="G449">
        <f>Tableau4[[#This Row],[Cost (€/GJ)]]*3.6</f>
        <v>10.543130990415335</v>
      </c>
      <c r="H449">
        <v>3.950479233226837</v>
      </c>
      <c r="I449">
        <f>Tableau4[[#This Row],[GHG (kgCO2eq/GJ)]]*3.6</f>
        <v>14.221725239616614</v>
      </c>
      <c r="J449" t="s">
        <v>104</v>
      </c>
      <c r="K449" t="s">
        <v>108</v>
      </c>
    </row>
    <row r="450" spans="1:11" hidden="1" x14ac:dyDescent="0.3">
      <c r="A450" t="s">
        <v>26</v>
      </c>
      <c r="B450" t="s">
        <v>46</v>
      </c>
      <c r="C450" t="s">
        <v>64</v>
      </c>
      <c r="D450">
        <v>0.87172000000000005</v>
      </c>
      <c r="E450">
        <f>Tableau4[[#This Row],[Potential (PJ)]]/3.6</f>
        <v>0.24214444444444444</v>
      </c>
      <c r="F450">
        <v>7.0922251525719266</v>
      </c>
      <c r="G450">
        <f>Tableau4[[#This Row],[Cost (€/GJ)]]*3.6</f>
        <v>25.532010549258935</v>
      </c>
      <c r="H450">
        <v>2.9521711768407801</v>
      </c>
      <c r="I450">
        <f>Tableau4[[#This Row],[GHG (kgCO2eq/GJ)]]*3.6</f>
        <v>10.627816236626808</v>
      </c>
      <c r="J450" t="s">
        <v>104</v>
      </c>
      <c r="K450" t="s">
        <v>108</v>
      </c>
    </row>
    <row r="451" spans="1:11" hidden="1" x14ac:dyDescent="0.3">
      <c r="A451" t="s">
        <v>26</v>
      </c>
      <c r="B451" t="s">
        <v>46</v>
      </c>
      <c r="C451" t="s">
        <v>79</v>
      </c>
      <c r="D451">
        <v>26.5</v>
      </c>
      <c r="E451">
        <f>Tableau4[[#This Row],[Potential (PJ)]]/3.6</f>
        <v>7.3611111111111107</v>
      </c>
      <c r="F451">
        <v>2.1763207547169809</v>
      </c>
      <c r="G451">
        <f>Tableau4[[#This Row],[Cost (€/GJ)]]*3.6</f>
        <v>7.8347547169811316</v>
      </c>
      <c r="H451">
        <v>6.8428961748633883</v>
      </c>
      <c r="I451">
        <f>Tableau4[[#This Row],[GHG (kgCO2eq/GJ)]]*3.6</f>
        <v>24.634426229508197</v>
      </c>
      <c r="J451" t="s">
        <v>104</v>
      </c>
      <c r="K451" t="s">
        <v>108</v>
      </c>
    </row>
    <row r="452" spans="1:11" hidden="1" x14ac:dyDescent="0.3">
      <c r="A452" t="s">
        <v>26</v>
      </c>
      <c r="B452" t="s">
        <v>46</v>
      </c>
      <c r="C452" t="s">
        <v>65</v>
      </c>
      <c r="D452">
        <v>3</v>
      </c>
      <c r="E452">
        <f>Tableau4[[#This Row],[Potential (PJ)]]/3.6</f>
        <v>0.83333333333333326</v>
      </c>
      <c r="F452">
        <v>5.3273999999999999</v>
      </c>
      <c r="G452">
        <f>Tableau4[[#This Row],[Cost (€/GJ)]]*3.6</f>
        <v>19.178640000000001</v>
      </c>
      <c r="H452">
        <v>2.9521711768407801</v>
      </c>
      <c r="I452">
        <f>Tableau4[[#This Row],[GHG (kgCO2eq/GJ)]]*3.6</f>
        <v>10.627816236626808</v>
      </c>
      <c r="J452" t="s">
        <v>104</v>
      </c>
      <c r="K452" t="s">
        <v>108</v>
      </c>
    </row>
    <row r="453" spans="1:11" hidden="1" x14ac:dyDescent="0.3">
      <c r="A453" t="s">
        <v>26</v>
      </c>
      <c r="B453" t="s">
        <v>46</v>
      </c>
      <c r="C453" t="s">
        <v>102</v>
      </c>
      <c r="D453">
        <v>2.9</v>
      </c>
      <c r="E453">
        <f>Tableau4[[#This Row],[Potential (PJ)]]/3.6</f>
        <v>0.80555555555555547</v>
      </c>
      <c r="F453">
        <v>4.6026206896551729</v>
      </c>
      <c r="G453">
        <f>Tableau4[[#This Row],[Cost (€/GJ)]]*3.6</f>
        <v>16.569434482758624</v>
      </c>
      <c r="H453">
        <v>2.9521711768407801</v>
      </c>
      <c r="I453">
        <f>Tableau4[[#This Row],[GHG (kgCO2eq/GJ)]]*3.6</f>
        <v>10.627816236626808</v>
      </c>
      <c r="J453" t="s">
        <v>104</v>
      </c>
      <c r="K453" t="s">
        <v>108</v>
      </c>
    </row>
    <row r="454" spans="1:11" hidden="1" x14ac:dyDescent="0.3">
      <c r="A454" t="s">
        <v>26</v>
      </c>
      <c r="B454" t="s">
        <v>46</v>
      </c>
      <c r="C454" t="s">
        <v>80</v>
      </c>
      <c r="D454">
        <v>4.9382999999999999</v>
      </c>
      <c r="E454">
        <f>Tableau4[[#This Row],[Potential (PJ)]]/3.6</f>
        <v>1.37175</v>
      </c>
      <c r="F454">
        <v>0.7329737019554956</v>
      </c>
      <c r="G454">
        <f>Tableau4[[#This Row],[Cost (€/GJ)]]*3.6</f>
        <v>2.6387053270397844</v>
      </c>
      <c r="H454">
        <v>28.139870918023309</v>
      </c>
      <c r="I454">
        <f>Tableau4[[#This Row],[GHG (kgCO2eq/GJ)]]*3.6</f>
        <v>101.30353530488391</v>
      </c>
      <c r="J454" t="s">
        <v>105</v>
      </c>
      <c r="K454" t="s">
        <v>108</v>
      </c>
    </row>
    <row r="455" spans="1:11" hidden="1" x14ac:dyDescent="0.3">
      <c r="A455" t="s">
        <v>26</v>
      </c>
      <c r="B455" t="s">
        <v>46</v>
      </c>
      <c r="C455" t="s">
        <v>81</v>
      </c>
      <c r="D455">
        <v>1.0949</v>
      </c>
      <c r="E455">
        <f>Tableau4[[#This Row],[Potential (PJ)]]/3.6</f>
        <v>0.3041388888888889</v>
      </c>
      <c r="F455">
        <v>1.2708578143360749</v>
      </c>
      <c r="G455">
        <f>Tableau4[[#This Row],[Cost (€/GJ)]]*3.6</f>
        <v>4.5750881316098697</v>
      </c>
      <c r="H455">
        <v>8.9647473560517046</v>
      </c>
      <c r="I455">
        <f>Tableau4[[#This Row],[GHG (kgCO2eq/GJ)]]*3.6</f>
        <v>32.273090481786134</v>
      </c>
      <c r="J455" t="s">
        <v>105</v>
      </c>
      <c r="K455" t="s">
        <v>108</v>
      </c>
    </row>
    <row r="456" spans="1:11" hidden="1" x14ac:dyDescent="0.3">
      <c r="A456" t="s">
        <v>26</v>
      </c>
      <c r="B456" t="s">
        <v>46</v>
      </c>
      <c r="C456" t="s">
        <v>66</v>
      </c>
      <c r="D456">
        <v>28.6</v>
      </c>
      <c r="E456">
        <f>Tableau4[[#This Row],[Potential (PJ)]]/3.6</f>
        <v>7.9444444444444446</v>
      </c>
      <c r="F456">
        <v>2.226814685314686</v>
      </c>
      <c r="G456">
        <f>Tableau4[[#This Row],[Cost (€/GJ)]]*3.6</f>
        <v>8.0165328671328702</v>
      </c>
      <c r="H456">
        <v>6.8428961748633883</v>
      </c>
      <c r="I456">
        <f>Tableau4[[#This Row],[GHG (kgCO2eq/GJ)]]*3.6</f>
        <v>24.634426229508197</v>
      </c>
      <c r="J456" t="s">
        <v>104</v>
      </c>
      <c r="K456" t="s">
        <v>108</v>
      </c>
    </row>
    <row r="457" spans="1:11" hidden="1" x14ac:dyDescent="0.3">
      <c r="A457" t="s">
        <v>26</v>
      </c>
      <c r="B457" t="s">
        <v>46</v>
      </c>
      <c r="C457" t="s">
        <v>67</v>
      </c>
      <c r="D457">
        <v>14.3</v>
      </c>
      <c r="E457">
        <f>Tableau4[[#This Row],[Potential (PJ)]]/3.6</f>
        <v>3.9722222222222223</v>
      </c>
      <c r="F457">
        <v>7.4555384615384606</v>
      </c>
      <c r="G457">
        <f>Tableau4[[#This Row],[Cost (€/GJ)]]*3.6</f>
        <v>26.839938461538459</v>
      </c>
      <c r="H457">
        <v>2.9521711768407801</v>
      </c>
      <c r="I457">
        <f>Tableau4[[#This Row],[GHG (kgCO2eq/GJ)]]*3.6</f>
        <v>10.627816236626808</v>
      </c>
      <c r="J457" t="s">
        <v>104</v>
      </c>
      <c r="K457" t="s">
        <v>108</v>
      </c>
    </row>
    <row r="458" spans="1:11" hidden="1" x14ac:dyDescent="0.3">
      <c r="A458" t="s">
        <v>26</v>
      </c>
      <c r="B458" t="s">
        <v>46</v>
      </c>
      <c r="C458" t="s">
        <v>82</v>
      </c>
      <c r="D458">
        <v>1.8</v>
      </c>
      <c r="E458">
        <f>Tableau4[[#This Row],[Potential (PJ)]]/3.6</f>
        <v>0.5</v>
      </c>
      <c r="F458">
        <v>1.4675555555555559</v>
      </c>
      <c r="G458">
        <f>Tableau4[[#This Row],[Cost (€/GJ)]]*3.6</f>
        <v>5.2832000000000017</v>
      </c>
      <c r="H458">
        <v>6.8428961748633883</v>
      </c>
      <c r="I458">
        <f>Tableau4[[#This Row],[GHG (kgCO2eq/GJ)]]*3.6</f>
        <v>24.634426229508197</v>
      </c>
      <c r="J458" t="s">
        <v>104</v>
      </c>
      <c r="K458" t="s">
        <v>108</v>
      </c>
    </row>
    <row r="459" spans="1:11" hidden="1" x14ac:dyDescent="0.3">
      <c r="A459" t="s">
        <v>26</v>
      </c>
      <c r="B459" t="s">
        <v>46</v>
      </c>
      <c r="C459" t="s">
        <v>83</v>
      </c>
      <c r="D459">
        <v>6.9242900000000001</v>
      </c>
      <c r="E459">
        <f>Tableau4[[#This Row],[Potential (PJ)]]/3.6</f>
        <v>1.9234138888888888</v>
      </c>
      <c r="F459">
        <v>2.1540117846017428</v>
      </c>
      <c r="G459">
        <f>Tableau4[[#This Row],[Cost (€/GJ)]]*3.6</f>
        <v>7.7544424245662746</v>
      </c>
      <c r="H459">
        <v>6.8428961748633883</v>
      </c>
      <c r="I459">
        <f>Tableau4[[#This Row],[GHG (kgCO2eq/GJ)]]*3.6</f>
        <v>24.634426229508197</v>
      </c>
      <c r="J459" t="s">
        <v>104</v>
      </c>
      <c r="K459" t="s">
        <v>108</v>
      </c>
    </row>
    <row r="460" spans="1:11" hidden="1" x14ac:dyDescent="0.3">
      <c r="A460" t="s">
        <v>26</v>
      </c>
      <c r="B460" t="s">
        <v>46</v>
      </c>
      <c r="C460" t="s">
        <v>84</v>
      </c>
      <c r="D460">
        <v>1.4</v>
      </c>
      <c r="E460">
        <f>Tableau4[[#This Row],[Potential (PJ)]]/3.6</f>
        <v>0.38888888888888884</v>
      </c>
      <c r="F460">
        <v>1.8907857142857141</v>
      </c>
      <c r="G460">
        <f>Tableau4[[#This Row],[Cost (€/GJ)]]*3.6</f>
        <v>6.8068285714285706</v>
      </c>
      <c r="H460">
        <v>28.139870918023309</v>
      </c>
      <c r="I460">
        <f>Tableau4[[#This Row],[GHG (kgCO2eq/GJ)]]*3.6</f>
        <v>101.30353530488391</v>
      </c>
      <c r="J460" t="s">
        <v>105</v>
      </c>
      <c r="K460" t="s">
        <v>108</v>
      </c>
    </row>
    <row r="461" spans="1:11" hidden="1" x14ac:dyDescent="0.3">
      <c r="A461" t="s">
        <v>26</v>
      </c>
      <c r="B461" t="s">
        <v>46</v>
      </c>
      <c r="C461" t="s">
        <v>85</v>
      </c>
      <c r="D461">
        <v>8</v>
      </c>
      <c r="E461">
        <f>Tableau4[[#This Row],[Potential (PJ)]]/3.6</f>
        <v>2.2222222222222223</v>
      </c>
      <c r="F461">
        <v>4.8689749999999998</v>
      </c>
      <c r="G461">
        <f>Tableau4[[#This Row],[Cost (€/GJ)]]*3.6</f>
        <v>17.528310000000001</v>
      </c>
      <c r="H461">
        <v>2.9521711768407801</v>
      </c>
      <c r="I461">
        <f>Tableau4[[#This Row],[GHG (kgCO2eq/GJ)]]*3.6</f>
        <v>10.627816236626808</v>
      </c>
      <c r="J461" t="s">
        <v>104</v>
      </c>
      <c r="K461" t="s">
        <v>108</v>
      </c>
    </row>
    <row r="462" spans="1:11" hidden="1" x14ac:dyDescent="0.3">
      <c r="A462" t="s">
        <v>26</v>
      </c>
      <c r="B462" t="s">
        <v>55</v>
      </c>
      <c r="C462" t="s">
        <v>86</v>
      </c>
      <c r="D462">
        <v>0.51770000000000005</v>
      </c>
      <c r="E462">
        <f>Tableau4[[#This Row],[Potential (PJ)]]/3.6</f>
        <v>0.14380555555555558</v>
      </c>
      <c r="F462">
        <v>20.170999999999999</v>
      </c>
      <c r="G462">
        <f>Tableau4[[#This Row],[Cost (€/GJ)]]*3.6</f>
        <v>72.615600000000001</v>
      </c>
      <c r="H462">
        <v>16.3</v>
      </c>
      <c r="I462">
        <f>Tableau4[[#This Row],[GHG (kgCO2eq/GJ)]]*3.6</f>
        <v>58.680000000000007</v>
      </c>
      <c r="J462" t="s">
        <v>106</v>
      </c>
      <c r="K462" t="s">
        <v>109</v>
      </c>
    </row>
    <row r="463" spans="1:11" hidden="1" x14ac:dyDescent="0.3">
      <c r="A463" t="s">
        <v>26</v>
      </c>
      <c r="B463" t="s">
        <v>55</v>
      </c>
      <c r="C463" t="s">
        <v>87</v>
      </c>
      <c r="D463">
        <v>9.9244000000000003</v>
      </c>
      <c r="E463">
        <f>Tableau4[[#This Row],[Potential (PJ)]]/3.6</f>
        <v>2.7567777777777778</v>
      </c>
      <c r="F463">
        <v>27.187999999999999</v>
      </c>
      <c r="G463">
        <f>Tableau4[[#This Row],[Cost (€/GJ)]]*3.6</f>
        <v>97.876800000000003</v>
      </c>
      <c r="H463">
        <v>16.3</v>
      </c>
      <c r="I463">
        <f>Tableau4[[#This Row],[GHG (kgCO2eq/GJ)]]*3.6</f>
        <v>58.680000000000007</v>
      </c>
      <c r="J463" t="s">
        <v>106</v>
      </c>
      <c r="K463" t="s">
        <v>109</v>
      </c>
    </row>
    <row r="464" spans="1:11" hidden="1" x14ac:dyDescent="0.3">
      <c r="A464" t="s">
        <v>26</v>
      </c>
      <c r="B464" t="s">
        <v>55</v>
      </c>
      <c r="C464" t="s">
        <v>88</v>
      </c>
      <c r="D464">
        <v>5.9703999999999997</v>
      </c>
      <c r="E464">
        <f>Tableau4[[#This Row],[Potential (PJ)]]/3.6</f>
        <v>1.6584444444444444</v>
      </c>
      <c r="F464">
        <v>21.413999999999991</v>
      </c>
      <c r="G464">
        <f>Tableau4[[#This Row],[Cost (€/GJ)]]*3.6</f>
        <v>77.090399999999974</v>
      </c>
      <c r="H464">
        <v>16.3</v>
      </c>
      <c r="I464">
        <f>Tableau4[[#This Row],[GHG (kgCO2eq/GJ)]]*3.6</f>
        <v>58.680000000000007</v>
      </c>
      <c r="J464" t="s">
        <v>106</v>
      </c>
      <c r="K464" t="s">
        <v>109</v>
      </c>
    </row>
    <row r="465" spans="1:11" hidden="1" x14ac:dyDescent="0.3">
      <c r="A465" t="s">
        <v>26</v>
      </c>
      <c r="B465" t="s">
        <v>55</v>
      </c>
      <c r="C465" t="s">
        <v>92</v>
      </c>
      <c r="D465">
        <v>1.4430499999999999</v>
      </c>
      <c r="E465">
        <f>Tableau4[[#This Row],[Potential (PJ)]]/3.6</f>
        <v>0.40084722222222219</v>
      </c>
      <c r="F465">
        <v>27.187999999999999</v>
      </c>
      <c r="G465">
        <f>Tableau4[[#This Row],[Cost (€/GJ)]]*3.6</f>
        <v>97.876800000000003</v>
      </c>
      <c r="H465">
        <v>16.3</v>
      </c>
      <c r="I465">
        <f>Tableau4[[#This Row],[GHG (kgCO2eq/GJ)]]*3.6</f>
        <v>58.680000000000007</v>
      </c>
      <c r="J465" t="s">
        <v>106</v>
      </c>
      <c r="K465" t="s">
        <v>109</v>
      </c>
    </row>
    <row r="466" spans="1:11" hidden="1" x14ac:dyDescent="0.3">
      <c r="A466" t="s">
        <v>26</v>
      </c>
      <c r="B466" t="s">
        <v>56</v>
      </c>
      <c r="C466" t="s">
        <v>93</v>
      </c>
      <c r="D466">
        <v>143.328</v>
      </c>
      <c r="E466">
        <f>Tableau4[[#This Row],[Potential (PJ)]]/3.6</f>
        <v>39.813333333333333</v>
      </c>
      <c r="F466">
        <v>2.939759036144578</v>
      </c>
      <c r="G466">
        <f>Tableau4[[#This Row],[Cost (€/GJ)]]*3.6</f>
        <v>10.583132530120482</v>
      </c>
      <c r="H466">
        <v>23.4</v>
      </c>
      <c r="I466">
        <f>Tableau4[[#This Row],[GHG (kgCO2eq/GJ)]]*3.6</f>
        <v>84.24</v>
      </c>
      <c r="J466" t="s">
        <v>106</v>
      </c>
      <c r="K466" t="s">
        <v>109</v>
      </c>
    </row>
    <row r="467" spans="1:11" x14ac:dyDescent="0.3">
      <c r="A467" t="s">
        <v>26</v>
      </c>
      <c r="B467" t="s">
        <v>47</v>
      </c>
      <c r="C467" t="s">
        <v>68</v>
      </c>
      <c r="D467">
        <v>141.30000000000001</v>
      </c>
      <c r="E467">
        <f>Tableau4[[#This Row],[Potential (PJ)]]/3.6</f>
        <v>39.25</v>
      </c>
      <c r="F467">
        <v>6.1024522292993622</v>
      </c>
      <c r="G467">
        <f>Tableau4[[#This Row],[Cost (€/GJ)]]*3.6</f>
        <v>21.968828025477706</v>
      </c>
      <c r="H467">
        <v>20.7</v>
      </c>
      <c r="I467">
        <f>Tableau4[[#This Row],[GHG (kgCO2eq/GJ)]]*3.6</f>
        <v>74.52</v>
      </c>
      <c r="J467" t="s">
        <v>104</v>
      </c>
      <c r="K467" t="s">
        <v>109</v>
      </c>
    </row>
    <row r="468" spans="1:11" x14ac:dyDescent="0.3">
      <c r="A468" t="s">
        <v>26</v>
      </c>
      <c r="B468" t="s">
        <v>47</v>
      </c>
      <c r="C468" t="s">
        <v>69</v>
      </c>
      <c r="D468">
        <v>77.3</v>
      </c>
      <c r="E468">
        <f>Tableau4[[#This Row],[Potential (PJ)]]/3.6</f>
        <v>21.472222222222221</v>
      </c>
      <c r="F468">
        <v>8.2799598965071155</v>
      </c>
      <c r="G468">
        <f>Tableau4[[#This Row],[Cost (€/GJ)]]*3.6</f>
        <v>29.807855627425617</v>
      </c>
      <c r="H468">
        <v>20.7</v>
      </c>
      <c r="I468">
        <f>Tableau4[[#This Row],[GHG (kgCO2eq/GJ)]]*3.6</f>
        <v>74.52</v>
      </c>
      <c r="J468" t="s">
        <v>104</v>
      </c>
      <c r="K468" t="s">
        <v>109</v>
      </c>
    </row>
    <row r="469" spans="1:11" x14ac:dyDescent="0.3">
      <c r="A469" t="s">
        <v>26</v>
      </c>
      <c r="B469" t="s">
        <v>48</v>
      </c>
      <c r="C469" t="s">
        <v>70</v>
      </c>
      <c r="D469">
        <v>21.5</v>
      </c>
      <c r="E469">
        <f>Tableau4[[#This Row],[Potential (PJ)]]/3.6</f>
        <v>5.9722222222222223</v>
      </c>
      <c r="F469">
        <v>16.436800000000002</v>
      </c>
      <c r="G469">
        <f>Tableau4[[#This Row],[Cost (€/GJ)]]*3.6</f>
        <v>59.172480000000007</v>
      </c>
      <c r="H469">
        <v>0</v>
      </c>
      <c r="I469">
        <f>Tableau4[[#This Row],[GHG (kgCO2eq/GJ)]]*3.6</f>
        <v>0</v>
      </c>
      <c r="J469" t="s">
        <v>104</v>
      </c>
      <c r="K469" t="s">
        <v>109</v>
      </c>
    </row>
    <row r="470" spans="1:11" hidden="1" x14ac:dyDescent="0.3">
      <c r="A470" t="s">
        <v>26</v>
      </c>
      <c r="B470" t="s">
        <v>49</v>
      </c>
      <c r="C470" t="s">
        <v>71</v>
      </c>
      <c r="D470">
        <v>314.12153000000001</v>
      </c>
      <c r="E470">
        <f>Tableau4[[#This Row],[Potential (PJ)]]/3.6</f>
        <v>87.255980555555553</v>
      </c>
      <c r="F470">
        <v>3.588284018163288</v>
      </c>
      <c r="G470">
        <f>Tableau4[[#This Row],[Cost (€/GJ)]]*3.6</f>
        <v>12.917822465387838</v>
      </c>
      <c r="H470">
        <v>3.86607608129234</v>
      </c>
      <c r="I470">
        <f>Tableau4[[#This Row],[GHG (kgCO2eq/GJ)]]*3.6</f>
        <v>13.917873892652425</v>
      </c>
      <c r="J470" t="s">
        <v>104</v>
      </c>
      <c r="K470" t="s">
        <v>108</v>
      </c>
    </row>
    <row r="471" spans="1:11" hidden="1" x14ac:dyDescent="0.3">
      <c r="A471" t="s">
        <v>26</v>
      </c>
      <c r="B471" t="s">
        <v>49</v>
      </c>
      <c r="C471" t="s">
        <v>72</v>
      </c>
      <c r="D471">
        <v>53.3</v>
      </c>
      <c r="E471">
        <f>Tableau4[[#This Row],[Potential (PJ)]]/3.6</f>
        <v>14.805555555555554</v>
      </c>
      <c r="F471">
        <v>2.8891125703564731</v>
      </c>
      <c r="G471">
        <f>Tableau4[[#This Row],[Cost (€/GJ)]]*3.6</f>
        <v>10.400805253283304</v>
      </c>
      <c r="H471">
        <v>3.86607608129234</v>
      </c>
      <c r="I471">
        <f>Tableau4[[#This Row],[GHG (kgCO2eq/GJ)]]*3.6</f>
        <v>13.917873892652425</v>
      </c>
      <c r="J471" t="s">
        <v>104</v>
      </c>
      <c r="K471" t="s">
        <v>108</v>
      </c>
    </row>
    <row r="472" spans="1:11" hidden="1" x14ac:dyDescent="0.3">
      <c r="A472" t="s">
        <v>26</v>
      </c>
      <c r="B472" t="s">
        <v>58</v>
      </c>
      <c r="C472" t="s">
        <v>95</v>
      </c>
      <c r="D472">
        <v>34.129339999999999</v>
      </c>
      <c r="E472">
        <f>Tableau4[[#This Row],[Potential (PJ)]]/3.6</f>
        <v>9.480372222222222</v>
      </c>
      <c r="F472">
        <v>2.1709999999999998</v>
      </c>
      <c r="G472">
        <f>Tableau4[[#This Row],[Cost (€/GJ)]]*3.6</f>
        <v>7.8155999999999999</v>
      </c>
      <c r="H472">
        <v>2.9521711768407801</v>
      </c>
      <c r="I472">
        <f>Tableau4[[#This Row],[GHG (kgCO2eq/GJ)]]*3.6</f>
        <v>10.627816236626808</v>
      </c>
      <c r="J472" t="s">
        <v>104</v>
      </c>
      <c r="K472" t="s">
        <v>108</v>
      </c>
    </row>
    <row r="473" spans="1:11" hidden="1" x14ac:dyDescent="0.3">
      <c r="A473" t="s">
        <v>26</v>
      </c>
      <c r="B473" t="s">
        <v>50</v>
      </c>
      <c r="C473" t="s">
        <v>73</v>
      </c>
      <c r="D473">
        <v>30.6</v>
      </c>
      <c r="E473">
        <f>Tableau4[[#This Row],[Potential (PJ)]]/3.6</f>
        <v>8.5</v>
      </c>
      <c r="F473">
        <v>5.8950882352941179</v>
      </c>
      <c r="G473">
        <f>Tableau4[[#This Row],[Cost (€/GJ)]]*3.6</f>
        <v>21.222317647058826</v>
      </c>
      <c r="H473">
        <v>20.723404255319149</v>
      </c>
      <c r="I473">
        <f>Tableau4[[#This Row],[GHG (kgCO2eq/GJ)]]*3.6</f>
        <v>74.604255319148933</v>
      </c>
      <c r="J473" t="s">
        <v>105</v>
      </c>
      <c r="K473" t="s">
        <v>108</v>
      </c>
    </row>
    <row r="474" spans="1:11" hidden="1" x14ac:dyDescent="0.3">
      <c r="A474" t="s">
        <v>26</v>
      </c>
      <c r="B474" t="s">
        <v>50</v>
      </c>
      <c r="C474" t="s">
        <v>74</v>
      </c>
      <c r="D474">
        <v>145.6</v>
      </c>
      <c r="E474">
        <f>Tableau4[[#This Row],[Potential (PJ)]]/3.6</f>
        <v>40.444444444444443</v>
      </c>
      <c r="F474">
        <v>4.6729821428571423</v>
      </c>
      <c r="G474">
        <f>Tableau4[[#This Row],[Cost (€/GJ)]]*3.6</f>
        <v>16.822735714285713</v>
      </c>
      <c r="H474">
        <v>2.0635593220338988</v>
      </c>
      <c r="I474">
        <f>Tableau4[[#This Row],[GHG (kgCO2eq/GJ)]]*3.6</f>
        <v>7.4288135593220357</v>
      </c>
      <c r="J474" t="s">
        <v>105</v>
      </c>
      <c r="K474" t="s">
        <v>108</v>
      </c>
    </row>
    <row r="475" spans="1:11" hidden="1" x14ac:dyDescent="0.3">
      <c r="A475" t="s">
        <v>26</v>
      </c>
      <c r="B475" t="s">
        <v>59</v>
      </c>
      <c r="C475" t="s">
        <v>96</v>
      </c>
      <c r="D475">
        <v>1.1194</v>
      </c>
      <c r="E475">
        <f>Tableau4[[#This Row],[Potential (PJ)]]/3.6</f>
        <v>0.31094444444444441</v>
      </c>
      <c r="F475">
        <v>28.385000000000002</v>
      </c>
      <c r="G475">
        <f>Tableau4[[#This Row],[Cost (€/GJ)]]*3.6</f>
        <v>102.18600000000001</v>
      </c>
      <c r="H475">
        <v>17.7</v>
      </c>
      <c r="I475">
        <f>Tableau4[[#This Row],[GHG (kgCO2eq/GJ)]]*3.6</f>
        <v>63.72</v>
      </c>
      <c r="J475" t="s">
        <v>107</v>
      </c>
      <c r="K475" t="s">
        <v>109</v>
      </c>
    </row>
    <row r="476" spans="1:11" hidden="1" x14ac:dyDescent="0.3">
      <c r="A476" t="s">
        <v>26</v>
      </c>
      <c r="B476" t="s">
        <v>59</v>
      </c>
      <c r="C476" t="s">
        <v>97</v>
      </c>
      <c r="D476">
        <v>1.5349999999999999</v>
      </c>
      <c r="E476">
        <f>Tableau4[[#This Row],[Potential (PJ)]]/3.6</f>
        <v>0.42638888888888887</v>
      </c>
      <c r="F476">
        <v>13.94465545306565</v>
      </c>
      <c r="G476">
        <f>Tableau4[[#This Row],[Cost (€/GJ)]]*3.6</f>
        <v>50.200759631036341</v>
      </c>
      <c r="H476">
        <v>17.7</v>
      </c>
      <c r="I476">
        <f>Tableau4[[#This Row],[GHG (kgCO2eq/GJ)]]*3.6</f>
        <v>63.72</v>
      </c>
      <c r="J476" t="s">
        <v>107</v>
      </c>
      <c r="K476" t="s">
        <v>109</v>
      </c>
    </row>
    <row r="477" spans="1:11" hidden="1" x14ac:dyDescent="0.3">
      <c r="A477" t="s">
        <v>26</v>
      </c>
      <c r="B477" t="s">
        <v>51</v>
      </c>
      <c r="C477" t="s">
        <v>75</v>
      </c>
      <c r="D477">
        <v>52.697830000000003</v>
      </c>
      <c r="E477">
        <f>Tableau4[[#This Row],[Potential (PJ)]]/3.6</f>
        <v>14.638286111111112</v>
      </c>
      <c r="F477">
        <v>5.7050588900881098E-2</v>
      </c>
      <c r="G477">
        <f>Tableau4[[#This Row],[Cost (€/GJ)]]*3.6</f>
        <v>0.20538212004317197</v>
      </c>
      <c r="H477">
        <v>11.74</v>
      </c>
      <c r="I477">
        <f>Tableau4[[#This Row],[GHG (kgCO2eq/GJ)]]*3.6</f>
        <v>42.264000000000003</v>
      </c>
      <c r="J477" t="s">
        <v>104</v>
      </c>
      <c r="K477" t="s">
        <v>108</v>
      </c>
    </row>
    <row r="478" spans="1:11" hidden="1" x14ac:dyDescent="0.3">
      <c r="A478" t="s">
        <v>26</v>
      </c>
      <c r="B478" t="s">
        <v>60</v>
      </c>
      <c r="C478" t="s">
        <v>98</v>
      </c>
      <c r="D478">
        <v>0.12745999999999999</v>
      </c>
      <c r="E478">
        <f>Tableau4[[#This Row],[Potential (PJ)]]/3.6</f>
        <v>3.5405555555555551E-2</v>
      </c>
      <c r="F478">
        <v>10.79484425349087</v>
      </c>
      <c r="G478">
        <f>Tableau4[[#This Row],[Cost (€/GJ)]]*3.6</f>
        <v>38.861439312567136</v>
      </c>
      <c r="H478">
        <v>39</v>
      </c>
      <c r="I478">
        <f>Tableau4[[#This Row],[GHG (kgCO2eq/GJ)]]*3.6</f>
        <v>140.4</v>
      </c>
      <c r="J478" t="s">
        <v>107</v>
      </c>
      <c r="K478" t="s">
        <v>109</v>
      </c>
    </row>
    <row r="479" spans="1:11" hidden="1" x14ac:dyDescent="0.3">
      <c r="A479" t="s">
        <v>26</v>
      </c>
      <c r="B479" t="s">
        <v>52</v>
      </c>
      <c r="C479" t="s">
        <v>76</v>
      </c>
      <c r="D479">
        <v>0.49</v>
      </c>
      <c r="E479">
        <f>Tableau4[[#This Row],[Potential (PJ)]]/3.6</f>
        <v>0.1361111111111111</v>
      </c>
      <c r="F479">
        <v>4.7567250000000003</v>
      </c>
      <c r="G479">
        <f>Tableau4[[#This Row],[Cost (€/GJ)]]*3.6</f>
        <v>17.124210000000001</v>
      </c>
      <c r="H479">
        <v>12.68872359754714</v>
      </c>
      <c r="I479">
        <f>Tableau4[[#This Row],[GHG (kgCO2eq/GJ)]]*3.6</f>
        <v>45.679404951169708</v>
      </c>
      <c r="J479" t="s">
        <v>105</v>
      </c>
      <c r="K479" t="s">
        <v>108</v>
      </c>
    </row>
    <row r="480" spans="1:11" hidden="1" x14ac:dyDescent="0.3">
      <c r="A480" t="s">
        <v>26</v>
      </c>
      <c r="B480" t="s">
        <v>53</v>
      </c>
      <c r="C480" t="s">
        <v>77</v>
      </c>
      <c r="D480">
        <v>20.2</v>
      </c>
      <c r="E480">
        <f>Tableau4[[#This Row],[Potential (PJ)]]/3.6</f>
        <v>5.6111111111111107</v>
      </c>
      <c r="F480">
        <v>2.8904900990099009</v>
      </c>
      <c r="G480">
        <f>Tableau4[[#This Row],[Cost (€/GJ)]]*3.6</f>
        <v>10.405764356435643</v>
      </c>
      <c r="H480">
        <v>3.86607608129234</v>
      </c>
      <c r="I480">
        <f>Tableau4[[#This Row],[GHG (kgCO2eq/GJ)]]*3.6</f>
        <v>13.917873892652425</v>
      </c>
      <c r="J480" t="s">
        <v>104</v>
      </c>
      <c r="K480" t="s">
        <v>108</v>
      </c>
    </row>
    <row r="481" spans="1:11" hidden="1" x14ac:dyDescent="0.3">
      <c r="A481" t="s">
        <v>26</v>
      </c>
      <c r="B481" t="s">
        <v>61</v>
      </c>
      <c r="C481" t="s">
        <v>99</v>
      </c>
      <c r="D481">
        <v>24.5</v>
      </c>
      <c r="E481">
        <f>Tableau4[[#This Row],[Potential (PJ)]]/3.6</f>
        <v>6.8055555555555554</v>
      </c>
      <c r="F481">
        <v>1.8407877551020411</v>
      </c>
      <c r="G481">
        <f>Tableau4[[#This Row],[Cost (€/GJ)]]*3.6</f>
        <v>6.6268359183673482</v>
      </c>
      <c r="H481">
        <v>2.9245635910224439</v>
      </c>
      <c r="I481">
        <f>Tableau4[[#This Row],[GHG (kgCO2eq/GJ)]]*3.6</f>
        <v>10.528428927680798</v>
      </c>
      <c r="J481" t="s">
        <v>104</v>
      </c>
      <c r="K481" t="s">
        <v>108</v>
      </c>
    </row>
    <row r="482" spans="1:11" hidden="1" x14ac:dyDescent="0.3">
      <c r="A482" t="s">
        <v>26</v>
      </c>
      <c r="B482" t="s">
        <v>62</v>
      </c>
      <c r="C482" t="s">
        <v>100</v>
      </c>
      <c r="D482">
        <v>2.7</v>
      </c>
      <c r="E482">
        <f>Tableau4[[#This Row],[Potential (PJ)]]/3.6</f>
        <v>0.75</v>
      </c>
      <c r="F482">
        <v>0.15185185185185179</v>
      </c>
      <c r="G482">
        <f>Tableau4[[#This Row],[Cost (€/GJ)]]*3.6</f>
        <v>0.54666666666666652</v>
      </c>
      <c r="H482">
        <v>2.6764106050305911</v>
      </c>
      <c r="I482">
        <f>Tableau4[[#This Row],[GHG (kgCO2eq/GJ)]]*3.6</f>
        <v>9.6350781781101276</v>
      </c>
      <c r="J482" t="s">
        <v>104</v>
      </c>
      <c r="K482" t="s">
        <v>108</v>
      </c>
    </row>
    <row r="483" spans="1:11" hidden="1" x14ac:dyDescent="0.3">
      <c r="A483" t="s">
        <v>26</v>
      </c>
      <c r="B483" t="s">
        <v>54</v>
      </c>
      <c r="C483" t="s">
        <v>78</v>
      </c>
      <c r="D483">
        <v>117.8</v>
      </c>
      <c r="E483">
        <f>Tableau4[[#This Row],[Potential (PJ)]]/3.6</f>
        <v>32.722222222222221</v>
      </c>
      <c r="F483">
        <v>5.8396485568760603</v>
      </c>
      <c r="G483">
        <f>Tableau4[[#This Row],[Cost (€/GJ)]]*3.6</f>
        <v>21.022734804753817</v>
      </c>
      <c r="H483">
        <v>3.86607608129234</v>
      </c>
      <c r="I483">
        <f>Tableau4[[#This Row],[GHG (kgCO2eq/GJ)]]*3.6</f>
        <v>13.917873892652425</v>
      </c>
      <c r="J483" t="s">
        <v>104</v>
      </c>
      <c r="K483" t="s">
        <v>108</v>
      </c>
    </row>
    <row r="484" spans="1:11" hidden="1" x14ac:dyDescent="0.3">
      <c r="A484" t="s">
        <v>27</v>
      </c>
      <c r="B484" t="s">
        <v>46</v>
      </c>
      <c r="C484" t="s">
        <v>64</v>
      </c>
      <c r="D484">
        <v>3.3000000000000002E-2</v>
      </c>
      <c r="E484">
        <f>Tableau4[[#This Row],[Potential (PJ)]]/3.6</f>
        <v>9.1666666666666667E-3</v>
      </c>
      <c r="F484">
        <v>0</v>
      </c>
      <c r="G484">
        <f>Tableau4[[#This Row],[Cost (€/GJ)]]*3.6</f>
        <v>0</v>
      </c>
      <c r="H484">
        <v>2.9521711768407801</v>
      </c>
      <c r="I484">
        <f>Tableau4[[#This Row],[GHG (kgCO2eq/GJ)]]*3.6</f>
        <v>10.627816236626808</v>
      </c>
      <c r="J484" t="s">
        <v>104</v>
      </c>
      <c r="K484" t="s">
        <v>108</v>
      </c>
    </row>
    <row r="485" spans="1:11" hidden="1" x14ac:dyDescent="0.3">
      <c r="A485" t="s">
        <v>27</v>
      </c>
      <c r="B485" t="s">
        <v>46</v>
      </c>
      <c r="C485" t="s">
        <v>79</v>
      </c>
      <c r="D485">
        <v>21.9</v>
      </c>
      <c r="E485">
        <f>Tableau4[[#This Row],[Potential (PJ)]]/3.6</f>
        <v>6.083333333333333</v>
      </c>
      <c r="F485">
        <v>0</v>
      </c>
      <c r="G485">
        <f>Tableau4[[#This Row],[Cost (€/GJ)]]*3.6</f>
        <v>0</v>
      </c>
      <c r="H485">
        <v>6.8428961748633883</v>
      </c>
      <c r="I485">
        <f>Tableau4[[#This Row],[GHG (kgCO2eq/GJ)]]*3.6</f>
        <v>24.634426229508197</v>
      </c>
      <c r="J485" t="s">
        <v>104</v>
      </c>
      <c r="K485" t="s">
        <v>108</v>
      </c>
    </row>
    <row r="486" spans="1:11" hidden="1" x14ac:dyDescent="0.3">
      <c r="A486" t="s">
        <v>27</v>
      </c>
      <c r="B486" t="s">
        <v>46</v>
      </c>
      <c r="C486" t="s">
        <v>65</v>
      </c>
      <c r="D486">
        <v>0.1</v>
      </c>
      <c r="E486">
        <f>Tableau4[[#This Row],[Potential (PJ)]]/3.6</f>
        <v>2.777777777777778E-2</v>
      </c>
      <c r="F486">
        <v>0</v>
      </c>
      <c r="G486">
        <f>Tableau4[[#This Row],[Cost (€/GJ)]]*3.6</f>
        <v>0</v>
      </c>
      <c r="H486">
        <v>2.9521711768407801</v>
      </c>
      <c r="I486">
        <f>Tableau4[[#This Row],[GHG (kgCO2eq/GJ)]]*3.6</f>
        <v>10.627816236626808</v>
      </c>
      <c r="J486" t="s">
        <v>104</v>
      </c>
      <c r="K486" t="s">
        <v>108</v>
      </c>
    </row>
    <row r="487" spans="1:11" hidden="1" x14ac:dyDescent="0.3">
      <c r="A487" t="s">
        <v>27</v>
      </c>
      <c r="B487" t="s">
        <v>46</v>
      </c>
      <c r="C487" t="s">
        <v>80</v>
      </c>
      <c r="D487">
        <v>1.6400000000000001E-2</v>
      </c>
      <c r="E487">
        <f>Tableau4[[#This Row],[Potential (PJ)]]/3.6</f>
        <v>4.5555555555555557E-3</v>
      </c>
      <c r="F487">
        <v>0.25084288604180721</v>
      </c>
      <c r="G487">
        <f>Tableau4[[#This Row],[Cost (€/GJ)]]*3.6</f>
        <v>0.90303438975050598</v>
      </c>
      <c r="H487">
        <v>28.139870918023309</v>
      </c>
      <c r="I487">
        <f>Tableau4[[#This Row],[GHG (kgCO2eq/GJ)]]*3.6</f>
        <v>101.30353530488391</v>
      </c>
      <c r="J487" t="s">
        <v>105</v>
      </c>
      <c r="K487" t="s">
        <v>108</v>
      </c>
    </row>
    <row r="488" spans="1:11" hidden="1" x14ac:dyDescent="0.3">
      <c r="A488" t="s">
        <v>27</v>
      </c>
      <c r="B488" t="s">
        <v>46</v>
      </c>
      <c r="C488" t="s">
        <v>81</v>
      </c>
      <c r="D488">
        <v>1.4E-3</v>
      </c>
      <c r="E488">
        <f>Tableau4[[#This Row],[Potential (PJ)]]/3.6</f>
        <v>3.8888888888888887E-4</v>
      </c>
      <c r="F488">
        <v>1.663924794359577</v>
      </c>
      <c r="G488">
        <f>Tableau4[[#This Row],[Cost (€/GJ)]]*3.6</f>
        <v>5.9901292596944771</v>
      </c>
      <c r="H488">
        <v>8.9647473560517046</v>
      </c>
      <c r="I488">
        <f>Tableau4[[#This Row],[GHG (kgCO2eq/GJ)]]*3.6</f>
        <v>32.273090481786134</v>
      </c>
      <c r="J488" t="s">
        <v>105</v>
      </c>
      <c r="K488" t="s">
        <v>108</v>
      </c>
    </row>
    <row r="489" spans="1:11" hidden="1" x14ac:dyDescent="0.3">
      <c r="A489" t="s">
        <v>27</v>
      </c>
      <c r="B489" t="s">
        <v>46</v>
      </c>
      <c r="C489" t="s">
        <v>66</v>
      </c>
      <c r="D489">
        <v>0.6</v>
      </c>
      <c r="E489">
        <f>Tableau4[[#This Row],[Potential (PJ)]]/3.6</f>
        <v>0.16666666666666666</v>
      </c>
      <c r="F489">
        <v>2.0070000000000001</v>
      </c>
      <c r="G489">
        <f>Tableau4[[#This Row],[Cost (€/GJ)]]*3.6</f>
        <v>7.225200000000001</v>
      </c>
      <c r="H489">
        <v>6.8428961748633883</v>
      </c>
      <c r="I489">
        <f>Tableau4[[#This Row],[GHG (kgCO2eq/GJ)]]*3.6</f>
        <v>24.634426229508197</v>
      </c>
      <c r="J489" t="s">
        <v>104</v>
      </c>
      <c r="K489" t="s">
        <v>108</v>
      </c>
    </row>
    <row r="490" spans="1:11" hidden="1" x14ac:dyDescent="0.3">
      <c r="A490" t="s">
        <v>27</v>
      </c>
      <c r="B490" t="s">
        <v>46</v>
      </c>
      <c r="C490" t="s">
        <v>82</v>
      </c>
      <c r="D490">
        <v>1</v>
      </c>
      <c r="E490">
        <f>Tableau4[[#This Row],[Potential (PJ)]]/3.6</f>
        <v>0.27777777777777779</v>
      </c>
      <c r="F490">
        <v>1.37</v>
      </c>
      <c r="G490">
        <f>Tableau4[[#This Row],[Cost (€/GJ)]]*3.6</f>
        <v>4.9320000000000004</v>
      </c>
      <c r="H490">
        <v>6.8428961748633883</v>
      </c>
      <c r="I490">
        <f>Tableau4[[#This Row],[GHG (kgCO2eq/GJ)]]*3.6</f>
        <v>24.634426229508197</v>
      </c>
      <c r="J490" t="s">
        <v>104</v>
      </c>
      <c r="K490" t="s">
        <v>108</v>
      </c>
    </row>
    <row r="491" spans="1:11" hidden="1" x14ac:dyDescent="0.3">
      <c r="A491" t="s">
        <v>27</v>
      </c>
      <c r="B491" t="s">
        <v>46</v>
      </c>
      <c r="C491" t="s">
        <v>84</v>
      </c>
      <c r="D491">
        <v>0.6</v>
      </c>
      <c r="E491">
        <f>Tableau4[[#This Row],[Potential (PJ)]]/3.6</f>
        <v>0.16666666666666666</v>
      </c>
      <c r="F491">
        <v>1.2989999999999999</v>
      </c>
      <c r="G491">
        <f>Tableau4[[#This Row],[Cost (€/GJ)]]*3.6</f>
        <v>4.6764000000000001</v>
      </c>
      <c r="H491">
        <v>28.139870918023309</v>
      </c>
      <c r="I491">
        <f>Tableau4[[#This Row],[GHG (kgCO2eq/GJ)]]*3.6</f>
        <v>101.30353530488391</v>
      </c>
      <c r="J491" t="s">
        <v>105</v>
      </c>
      <c r="K491" t="s">
        <v>108</v>
      </c>
    </row>
    <row r="492" spans="1:11" hidden="1" x14ac:dyDescent="0.3">
      <c r="A492" t="s">
        <v>27</v>
      </c>
      <c r="B492" t="s">
        <v>55</v>
      </c>
      <c r="C492" t="s">
        <v>86</v>
      </c>
      <c r="D492">
        <v>3.677</v>
      </c>
      <c r="E492">
        <f>Tableau4[[#This Row],[Potential (PJ)]]/3.6</f>
        <v>1.0213888888888889</v>
      </c>
      <c r="F492">
        <v>15.141</v>
      </c>
      <c r="G492">
        <f>Tableau4[[#This Row],[Cost (€/GJ)]]*3.6</f>
        <v>54.507600000000004</v>
      </c>
      <c r="H492">
        <v>6.5</v>
      </c>
      <c r="I492">
        <f>Tableau4[[#This Row],[GHG (kgCO2eq/GJ)]]*3.6</f>
        <v>23.400000000000002</v>
      </c>
      <c r="J492" t="s">
        <v>106</v>
      </c>
      <c r="K492" t="s">
        <v>109</v>
      </c>
    </row>
    <row r="493" spans="1:11" hidden="1" x14ac:dyDescent="0.3">
      <c r="A493" t="s">
        <v>27</v>
      </c>
      <c r="B493" t="s">
        <v>55</v>
      </c>
      <c r="C493" t="s">
        <v>88</v>
      </c>
      <c r="D493">
        <v>1.5855999999999999</v>
      </c>
      <c r="E493">
        <f>Tableau4[[#This Row],[Potential (PJ)]]/3.6</f>
        <v>0.44044444444444442</v>
      </c>
      <c r="F493">
        <v>19.756</v>
      </c>
      <c r="G493">
        <f>Tableau4[[#This Row],[Cost (€/GJ)]]*3.6</f>
        <v>71.121600000000001</v>
      </c>
      <c r="H493">
        <v>6.5</v>
      </c>
      <c r="I493">
        <f>Tableau4[[#This Row],[GHG (kgCO2eq/GJ)]]*3.6</f>
        <v>23.400000000000002</v>
      </c>
      <c r="J493" t="s">
        <v>106</v>
      </c>
      <c r="K493" t="s">
        <v>109</v>
      </c>
    </row>
    <row r="494" spans="1:11" hidden="1" x14ac:dyDescent="0.3">
      <c r="A494" t="s">
        <v>27</v>
      </c>
      <c r="B494" t="s">
        <v>55</v>
      </c>
      <c r="C494" t="s">
        <v>89</v>
      </c>
      <c r="D494">
        <v>2.6499999999999999E-2</v>
      </c>
      <c r="E494">
        <f>Tableau4[[#This Row],[Potential (PJ)]]/3.6</f>
        <v>7.3611111111111108E-3</v>
      </c>
      <c r="F494">
        <v>0</v>
      </c>
      <c r="G494">
        <f>Tableau4[[#This Row],[Cost (€/GJ)]]*3.6</f>
        <v>0</v>
      </c>
      <c r="H494">
        <v>6.5</v>
      </c>
      <c r="I494">
        <f>Tableau4[[#This Row],[GHG (kgCO2eq/GJ)]]*3.6</f>
        <v>23.400000000000002</v>
      </c>
      <c r="J494" t="s">
        <v>106</v>
      </c>
      <c r="K494" t="s">
        <v>109</v>
      </c>
    </row>
    <row r="495" spans="1:11" hidden="1" x14ac:dyDescent="0.3">
      <c r="A495" t="s">
        <v>27</v>
      </c>
      <c r="B495" t="s">
        <v>55</v>
      </c>
      <c r="C495" t="s">
        <v>90</v>
      </c>
      <c r="D495">
        <v>5.4421999999999997</v>
      </c>
      <c r="E495">
        <f>Tableau4[[#This Row],[Potential (PJ)]]/3.6</f>
        <v>1.5117222222222222</v>
      </c>
      <c r="F495">
        <v>12.864000000000001</v>
      </c>
      <c r="G495">
        <f>Tableau4[[#This Row],[Cost (€/GJ)]]*3.6</f>
        <v>46.310400000000001</v>
      </c>
      <c r="H495">
        <v>6.5</v>
      </c>
      <c r="I495">
        <f>Tableau4[[#This Row],[GHG (kgCO2eq/GJ)]]*3.6</f>
        <v>23.400000000000002</v>
      </c>
      <c r="J495" t="s">
        <v>106</v>
      </c>
      <c r="K495" t="s">
        <v>109</v>
      </c>
    </row>
    <row r="496" spans="1:11" hidden="1" x14ac:dyDescent="0.3">
      <c r="A496" t="s">
        <v>27</v>
      </c>
      <c r="B496" t="s">
        <v>55</v>
      </c>
      <c r="C496" t="s">
        <v>91</v>
      </c>
      <c r="D496">
        <v>1.3509</v>
      </c>
      <c r="E496">
        <f>Tableau4[[#This Row],[Potential (PJ)]]/3.6</f>
        <v>0.37524999999999997</v>
      </c>
      <c r="F496">
        <v>12.228</v>
      </c>
      <c r="G496">
        <f>Tableau4[[#This Row],[Cost (€/GJ)]]*3.6</f>
        <v>44.020800000000001</v>
      </c>
      <c r="H496">
        <v>6.5</v>
      </c>
      <c r="I496">
        <f>Tableau4[[#This Row],[GHG (kgCO2eq/GJ)]]*3.6</f>
        <v>23.400000000000002</v>
      </c>
      <c r="J496" t="s">
        <v>106</v>
      </c>
      <c r="K496" t="s">
        <v>109</v>
      </c>
    </row>
    <row r="497" spans="1:11" hidden="1" x14ac:dyDescent="0.3">
      <c r="A497" t="s">
        <v>27</v>
      </c>
      <c r="B497" t="s">
        <v>55</v>
      </c>
      <c r="C497" t="s">
        <v>92</v>
      </c>
      <c r="D497">
        <v>1.58128</v>
      </c>
      <c r="E497">
        <f>Tableau4[[#This Row],[Potential (PJ)]]/3.6</f>
        <v>0.43924444444444444</v>
      </c>
      <c r="F497">
        <v>16.170000000000002</v>
      </c>
      <c r="G497">
        <f>Tableau4[[#This Row],[Cost (€/GJ)]]*3.6</f>
        <v>58.21200000000001</v>
      </c>
      <c r="H497">
        <v>6.5</v>
      </c>
      <c r="I497">
        <f>Tableau4[[#This Row],[GHG (kgCO2eq/GJ)]]*3.6</f>
        <v>23.400000000000002</v>
      </c>
      <c r="J497" t="s">
        <v>106</v>
      </c>
      <c r="K497" t="s">
        <v>109</v>
      </c>
    </row>
    <row r="498" spans="1:11" hidden="1" x14ac:dyDescent="0.3">
      <c r="A498" t="s">
        <v>27</v>
      </c>
      <c r="B498" t="s">
        <v>56</v>
      </c>
      <c r="C498" t="s">
        <v>93</v>
      </c>
      <c r="D498">
        <v>45.798200000000001</v>
      </c>
      <c r="E498">
        <f>Tableau4[[#This Row],[Potential (PJ)]]/3.6</f>
        <v>12.721722222222223</v>
      </c>
      <c r="F498">
        <v>2.9493975903614462</v>
      </c>
      <c r="G498">
        <f>Tableau4[[#This Row],[Cost (€/GJ)]]*3.6</f>
        <v>10.617831325301207</v>
      </c>
      <c r="H498">
        <v>18.3</v>
      </c>
      <c r="I498">
        <f>Tableau4[[#This Row],[GHG (kgCO2eq/GJ)]]*3.6</f>
        <v>65.88000000000001</v>
      </c>
      <c r="J498" t="s">
        <v>106</v>
      </c>
      <c r="K498" t="s">
        <v>109</v>
      </c>
    </row>
    <row r="499" spans="1:11" x14ac:dyDescent="0.3">
      <c r="A499" t="s">
        <v>27</v>
      </c>
      <c r="B499" t="s">
        <v>47</v>
      </c>
      <c r="C499" t="s">
        <v>101</v>
      </c>
      <c r="D499">
        <v>17.100000000000001</v>
      </c>
      <c r="E499">
        <f>Tableau4[[#This Row],[Potential (PJ)]]/3.6</f>
        <v>4.75</v>
      </c>
      <c r="F499">
        <v>2.5990000000000002</v>
      </c>
      <c r="G499">
        <f>Tableau4[[#This Row],[Cost (€/GJ)]]*3.6</f>
        <v>9.3564000000000007</v>
      </c>
      <c r="H499">
        <v>44</v>
      </c>
      <c r="I499">
        <f>Tableau4[[#This Row],[GHG (kgCO2eq/GJ)]]*3.6</f>
        <v>158.4</v>
      </c>
      <c r="J499" t="s">
        <v>104</v>
      </c>
      <c r="K499" t="s">
        <v>109</v>
      </c>
    </row>
    <row r="500" spans="1:11" x14ac:dyDescent="0.3">
      <c r="A500" t="s">
        <v>27</v>
      </c>
      <c r="B500" t="s">
        <v>57</v>
      </c>
      <c r="C500" t="s">
        <v>94</v>
      </c>
      <c r="D500">
        <v>10.1</v>
      </c>
      <c r="E500">
        <f>Tableau4[[#This Row],[Potential (PJ)]]/3.6</f>
        <v>2.8055555555555554</v>
      </c>
      <c r="F500">
        <v>7.8599999999999994</v>
      </c>
      <c r="G500">
        <f>Tableau4[[#This Row],[Cost (€/GJ)]]*3.6</f>
        <v>28.295999999999999</v>
      </c>
      <c r="H500">
        <v>19.899999999999999</v>
      </c>
      <c r="I500">
        <f>Tableau4[[#This Row],[GHG (kgCO2eq/GJ)]]*3.6</f>
        <v>71.64</v>
      </c>
      <c r="J500" t="s">
        <v>104</v>
      </c>
      <c r="K500" t="s">
        <v>109</v>
      </c>
    </row>
    <row r="501" spans="1:11" hidden="1" x14ac:dyDescent="0.3">
      <c r="A501" t="s">
        <v>27</v>
      </c>
      <c r="B501" t="s">
        <v>49</v>
      </c>
      <c r="C501" t="s">
        <v>71</v>
      </c>
      <c r="D501">
        <v>76.366370000000003</v>
      </c>
      <c r="E501">
        <f>Tableau4[[#This Row],[Potential (PJ)]]/3.6</f>
        <v>21.212880555555557</v>
      </c>
      <c r="F501">
        <v>0</v>
      </c>
      <c r="G501">
        <f>Tableau4[[#This Row],[Cost (€/GJ)]]*3.6</f>
        <v>0</v>
      </c>
      <c r="H501">
        <v>3.86607608129234</v>
      </c>
      <c r="I501">
        <f>Tableau4[[#This Row],[GHG (kgCO2eq/GJ)]]*3.6</f>
        <v>13.917873892652425</v>
      </c>
      <c r="J501" t="s">
        <v>104</v>
      </c>
      <c r="K501" t="s">
        <v>108</v>
      </c>
    </row>
    <row r="502" spans="1:11" hidden="1" x14ac:dyDescent="0.3">
      <c r="A502" t="s">
        <v>27</v>
      </c>
      <c r="B502" t="s">
        <v>49</v>
      </c>
      <c r="C502" t="s">
        <v>72</v>
      </c>
      <c r="D502">
        <v>11.7</v>
      </c>
      <c r="E502">
        <f>Tableau4[[#This Row],[Potential (PJ)]]/3.6</f>
        <v>3.2499999999999996</v>
      </c>
      <c r="F502">
        <v>0</v>
      </c>
      <c r="G502">
        <f>Tableau4[[#This Row],[Cost (€/GJ)]]*3.6</f>
        <v>0</v>
      </c>
      <c r="H502">
        <v>3.86607608129234</v>
      </c>
      <c r="I502">
        <f>Tableau4[[#This Row],[GHG (kgCO2eq/GJ)]]*3.6</f>
        <v>13.917873892652425</v>
      </c>
      <c r="J502" t="s">
        <v>104</v>
      </c>
      <c r="K502" t="s">
        <v>108</v>
      </c>
    </row>
    <row r="503" spans="1:11" hidden="1" x14ac:dyDescent="0.3">
      <c r="A503" t="s">
        <v>27</v>
      </c>
      <c r="B503" t="s">
        <v>58</v>
      </c>
      <c r="C503" t="s">
        <v>95</v>
      </c>
      <c r="D503">
        <v>9.7215600000000002</v>
      </c>
      <c r="E503">
        <f>Tableau4[[#This Row],[Potential (PJ)]]/3.6</f>
        <v>2.7004333333333332</v>
      </c>
      <c r="F503">
        <v>2.1709999999999998</v>
      </c>
      <c r="G503">
        <f>Tableau4[[#This Row],[Cost (€/GJ)]]*3.6</f>
        <v>7.8155999999999999</v>
      </c>
      <c r="H503">
        <v>2.9521711768407801</v>
      </c>
      <c r="I503">
        <f>Tableau4[[#This Row],[GHG (kgCO2eq/GJ)]]*3.6</f>
        <v>10.627816236626808</v>
      </c>
      <c r="J503" t="s">
        <v>104</v>
      </c>
      <c r="K503" t="s">
        <v>108</v>
      </c>
    </row>
    <row r="504" spans="1:11" hidden="1" x14ac:dyDescent="0.3">
      <c r="A504" t="s">
        <v>27</v>
      </c>
      <c r="B504" t="s">
        <v>50</v>
      </c>
      <c r="C504" t="s">
        <v>73</v>
      </c>
      <c r="D504">
        <v>2.2000000000000002</v>
      </c>
      <c r="E504">
        <f>Tableau4[[#This Row],[Potential (PJ)]]/3.6</f>
        <v>0.61111111111111116</v>
      </c>
      <c r="F504">
        <v>4.976</v>
      </c>
      <c r="G504">
        <f>Tableau4[[#This Row],[Cost (€/GJ)]]*3.6</f>
        <v>17.913599999999999</v>
      </c>
      <c r="H504">
        <v>20.723404255319149</v>
      </c>
      <c r="I504">
        <f>Tableau4[[#This Row],[GHG (kgCO2eq/GJ)]]*3.6</f>
        <v>74.604255319148933</v>
      </c>
      <c r="J504" t="s">
        <v>105</v>
      </c>
      <c r="K504" t="s">
        <v>108</v>
      </c>
    </row>
    <row r="505" spans="1:11" hidden="1" x14ac:dyDescent="0.3">
      <c r="A505" t="s">
        <v>27</v>
      </c>
      <c r="B505" t="s">
        <v>50</v>
      </c>
      <c r="C505" t="s">
        <v>74</v>
      </c>
      <c r="D505">
        <v>16.3</v>
      </c>
      <c r="E505">
        <f>Tableau4[[#This Row],[Potential (PJ)]]/3.6</f>
        <v>4.5277777777777777</v>
      </c>
      <c r="F505">
        <v>3.8050000000000002</v>
      </c>
      <c r="G505">
        <f>Tableau4[[#This Row],[Cost (€/GJ)]]*3.6</f>
        <v>13.698</v>
      </c>
      <c r="H505">
        <v>2.0635593220338988</v>
      </c>
      <c r="I505">
        <f>Tableau4[[#This Row],[GHG (kgCO2eq/GJ)]]*3.6</f>
        <v>7.4288135593220357</v>
      </c>
      <c r="J505" t="s">
        <v>105</v>
      </c>
      <c r="K505" t="s">
        <v>108</v>
      </c>
    </row>
    <row r="506" spans="1:11" hidden="1" x14ac:dyDescent="0.3">
      <c r="A506" t="s">
        <v>27</v>
      </c>
      <c r="B506" t="s">
        <v>51</v>
      </c>
      <c r="C506" t="s">
        <v>75</v>
      </c>
      <c r="D506">
        <v>1.931362</v>
      </c>
      <c r="E506">
        <f>Tableau4[[#This Row],[Potential (PJ)]]/3.6</f>
        <v>0.53648944444444446</v>
      </c>
      <c r="F506">
        <v>2.8685590059143201E-2</v>
      </c>
      <c r="G506">
        <f>Tableau4[[#This Row],[Cost (€/GJ)]]*3.6</f>
        <v>0.10326812421291552</v>
      </c>
      <c r="H506">
        <v>11.74</v>
      </c>
      <c r="I506">
        <f>Tableau4[[#This Row],[GHG (kgCO2eq/GJ)]]*3.6</f>
        <v>42.264000000000003</v>
      </c>
      <c r="J506" t="s">
        <v>104</v>
      </c>
      <c r="K506" t="s">
        <v>108</v>
      </c>
    </row>
    <row r="507" spans="1:11" hidden="1" x14ac:dyDescent="0.3">
      <c r="A507" t="s">
        <v>27</v>
      </c>
      <c r="B507" t="s">
        <v>60</v>
      </c>
      <c r="C507" t="s">
        <v>98</v>
      </c>
      <c r="D507">
        <v>0.73670000000000002</v>
      </c>
      <c r="E507">
        <f>Tableau4[[#This Row],[Potential (PJ)]]/3.6</f>
        <v>0.2046388888888889</v>
      </c>
      <c r="F507">
        <v>16.809881847475829</v>
      </c>
      <c r="G507">
        <f>Tableau4[[#This Row],[Cost (€/GJ)]]*3.6</f>
        <v>60.515574650912988</v>
      </c>
      <c r="H507">
        <v>26.9</v>
      </c>
      <c r="I507">
        <f>Tableau4[[#This Row],[GHG (kgCO2eq/GJ)]]*3.6</f>
        <v>96.84</v>
      </c>
      <c r="J507" t="s">
        <v>107</v>
      </c>
      <c r="K507" t="s">
        <v>109</v>
      </c>
    </row>
    <row r="508" spans="1:11" hidden="1" x14ac:dyDescent="0.3">
      <c r="A508" t="s">
        <v>27</v>
      </c>
      <c r="B508" t="s">
        <v>52</v>
      </c>
      <c r="C508" t="s">
        <v>76</v>
      </c>
      <c r="D508">
        <v>1E-3</v>
      </c>
      <c r="E508">
        <f>Tableau4[[#This Row],[Potential (PJ)]]/3.6</f>
        <v>2.7777777777777778E-4</v>
      </c>
      <c r="F508">
        <v>4.7567250000000003</v>
      </c>
      <c r="G508">
        <f>Tableau4[[#This Row],[Cost (€/GJ)]]*3.6</f>
        <v>17.124210000000001</v>
      </c>
      <c r="H508">
        <v>12.68872359754714</v>
      </c>
      <c r="I508">
        <f>Tableau4[[#This Row],[GHG (kgCO2eq/GJ)]]*3.6</f>
        <v>45.679404951169708</v>
      </c>
      <c r="J508" t="s">
        <v>105</v>
      </c>
      <c r="K508" t="s">
        <v>108</v>
      </c>
    </row>
    <row r="509" spans="1:11" hidden="1" x14ac:dyDescent="0.3">
      <c r="A509" t="s">
        <v>27</v>
      </c>
      <c r="B509" t="s">
        <v>53</v>
      </c>
      <c r="C509" t="s">
        <v>77</v>
      </c>
      <c r="D509">
        <v>5.6</v>
      </c>
      <c r="E509">
        <f>Tableau4[[#This Row],[Potential (PJ)]]/3.6</f>
        <v>1.5555555555555554</v>
      </c>
      <c r="F509">
        <v>0</v>
      </c>
      <c r="G509">
        <f>Tableau4[[#This Row],[Cost (€/GJ)]]*3.6</f>
        <v>0</v>
      </c>
      <c r="H509">
        <v>3.86607608129234</v>
      </c>
      <c r="I509">
        <f>Tableau4[[#This Row],[GHG (kgCO2eq/GJ)]]*3.6</f>
        <v>13.917873892652425</v>
      </c>
      <c r="J509" t="s">
        <v>104</v>
      </c>
      <c r="K509" t="s">
        <v>108</v>
      </c>
    </row>
    <row r="510" spans="1:11" hidden="1" x14ac:dyDescent="0.3">
      <c r="A510" t="s">
        <v>27</v>
      </c>
      <c r="B510" t="s">
        <v>61</v>
      </c>
      <c r="C510" t="s">
        <v>99</v>
      </c>
      <c r="D510">
        <v>9.4</v>
      </c>
      <c r="E510">
        <f>Tableau4[[#This Row],[Potential (PJ)]]/3.6</f>
        <v>2.6111111111111112</v>
      </c>
      <c r="F510">
        <v>0</v>
      </c>
      <c r="G510">
        <f>Tableau4[[#This Row],[Cost (€/GJ)]]*3.6</f>
        <v>0</v>
      </c>
      <c r="H510">
        <v>2.9245635910224439</v>
      </c>
      <c r="I510">
        <f>Tableau4[[#This Row],[GHG (kgCO2eq/GJ)]]*3.6</f>
        <v>10.528428927680798</v>
      </c>
      <c r="J510" t="s">
        <v>104</v>
      </c>
      <c r="K510" t="s">
        <v>108</v>
      </c>
    </row>
    <row r="511" spans="1:11" hidden="1" x14ac:dyDescent="0.3">
      <c r="A511" t="s">
        <v>27</v>
      </c>
      <c r="B511" t="s">
        <v>62</v>
      </c>
      <c r="C511" t="s">
        <v>100</v>
      </c>
      <c r="D511">
        <v>3.8</v>
      </c>
      <c r="E511">
        <f>Tableau4[[#This Row],[Potential (PJ)]]/3.6</f>
        <v>1.0555555555555556</v>
      </c>
      <c r="F511">
        <v>1.2</v>
      </c>
      <c r="G511">
        <f>Tableau4[[#This Row],[Cost (€/GJ)]]*3.6</f>
        <v>4.32</v>
      </c>
      <c r="H511">
        <v>2.6764106050305911</v>
      </c>
      <c r="I511">
        <f>Tableau4[[#This Row],[GHG (kgCO2eq/GJ)]]*3.6</f>
        <v>9.6350781781101276</v>
      </c>
      <c r="J511" t="s">
        <v>104</v>
      </c>
      <c r="K511" t="s">
        <v>108</v>
      </c>
    </row>
    <row r="512" spans="1:11" hidden="1" x14ac:dyDescent="0.3">
      <c r="A512" t="s">
        <v>27</v>
      </c>
      <c r="B512" t="s">
        <v>54</v>
      </c>
      <c r="C512" t="s">
        <v>78</v>
      </c>
      <c r="D512">
        <v>36.5</v>
      </c>
      <c r="E512">
        <f>Tableau4[[#This Row],[Potential (PJ)]]/3.6</f>
        <v>10.138888888888889</v>
      </c>
      <c r="F512">
        <v>0</v>
      </c>
      <c r="G512">
        <f>Tableau4[[#This Row],[Cost (€/GJ)]]*3.6</f>
        <v>0</v>
      </c>
      <c r="H512">
        <v>3.86607608129234</v>
      </c>
      <c r="I512">
        <f>Tableau4[[#This Row],[GHG (kgCO2eq/GJ)]]*3.6</f>
        <v>13.917873892652425</v>
      </c>
      <c r="J512" t="s">
        <v>104</v>
      </c>
      <c r="K512" t="s">
        <v>108</v>
      </c>
    </row>
    <row r="513" spans="1:11" hidden="1" x14ac:dyDescent="0.3">
      <c r="A513" t="s">
        <v>28</v>
      </c>
      <c r="B513" t="s">
        <v>46</v>
      </c>
      <c r="C513" t="s">
        <v>103</v>
      </c>
      <c r="D513">
        <v>0.79300000000000004</v>
      </c>
      <c r="E513">
        <f>Tableau4[[#This Row],[Potential (PJ)]]/3.6</f>
        <v>0.22027777777777779</v>
      </c>
      <c r="F513">
        <v>0</v>
      </c>
      <c r="G513">
        <f>Tableau4[[#This Row],[Cost (€/GJ)]]*3.6</f>
        <v>0</v>
      </c>
      <c r="I513">
        <f>Tableau4[[#This Row],[GHG (kgCO2eq/GJ)]]*3.6</f>
        <v>0</v>
      </c>
    </row>
    <row r="514" spans="1:11" hidden="1" x14ac:dyDescent="0.3">
      <c r="A514" t="s">
        <v>28</v>
      </c>
      <c r="B514" t="s">
        <v>46</v>
      </c>
      <c r="C514" t="s">
        <v>80</v>
      </c>
      <c r="D514">
        <v>9.7999999999999997E-3</v>
      </c>
      <c r="E514">
        <f>Tableau4[[#This Row],[Potential (PJ)]]/3.6</f>
        <v>2.7222222222222222E-3</v>
      </c>
      <c r="F514">
        <v>0</v>
      </c>
      <c r="G514">
        <f>Tableau4[[#This Row],[Cost (€/GJ)]]*3.6</f>
        <v>0</v>
      </c>
      <c r="H514">
        <v>28.139870918023309</v>
      </c>
      <c r="I514">
        <f>Tableau4[[#This Row],[GHG (kgCO2eq/GJ)]]*3.6</f>
        <v>101.30353530488391</v>
      </c>
      <c r="J514" t="s">
        <v>105</v>
      </c>
      <c r="K514" t="s">
        <v>108</v>
      </c>
    </row>
    <row r="515" spans="1:11" hidden="1" x14ac:dyDescent="0.3">
      <c r="A515" t="s">
        <v>28</v>
      </c>
      <c r="B515" t="s">
        <v>46</v>
      </c>
      <c r="C515" t="s">
        <v>81</v>
      </c>
      <c r="D515">
        <v>2.86E-2</v>
      </c>
      <c r="E515">
        <f>Tableau4[[#This Row],[Potential (PJ)]]/3.6</f>
        <v>7.9444444444444449E-3</v>
      </c>
      <c r="F515">
        <v>0</v>
      </c>
      <c r="G515">
        <f>Tableau4[[#This Row],[Cost (€/GJ)]]*3.6</f>
        <v>0</v>
      </c>
      <c r="H515">
        <v>8.9647473560517046</v>
      </c>
      <c r="I515">
        <f>Tableau4[[#This Row],[GHG (kgCO2eq/GJ)]]*3.6</f>
        <v>32.273090481786134</v>
      </c>
      <c r="J515" t="s">
        <v>105</v>
      </c>
      <c r="K515" t="s">
        <v>108</v>
      </c>
    </row>
    <row r="516" spans="1:11" hidden="1" x14ac:dyDescent="0.3">
      <c r="A516" t="s">
        <v>28</v>
      </c>
      <c r="B516" t="s">
        <v>55</v>
      </c>
      <c r="C516" t="s">
        <v>86</v>
      </c>
      <c r="D516">
        <v>0.2346</v>
      </c>
      <c r="E516">
        <f>Tableau4[[#This Row],[Potential (PJ)]]/3.6</f>
        <v>6.5166666666666664E-2</v>
      </c>
      <c r="F516">
        <v>8.2059999999999995</v>
      </c>
      <c r="G516">
        <f>Tableau4[[#This Row],[Cost (€/GJ)]]*3.6</f>
        <v>29.541599999999999</v>
      </c>
      <c r="H516">
        <v>26.3</v>
      </c>
      <c r="I516">
        <f>Tableau4[[#This Row],[GHG (kgCO2eq/GJ)]]*3.6</f>
        <v>94.68</v>
      </c>
      <c r="J516" t="s">
        <v>106</v>
      </c>
      <c r="K516" t="s">
        <v>109</v>
      </c>
    </row>
    <row r="517" spans="1:11" hidden="1" x14ac:dyDescent="0.3">
      <c r="A517" t="s">
        <v>28</v>
      </c>
      <c r="B517" t="s">
        <v>55</v>
      </c>
      <c r="C517" t="s">
        <v>88</v>
      </c>
      <c r="D517">
        <v>7.4999999999999997E-3</v>
      </c>
      <c r="E517">
        <f>Tableau4[[#This Row],[Potential (PJ)]]/3.6</f>
        <v>2.0833333333333333E-3</v>
      </c>
      <c r="F517">
        <v>5.0555000000000003</v>
      </c>
      <c r="G517">
        <f>Tableau4[[#This Row],[Cost (€/GJ)]]*3.6</f>
        <v>18.199800000000003</v>
      </c>
      <c r="H517">
        <v>26.3</v>
      </c>
      <c r="I517">
        <f>Tableau4[[#This Row],[GHG (kgCO2eq/GJ)]]*3.6</f>
        <v>94.68</v>
      </c>
      <c r="J517" t="s">
        <v>106</v>
      </c>
      <c r="K517" t="s">
        <v>109</v>
      </c>
    </row>
    <row r="518" spans="1:11" hidden="1" x14ac:dyDescent="0.3">
      <c r="A518" t="s">
        <v>28</v>
      </c>
      <c r="B518" t="s">
        <v>55</v>
      </c>
      <c r="C518" t="s">
        <v>92</v>
      </c>
      <c r="D518">
        <v>0.23144000000000001</v>
      </c>
      <c r="E518">
        <f>Tableau4[[#This Row],[Potential (PJ)]]/3.6</f>
        <v>6.4288888888888895E-2</v>
      </c>
      <c r="F518">
        <v>8.9079999999999995</v>
      </c>
      <c r="G518">
        <f>Tableau4[[#This Row],[Cost (€/GJ)]]*3.6</f>
        <v>32.068799999999996</v>
      </c>
      <c r="H518">
        <v>26.3</v>
      </c>
      <c r="I518">
        <f>Tableau4[[#This Row],[GHG (kgCO2eq/GJ)]]*3.6</f>
        <v>94.68</v>
      </c>
      <c r="J518" t="s">
        <v>106</v>
      </c>
      <c r="K518" t="s">
        <v>109</v>
      </c>
    </row>
    <row r="519" spans="1:11" hidden="1" x14ac:dyDescent="0.3">
      <c r="A519" t="s">
        <v>28</v>
      </c>
      <c r="B519" t="s">
        <v>49</v>
      </c>
      <c r="C519" t="s">
        <v>71</v>
      </c>
      <c r="D519">
        <v>5.6525299999999996</v>
      </c>
      <c r="E519">
        <f>Tableau4[[#This Row],[Potential (PJ)]]/3.6</f>
        <v>1.5701472222222221</v>
      </c>
      <c r="F519">
        <v>0</v>
      </c>
      <c r="G519">
        <f>Tableau4[[#This Row],[Cost (€/GJ)]]*3.6</f>
        <v>0</v>
      </c>
      <c r="H519">
        <v>3.86607608129234</v>
      </c>
      <c r="I519">
        <f>Tableau4[[#This Row],[GHG (kgCO2eq/GJ)]]*3.6</f>
        <v>13.917873892652425</v>
      </c>
      <c r="J519" t="s">
        <v>104</v>
      </c>
      <c r="K519" t="s">
        <v>108</v>
      </c>
    </row>
    <row r="520" spans="1:11" hidden="1" x14ac:dyDescent="0.3">
      <c r="A520" t="s">
        <v>28</v>
      </c>
      <c r="B520" t="s">
        <v>49</v>
      </c>
      <c r="C520" t="s">
        <v>72</v>
      </c>
      <c r="D520">
        <v>0.1</v>
      </c>
      <c r="E520">
        <f>Tableau4[[#This Row],[Potential (PJ)]]/3.6</f>
        <v>2.777777777777778E-2</v>
      </c>
      <c r="F520">
        <v>0</v>
      </c>
      <c r="G520">
        <f>Tableau4[[#This Row],[Cost (€/GJ)]]*3.6</f>
        <v>0</v>
      </c>
      <c r="H520">
        <v>3.86607608129234</v>
      </c>
      <c r="I520">
        <f>Tableau4[[#This Row],[GHG (kgCO2eq/GJ)]]*3.6</f>
        <v>13.917873892652425</v>
      </c>
      <c r="J520" t="s">
        <v>104</v>
      </c>
      <c r="K520" t="s">
        <v>108</v>
      </c>
    </row>
    <row r="521" spans="1:11" hidden="1" x14ac:dyDescent="0.3">
      <c r="A521" t="s">
        <v>28</v>
      </c>
      <c r="B521" t="s">
        <v>58</v>
      </c>
      <c r="C521" t="s">
        <v>103</v>
      </c>
      <c r="D521">
        <v>0.26709100000000002</v>
      </c>
      <c r="E521">
        <f>Tableau4[[#This Row],[Potential (PJ)]]/3.6</f>
        <v>7.4191944444444449E-2</v>
      </c>
      <c r="F521">
        <v>0</v>
      </c>
      <c r="G521">
        <f>Tableau4[[#This Row],[Cost (€/GJ)]]*3.6</f>
        <v>0</v>
      </c>
      <c r="I521">
        <f>Tableau4[[#This Row],[GHG (kgCO2eq/GJ)]]*3.6</f>
        <v>0</v>
      </c>
    </row>
    <row r="522" spans="1:11" hidden="1" x14ac:dyDescent="0.3">
      <c r="A522" t="s">
        <v>28</v>
      </c>
      <c r="B522" t="s">
        <v>50</v>
      </c>
      <c r="C522" t="s">
        <v>103</v>
      </c>
      <c r="D522">
        <v>3.0438450000000001</v>
      </c>
      <c r="E522">
        <f>Tableau4[[#This Row],[Potential (PJ)]]/3.6</f>
        <v>0.8455125</v>
      </c>
      <c r="F522">
        <v>0</v>
      </c>
      <c r="G522">
        <f>Tableau4[[#This Row],[Cost (€/GJ)]]*3.6</f>
        <v>0</v>
      </c>
      <c r="I522">
        <f>Tableau4[[#This Row],[GHG (kgCO2eq/GJ)]]*3.6</f>
        <v>0</v>
      </c>
    </row>
    <row r="523" spans="1:11" hidden="1" x14ac:dyDescent="0.3">
      <c r="A523" t="s">
        <v>28</v>
      </c>
      <c r="B523" t="s">
        <v>51</v>
      </c>
      <c r="C523" t="s">
        <v>75</v>
      </c>
      <c r="D523">
        <v>0.18448700000000001</v>
      </c>
      <c r="E523">
        <f>Tableau4[[#This Row],[Potential (PJ)]]/3.6</f>
        <v>5.124638888888889E-2</v>
      </c>
      <c r="F523">
        <v>5.6473283308184296E-4</v>
      </c>
      <c r="G523">
        <f>Tableau4[[#This Row],[Cost (€/GJ)]]*3.6</f>
        <v>2.0330381990946349E-3</v>
      </c>
      <c r="H523">
        <v>11.74</v>
      </c>
      <c r="I523">
        <f>Tableau4[[#This Row],[GHG (kgCO2eq/GJ)]]*3.6</f>
        <v>42.264000000000003</v>
      </c>
      <c r="J523" t="s">
        <v>104</v>
      </c>
      <c r="K523" t="s">
        <v>108</v>
      </c>
    </row>
    <row r="524" spans="1:11" hidden="1" x14ac:dyDescent="0.3">
      <c r="A524" t="s">
        <v>28</v>
      </c>
      <c r="B524" t="s">
        <v>60</v>
      </c>
      <c r="C524" t="s">
        <v>98</v>
      </c>
      <c r="D524">
        <v>3.9120000000000002E-2</v>
      </c>
      <c r="E524">
        <f>Tableau4[[#This Row],[Potential (PJ)]]/3.6</f>
        <v>1.0866666666666667E-2</v>
      </c>
      <c r="F524">
        <v>0</v>
      </c>
      <c r="G524">
        <f>Tableau4[[#This Row],[Cost (€/GJ)]]*3.6</f>
        <v>0</v>
      </c>
      <c r="H524">
        <v>37.799999999999997</v>
      </c>
      <c r="I524">
        <f>Tableau4[[#This Row],[GHG (kgCO2eq/GJ)]]*3.6</f>
        <v>136.07999999999998</v>
      </c>
      <c r="J524" t="s">
        <v>107</v>
      </c>
      <c r="K524" t="s">
        <v>109</v>
      </c>
    </row>
    <row r="525" spans="1:11" hidden="1" x14ac:dyDescent="0.3">
      <c r="A525" t="s">
        <v>28</v>
      </c>
      <c r="B525" t="s">
        <v>53</v>
      </c>
      <c r="C525" t="s">
        <v>77</v>
      </c>
      <c r="D525">
        <v>0.1</v>
      </c>
      <c r="E525">
        <f>Tableau4[[#This Row],[Potential (PJ)]]/3.6</f>
        <v>2.777777777777778E-2</v>
      </c>
      <c r="F525">
        <v>0</v>
      </c>
      <c r="G525">
        <f>Tableau4[[#This Row],[Cost (€/GJ)]]*3.6</f>
        <v>0</v>
      </c>
      <c r="H525">
        <v>3.86607608129234</v>
      </c>
      <c r="I525">
        <f>Tableau4[[#This Row],[GHG (kgCO2eq/GJ)]]*3.6</f>
        <v>13.917873892652425</v>
      </c>
      <c r="J525" t="s">
        <v>104</v>
      </c>
      <c r="K525" t="s">
        <v>108</v>
      </c>
    </row>
    <row r="526" spans="1:11" hidden="1" x14ac:dyDescent="0.3">
      <c r="A526" t="s">
        <v>28</v>
      </c>
      <c r="B526" t="s">
        <v>61</v>
      </c>
      <c r="C526" t="s">
        <v>103</v>
      </c>
      <c r="D526">
        <v>1.596992</v>
      </c>
      <c r="E526">
        <f>Tableau4[[#This Row],[Potential (PJ)]]/3.6</f>
        <v>0.44360888888888889</v>
      </c>
      <c r="F526">
        <v>0</v>
      </c>
      <c r="G526">
        <f>Tableau4[[#This Row],[Cost (€/GJ)]]*3.6</f>
        <v>0</v>
      </c>
      <c r="I526">
        <f>Tableau4[[#This Row],[GHG (kgCO2eq/GJ)]]*3.6</f>
        <v>0</v>
      </c>
    </row>
    <row r="527" spans="1:11" hidden="1" x14ac:dyDescent="0.3">
      <c r="A527" t="s">
        <v>28</v>
      </c>
      <c r="B527" t="s">
        <v>62</v>
      </c>
      <c r="C527" t="s">
        <v>103</v>
      </c>
      <c r="D527">
        <v>0.202681</v>
      </c>
      <c r="E527">
        <f>Tableau4[[#This Row],[Potential (PJ)]]/3.6</f>
        <v>5.6300277777777775E-2</v>
      </c>
      <c r="F527">
        <v>0</v>
      </c>
      <c r="G527">
        <f>Tableau4[[#This Row],[Cost (€/GJ)]]*3.6</f>
        <v>0</v>
      </c>
      <c r="I527">
        <f>Tableau4[[#This Row],[GHG (kgCO2eq/GJ)]]*3.6</f>
        <v>0</v>
      </c>
    </row>
    <row r="528" spans="1:11" hidden="1" x14ac:dyDescent="0.3">
      <c r="A528" t="s">
        <v>28</v>
      </c>
      <c r="B528" t="s">
        <v>54</v>
      </c>
      <c r="C528" t="s">
        <v>78</v>
      </c>
      <c r="D528">
        <v>3.6</v>
      </c>
      <c r="E528">
        <f>Tableau4[[#This Row],[Potential (PJ)]]/3.6</f>
        <v>1</v>
      </c>
      <c r="F528">
        <v>0</v>
      </c>
      <c r="G528">
        <f>Tableau4[[#This Row],[Cost (€/GJ)]]*3.6</f>
        <v>0</v>
      </c>
      <c r="H528">
        <v>3.86607608129234</v>
      </c>
      <c r="I528">
        <f>Tableau4[[#This Row],[GHG (kgCO2eq/GJ)]]*3.6</f>
        <v>13.917873892652425</v>
      </c>
      <c r="J528" t="s">
        <v>104</v>
      </c>
      <c r="K528" t="s">
        <v>108</v>
      </c>
    </row>
    <row r="529" spans="1:11" hidden="1" x14ac:dyDescent="0.3">
      <c r="A529" t="s">
        <v>29</v>
      </c>
      <c r="B529" t="s">
        <v>46</v>
      </c>
      <c r="C529" t="s">
        <v>64</v>
      </c>
      <c r="D529">
        <v>1.6000000000000001E-4</v>
      </c>
      <c r="E529">
        <f>Tableau4[[#This Row],[Potential (PJ)]]/3.6</f>
        <v>4.4444444444444447E-5</v>
      </c>
      <c r="F529">
        <v>0</v>
      </c>
      <c r="G529">
        <f>Tableau4[[#This Row],[Cost (€/GJ)]]*3.6</f>
        <v>0</v>
      </c>
      <c r="H529">
        <v>2.9521711768407801</v>
      </c>
      <c r="I529">
        <f>Tableau4[[#This Row],[GHG (kgCO2eq/GJ)]]*3.6</f>
        <v>10.627816236626808</v>
      </c>
      <c r="J529" t="s">
        <v>104</v>
      </c>
      <c r="K529" t="s">
        <v>108</v>
      </c>
    </row>
    <row r="530" spans="1:11" hidden="1" x14ac:dyDescent="0.3">
      <c r="A530" t="s">
        <v>29</v>
      </c>
      <c r="B530" t="s">
        <v>46</v>
      </c>
      <c r="C530" t="s">
        <v>79</v>
      </c>
      <c r="D530">
        <v>8.8000000000000007</v>
      </c>
      <c r="E530">
        <f>Tableau4[[#This Row],[Potential (PJ)]]/3.6</f>
        <v>2.4444444444444446</v>
      </c>
      <c r="F530">
        <v>0</v>
      </c>
      <c r="G530">
        <f>Tableau4[[#This Row],[Cost (€/GJ)]]*3.6</f>
        <v>0</v>
      </c>
      <c r="H530">
        <v>6.8428961748633883</v>
      </c>
      <c r="I530">
        <f>Tableau4[[#This Row],[GHG (kgCO2eq/GJ)]]*3.6</f>
        <v>24.634426229508197</v>
      </c>
      <c r="J530" t="s">
        <v>104</v>
      </c>
      <c r="K530" t="s">
        <v>108</v>
      </c>
    </row>
    <row r="531" spans="1:11" hidden="1" x14ac:dyDescent="0.3">
      <c r="A531" t="s">
        <v>29</v>
      </c>
      <c r="B531" t="s">
        <v>46</v>
      </c>
      <c r="C531" t="s">
        <v>80</v>
      </c>
      <c r="D531">
        <v>3.8899999999999997E-2</v>
      </c>
      <c r="E531">
        <f>Tableau4[[#This Row],[Potential (PJ)]]/3.6</f>
        <v>1.0805555555555554E-2</v>
      </c>
      <c r="F531">
        <v>0.18071476736345249</v>
      </c>
      <c r="G531">
        <f>Tableau4[[#This Row],[Cost (€/GJ)]]*3.6</f>
        <v>0.650573162508429</v>
      </c>
      <c r="H531">
        <v>28.139870918023309</v>
      </c>
      <c r="I531">
        <f>Tableau4[[#This Row],[GHG (kgCO2eq/GJ)]]*3.6</f>
        <v>101.30353530488391</v>
      </c>
      <c r="J531" t="s">
        <v>105</v>
      </c>
      <c r="K531" t="s">
        <v>108</v>
      </c>
    </row>
    <row r="532" spans="1:11" hidden="1" x14ac:dyDescent="0.3">
      <c r="A532" t="s">
        <v>29</v>
      </c>
      <c r="B532" t="s">
        <v>46</v>
      </c>
      <c r="C532" t="s">
        <v>81</v>
      </c>
      <c r="D532">
        <v>8.9999999999999993E-3</v>
      </c>
      <c r="E532">
        <f>Tableau4[[#This Row],[Potential (PJ)]]/3.6</f>
        <v>2.4999999999999996E-3</v>
      </c>
      <c r="F532">
        <v>0.36545240893066983</v>
      </c>
      <c r="G532">
        <f>Tableau4[[#This Row],[Cost (€/GJ)]]*3.6</f>
        <v>1.3156286721504113</v>
      </c>
      <c r="H532">
        <v>8.9647473560517046</v>
      </c>
      <c r="I532">
        <f>Tableau4[[#This Row],[GHG (kgCO2eq/GJ)]]*3.6</f>
        <v>32.273090481786134</v>
      </c>
      <c r="J532" t="s">
        <v>105</v>
      </c>
      <c r="K532" t="s">
        <v>108</v>
      </c>
    </row>
    <row r="533" spans="1:11" hidden="1" x14ac:dyDescent="0.3">
      <c r="A533" t="s">
        <v>29</v>
      </c>
      <c r="B533" t="s">
        <v>46</v>
      </c>
      <c r="C533" t="s">
        <v>82</v>
      </c>
      <c r="D533">
        <v>0.6</v>
      </c>
      <c r="E533">
        <f>Tableau4[[#This Row],[Potential (PJ)]]/3.6</f>
        <v>0.16666666666666666</v>
      </c>
      <c r="F533">
        <v>1.3839999999999999</v>
      </c>
      <c r="G533">
        <f>Tableau4[[#This Row],[Cost (€/GJ)]]*3.6</f>
        <v>4.9824000000000002</v>
      </c>
      <c r="H533">
        <v>6.8428961748633883</v>
      </c>
      <c r="I533">
        <f>Tableau4[[#This Row],[GHG (kgCO2eq/GJ)]]*3.6</f>
        <v>24.634426229508197</v>
      </c>
      <c r="J533" t="s">
        <v>104</v>
      </c>
      <c r="K533" t="s">
        <v>108</v>
      </c>
    </row>
    <row r="534" spans="1:11" hidden="1" x14ac:dyDescent="0.3">
      <c r="A534" t="s">
        <v>29</v>
      </c>
      <c r="B534" t="s">
        <v>55</v>
      </c>
      <c r="C534" t="s">
        <v>86</v>
      </c>
      <c r="D534">
        <v>1.0798000000000001</v>
      </c>
      <c r="E534">
        <f>Tableau4[[#This Row],[Potential (PJ)]]/3.6</f>
        <v>0.29994444444444446</v>
      </c>
      <c r="F534">
        <v>13.085000000000001</v>
      </c>
      <c r="G534">
        <f>Tableau4[[#This Row],[Cost (€/GJ)]]*3.6</f>
        <v>47.106000000000002</v>
      </c>
      <c r="H534">
        <v>12.8</v>
      </c>
      <c r="I534">
        <f>Tableau4[[#This Row],[GHG (kgCO2eq/GJ)]]*3.6</f>
        <v>46.080000000000005</v>
      </c>
      <c r="J534" t="s">
        <v>106</v>
      </c>
      <c r="K534" t="s">
        <v>109</v>
      </c>
    </row>
    <row r="535" spans="1:11" hidden="1" x14ac:dyDescent="0.3">
      <c r="A535" t="s">
        <v>29</v>
      </c>
      <c r="B535" t="s">
        <v>55</v>
      </c>
      <c r="C535" t="s">
        <v>89</v>
      </c>
      <c r="D535">
        <v>2.8999999999999998E-3</v>
      </c>
      <c r="E535">
        <f>Tableau4[[#This Row],[Potential (PJ)]]/3.6</f>
        <v>8.0555555555555545E-4</v>
      </c>
      <c r="F535">
        <v>0</v>
      </c>
      <c r="G535">
        <f>Tableau4[[#This Row],[Cost (€/GJ)]]*3.6</f>
        <v>0</v>
      </c>
      <c r="H535">
        <v>12.8</v>
      </c>
      <c r="I535">
        <f>Tableau4[[#This Row],[GHG (kgCO2eq/GJ)]]*3.6</f>
        <v>46.080000000000005</v>
      </c>
      <c r="J535" t="s">
        <v>106</v>
      </c>
      <c r="K535" t="s">
        <v>109</v>
      </c>
    </row>
    <row r="536" spans="1:11" hidden="1" x14ac:dyDescent="0.3">
      <c r="A536" t="s">
        <v>29</v>
      </c>
      <c r="B536" t="s">
        <v>55</v>
      </c>
      <c r="C536" t="s">
        <v>90</v>
      </c>
      <c r="D536">
        <v>0.70499999999999996</v>
      </c>
      <c r="E536">
        <f>Tableau4[[#This Row],[Potential (PJ)]]/3.6</f>
        <v>0.1958333333333333</v>
      </c>
      <c r="F536">
        <v>15.222</v>
      </c>
      <c r="G536">
        <f>Tableau4[[#This Row],[Cost (€/GJ)]]*3.6</f>
        <v>54.799199999999999</v>
      </c>
      <c r="H536">
        <v>12.8</v>
      </c>
      <c r="I536">
        <f>Tableau4[[#This Row],[GHG (kgCO2eq/GJ)]]*3.6</f>
        <v>46.080000000000005</v>
      </c>
      <c r="J536" t="s">
        <v>106</v>
      </c>
      <c r="K536" t="s">
        <v>109</v>
      </c>
    </row>
    <row r="537" spans="1:11" hidden="1" x14ac:dyDescent="0.3">
      <c r="A537" t="s">
        <v>29</v>
      </c>
      <c r="B537" t="s">
        <v>55</v>
      </c>
      <c r="C537" t="s">
        <v>91</v>
      </c>
      <c r="D537">
        <v>0.5494</v>
      </c>
      <c r="E537">
        <f>Tableau4[[#This Row],[Potential (PJ)]]/3.6</f>
        <v>0.15261111111111111</v>
      </c>
      <c r="F537">
        <v>12.984</v>
      </c>
      <c r="G537">
        <f>Tableau4[[#This Row],[Cost (€/GJ)]]*3.6</f>
        <v>46.742400000000004</v>
      </c>
      <c r="H537">
        <v>12.8</v>
      </c>
      <c r="I537">
        <f>Tableau4[[#This Row],[GHG (kgCO2eq/GJ)]]*3.6</f>
        <v>46.080000000000005</v>
      </c>
      <c r="J537" t="s">
        <v>106</v>
      </c>
      <c r="K537" t="s">
        <v>109</v>
      </c>
    </row>
    <row r="538" spans="1:11" hidden="1" x14ac:dyDescent="0.3">
      <c r="A538" t="s">
        <v>29</v>
      </c>
      <c r="B538" t="s">
        <v>55</v>
      </c>
      <c r="C538" t="s">
        <v>92</v>
      </c>
      <c r="D538">
        <v>6.11083</v>
      </c>
      <c r="E538">
        <f>Tableau4[[#This Row],[Potential (PJ)]]/3.6</f>
        <v>1.6974527777777777</v>
      </c>
      <c r="F538">
        <v>15.595000000000001</v>
      </c>
      <c r="G538">
        <f>Tableau4[[#This Row],[Cost (€/GJ)]]*3.6</f>
        <v>56.142000000000003</v>
      </c>
      <c r="H538">
        <v>12.8</v>
      </c>
      <c r="I538">
        <f>Tableau4[[#This Row],[GHG (kgCO2eq/GJ)]]*3.6</f>
        <v>46.080000000000005</v>
      </c>
      <c r="J538" t="s">
        <v>106</v>
      </c>
      <c r="K538" t="s">
        <v>109</v>
      </c>
    </row>
    <row r="539" spans="1:11" x14ac:dyDescent="0.3">
      <c r="A539" t="s">
        <v>29</v>
      </c>
      <c r="B539" t="s">
        <v>47</v>
      </c>
      <c r="C539" t="s">
        <v>101</v>
      </c>
      <c r="D539">
        <v>4.9000000000000004</v>
      </c>
      <c r="E539">
        <f>Tableau4[[#This Row],[Potential (PJ)]]/3.6</f>
        <v>1.3611111111111112</v>
      </c>
      <c r="F539">
        <v>3.1560000000000001</v>
      </c>
      <c r="G539">
        <f>Tableau4[[#This Row],[Cost (€/GJ)]]*3.6</f>
        <v>11.361600000000001</v>
      </c>
      <c r="H539">
        <v>44</v>
      </c>
      <c r="I539">
        <f>Tableau4[[#This Row],[GHG (kgCO2eq/GJ)]]*3.6</f>
        <v>158.4</v>
      </c>
      <c r="J539" t="s">
        <v>104</v>
      </c>
      <c r="K539" t="s">
        <v>109</v>
      </c>
    </row>
    <row r="540" spans="1:11" x14ac:dyDescent="0.3">
      <c r="A540" t="s">
        <v>29</v>
      </c>
      <c r="B540" t="s">
        <v>57</v>
      </c>
      <c r="C540" t="s">
        <v>94</v>
      </c>
      <c r="D540">
        <v>3.9</v>
      </c>
      <c r="E540">
        <f>Tableau4[[#This Row],[Potential (PJ)]]/3.6</f>
        <v>1.0833333333333333</v>
      </c>
      <c r="F540">
        <v>8.7729999999999997</v>
      </c>
      <c r="G540">
        <f>Tableau4[[#This Row],[Cost (€/GJ)]]*3.6</f>
        <v>31.582799999999999</v>
      </c>
      <c r="H540">
        <v>19.899999999999999</v>
      </c>
      <c r="I540">
        <f>Tableau4[[#This Row],[GHG (kgCO2eq/GJ)]]*3.6</f>
        <v>71.64</v>
      </c>
      <c r="J540" t="s">
        <v>104</v>
      </c>
      <c r="K540" t="s">
        <v>109</v>
      </c>
    </row>
    <row r="541" spans="1:11" hidden="1" x14ac:dyDescent="0.3">
      <c r="A541" t="s">
        <v>29</v>
      </c>
      <c r="B541" t="s">
        <v>49</v>
      </c>
      <c r="C541" t="s">
        <v>71</v>
      </c>
      <c r="D541">
        <v>140.80123</v>
      </c>
      <c r="E541">
        <f>Tableau4[[#This Row],[Potential (PJ)]]/3.6</f>
        <v>39.111452777777778</v>
      </c>
      <c r="F541">
        <v>0</v>
      </c>
      <c r="G541">
        <f>Tableau4[[#This Row],[Cost (€/GJ)]]*3.6</f>
        <v>0</v>
      </c>
      <c r="H541">
        <v>3.86607608129234</v>
      </c>
      <c r="I541">
        <f>Tableau4[[#This Row],[GHG (kgCO2eq/GJ)]]*3.6</f>
        <v>13.917873892652425</v>
      </c>
      <c r="J541" t="s">
        <v>104</v>
      </c>
      <c r="K541" t="s">
        <v>108</v>
      </c>
    </row>
    <row r="542" spans="1:11" hidden="1" x14ac:dyDescent="0.3">
      <c r="A542" t="s">
        <v>29</v>
      </c>
      <c r="B542" t="s">
        <v>49</v>
      </c>
      <c r="C542" t="s">
        <v>72</v>
      </c>
      <c r="D542">
        <v>15.4</v>
      </c>
      <c r="E542">
        <f>Tableau4[[#This Row],[Potential (PJ)]]/3.6</f>
        <v>4.2777777777777777</v>
      </c>
      <c r="F542">
        <v>0</v>
      </c>
      <c r="G542">
        <f>Tableau4[[#This Row],[Cost (€/GJ)]]*3.6</f>
        <v>0</v>
      </c>
      <c r="H542">
        <v>3.86607608129234</v>
      </c>
      <c r="I542">
        <f>Tableau4[[#This Row],[GHG (kgCO2eq/GJ)]]*3.6</f>
        <v>13.917873892652425</v>
      </c>
      <c r="J542" t="s">
        <v>104</v>
      </c>
      <c r="K542" t="s">
        <v>108</v>
      </c>
    </row>
    <row r="543" spans="1:11" hidden="1" x14ac:dyDescent="0.3">
      <c r="A543" t="s">
        <v>29</v>
      </c>
      <c r="B543" t="s">
        <v>58</v>
      </c>
      <c r="C543" t="s">
        <v>95</v>
      </c>
      <c r="D543">
        <v>8.9392700000000005</v>
      </c>
      <c r="E543">
        <f>Tableau4[[#This Row],[Potential (PJ)]]/3.6</f>
        <v>2.4831305555555558</v>
      </c>
      <c r="F543">
        <v>2.1709999999999998</v>
      </c>
      <c r="G543">
        <f>Tableau4[[#This Row],[Cost (€/GJ)]]*3.6</f>
        <v>7.8155999999999999</v>
      </c>
      <c r="H543">
        <v>2.9521711768407801</v>
      </c>
      <c r="I543">
        <f>Tableau4[[#This Row],[GHG (kgCO2eq/GJ)]]*3.6</f>
        <v>10.627816236626808</v>
      </c>
      <c r="J543" t="s">
        <v>104</v>
      </c>
      <c r="K543" t="s">
        <v>108</v>
      </c>
    </row>
    <row r="544" spans="1:11" hidden="1" x14ac:dyDescent="0.3">
      <c r="A544" t="s">
        <v>29</v>
      </c>
      <c r="B544" t="s">
        <v>50</v>
      </c>
      <c r="C544" t="s">
        <v>73</v>
      </c>
      <c r="D544">
        <v>0.4</v>
      </c>
      <c r="E544">
        <f>Tableau4[[#This Row],[Potential (PJ)]]/3.6</f>
        <v>0.11111111111111112</v>
      </c>
      <c r="F544">
        <v>5.0089999999999986</v>
      </c>
      <c r="G544">
        <f>Tableau4[[#This Row],[Cost (€/GJ)]]*3.6</f>
        <v>18.032399999999996</v>
      </c>
      <c r="H544">
        <v>20.723404255319149</v>
      </c>
      <c r="I544">
        <f>Tableau4[[#This Row],[GHG (kgCO2eq/GJ)]]*3.6</f>
        <v>74.604255319148933</v>
      </c>
      <c r="J544" t="s">
        <v>105</v>
      </c>
      <c r="K544" t="s">
        <v>108</v>
      </c>
    </row>
    <row r="545" spans="1:11" hidden="1" x14ac:dyDescent="0.3">
      <c r="A545" t="s">
        <v>29</v>
      </c>
      <c r="B545" t="s">
        <v>50</v>
      </c>
      <c r="C545" t="s">
        <v>74</v>
      </c>
      <c r="D545">
        <v>10.199999999999999</v>
      </c>
      <c r="E545">
        <f>Tableau4[[#This Row],[Potential (PJ)]]/3.6</f>
        <v>2.833333333333333</v>
      </c>
      <c r="F545">
        <v>3.76</v>
      </c>
      <c r="G545">
        <f>Tableau4[[#This Row],[Cost (€/GJ)]]*3.6</f>
        <v>13.536</v>
      </c>
      <c r="H545">
        <v>2.0635593220338988</v>
      </c>
      <c r="I545">
        <f>Tableau4[[#This Row],[GHG (kgCO2eq/GJ)]]*3.6</f>
        <v>7.4288135593220357</v>
      </c>
      <c r="J545" t="s">
        <v>105</v>
      </c>
      <c r="K545" t="s">
        <v>108</v>
      </c>
    </row>
    <row r="546" spans="1:11" hidden="1" x14ac:dyDescent="0.3">
      <c r="A546" t="s">
        <v>29</v>
      </c>
      <c r="B546" t="s">
        <v>51</v>
      </c>
      <c r="C546" t="s">
        <v>75</v>
      </c>
      <c r="D546">
        <v>0.95521800000000001</v>
      </c>
      <c r="E546">
        <f>Tableau4[[#This Row],[Potential (PJ)]]/3.6</f>
        <v>0.26533833333333334</v>
      </c>
      <c r="F546">
        <v>1.3720457538451299E-4</v>
      </c>
      <c r="G546">
        <f>Tableau4[[#This Row],[Cost (€/GJ)]]*3.6</f>
        <v>4.9393647138424679E-4</v>
      </c>
      <c r="H546">
        <v>11.74</v>
      </c>
      <c r="I546">
        <f>Tableau4[[#This Row],[GHG (kgCO2eq/GJ)]]*3.6</f>
        <v>42.264000000000003</v>
      </c>
      <c r="J546" t="s">
        <v>104</v>
      </c>
      <c r="K546" t="s">
        <v>108</v>
      </c>
    </row>
    <row r="547" spans="1:11" hidden="1" x14ac:dyDescent="0.3">
      <c r="A547" t="s">
        <v>29</v>
      </c>
      <c r="B547" t="s">
        <v>60</v>
      </c>
      <c r="C547" t="s">
        <v>98</v>
      </c>
      <c r="D547">
        <v>0.31035000000000001</v>
      </c>
      <c r="E547">
        <f>Tableau4[[#This Row],[Potential (PJ)]]/3.6</f>
        <v>8.6208333333333331E-2</v>
      </c>
      <c r="F547">
        <v>16.058002148227711</v>
      </c>
      <c r="G547">
        <f>Tableau4[[#This Row],[Cost (€/GJ)]]*3.6</f>
        <v>57.808807733619759</v>
      </c>
      <c r="H547">
        <v>28.2</v>
      </c>
      <c r="I547">
        <f>Tableau4[[#This Row],[GHG (kgCO2eq/GJ)]]*3.6</f>
        <v>101.52</v>
      </c>
      <c r="J547" t="s">
        <v>107</v>
      </c>
      <c r="K547" t="s">
        <v>109</v>
      </c>
    </row>
    <row r="548" spans="1:11" hidden="1" x14ac:dyDescent="0.3">
      <c r="A548" t="s">
        <v>29</v>
      </c>
      <c r="B548" t="s">
        <v>52</v>
      </c>
      <c r="C548" t="s">
        <v>76</v>
      </c>
      <c r="D548">
        <v>2E-3</v>
      </c>
      <c r="E548">
        <f>Tableau4[[#This Row],[Potential (PJ)]]/3.6</f>
        <v>5.5555555555555556E-4</v>
      </c>
      <c r="F548">
        <v>4.7567250000000003</v>
      </c>
      <c r="G548">
        <f>Tableau4[[#This Row],[Cost (€/GJ)]]*3.6</f>
        <v>17.124210000000001</v>
      </c>
      <c r="H548">
        <v>12.68872359754714</v>
      </c>
      <c r="I548">
        <f>Tableau4[[#This Row],[GHG (kgCO2eq/GJ)]]*3.6</f>
        <v>45.679404951169708</v>
      </c>
      <c r="J548" t="s">
        <v>105</v>
      </c>
      <c r="K548" t="s">
        <v>108</v>
      </c>
    </row>
    <row r="549" spans="1:11" hidden="1" x14ac:dyDescent="0.3">
      <c r="A549" t="s">
        <v>29</v>
      </c>
      <c r="B549" t="s">
        <v>53</v>
      </c>
      <c r="C549" t="s">
        <v>77</v>
      </c>
      <c r="D549">
        <v>8.3000000000000007</v>
      </c>
      <c r="E549">
        <f>Tableau4[[#This Row],[Potential (PJ)]]/3.6</f>
        <v>2.3055555555555558</v>
      </c>
      <c r="F549">
        <v>0</v>
      </c>
      <c r="G549">
        <f>Tableau4[[#This Row],[Cost (€/GJ)]]*3.6</f>
        <v>0</v>
      </c>
      <c r="H549">
        <v>3.86607608129234</v>
      </c>
      <c r="I549">
        <f>Tableau4[[#This Row],[GHG (kgCO2eq/GJ)]]*3.6</f>
        <v>13.917873892652425</v>
      </c>
      <c r="J549" t="s">
        <v>104</v>
      </c>
      <c r="K549" t="s">
        <v>108</v>
      </c>
    </row>
    <row r="550" spans="1:11" hidden="1" x14ac:dyDescent="0.3">
      <c r="A550" t="s">
        <v>29</v>
      </c>
      <c r="B550" t="s">
        <v>61</v>
      </c>
      <c r="C550" t="s">
        <v>99</v>
      </c>
      <c r="D550">
        <v>28.3</v>
      </c>
      <c r="E550">
        <f>Tableau4[[#This Row],[Potential (PJ)]]/3.6</f>
        <v>7.8611111111111107</v>
      </c>
      <c r="F550">
        <v>0</v>
      </c>
      <c r="G550">
        <f>Tableau4[[#This Row],[Cost (€/GJ)]]*3.6</f>
        <v>0</v>
      </c>
      <c r="H550">
        <v>2.9245635910224439</v>
      </c>
      <c r="I550">
        <f>Tableau4[[#This Row],[GHG (kgCO2eq/GJ)]]*3.6</f>
        <v>10.528428927680798</v>
      </c>
      <c r="J550" t="s">
        <v>104</v>
      </c>
      <c r="K550" t="s">
        <v>108</v>
      </c>
    </row>
    <row r="551" spans="1:11" hidden="1" x14ac:dyDescent="0.3">
      <c r="A551" t="s">
        <v>29</v>
      </c>
      <c r="B551" t="s">
        <v>62</v>
      </c>
      <c r="C551" t="s">
        <v>100</v>
      </c>
      <c r="D551">
        <v>12.2</v>
      </c>
      <c r="E551">
        <f>Tableau4[[#This Row],[Potential (PJ)]]/3.6</f>
        <v>3.3888888888888884</v>
      </c>
      <c r="F551">
        <v>0</v>
      </c>
      <c r="G551">
        <f>Tableau4[[#This Row],[Cost (€/GJ)]]*3.6</f>
        <v>0</v>
      </c>
      <c r="H551">
        <v>2.6764106050305911</v>
      </c>
      <c r="I551">
        <f>Tableau4[[#This Row],[GHG (kgCO2eq/GJ)]]*3.6</f>
        <v>9.6350781781101276</v>
      </c>
      <c r="J551" t="s">
        <v>104</v>
      </c>
      <c r="K551" t="s">
        <v>108</v>
      </c>
    </row>
    <row r="552" spans="1:11" hidden="1" x14ac:dyDescent="0.3">
      <c r="A552" t="s">
        <v>29</v>
      </c>
      <c r="B552" t="s">
        <v>54</v>
      </c>
      <c r="C552" t="s">
        <v>78</v>
      </c>
      <c r="D552">
        <v>75.7</v>
      </c>
      <c r="E552">
        <f>Tableau4[[#This Row],[Potential (PJ)]]/3.6</f>
        <v>21.027777777777779</v>
      </c>
      <c r="F552">
        <v>0</v>
      </c>
      <c r="G552">
        <f>Tableau4[[#This Row],[Cost (€/GJ)]]*3.6</f>
        <v>0</v>
      </c>
      <c r="H552">
        <v>3.86607608129234</v>
      </c>
      <c r="I552">
        <f>Tableau4[[#This Row],[GHG (kgCO2eq/GJ)]]*3.6</f>
        <v>13.917873892652425</v>
      </c>
      <c r="J552" t="s">
        <v>104</v>
      </c>
      <c r="K552" t="s">
        <v>108</v>
      </c>
    </row>
    <row r="553" spans="1:11" hidden="1" x14ac:dyDescent="0.3">
      <c r="A553" t="s">
        <v>30</v>
      </c>
      <c r="B553" t="s">
        <v>46</v>
      </c>
      <c r="C553" t="s">
        <v>63</v>
      </c>
      <c r="D553">
        <v>5.4000000000000003E-3</v>
      </c>
      <c r="E553">
        <f>Tableau4[[#This Row],[Potential (PJ)]]/3.6</f>
        <v>1.5E-3</v>
      </c>
      <c r="F553">
        <v>2.9286474973375931</v>
      </c>
      <c r="G553">
        <f>Tableau4[[#This Row],[Cost (€/GJ)]]*3.6</f>
        <v>10.543130990415335</v>
      </c>
      <c r="H553">
        <v>3.950479233226837</v>
      </c>
      <c r="I553">
        <f>Tableau4[[#This Row],[GHG (kgCO2eq/GJ)]]*3.6</f>
        <v>14.221725239616614</v>
      </c>
      <c r="J553" t="s">
        <v>104</v>
      </c>
      <c r="K553" t="s">
        <v>108</v>
      </c>
    </row>
    <row r="554" spans="1:11" hidden="1" x14ac:dyDescent="0.3">
      <c r="A554" t="s">
        <v>30</v>
      </c>
      <c r="B554" t="s">
        <v>46</v>
      </c>
      <c r="C554" t="s">
        <v>64</v>
      </c>
      <c r="D554">
        <v>5.0860000000000002E-2</v>
      </c>
      <c r="E554">
        <f>Tableau4[[#This Row],[Potential (PJ)]]/3.6</f>
        <v>1.4127777777777777E-2</v>
      </c>
      <c r="F554">
        <v>0</v>
      </c>
      <c r="G554">
        <f>Tableau4[[#This Row],[Cost (€/GJ)]]*3.6</f>
        <v>0</v>
      </c>
      <c r="H554">
        <v>2.9521711768407801</v>
      </c>
      <c r="I554">
        <f>Tableau4[[#This Row],[GHG (kgCO2eq/GJ)]]*3.6</f>
        <v>10.627816236626808</v>
      </c>
      <c r="J554" t="s">
        <v>104</v>
      </c>
      <c r="K554" t="s">
        <v>108</v>
      </c>
    </row>
    <row r="555" spans="1:11" hidden="1" x14ac:dyDescent="0.3">
      <c r="A555" t="s">
        <v>30</v>
      </c>
      <c r="B555" t="s">
        <v>46</v>
      </c>
      <c r="C555" t="s">
        <v>65</v>
      </c>
      <c r="D555">
        <v>0.1</v>
      </c>
      <c r="E555">
        <f>Tableau4[[#This Row],[Potential (PJ)]]/3.6</f>
        <v>2.777777777777778E-2</v>
      </c>
      <c r="F555">
        <v>4.3289999999999997</v>
      </c>
      <c r="G555">
        <f>Tableau4[[#This Row],[Cost (€/GJ)]]*3.6</f>
        <v>15.584399999999999</v>
      </c>
      <c r="H555">
        <v>2.9521711768407801</v>
      </c>
      <c r="I555">
        <f>Tableau4[[#This Row],[GHG (kgCO2eq/GJ)]]*3.6</f>
        <v>10.627816236626808</v>
      </c>
      <c r="J555" t="s">
        <v>104</v>
      </c>
      <c r="K555" t="s">
        <v>108</v>
      </c>
    </row>
    <row r="556" spans="1:11" hidden="1" x14ac:dyDescent="0.3">
      <c r="A556" t="s">
        <v>30</v>
      </c>
      <c r="B556" t="s">
        <v>46</v>
      </c>
      <c r="C556" t="s">
        <v>66</v>
      </c>
      <c r="D556">
        <v>0.1</v>
      </c>
      <c r="E556">
        <f>Tableau4[[#This Row],[Potential (PJ)]]/3.6</f>
        <v>2.777777777777778E-2</v>
      </c>
      <c r="F556">
        <v>0</v>
      </c>
      <c r="G556">
        <f>Tableau4[[#This Row],[Cost (€/GJ)]]*3.6</f>
        <v>0</v>
      </c>
      <c r="H556">
        <v>6.8428961748633883</v>
      </c>
      <c r="I556">
        <f>Tableau4[[#This Row],[GHG (kgCO2eq/GJ)]]*3.6</f>
        <v>24.634426229508197</v>
      </c>
      <c r="J556" t="s">
        <v>104</v>
      </c>
      <c r="K556" t="s">
        <v>108</v>
      </c>
    </row>
    <row r="557" spans="1:11" hidden="1" x14ac:dyDescent="0.3">
      <c r="A557" t="s">
        <v>30</v>
      </c>
      <c r="B557" t="s">
        <v>46</v>
      </c>
      <c r="C557" t="s">
        <v>85</v>
      </c>
      <c r="D557">
        <v>0.1</v>
      </c>
      <c r="E557">
        <f>Tableau4[[#This Row],[Potential (PJ)]]/3.6</f>
        <v>2.777777777777778E-2</v>
      </c>
      <c r="F557">
        <v>0</v>
      </c>
      <c r="G557">
        <f>Tableau4[[#This Row],[Cost (€/GJ)]]*3.6</f>
        <v>0</v>
      </c>
      <c r="H557">
        <v>2.9521711768407801</v>
      </c>
      <c r="I557">
        <f>Tableau4[[#This Row],[GHG (kgCO2eq/GJ)]]*3.6</f>
        <v>10.627816236626808</v>
      </c>
      <c r="J557" t="s">
        <v>104</v>
      </c>
      <c r="K557" t="s">
        <v>108</v>
      </c>
    </row>
    <row r="558" spans="1:11" x14ac:dyDescent="0.3">
      <c r="A558" t="s">
        <v>30</v>
      </c>
      <c r="B558" t="s">
        <v>47</v>
      </c>
      <c r="C558" t="s">
        <v>68</v>
      </c>
      <c r="D558">
        <v>2</v>
      </c>
      <c r="E558">
        <f>Tableau4[[#This Row],[Potential (PJ)]]/3.6</f>
        <v>0.55555555555555558</v>
      </c>
      <c r="F558">
        <v>3.9710000000000001</v>
      </c>
      <c r="G558">
        <f>Tableau4[[#This Row],[Cost (€/GJ)]]*3.6</f>
        <v>14.2956</v>
      </c>
      <c r="H558">
        <v>14.1</v>
      </c>
      <c r="I558">
        <f>Tableau4[[#This Row],[GHG (kgCO2eq/GJ)]]*3.6</f>
        <v>50.76</v>
      </c>
      <c r="J558" t="s">
        <v>104</v>
      </c>
      <c r="K558" t="s">
        <v>109</v>
      </c>
    </row>
    <row r="559" spans="1:11" x14ac:dyDescent="0.3">
      <c r="A559" t="s">
        <v>30</v>
      </c>
      <c r="B559" t="s">
        <v>47</v>
      </c>
      <c r="C559" t="s">
        <v>69</v>
      </c>
      <c r="D559">
        <v>1.4</v>
      </c>
      <c r="E559">
        <f>Tableau4[[#This Row],[Potential (PJ)]]/3.6</f>
        <v>0.38888888888888884</v>
      </c>
      <c r="F559">
        <v>3.9830000000000001</v>
      </c>
      <c r="G559">
        <f>Tableau4[[#This Row],[Cost (€/GJ)]]*3.6</f>
        <v>14.338800000000001</v>
      </c>
      <c r="H559">
        <v>14.1</v>
      </c>
      <c r="I559">
        <f>Tableau4[[#This Row],[GHG (kgCO2eq/GJ)]]*3.6</f>
        <v>50.76</v>
      </c>
      <c r="J559" t="s">
        <v>104</v>
      </c>
      <c r="K559" t="s">
        <v>109</v>
      </c>
    </row>
    <row r="560" spans="1:11" x14ac:dyDescent="0.3">
      <c r="A560" t="s">
        <v>30</v>
      </c>
      <c r="B560" t="s">
        <v>48</v>
      </c>
      <c r="C560" t="s">
        <v>70</v>
      </c>
      <c r="D560">
        <v>0.8</v>
      </c>
      <c r="E560">
        <f>Tableau4[[#This Row],[Potential (PJ)]]/3.6</f>
        <v>0.22222222222222224</v>
      </c>
      <c r="F560">
        <v>10.238</v>
      </c>
      <c r="G560">
        <f>Tableau4[[#This Row],[Cost (€/GJ)]]*3.6</f>
        <v>36.8568</v>
      </c>
      <c r="H560">
        <v>0</v>
      </c>
      <c r="I560">
        <f>Tableau4[[#This Row],[GHG (kgCO2eq/GJ)]]*3.6</f>
        <v>0</v>
      </c>
      <c r="J560" t="s">
        <v>104</v>
      </c>
      <c r="K560" t="s">
        <v>109</v>
      </c>
    </row>
    <row r="561" spans="1:11" hidden="1" x14ac:dyDescent="0.3">
      <c r="A561" t="s">
        <v>30</v>
      </c>
      <c r="B561" t="s">
        <v>49</v>
      </c>
      <c r="C561" t="s">
        <v>72</v>
      </c>
      <c r="D561">
        <v>5.7</v>
      </c>
      <c r="E561">
        <f>Tableau4[[#This Row],[Potential (PJ)]]/3.6</f>
        <v>1.5833333333333333</v>
      </c>
      <c r="F561">
        <v>1.0720000000000001</v>
      </c>
      <c r="G561">
        <f>Tableau4[[#This Row],[Cost (€/GJ)]]*3.6</f>
        <v>3.8592000000000004</v>
      </c>
      <c r="H561">
        <v>3.86607608129234</v>
      </c>
      <c r="I561">
        <f>Tableau4[[#This Row],[GHG (kgCO2eq/GJ)]]*3.6</f>
        <v>13.917873892652425</v>
      </c>
      <c r="J561" t="s">
        <v>104</v>
      </c>
      <c r="K561" t="s">
        <v>108</v>
      </c>
    </row>
    <row r="562" spans="1:11" hidden="1" x14ac:dyDescent="0.3">
      <c r="A562" t="s">
        <v>30</v>
      </c>
      <c r="B562" t="s">
        <v>50</v>
      </c>
      <c r="C562" t="s">
        <v>73</v>
      </c>
      <c r="D562">
        <v>0.1</v>
      </c>
      <c r="E562">
        <f>Tableau4[[#This Row],[Potential (PJ)]]/3.6</f>
        <v>2.777777777777778E-2</v>
      </c>
      <c r="F562">
        <v>4.8520000000000003</v>
      </c>
      <c r="G562">
        <f>Tableau4[[#This Row],[Cost (€/GJ)]]*3.6</f>
        <v>17.467200000000002</v>
      </c>
      <c r="H562">
        <v>20.723404255319149</v>
      </c>
      <c r="I562">
        <f>Tableau4[[#This Row],[GHG (kgCO2eq/GJ)]]*3.6</f>
        <v>74.604255319148933</v>
      </c>
      <c r="J562" t="s">
        <v>105</v>
      </c>
      <c r="K562" t="s">
        <v>108</v>
      </c>
    </row>
    <row r="563" spans="1:11" hidden="1" x14ac:dyDescent="0.3">
      <c r="A563" t="s">
        <v>30</v>
      </c>
      <c r="B563" t="s">
        <v>50</v>
      </c>
      <c r="C563" t="s">
        <v>74</v>
      </c>
      <c r="D563">
        <v>0.3</v>
      </c>
      <c r="E563">
        <f>Tableau4[[#This Row],[Potential (PJ)]]/3.6</f>
        <v>8.3333333333333329E-2</v>
      </c>
      <c r="F563">
        <v>3.391999999999999</v>
      </c>
      <c r="G563">
        <f>Tableau4[[#This Row],[Cost (€/GJ)]]*3.6</f>
        <v>12.211199999999996</v>
      </c>
      <c r="H563">
        <v>2.0635593220338988</v>
      </c>
      <c r="I563">
        <f>Tableau4[[#This Row],[GHG (kgCO2eq/GJ)]]*3.6</f>
        <v>7.4288135593220357</v>
      </c>
      <c r="J563" t="s">
        <v>105</v>
      </c>
      <c r="K563" t="s">
        <v>108</v>
      </c>
    </row>
    <row r="564" spans="1:11" hidden="1" x14ac:dyDescent="0.3">
      <c r="A564" t="s">
        <v>30</v>
      </c>
      <c r="B564" t="s">
        <v>51</v>
      </c>
      <c r="C564" t="s">
        <v>75</v>
      </c>
      <c r="D564">
        <v>0</v>
      </c>
      <c r="E564">
        <f>Tableau4[[#This Row],[Potential (PJ)]]/3.6</f>
        <v>0</v>
      </c>
      <c r="F564">
        <v>8.84487541138336E-2</v>
      </c>
      <c r="G564">
        <f>Tableau4[[#This Row],[Cost (€/GJ)]]*3.6</f>
        <v>0.31841551480980096</v>
      </c>
      <c r="H564">
        <v>11.74</v>
      </c>
      <c r="I564">
        <f>Tableau4[[#This Row],[GHG (kgCO2eq/GJ)]]*3.6</f>
        <v>42.264000000000003</v>
      </c>
      <c r="J564" t="s">
        <v>104</v>
      </c>
      <c r="K564" t="s">
        <v>108</v>
      </c>
    </row>
    <row r="565" spans="1:11" hidden="1" x14ac:dyDescent="0.3">
      <c r="A565" t="s">
        <v>30</v>
      </c>
      <c r="B565" t="s">
        <v>53</v>
      </c>
      <c r="C565" t="s">
        <v>77</v>
      </c>
      <c r="D565">
        <v>3.2</v>
      </c>
      <c r="E565">
        <f>Tableau4[[#This Row],[Potential (PJ)]]/3.6</f>
        <v>0.88888888888888895</v>
      </c>
      <c r="F565">
        <v>1.0720000000000001</v>
      </c>
      <c r="G565">
        <f>Tableau4[[#This Row],[Cost (€/GJ)]]*3.6</f>
        <v>3.8592000000000004</v>
      </c>
      <c r="H565">
        <v>3.86607608129234</v>
      </c>
      <c r="I565">
        <f>Tableau4[[#This Row],[GHG (kgCO2eq/GJ)]]*3.6</f>
        <v>13.917873892652425</v>
      </c>
      <c r="J565" t="s">
        <v>104</v>
      </c>
      <c r="K565" t="s">
        <v>108</v>
      </c>
    </row>
    <row r="566" spans="1:11" hidden="1" x14ac:dyDescent="0.3">
      <c r="A566" t="s">
        <v>31</v>
      </c>
      <c r="B566" t="s">
        <v>46</v>
      </c>
      <c r="C566" t="s">
        <v>63</v>
      </c>
      <c r="D566">
        <v>1.4999999999999999E-2</v>
      </c>
      <c r="E566">
        <f>Tableau4[[#This Row],[Potential (PJ)]]/3.6</f>
        <v>4.1666666666666666E-3</v>
      </c>
      <c r="F566">
        <v>2.9286474973375931</v>
      </c>
      <c r="G566">
        <f>Tableau4[[#This Row],[Cost (€/GJ)]]*3.6</f>
        <v>10.543130990415335</v>
      </c>
      <c r="H566">
        <v>3.950479233226837</v>
      </c>
      <c r="I566">
        <f>Tableau4[[#This Row],[GHG (kgCO2eq/GJ)]]*3.6</f>
        <v>14.221725239616614</v>
      </c>
      <c r="J566" t="s">
        <v>104</v>
      </c>
      <c r="K566" t="s">
        <v>108</v>
      </c>
    </row>
    <row r="567" spans="1:11" hidden="1" x14ac:dyDescent="0.3">
      <c r="A567" t="s">
        <v>31</v>
      </c>
      <c r="B567" t="s">
        <v>46</v>
      </c>
      <c r="C567" t="s">
        <v>64</v>
      </c>
      <c r="D567">
        <v>0.47676000000000002</v>
      </c>
      <c r="E567">
        <f>Tableau4[[#This Row],[Potential (PJ)]]/3.6</f>
        <v>0.13243333333333335</v>
      </c>
      <c r="F567">
        <v>0</v>
      </c>
      <c r="G567">
        <f>Tableau4[[#This Row],[Cost (€/GJ)]]*3.6</f>
        <v>0</v>
      </c>
      <c r="H567">
        <v>2.9521711768407801</v>
      </c>
      <c r="I567">
        <f>Tableau4[[#This Row],[GHG (kgCO2eq/GJ)]]*3.6</f>
        <v>10.627816236626808</v>
      </c>
      <c r="J567" t="s">
        <v>104</v>
      </c>
      <c r="K567" t="s">
        <v>108</v>
      </c>
    </row>
    <row r="568" spans="1:11" hidden="1" x14ac:dyDescent="0.3">
      <c r="A568" t="s">
        <v>31</v>
      </c>
      <c r="B568" t="s">
        <v>46</v>
      </c>
      <c r="C568" t="s">
        <v>79</v>
      </c>
      <c r="D568">
        <v>1.6</v>
      </c>
      <c r="E568">
        <f>Tableau4[[#This Row],[Potential (PJ)]]/3.6</f>
        <v>0.44444444444444448</v>
      </c>
      <c r="F568">
        <v>0</v>
      </c>
      <c r="G568">
        <f>Tableau4[[#This Row],[Cost (€/GJ)]]*3.6</f>
        <v>0</v>
      </c>
      <c r="H568">
        <v>6.8428961748633883</v>
      </c>
      <c r="I568">
        <f>Tableau4[[#This Row],[GHG (kgCO2eq/GJ)]]*3.6</f>
        <v>24.634426229508197</v>
      </c>
      <c r="J568" t="s">
        <v>104</v>
      </c>
      <c r="K568" t="s">
        <v>108</v>
      </c>
    </row>
    <row r="569" spans="1:11" hidden="1" x14ac:dyDescent="0.3">
      <c r="A569" t="s">
        <v>31</v>
      </c>
      <c r="B569" t="s">
        <v>46</v>
      </c>
      <c r="C569" t="s">
        <v>65</v>
      </c>
      <c r="D569">
        <v>0.6</v>
      </c>
      <c r="E569">
        <f>Tableau4[[#This Row],[Potential (PJ)]]/3.6</f>
        <v>0.16666666666666666</v>
      </c>
      <c r="F569">
        <v>4.3049999999999997</v>
      </c>
      <c r="G569">
        <f>Tableau4[[#This Row],[Cost (€/GJ)]]*3.6</f>
        <v>15.497999999999999</v>
      </c>
      <c r="H569">
        <v>2.9521711768407801</v>
      </c>
      <c r="I569">
        <f>Tableau4[[#This Row],[GHG (kgCO2eq/GJ)]]*3.6</f>
        <v>10.627816236626808</v>
      </c>
      <c r="J569" t="s">
        <v>104</v>
      </c>
      <c r="K569" t="s">
        <v>108</v>
      </c>
    </row>
    <row r="570" spans="1:11" hidden="1" x14ac:dyDescent="0.3">
      <c r="A570" t="s">
        <v>31</v>
      </c>
      <c r="B570" t="s">
        <v>46</v>
      </c>
      <c r="C570" t="s">
        <v>66</v>
      </c>
      <c r="D570">
        <v>0.6</v>
      </c>
      <c r="E570">
        <f>Tableau4[[#This Row],[Potential (PJ)]]/3.6</f>
        <v>0.16666666666666666</v>
      </c>
      <c r="F570">
        <v>0</v>
      </c>
      <c r="G570">
        <f>Tableau4[[#This Row],[Cost (€/GJ)]]*3.6</f>
        <v>0</v>
      </c>
      <c r="H570">
        <v>6.8428961748633883</v>
      </c>
      <c r="I570">
        <f>Tableau4[[#This Row],[GHG (kgCO2eq/GJ)]]*3.6</f>
        <v>24.634426229508197</v>
      </c>
      <c r="J570" t="s">
        <v>104</v>
      </c>
      <c r="K570" t="s">
        <v>108</v>
      </c>
    </row>
    <row r="571" spans="1:11" hidden="1" x14ac:dyDescent="0.3">
      <c r="A571" t="s">
        <v>31</v>
      </c>
      <c r="B571" t="s">
        <v>46</v>
      </c>
      <c r="C571" t="s">
        <v>82</v>
      </c>
      <c r="D571">
        <v>0.1</v>
      </c>
      <c r="E571">
        <f>Tableau4[[#This Row],[Potential (PJ)]]/3.6</f>
        <v>2.777777777777778E-2</v>
      </c>
      <c r="F571">
        <v>0</v>
      </c>
      <c r="G571">
        <f>Tableau4[[#This Row],[Cost (€/GJ)]]*3.6</f>
        <v>0</v>
      </c>
      <c r="H571">
        <v>6.8428961748633883</v>
      </c>
      <c r="I571">
        <f>Tableau4[[#This Row],[GHG (kgCO2eq/GJ)]]*3.6</f>
        <v>24.634426229508197</v>
      </c>
      <c r="J571" t="s">
        <v>104</v>
      </c>
      <c r="K571" t="s">
        <v>108</v>
      </c>
    </row>
    <row r="572" spans="1:11" hidden="1" x14ac:dyDescent="0.3">
      <c r="A572" t="s">
        <v>31</v>
      </c>
      <c r="B572" t="s">
        <v>46</v>
      </c>
      <c r="C572" t="s">
        <v>83</v>
      </c>
      <c r="D572">
        <v>9.5130000000000006E-2</v>
      </c>
      <c r="E572">
        <f>Tableau4[[#This Row],[Potential (PJ)]]/3.6</f>
        <v>2.6425000000000001E-2</v>
      </c>
      <c r="F572">
        <v>0</v>
      </c>
      <c r="G572">
        <f>Tableau4[[#This Row],[Cost (€/GJ)]]*3.6</f>
        <v>0</v>
      </c>
      <c r="H572">
        <v>6.8428961748633883</v>
      </c>
      <c r="I572">
        <f>Tableau4[[#This Row],[GHG (kgCO2eq/GJ)]]*3.6</f>
        <v>24.634426229508197</v>
      </c>
      <c r="J572" t="s">
        <v>104</v>
      </c>
      <c r="K572" t="s">
        <v>108</v>
      </c>
    </row>
    <row r="573" spans="1:11" hidden="1" x14ac:dyDescent="0.3">
      <c r="A573" t="s">
        <v>31</v>
      </c>
      <c r="B573" t="s">
        <v>46</v>
      </c>
      <c r="C573" t="s">
        <v>85</v>
      </c>
      <c r="D573">
        <v>0.2</v>
      </c>
      <c r="E573">
        <f>Tableau4[[#This Row],[Potential (PJ)]]/3.6</f>
        <v>5.5555555555555559E-2</v>
      </c>
      <c r="F573">
        <v>0</v>
      </c>
      <c r="G573">
        <f>Tableau4[[#This Row],[Cost (€/GJ)]]*3.6</f>
        <v>0</v>
      </c>
      <c r="H573">
        <v>2.9521711768407801</v>
      </c>
      <c r="I573">
        <f>Tableau4[[#This Row],[GHG (kgCO2eq/GJ)]]*3.6</f>
        <v>10.627816236626808</v>
      </c>
      <c r="J573" t="s">
        <v>104</v>
      </c>
      <c r="K573" t="s">
        <v>108</v>
      </c>
    </row>
    <row r="574" spans="1:11" x14ac:dyDescent="0.3">
      <c r="A574" t="s">
        <v>31</v>
      </c>
      <c r="B574" t="s">
        <v>47</v>
      </c>
      <c r="C574" t="s">
        <v>68</v>
      </c>
      <c r="D574">
        <v>14.5</v>
      </c>
      <c r="E574">
        <f>Tableau4[[#This Row],[Potential (PJ)]]/3.6</f>
        <v>4.0277777777777777</v>
      </c>
      <c r="F574">
        <v>3.9710000000000001</v>
      </c>
      <c r="G574">
        <f>Tableau4[[#This Row],[Cost (€/GJ)]]*3.6</f>
        <v>14.2956</v>
      </c>
      <c r="H574">
        <v>14.1</v>
      </c>
      <c r="I574">
        <f>Tableau4[[#This Row],[GHG (kgCO2eq/GJ)]]*3.6</f>
        <v>50.76</v>
      </c>
      <c r="J574" t="s">
        <v>104</v>
      </c>
      <c r="K574" t="s">
        <v>109</v>
      </c>
    </row>
    <row r="575" spans="1:11" x14ac:dyDescent="0.3">
      <c r="A575" t="s">
        <v>31</v>
      </c>
      <c r="B575" t="s">
        <v>47</v>
      </c>
      <c r="C575" t="s">
        <v>69</v>
      </c>
      <c r="D575">
        <v>10.199999999999999</v>
      </c>
      <c r="E575">
        <f>Tableau4[[#This Row],[Potential (PJ)]]/3.6</f>
        <v>2.833333333333333</v>
      </c>
      <c r="F575">
        <v>3.9830000000000001</v>
      </c>
      <c r="G575">
        <f>Tableau4[[#This Row],[Cost (€/GJ)]]*3.6</f>
        <v>14.338800000000001</v>
      </c>
      <c r="H575">
        <v>14.1</v>
      </c>
      <c r="I575">
        <f>Tableau4[[#This Row],[GHG (kgCO2eq/GJ)]]*3.6</f>
        <v>50.76</v>
      </c>
      <c r="J575" t="s">
        <v>104</v>
      </c>
      <c r="K575" t="s">
        <v>109</v>
      </c>
    </row>
    <row r="576" spans="1:11" x14ac:dyDescent="0.3">
      <c r="A576" t="s">
        <v>31</v>
      </c>
      <c r="B576" t="s">
        <v>48</v>
      </c>
      <c r="C576" t="s">
        <v>70</v>
      </c>
      <c r="D576">
        <v>5.4</v>
      </c>
      <c r="E576">
        <f>Tableau4[[#This Row],[Potential (PJ)]]/3.6</f>
        <v>1.5</v>
      </c>
      <c r="F576">
        <v>10.238</v>
      </c>
      <c r="G576">
        <f>Tableau4[[#This Row],[Cost (€/GJ)]]*3.6</f>
        <v>36.8568</v>
      </c>
      <c r="H576">
        <v>0</v>
      </c>
      <c r="I576">
        <f>Tableau4[[#This Row],[GHG (kgCO2eq/GJ)]]*3.6</f>
        <v>0</v>
      </c>
      <c r="J576" t="s">
        <v>104</v>
      </c>
      <c r="K576" t="s">
        <v>109</v>
      </c>
    </row>
    <row r="577" spans="1:11" hidden="1" x14ac:dyDescent="0.3">
      <c r="A577" t="s">
        <v>31</v>
      </c>
      <c r="B577" t="s">
        <v>49</v>
      </c>
      <c r="C577" t="s">
        <v>71</v>
      </c>
      <c r="D577">
        <v>5.5903600000000004</v>
      </c>
      <c r="E577">
        <f>Tableau4[[#This Row],[Potential (PJ)]]/3.6</f>
        <v>1.5528777777777778</v>
      </c>
      <c r="F577">
        <v>0</v>
      </c>
      <c r="G577">
        <f>Tableau4[[#This Row],[Cost (€/GJ)]]*3.6</f>
        <v>0</v>
      </c>
      <c r="H577">
        <v>3.86607608129234</v>
      </c>
      <c r="I577">
        <f>Tableau4[[#This Row],[GHG (kgCO2eq/GJ)]]*3.6</f>
        <v>13.917873892652425</v>
      </c>
      <c r="J577" t="s">
        <v>104</v>
      </c>
      <c r="K577" t="s">
        <v>108</v>
      </c>
    </row>
    <row r="578" spans="1:11" hidden="1" x14ac:dyDescent="0.3">
      <c r="A578" t="s">
        <v>31</v>
      </c>
      <c r="B578" t="s">
        <v>49</v>
      </c>
      <c r="C578" t="s">
        <v>72</v>
      </c>
      <c r="D578">
        <v>8.6999999999999993</v>
      </c>
      <c r="E578">
        <f>Tableau4[[#This Row],[Potential (PJ)]]/3.6</f>
        <v>2.4166666666666665</v>
      </c>
      <c r="F578">
        <v>0</v>
      </c>
      <c r="G578">
        <f>Tableau4[[#This Row],[Cost (€/GJ)]]*3.6</f>
        <v>0</v>
      </c>
      <c r="H578">
        <v>3.86607608129234</v>
      </c>
      <c r="I578">
        <f>Tableau4[[#This Row],[GHG (kgCO2eq/GJ)]]*3.6</f>
        <v>13.917873892652425</v>
      </c>
      <c r="J578" t="s">
        <v>104</v>
      </c>
      <c r="K578" t="s">
        <v>108</v>
      </c>
    </row>
    <row r="579" spans="1:11" hidden="1" x14ac:dyDescent="0.3">
      <c r="A579" t="s">
        <v>31</v>
      </c>
      <c r="B579" t="s">
        <v>50</v>
      </c>
      <c r="C579" t="s">
        <v>73</v>
      </c>
      <c r="D579">
        <v>0.3</v>
      </c>
      <c r="E579">
        <f>Tableau4[[#This Row],[Potential (PJ)]]/3.6</f>
        <v>8.3333333333333329E-2</v>
      </c>
      <c r="F579">
        <v>4.7309999999999999</v>
      </c>
      <c r="G579">
        <f>Tableau4[[#This Row],[Cost (€/GJ)]]*3.6</f>
        <v>17.031600000000001</v>
      </c>
      <c r="H579">
        <v>20.723404255319149</v>
      </c>
      <c r="I579">
        <f>Tableau4[[#This Row],[GHG (kgCO2eq/GJ)]]*3.6</f>
        <v>74.604255319148933</v>
      </c>
      <c r="J579" t="s">
        <v>105</v>
      </c>
      <c r="K579" t="s">
        <v>108</v>
      </c>
    </row>
    <row r="580" spans="1:11" hidden="1" x14ac:dyDescent="0.3">
      <c r="A580" t="s">
        <v>31</v>
      </c>
      <c r="B580" t="s">
        <v>50</v>
      </c>
      <c r="C580" t="s">
        <v>74</v>
      </c>
      <c r="D580">
        <v>0.8</v>
      </c>
      <c r="E580">
        <f>Tableau4[[#This Row],[Potential (PJ)]]/3.6</f>
        <v>0.22222222222222224</v>
      </c>
      <c r="F580">
        <v>3.3919999999999999</v>
      </c>
      <c r="G580">
        <f>Tableau4[[#This Row],[Cost (€/GJ)]]*3.6</f>
        <v>12.2112</v>
      </c>
      <c r="H580">
        <v>2.0635593220338988</v>
      </c>
      <c r="I580">
        <f>Tableau4[[#This Row],[GHG (kgCO2eq/GJ)]]*3.6</f>
        <v>7.4288135593220357</v>
      </c>
      <c r="J580" t="s">
        <v>105</v>
      </c>
      <c r="K580" t="s">
        <v>108</v>
      </c>
    </row>
    <row r="581" spans="1:11" hidden="1" x14ac:dyDescent="0.3">
      <c r="A581" t="s">
        <v>31</v>
      </c>
      <c r="B581" t="s">
        <v>51</v>
      </c>
      <c r="C581" t="s">
        <v>75</v>
      </c>
      <c r="D581">
        <v>1.573148</v>
      </c>
      <c r="E581">
        <f>Tableau4[[#This Row],[Potential (PJ)]]/3.6</f>
        <v>0.43698555555555552</v>
      </c>
      <c r="F581">
        <v>3.09803450389264E-2</v>
      </c>
      <c r="G581">
        <f>Tableau4[[#This Row],[Cost (€/GJ)]]*3.6</f>
        <v>0.11152924214013504</v>
      </c>
      <c r="H581">
        <v>11.74</v>
      </c>
      <c r="I581">
        <f>Tableau4[[#This Row],[GHG (kgCO2eq/GJ)]]*3.6</f>
        <v>42.264000000000003</v>
      </c>
      <c r="J581" t="s">
        <v>104</v>
      </c>
      <c r="K581" t="s">
        <v>108</v>
      </c>
    </row>
    <row r="582" spans="1:11" hidden="1" x14ac:dyDescent="0.3">
      <c r="A582" t="s">
        <v>31</v>
      </c>
      <c r="B582" t="s">
        <v>52</v>
      </c>
      <c r="C582" t="s">
        <v>76</v>
      </c>
      <c r="D582">
        <v>1.7000000000000001E-2</v>
      </c>
      <c r="E582">
        <f>Tableau4[[#This Row],[Potential (PJ)]]/3.6</f>
        <v>4.7222222222222223E-3</v>
      </c>
      <c r="F582">
        <v>4.7567250000000003</v>
      </c>
      <c r="G582">
        <f>Tableau4[[#This Row],[Cost (€/GJ)]]*3.6</f>
        <v>17.124210000000001</v>
      </c>
      <c r="H582">
        <v>12.68872359754714</v>
      </c>
      <c r="I582">
        <f>Tableau4[[#This Row],[GHG (kgCO2eq/GJ)]]*3.6</f>
        <v>45.679404951169708</v>
      </c>
      <c r="J582" t="s">
        <v>105</v>
      </c>
      <c r="K582" t="s">
        <v>108</v>
      </c>
    </row>
    <row r="583" spans="1:11" hidden="1" x14ac:dyDescent="0.3">
      <c r="A583" t="s">
        <v>31</v>
      </c>
      <c r="B583" t="s">
        <v>53</v>
      </c>
      <c r="C583" t="s">
        <v>77</v>
      </c>
      <c r="D583">
        <v>5.5</v>
      </c>
      <c r="E583">
        <f>Tableau4[[#This Row],[Potential (PJ)]]/3.6</f>
        <v>1.5277777777777777</v>
      </c>
      <c r="F583">
        <v>0</v>
      </c>
      <c r="G583">
        <f>Tableau4[[#This Row],[Cost (€/GJ)]]*3.6</f>
        <v>0</v>
      </c>
      <c r="H583">
        <v>3.86607608129234</v>
      </c>
      <c r="I583">
        <f>Tableau4[[#This Row],[GHG (kgCO2eq/GJ)]]*3.6</f>
        <v>13.917873892652425</v>
      </c>
      <c r="J583" t="s">
        <v>104</v>
      </c>
      <c r="K583" t="s">
        <v>108</v>
      </c>
    </row>
    <row r="584" spans="1:11" hidden="1" x14ac:dyDescent="0.3">
      <c r="A584" t="s">
        <v>31</v>
      </c>
      <c r="B584" t="s">
        <v>54</v>
      </c>
      <c r="C584" t="s">
        <v>78</v>
      </c>
      <c r="D584">
        <v>3.5</v>
      </c>
      <c r="E584">
        <f>Tableau4[[#This Row],[Potential (PJ)]]/3.6</f>
        <v>0.97222222222222221</v>
      </c>
      <c r="F584">
        <v>0</v>
      </c>
      <c r="G584">
        <f>Tableau4[[#This Row],[Cost (€/GJ)]]*3.6</f>
        <v>0</v>
      </c>
      <c r="H584">
        <v>3.86607608129234</v>
      </c>
      <c r="I584">
        <f>Tableau4[[#This Row],[GHG (kgCO2eq/GJ)]]*3.6</f>
        <v>13.917873892652425</v>
      </c>
      <c r="J584" t="s">
        <v>104</v>
      </c>
      <c r="K584" t="s">
        <v>108</v>
      </c>
    </row>
    <row r="585" spans="1:11" hidden="1" x14ac:dyDescent="0.3">
      <c r="A585" t="s">
        <v>32</v>
      </c>
      <c r="B585" t="s">
        <v>46</v>
      </c>
      <c r="C585" t="s">
        <v>103</v>
      </c>
      <c r="D585">
        <v>2.3E-2</v>
      </c>
      <c r="E585">
        <f>Tableau4[[#This Row],[Potential (PJ)]]/3.6</f>
        <v>6.3888888888888884E-3</v>
      </c>
      <c r="F585">
        <v>0</v>
      </c>
      <c r="G585">
        <f>Tableau4[[#This Row],[Cost (€/GJ)]]*3.6</f>
        <v>0</v>
      </c>
      <c r="I585">
        <f>Tableau4[[#This Row],[GHG (kgCO2eq/GJ)]]*3.6</f>
        <v>0</v>
      </c>
    </row>
    <row r="586" spans="1:11" hidden="1" x14ac:dyDescent="0.3">
      <c r="A586" t="s">
        <v>32</v>
      </c>
      <c r="B586" t="s">
        <v>58</v>
      </c>
      <c r="C586" t="s">
        <v>103</v>
      </c>
      <c r="D586">
        <v>6.8326999999999999E-2</v>
      </c>
      <c r="E586">
        <f>Tableau4[[#This Row],[Potential (PJ)]]/3.6</f>
        <v>1.8979722222222221E-2</v>
      </c>
      <c r="F586">
        <v>0</v>
      </c>
      <c r="G586">
        <f>Tableau4[[#This Row],[Cost (€/GJ)]]*3.6</f>
        <v>0</v>
      </c>
      <c r="I586">
        <f>Tableau4[[#This Row],[GHG (kgCO2eq/GJ)]]*3.6</f>
        <v>0</v>
      </c>
    </row>
    <row r="587" spans="1:11" hidden="1" x14ac:dyDescent="0.3">
      <c r="A587" t="s">
        <v>32</v>
      </c>
      <c r="B587" t="s">
        <v>50</v>
      </c>
      <c r="C587" t="s">
        <v>103</v>
      </c>
      <c r="D587">
        <v>0.81403300000000001</v>
      </c>
      <c r="E587">
        <f>Tableau4[[#This Row],[Potential (PJ)]]/3.6</f>
        <v>0.22612027777777777</v>
      </c>
      <c r="F587">
        <v>0</v>
      </c>
      <c r="G587">
        <f>Tableau4[[#This Row],[Cost (€/GJ)]]*3.6</f>
        <v>0</v>
      </c>
      <c r="I587">
        <f>Tableau4[[#This Row],[GHG (kgCO2eq/GJ)]]*3.6</f>
        <v>0</v>
      </c>
    </row>
    <row r="588" spans="1:11" hidden="1" x14ac:dyDescent="0.3">
      <c r="A588" t="s">
        <v>32</v>
      </c>
      <c r="B588" t="s">
        <v>51</v>
      </c>
      <c r="C588" t="s">
        <v>75</v>
      </c>
      <c r="D588">
        <v>5.8860109999999999</v>
      </c>
      <c r="E588">
        <f>Tableau4[[#This Row],[Potential (PJ)]]/3.6</f>
        <v>1.6350030555555555</v>
      </c>
      <c r="F588">
        <v>1.9481911111946199E-5</v>
      </c>
      <c r="G588">
        <f>Tableau4[[#This Row],[Cost (€/GJ)]]*3.6</f>
        <v>7.0134880003006313E-5</v>
      </c>
      <c r="H588">
        <v>11.74</v>
      </c>
      <c r="I588">
        <f>Tableau4[[#This Row],[GHG (kgCO2eq/GJ)]]*3.6</f>
        <v>42.264000000000003</v>
      </c>
      <c r="J588" t="s">
        <v>104</v>
      </c>
      <c r="K588" t="s">
        <v>108</v>
      </c>
    </row>
    <row r="589" spans="1:11" hidden="1" x14ac:dyDescent="0.3">
      <c r="A589" t="s">
        <v>33</v>
      </c>
      <c r="B589" t="s">
        <v>46</v>
      </c>
      <c r="C589" t="s">
        <v>64</v>
      </c>
      <c r="D589">
        <v>0.16733000000000001</v>
      </c>
      <c r="E589">
        <f>Tableau4[[#This Row],[Potential (PJ)]]/3.6</f>
        <v>4.648055555555556E-2</v>
      </c>
      <c r="F589">
        <v>6.833080380087253</v>
      </c>
      <c r="G589">
        <f>Tableau4[[#This Row],[Cost (€/GJ)]]*3.6</f>
        <v>24.599089368314111</v>
      </c>
      <c r="H589">
        <v>2.9521711768407801</v>
      </c>
      <c r="I589">
        <f>Tableau4[[#This Row],[GHG (kgCO2eq/GJ)]]*3.6</f>
        <v>10.627816236626808</v>
      </c>
      <c r="J589" t="s">
        <v>104</v>
      </c>
      <c r="K589" t="s">
        <v>108</v>
      </c>
    </row>
    <row r="590" spans="1:11" hidden="1" x14ac:dyDescent="0.3">
      <c r="A590" t="s">
        <v>33</v>
      </c>
      <c r="B590" t="s">
        <v>46</v>
      </c>
      <c r="C590" t="s">
        <v>79</v>
      </c>
      <c r="D590">
        <v>1.9</v>
      </c>
      <c r="E590">
        <f>Tableau4[[#This Row],[Potential (PJ)]]/3.6</f>
        <v>0.52777777777777779</v>
      </c>
      <c r="F590">
        <v>4.6025263157894729</v>
      </c>
      <c r="G590">
        <f>Tableau4[[#This Row],[Cost (€/GJ)]]*3.6</f>
        <v>16.569094736842104</v>
      </c>
      <c r="H590">
        <v>6.8428961748633883</v>
      </c>
      <c r="I590">
        <f>Tableau4[[#This Row],[GHG (kgCO2eq/GJ)]]*3.6</f>
        <v>24.634426229508197</v>
      </c>
      <c r="J590" t="s">
        <v>104</v>
      </c>
      <c r="K590" t="s">
        <v>108</v>
      </c>
    </row>
    <row r="591" spans="1:11" hidden="1" x14ac:dyDescent="0.3">
      <c r="A591" t="s">
        <v>33</v>
      </c>
      <c r="B591" t="s">
        <v>46</v>
      </c>
      <c r="C591" t="s">
        <v>80</v>
      </c>
      <c r="D591">
        <v>1.5763</v>
      </c>
      <c r="E591">
        <f>Tableau4[[#This Row],[Potential (PJ)]]/3.6</f>
        <v>0.43786111111111109</v>
      </c>
      <c r="F591">
        <v>0.33378287255563049</v>
      </c>
      <c r="G591">
        <f>Tableau4[[#This Row],[Cost (€/GJ)]]*3.6</f>
        <v>1.2016183412002699</v>
      </c>
      <c r="H591">
        <v>28.139870918023309</v>
      </c>
      <c r="I591">
        <f>Tableau4[[#This Row],[GHG (kgCO2eq/GJ)]]*3.6</f>
        <v>101.30353530488391</v>
      </c>
      <c r="J591" t="s">
        <v>105</v>
      </c>
      <c r="K591" t="s">
        <v>108</v>
      </c>
    </row>
    <row r="592" spans="1:11" hidden="1" x14ac:dyDescent="0.3">
      <c r="A592" t="s">
        <v>33</v>
      </c>
      <c r="B592" t="s">
        <v>46</v>
      </c>
      <c r="C592" t="s">
        <v>81</v>
      </c>
      <c r="D592">
        <v>1.5733999999999999</v>
      </c>
      <c r="E592">
        <f>Tableau4[[#This Row],[Potential (PJ)]]/3.6</f>
        <v>0.43705555555555553</v>
      </c>
      <c r="F592">
        <v>1.173913043478261</v>
      </c>
      <c r="G592">
        <f>Tableau4[[#This Row],[Cost (€/GJ)]]*3.6</f>
        <v>4.2260869565217396</v>
      </c>
      <c r="H592">
        <v>8.9647473560517046</v>
      </c>
      <c r="I592">
        <f>Tableau4[[#This Row],[GHG (kgCO2eq/GJ)]]*3.6</f>
        <v>32.273090481786134</v>
      </c>
      <c r="J592" t="s">
        <v>105</v>
      </c>
      <c r="K592" t="s">
        <v>108</v>
      </c>
    </row>
    <row r="593" spans="1:11" hidden="1" x14ac:dyDescent="0.3">
      <c r="A593" t="s">
        <v>33</v>
      </c>
      <c r="B593" t="s">
        <v>46</v>
      </c>
      <c r="C593" t="s">
        <v>66</v>
      </c>
      <c r="D593">
        <v>3.3</v>
      </c>
      <c r="E593">
        <f>Tableau4[[#This Row],[Potential (PJ)]]/3.6</f>
        <v>0.91666666666666663</v>
      </c>
      <c r="F593">
        <v>4.7432727272727284</v>
      </c>
      <c r="G593">
        <f>Tableau4[[#This Row],[Cost (€/GJ)]]*3.6</f>
        <v>17.075781818181824</v>
      </c>
      <c r="H593">
        <v>6.8428961748633883</v>
      </c>
      <c r="I593">
        <f>Tableau4[[#This Row],[GHG (kgCO2eq/GJ)]]*3.6</f>
        <v>24.634426229508197</v>
      </c>
      <c r="J593" t="s">
        <v>104</v>
      </c>
      <c r="K593" t="s">
        <v>108</v>
      </c>
    </row>
    <row r="594" spans="1:11" hidden="1" x14ac:dyDescent="0.3">
      <c r="A594" t="s">
        <v>33</v>
      </c>
      <c r="B594" t="s">
        <v>46</v>
      </c>
      <c r="C594" t="s">
        <v>84</v>
      </c>
      <c r="D594">
        <v>0.5</v>
      </c>
      <c r="E594">
        <f>Tableau4[[#This Row],[Potential (PJ)]]/3.6</f>
        <v>0.1388888888888889</v>
      </c>
      <c r="F594">
        <v>2.5908000000000002</v>
      </c>
      <c r="G594">
        <f>Tableau4[[#This Row],[Cost (€/GJ)]]*3.6</f>
        <v>9.3268800000000009</v>
      </c>
      <c r="H594">
        <v>28.139870918023309</v>
      </c>
      <c r="I594">
        <f>Tableau4[[#This Row],[GHG (kgCO2eq/GJ)]]*3.6</f>
        <v>101.30353530488391</v>
      </c>
      <c r="J594" t="s">
        <v>105</v>
      </c>
      <c r="K594" t="s">
        <v>108</v>
      </c>
    </row>
    <row r="595" spans="1:11" hidden="1" x14ac:dyDescent="0.3">
      <c r="A595" t="s">
        <v>33</v>
      </c>
      <c r="B595" t="s">
        <v>55</v>
      </c>
      <c r="C595" t="s">
        <v>86</v>
      </c>
      <c r="D595">
        <v>1.2999999999999999E-3</v>
      </c>
      <c r="E595">
        <f>Tableau4[[#This Row],[Potential (PJ)]]/3.6</f>
        <v>3.6111111111111109E-4</v>
      </c>
      <c r="F595">
        <v>17.419</v>
      </c>
      <c r="G595">
        <f>Tableau4[[#This Row],[Cost (€/GJ)]]*3.6</f>
        <v>62.708400000000005</v>
      </c>
      <c r="H595">
        <v>41.1</v>
      </c>
      <c r="I595">
        <f>Tableau4[[#This Row],[GHG (kgCO2eq/GJ)]]*3.6</f>
        <v>147.96</v>
      </c>
      <c r="J595" t="s">
        <v>106</v>
      </c>
      <c r="K595" t="s">
        <v>109</v>
      </c>
    </row>
    <row r="596" spans="1:11" hidden="1" x14ac:dyDescent="0.3">
      <c r="A596" t="s">
        <v>33</v>
      </c>
      <c r="B596" t="s">
        <v>55</v>
      </c>
      <c r="C596" t="s">
        <v>88</v>
      </c>
      <c r="D596">
        <v>0.51859999999999995</v>
      </c>
      <c r="E596">
        <f>Tableau4[[#This Row],[Potential (PJ)]]/3.6</f>
        <v>0.14405555555555555</v>
      </c>
      <c r="F596">
        <v>16.597000000000001</v>
      </c>
      <c r="G596">
        <f>Tableau4[[#This Row],[Cost (€/GJ)]]*3.6</f>
        <v>59.749200000000009</v>
      </c>
      <c r="H596">
        <v>41.1</v>
      </c>
      <c r="I596">
        <f>Tableau4[[#This Row],[GHG (kgCO2eq/GJ)]]*3.6</f>
        <v>147.96</v>
      </c>
      <c r="J596" t="s">
        <v>106</v>
      </c>
      <c r="K596" t="s">
        <v>109</v>
      </c>
    </row>
    <row r="597" spans="1:11" hidden="1" x14ac:dyDescent="0.3">
      <c r="A597" t="s">
        <v>33</v>
      </c>
      <c r="B597" t="s">
        <v>55</v>
      </c>
      <c r="C597" t="s">
        <v>89</v>
      </c>
      <c r="D597">
        <v>8.2199999999999995E-2</v>
      </c>
      <c r="E597">
        <f>Tableau4[[#This Row],[Potential (PJ)]]/3.6</f>
        <v>2.283333333333333E-2</v>
      </c>
      <c r="F597">
        <v>0</v>
      </c>
      <c r="G597">
        <f>Tableau4[[#This Row],[Cost (€/GJ)]]*3.6</f>
        <v>0</v>
      </c>
      <c r="H597">
        <v>41.1</v>
      </c>
      <c r="I597">
        <f>Tableau4[[#This Row],[GHG (kgCO2eq/GJ)]]*3.6</f>
        <v>147.96</v>
      </c>
      <c r="J597" t="s">
        <v>106</v>
      </c>
      <c r="K597" t="s">
        <v>109</v>
      </c>
    </row>
    <row r="598" spans="1:11" hidden="1" x14ac:dyDescent="0.3">
      <c r="A598" t="s">
        <v>33</v>
      </c>
      <c r="B598" t="s">
        <v>55</v>
      </c>
      <c r="C598" t="s">
        <v>90</v>
      </c>
      <c r="D598">
        <v>2.0199999999999999E-2</v>
      </c>
      <c r="E598">
        <f>Tableau4[[#This Row],[Potential (PJ)]]/3.6</f>
        <v>5.611111111111111E-3</v>
      </c>
      <c r="F598">
        <v>22.513000000000002</v>
      </c>
      <c r="G598">
        <f>Tableau4[[#This Row],[Cost (€/GJ)]]*3.6</f>
        <v>81.046800000000005</v>
      </c>
      <c r="H598">
        <v>41.1</v>
      </c>
      <c r="I598">
        <f>Tableau4[[#This Row],[GHG (kgCO2eq/GJ)]]*3.6</f>
        <v>147.96</v>
      </c>
      <c r="J598" t="s">
        <v>106</v>
      </c>
      <c r="K598" t="s">
        <v>109</v>
      </c>
    </row>
    <row r="599" spans="1:11" hidden="1" x14ac:dyDescent="0.3">
      <c r="A599" t="s">
        <v>33</v>
      </c>
      <c r="B599" t="s">
        <v>55</v>
      </c>
      <c r="C599" t="s">
        <v>92</v>
      </c>
      <c r="D599">
        <v>0.46948000000000001</v>
      </c>
      <c r="E599">
        <f>Tableau4[[#This Row],[Potential (PJ)]]/3.6</f>
        <v>0.13041111111111112</v>
      </c>
      <c r="F599">
        <v>17.239999999999998</v>
      </c>
      <c r="G599">
        <f>Tableau4[[#This Row],[Cost (€/GJ)]]*3.6</f>
        <v>62.063999999999993</v>
      </c>
      <c r="H599">
        <v>41.1</v>
      </c>
      <c r="I599">
        <f>Tableau4[[#This Row],[GHG (kgCO2eq/GJ)]]*3.6</f>
        <v>147.96</v>
      </c>
      <c r="J599" t="s">
        <v>106</v>
      </c>
      <c r="K599" t="s">
        <v>109</v>
      </c>
    </row>
    <row r="600" spans="1:11" hidden="1" x14ac:dyDescent="0.3">
      <c r="A600" t="s">
        <v>33</v>
      </c>
      <c r="B600" t="s">
        <v>56</v>
      </c>
      <c r="C600" t="s">
        <v>93</v>
      </c>
      <c r="D600">
        <v>15.794499999999999</v>
      </c>
      <c r="E600">
        <f>Tableau4[[#This Row],[Potential (PJ)]]/3.6</f>
        <v>4.3873611111111108</v>
      </c>
      <c r="F600">
        <v>2.939759036144578</v>
      </c>
      <c r="G600">
        <f>Tableau4[[#This Row],[Cost (€/GJ)]]*3.6</f>
        <v>10.583132530120482</v>
      </c>
      <c r="H600">
        <v>53.4</v>
      </c>
      <c r="I600">
        <f>Tableau4[[#This Row],[GHG (kgCO2eq/GJ)]]*3.6</f>
        <v>192.24</v>
      </c>
      <c r="J600" t="s">
        <v>106</v>
      </c>
      <c r="K600" t="s">
        <v>109</v>
      </c>
    </row>
    <row r="601" spans="1:11" x14ac:dyDescent="0.3">
      <c r="A601" t="s">
        <v>33</v>
      </c>
      <c r="B601" t="s">
        <v>47</v>
      </c>
      <c r="C601" t="s">
        <v>68</v>
      </c>
      <c r="D601">
        <v>9.5</v>
      </c>
      <c r="E601">
        <f>Tableau4[[#This Row],[Potential (PJ)]]/3.6</f>
        <v>2.6388888888888888</v>
      </c>
      <c r="F601">
        <v>6.9111578947368431</v>
      </c>
      <c r="G601">
        <f>Tableau4[[#This Row],[Cost (€/GJ)]]*3.6</f>
        <v>24.880168421052634</v>
      </c>
      <c r="H601">
        <v>23.8</v>
      </c>
      <c r="I601">
        <f>Tableau4[[#This Row],[GHG (kgCO2eq/GJ)]]*3.6</f>
        <v>85.68</v>
      </c>
      <c r="J601" t="s">
        <v>104</v>
      </c>
      <c r="K601" t="s">
        <v>109</v>
      </c>
    </row>
    <row r="602" spans="1:11" x14ac:dyDescent="0.3">
      <c r="A602" t="s">
        <v>33</v>
      </c>
      <c r="B602" t="s">
        <v>47</v>
      </c>
      <c r="C602" t="s">
        <v>69</v>
      </c>
      <c r="D602">
        <v>13.5</v>
      </c>
      <c r="E602">
        <f>Tableau4[[#This Row],[Potential (PJ)]]/3.6</f>
        <v>3.75</v>
      </c>
      <c r="F602">
        <v>6.2987925925925916</v>
      </c>
      <c r="G602">
        <f>Tableau4[[#This Row],[Cost (€/GJ)]]*3.6</f>
        <v>22.675653333333329</v>
      </c>
      <c r="H602">
        <v>23.8</v>
      </c>
      <c r="I602">
        <f>Tableau4[[#This Row],[GHG (kgCO2eq/GJ)]]*3.6</f>
        <v>85.68</v>
      </c>
      <c r="J602" t="s">
        <v>104</v>
      </c>
      <c r="K602" t="s">
        <v>109</v>
      </c>
    </row>
    <row r="603" spans="1:11" x14ac:dyDescent="0.3">
      <c r="A603" t="s">
        <v>33</v>
      </c>
      <c r="B603" t="s">
        <v>57</v>
      </c>
      <c r="C603" t="s">
        <v>94</v>
      </c>
      <c r="D603">
        <v>2.2000000000000002</v>
      </c>
      <c r="E603">
        <f>Tableau4[[#This Row],[Potential (PJ)]]/3.6</f>
        <v>0.61111111111111116</v>
      </c>
      <c r="F603">
        <v>11.907772727272731</v>
      </c>
      <c r="G603">
        <f>Tableau4[[#This Row],[Cost (€/GJ)]]*3.6</f>
        <v>42.867981818181832</v>
      </c>
      <c r="H603">
        <v>48.3</v>
      </c>
      <c r="I603">
        <f>Tableau4[[#This Row],[GHG (kgCO2eq/GJ)]]*3.6</f>
        <v>173.88</v>
      </c>
      <c r="J603" t="s">
        <v>104</v>
      </c>
      <c r="K603" t="s">
        <v>109</v>
      </c>
    </row>
    <row r="604" spans="1:11" hidden="1" x14ac:dyDescent="0.3">
      <c r="A604" t="s">
        <v>33</v>
      </c>
      <c r="B604" t="s">
        <v>49</v>
      </c>
      <c r="C604" t="s">
        <v>71</v>
      </c>
      <c r="D604">
        <v>17.411349999999999</v>
      </c>
      <c r="E604">
        <f>Tableau4[[#This Row],[Potential (PJ)]]/3.6</f>
        <v>4.8364861111111104</v>
      </c>
      <c r="F604">
        <v>2.500366552852018</v>
      </c>
      <c r="G604">
        <f>Tableau4[[#This Row],[Cost (€/GJ)]]*3.6</f>
        <v>9.0013195902672649</v>
      </c>
      <c r="H604">
        <v>3.86607608129234</v>
      </c>
      <c r="I604">
        <f>Tableau4[[#This Row],[GHG (kgCO2eq/GJ)]]*3.6</f>
        <v>13.917873892652425</v>
      </c>
      <c r="J604" t="s">
        <v>104</v>
      </c>
      <c r="K604" t="s">
        <v>108</v>
      </c>
    </row>
    <row r="605" spans="1:11" hidden="1" x14ac:dyDescent="0.3">
      <c r="A605" t="s">
        <v>33</v>
      </c>
      <c r="B605" t="s">
        <v>49</v>
      </c>
      <c r="C605" t="s">
        <v>72</v>
      </c>
      <c r="D605">
        <v>2.9</v>
      </c>
      <c r="E605">
        <f>Tableau4[[#This Row],[Potential (PJ)]]/3.6</f>
        <v>0.80555555555555547</v>
      </c>
      <c r="F605">
        <v>3.460517241379311</v>
      </c>
      <c r="G605">
        <f>Tableau4[[#This Row],[Cost (€/GJ)]]*3.6</f>
        <v>12.45786206896552</v>
      </c>
      <c r="H605">
        <v>3.86607608129234</v>
      </c>
      <c r="I605">
        <f>Tableau4[[#This Row],[GHG (kgCO2eq/GJ)]]*3.6</f>
        <v>13.917873892652425</v>
      </c>
      <c r="J605" t="s">
        <v>104</v>
      </c>
      <c r="K605" t="s">
        <v>108</v>
      </c>
    </row>
    <row r="606" spans="1:11" hidden="1" x14ac:dyDescent="0.3">
      <c r="A606" t="s">
        <v>33</v>
      </c>
      <c r="B606" t="s">
        <v>58</v>
      </c>
      <c r="C606" t="s">
        <v>95</v>
      </c>
      <c r="D606">
        <v>6.5798699999999997</v>
      </c>
      <c r="E606">
        <f>Tableau4[[#This Row],[Potential (PJ)]]/3.6</f>
        <v>1.8277416666666666</v>
      </c>
      <c r="F606">
        <v>1.4225246790590089</v>
      </c>
      <c r="G606">
        <f>Tableau4[[#This Row],[Cost (€/GJ)]]*3.6</f>
        <v>5.1210888446124319</v>
      </c>
      <c r="H606">
        <v>2.9521711768407801</v>
      </c>
      <c r="I606">
        <f>Tableau4[[#This Row],[GHG (kgCO2eq/GJ)]]*3.6</f>
        <v>10.627816236626808</v>
      </c>
      <c r="J606" t="s">
        <v>104</v>
      </c>
      <c r="K606" t="s">
        <v>108</v>
      </c>
    </row>
    <row r="607" spans="1:11" hidden="1" x14ac:dyDescent="0.3">
      <c r="A607" t="s">
        <v>33</v>
      </c>
      <c r="B607" t="s">
        <v>50</v>
      </c>
      <c r="C607" t="s">
        <v>73</v>
      </c>
      <c r="D607">
        <v>41.3</v>
      </c>
      <c r="E607">
        <f>Tableau4[[#This Row],[Potential (PJ)]]/3.6</f>
        <v>11.472222222222221</v>
      </c>
      <c r="F607">
        <v>5.9097651331719128</v>
      </c>
      <c r="G607">
        <f>Tableau4[[#This Row],[Cost (€/GJ)]]*3.6</f>
        <v>21.275154479418887</v>
      </c>
      <c r="H607">
        <v>20.723404255319149</v>
      </c>
      <c r="I607">
        <f>Tableau4[[#This Row],[GHG (kgCO2eq/GJ)]]*3.6</f>
        <v>74.604255319148933</v>
      </c>
      <c r="J607" t="s">
        <v>105</v>
      </c>
      <c r="K607" t="s">
        <v>108</v>
      </c>
    </row>
    <row r="608" spans="1:11" hidden="1" x14ac:dyDescent="0.3">
      <c r="A608" t="s">
        <v>33</v>
      </c>
      <c r="B608" t="s">
        <v>50</v>
      </c>
      <c r="C608" t="s">
        <v>74</v>
      </c>
      <c r="D608">
        <v>30.6</v>
      </c>
      <c r="E608">
        <f>Tableau4[[#This Row],[Potential (PJ)]]/3.6</f>
        <v>8.5</v>
      </c>
      <c r="F608">
        <v>6.513261437908497</v>
      </c>
      <c r="G608">
        <f>Tableau4[[#This Row],[Cost (€/GJ)]]*3.6</f>
        <v>23.44774117647059</v>
      </c>
      <c r="H608">
        <v>2.0635593220338988</v>
      </c>
      <c r="I608">
        <f>Tableau4[[#This Row],[GHG (kgCO2eq/GJ)]]*3.6</f>
        <v>7.4288135593220357</v>
      </c>
      <c r="J608" t="s">
        <v>105</v>
      </c>
      <c r="K608" t="s">
        <v>108</v>
      </c>
    </row>
    <row r="609" spans="1:11" hidden="1" x14ac:dyDescent="0.3">
      <c r="A609" t="s">
        <v>33</v>
      </c>
      <c r="B609" t="s">
        <v>59</v>
      </c>
      <c r="C609" t="s">
        <v>97</v>
      </c>
      <c r="D609">
        <v>2.7000000000000001E-3</v>
      </c>
      <c r="E609">
        <f>Tableau4[[#This Row],[Potential (PJ)]]/3.6</f>
        <v>7.5000000000000002E-4</v>
      </c>
      <c r="F609">
        <v>20.2930005425936</v>
      </c>
      <c r="G609">
        <f>Tableau4[[#This Row],[Cost (€/GJ)]]*3.6</f>
        <v>73.054801953336963</v>
      </c>
      <c r="H609">
        <v>25.7</v>
      </c>
      <c r="I609">
        <f>Tableau4[[#This Row],[GHG (kgCO2eq/GJ)]]*3.6</f>
        <v>92.52</v>
      </c>
      <c r="J609" t="s">
        <v>107</v>
      </c>
      <c r="K609" t="s">
        <v>109</v>
      </c>
    </row>
    <row r="610" spans="1:11" hidden="1" x14ac:dyDescent="0.3">
      <c r="A610" t="s">
        <v>33</v>
      </c>
      <c r="B610" t="s">
        <v>51</v>
      </c>
      <c r="C610" t="s">
        <v>75</v>
      </c>
      <c r="D610">
        <v>89.377260000000007</v>
      </c>
      <c r="E610">
        <f>Tableau4[[#This Row],[Potential (PJ)]]/3.6</f>
        <v>24.827016666666669</v>
      </c>
      <c r="F610">
        <v>3.3197090781219699E-2</v>
      </c>
      <c r="G610">
        <f>Tableau4[[#This Row],[Cost (€/GJ)]]*3.6</f>
        <v>0.11950952681239092</v>
      </c>
      <c r="H610">
        <v>11.74</v>
      </c>
      <c r="I610">
        <f>Tableau4[[#This Row],[GHG (kgCO2eq/GJ)]]*3.6</f>
        <v>42.264000000000003</v>
      </c>
      <c r="J610" t="s">
        <v>104</v>
      </c>
      <c r="K610" t="s">
        <v>108</v>
      </c>
    </row>
    <row r="611" spans="1:11" hidden="1" x14ac:dyDescent="0.3">
      <c r="A611" t="s">
        <v>33</v>
      </c>
      <c r="B611" t="s">
        <v>60</v>
      </c>
      <c r="C611" t="s">
        <v>98</v>
      </c>
      <c r="D611">
        <v>1.1520000000000001E-2</v>
      </c>
      <c r="E611">
        <f>Tableau4[[#This Row],[Potential (PJ)]]/3.6</f>
        <v>3.2000000000000002E-3</v>
      </c>
      <c r="F611">
        <v>12.19119226638024</v>
      </c>
      <c r="G611">
        <f>Tableau4[[#This Row],[Cost (€/GJ)]]*3.6</f>
        <v>43.888292158968866</v>
      </c>
      <c r="H611">
        <v>61.8</v>
      </c>
      <c r="I611">
        <f>Tableau4[[#This Row],[GHG (kgCO2eq/GJ)]]*3.6</f>
        <v>222.48</v>
      </c>
      <c r="J611" t="s">
        <v>107</v>
      </c>
      <c r="K611" t="s">
        <v>109</v>
      </c>
    </row>
    <row r="612" spans="1:11" hidden="1" x14ac:dyDescent="0.3">
      <c r="A612" t="s">
        <v>33</v>
      </c>
      <c r="B612" t="s">
        <v>52</v>
      </c>
      <c r="C612" t="s">
        <v>76</v>
      </c>
      <c r="D612">
        <v>0.71899999999999997</v>
      </c>
      <c r="E612">
        <f>Tableau4[[#This Row],[Potential (PJ)]]/3.6</f>
        <v>0.19972222222222222</v>
      </c>
      <c r="F612">
        <v>4.7567250000000003</v>
      </c>
      <c r="G612">
        <f>Tableau4[[#This Row],[Cost (€/GJ)]]*3.6</f>
        <v>17.124210000000001</v>
      </c>
      <c r="H612">
        <v>12.68872359754714</v>
      </c>
      <c r="I612">
        <f>Tableau4[[#This Row],[GHG (kgCO2eq/GJ)]]*3.6</f>
        <v>45.679404951169708</v>
      </c>
      <c r="J612" t="s">
        <v>105</v>
      </c>
      <c r="K612" t="s">
        <v>108</v>
      </c>
    </row>
    <row r="613" spans="1:11" hidden="1" x14ac:dyDescent="0.3">
      <c r="A613" t="s">
        <v>33</v>
      </c>
      <c r="B613" t="s">
        <v>53</v>
      </c>
      <c r="C613" t="s">
        <v>77</v>
      </c>
      <c r="D613">
        <v>1.2</v>
      </c>
      <c r="E613">
        <f>Tableau4[[#This Row],[Potential (PJ)]]/3.6</f>
        <v>0.33333333333333331</v>
      </c>
      <c r="F613">
        <v>3.459916666666667</v>
      </c>
      <c r="G613">
        <f>Tableau4[[#This Row],[Cost (€/GJ)]]*3.6</f>
        <v>12.455700000000002</v>
      </c>
      <c r="H613">
        <v>3.86607608129234</v>
      </c>
      <c r="I613">
        <f>Tableau4[[#This Row],[GHG (kgCO2eq/GJ)]]*3.6</f>
        <v>13.917873892652425</v>
      </c>
      <c r="J613" t="s">
        <v>104</v>
      </c>
      <c r="K613" t="s">
        <v>108</v>
      </c>
    </row>
    <row r="614" spans="1:11" hidden="1" x14ac:dyDescent="0.3">
      <c r="A614" t="s">
        <v>33</v>
      </c>
      <c r="B614" t="s">
        <v>61</v>
      </c>
      <c r="C614" t="s">
        <v>99</v>
      </c>
      <c r="D614">
        <v>1.3</v>
      </c>
      <c r="E614">
        <f>Tableau4[[#This Row],[Potential (PJ)]]/3.6</f>
        <v>0.3611111111111111</v>
      </c>
      <c r="F614">
        <v>1.6473076923076919</v>
      </c>
      <c r="G614">
        <f>Tableau4[[#This Row],[Cost (€/GJ)]]*3.6</f>
        <v>5.9303076923076912</v>
      </c>
      <c r="H614">
        <v>2.9245635910224439</v>
      </c>
      <c r="I614">
        <f>Tableau4[[#This Row],[GHG (kgCO2eq/GJ)]]*3.6</f>
        <v>10.528428927680798</v>
      </c>
      <c r="J614" t="s">
        <v>104</v>
      </c>
      <c r="K614" t="s">
        <v>108</v>
      </c>
    </row>
    <row r="615" spans="1:11" hidden="1" x14ac:dyDescent="0.3">
      <c r="A615" t="s">
        <v>33</v>
      </c>
      <c r="B615" t="s">
        <v>62</v>
      </c>
      <c r="C615" t="s">
        <v>100</v>
      </c>
      <c r="D615">
        <v>0.2</v>
      </c>
      <c r="E615">
        <f>Tableau4[[#This Row],[Potential (PJ)]]/3.6</f>
        <v>5.5555555555555559E-2</v>
      </c>
      <c r="F615">
        <v>0.1</v>
      </c>
      <c r="G615">
        <f>Tableau4[[#This Row],[Cost (€/GJ)]]*3.6</f>
        <v>0.36000000000000004</v>
      </c>
      <c r="H615">
        <v>2.6764106050305911</v>
      </c>
      <c r="I615">
        <f>Tableau4[[#This Row],[GHG (kgCO2eq/GJ)]]*3.6</f>
        <v>9.6350781781101276</v>
      </c>
      <c r="J615" t="s">
        <v>104</v>
      </c>
      <c r="K615" t="s">
        <v>108</v>
      </c>
    </row>
    <row r="616" spans="1:11" hidden="1" x14ac:dyDescent="0.3">
      <c r="A616" t="s">
        <v>33</v>
      </c>
      <c r="B616" t="s">
        <v>54</v>
      </c>
      <c r="C616" t="s">
        <v>78</v>
      </c>
      <c r="D616">
        <v>8</v>
      </c>
      <c r="E616">
        <f>Tableau4[[#This Row],[Potential (PJ)]]/3.6</f>
        <v>2.2222222222222223</v>
      </c>
      <c r="F616">
        <v>7.1039750000000002</v>
      </c>
      <c r="G616">
        <f>Tableau4[[#This Row],[Cost (€/GJ)]]*3.6</f>
        <v>25.574310000000001</v>
      </c>
      <c r="H616">
        <v>3.86607608129234</v>
      </c>
      <c r="I616">
        <f>Tableau4[[#This Row],[GHG (kgCO2eq/GJ)]]*3.6</f>
        <v>13.917873892652425</v>
      </c>
      <c r="J616" t="s">
        <v>104</v>
      </c>
      <c r="K616" t="s">
        <v>108</v>
      </c>
    </row>
    <row r="617" spans="1:11" x14ac:dyDescent="0.3">
      <c r="A617" t="s">
        <v>34</v>
      </c>
      <c r="B617" t="s">
        <v>47</v>
      </c>
      <c r="C617" t="s">
        <v>101</v>
      </c>
      <c r="D617">
        <v>6</v>
      </c>
      <c r="E617">
        <f>Tableau4[[#This Row],[Potential (PJ)]]/3.6</f>
        <v>1.6666666666666665</v>
      </c>
      <c r="F617">
        <v>7.4660000000000002</v>
      </c>
      <c r="G617">
        <f>Tableau4[[#This Row],[Cost (€/GJ)]]*3.6</f>
        <v>26.877600000000001</v>
      </c>
      <c r="H617">
        <v>0</v>
      </c>
      <c r="I617">
        <f>Tableau4[[#This Row],[GHG (kgCO2eq/GJ)]]*3.6</f>
        <v>0</v>
      </c>
      <c r="J617" t="s">
        <v>104</v>
      </c>
      <c r="K617" t="s">
        <v>109</v>
      </c>
    </row>
    <row r="618" spans="1:11" x14ac:dyDescent="0.3">
      <c r="A618" t="s">
        <v>34</v>
      </c>
      <c r="B618" t="s">
        <v>57</v>
      </c>
      <c r="C618" t="s">
        <v>94</v>
      </c>
      <c r="D618">
        <v>5.6</v>
      </c>
      <c r="E618">
        <f>Tableau4[[#This Row],[Potential (PJ)]]/3.6</f>
        <v>1.5555555555555554</v>
      </c>
      <c r="F618">
        <v>13.009</v>
      </c>
      <c r="G618">
        <f>Tableau4[[#This Row],[Cost (€/GJ)]]*3.6</f>
        <v>46.8324</v>
      </c>
      <c r="H618">
        <v>0</v>
      </c>
      <c r="I618">
        <f>Tableau4[[#This Row],[GHG (kgCO2eq/GJ)]]*3.6</f>
        <v>0</v>
      </c>
      <c r="J618" t="s">
        <v>104</v>
      </c>
      <c r="K618" t="s">
        <v>109</v>
      </c>
    </row>
    <row r="619" spans="1:11" hidden="1" x14ac:dyDescent="0.3">
      <c r="A619" t="s">
        <v>34</v>
      </c>
      <c r="B619" t="s">
        <v>49</v>
      </c>
      <c r="C619" t="s">
        <v>71</v>
      </c>
      <c r="D619">
        <v>125.68492999999999</v>
      </c>
      <c r="E619">
        <f>Tableau4[[#This Row],[Potential (PJ)]]/3.6</f>
        <v>34.912480555555554</v>
      </c>
      <c r="F619">
        <v>3.5437552054967929</v>
      </c>
      <c r="G619">
        <f>Tableau4[[#This Row],[Cost (€/GJ)]]*3.6</f>
        <v>12.757518739788456</v>
      </c>
      <c r="H619">
        <v>3.86607608129234</v>
      </c>
      <c r="I619">
        <f>Tableau4[[#This Row],[GHG (kgCO2eq/GJ)]]*3.6</f>
        <v>13.917873892652425</v>
      </c>
      <c r="J619" t="s">
        <v>104</v>
      </c>
      <c r="K619" t="s">
        <v>108</v>
      </c>
    </row>
    <row r="620" spans="1:11" hidden="1" x14ac:dyDescent="0.3">
      <c r="A620" t="s">
        <v>34</v>
      </c>
      <c r="B620" t="s">
        <v>49</v>
      </c>
      <c r="C620" t="s">
        <v>72</v>
      </c>
      <c r="D620">
        <v>10.9</v>
      </c>
      <c r="E620">
        <f>Tableau4[[#This Row],[Potential (PJ)]]/3.6</f>
        <v>3.0277777777777777</v>
      </c>
      <c r="F620">
        <v>2.8321284403669731</v>
      </c>
      <c r="G620">
        <f>Tableau4[[#This Row],[Cost (€/GJ)]]*3.6</f>
        <v>10.195662385321103</v>
      </c>
      <c r="H620">
        <v>3.86607608129234</v>
      </c>
      <c r="I620">
        <f>Tableau4[[#This Row],[GHG (kgCO2eq/GJ)]]*3.6</f>
        <v>13.917873892652425</v>
      </c>
      <c r="J620" t="s">
        <v>104</v>
      </c>
      <c r="K620" t="s">
        <v>108</v>
      </c>
    </row>
    <row r="621" spans="1:11" hidden="1" x14ac:dyDescent="0.3">
      <c r="A621" t="s">
        <v>34</v>
      </c>
      <c r="B621" t="s">
        <v>51</v>
      </c>
      <c r="C621" t="s">
        <v>75</v>
      </c>
      <c r="D621">
        <v>42.07938</v>
      </c>
      <c r="E621">
        <f>Tableau4[[#This Row],[Potential (PJ)]]/3.6</f>
        <v>11.688716666666666</v>
      </c>
      <c r="F621">
        <v>2.67770429980423E-3</v>
      </c>
      <c r="G621">
        <f>Tableau4[[#This Row],[Cost (€/GJ)]]*3.6</f>
        <v>9.6397354792952285E-3</v>
      </c>
      <c r="H621">
        <v>11.74</v>
      </c>
      <c r="I621">
        <f>Tableau4[[#This Row],[GHG (kgCO2eq/GJ)]]*3.6</f>
        <v>42.264000000000003</v>
      </c>
      <c r="J621" t="s">
        <v>104</v>
      </c>
      <c r="K621" t="s">
        <v>108</v>
      </c>
    </row>
    <row r="622" spans="1:11" hidden="1" x14ac:dyDescent="0.3">
      <c r="A622" t="s">
        <v>34</v>
      </c>
      <c r="B622" t="s">
        <v>52</v>
      </c>
      <c r="C622" t="s">
        <v>76</v>
      </c>
      <c r="D622">
        <v>1.4059999999999999</v>
      </c>
      <c r="E622">
        <f>Tableau4[[#This Row],[Potential (PJ)]]/3.6</f>
        <v>0.39055555555555554</v>
      </c>
      <c r="F622">
        <v>4.7567250000000003</v>
      </c>
      <c r="G622">
        <f>Tableau4[[#This Row],[Cost (€/GJ)]]*3.6</f>
        <v>17.124210000000001</v>
      </c>
      <c r="H622">
        <v>12.68872359754714</v>
      </c>
      <c r="I622">
        <f>Tableau4[[#This Row],[GHG (kgCO2eq/GJ)]]*3.6</f>
        <v>45.679404951169708</v>
      </c>
      <c r="J622" t="s">
        <v>105</v>
      </c>
      <c r="K622" t="s">
        <v>108</v>
      </c>
    </row>
    <row r="623" spans="1:11" hidden="1" x14ac:dyDescent="0.3">
      <c r="A623" t="s">
        <v>34</v>
      </c>
      <c r="B623" t="s">
        <v>53</v>
      </c>
      <c r="C623" t="s">
        <v>77</v>
      </c>
      <c r="D623">
        <v>6.8</v>
      </c>
      <c r="E623">
        <f>Tableau4[[#This Row],[Potential (PJ)]]/3.6</f>
        <v>1.8888888888888888</v>
      </c>
      <c r="F623">
        <v>2.8322205882352942</v>
      </c>
      <c r="G623">
        <f>Tableau4[[#This Row],[Cost (€/GJ)]]*3.6</f>
        <v>10.195994117647059</v>
      </c>
      <c r="H623">
        <v>3.86607608129234</v>
      </c>
      <c r="I623">
        <f>Tableau4[[#This Row],[GHG (kgCO2eq/GJ)]]*3.6</f>
        <v>13.917873892652425</v>
      </c>
      <c r="J623" t="s">
        <v>104</v>
      </c>
      <c r="K623" t="s">
        <v>108</v>
      </c>
    </row>
    <row r="624" spans="1:11" hidden="1" x14ac:dyDescent="0.3">
      <c r="A624" t="s">
        <v>34</v>
      </c>
      <c r="B624" t="s">
        <v>54</v>
      </c>
      <c r="C624" t="s">
        <v>78</v>
      </c>
      <c r="D624">
        <v>79</v>
      </c>
      <c r="E624">
        <f>Tableau4[[#This Row],[Potential (PJ)]]/3.6</f>
        <v>21.944444444444443</v>
      </c>
      <c r="F624">
        <v>5.730632911392405</v>
      </c>
      <c r="G624">
        <f>Tableau4[[#This Row],[Cost (€/GJ)]]*3.6</f>
        <v>20.63027848101266</v>
      </c>
      <c r="H624">
        <v>3.86607608129234</v>
      </c>
      <c r="I624">
        <f>Tableau4[[#This Row],[GHG (kgCO2eq/GJ)]]*3.6</f>
        <v>13.917873892652425</v>
      </c>
      <c r="J624" t="s">
        <v>104</v>
      </c>
      <c r="K624" t="s">
        <v>108</v>
      </c>
    </row>
    <row r="625" spans="1:11" hidden="1" x14ac:dyDescent="0.3">
      <c r="A625" t="s">
        <v>35</v>
      </c>
      <c r="B625" t="s">
        <v>46</v>
      </c>
      <c r="C625" t="s">
        <v>64</v>
      </c>
      <c r="D625">
        <v>3.18554</v>
      </c>
      <c r="E625">
        <f>Tableau4[[#This Row],[Potential (PJ)]]/3.6</f>
        <v>0.88487222222222217</v>
      </c>
      <c r="F625">
        <v>5.9432818799952294</v>
      </c>
      <c r="G625">
        <f>Tableau4[[#This Row],[Cost (€/GJ)]]*3.6</f>
        <v>21.395814767982827</v>
      </c>
      <c r="H625">
        <v>2.9521711768407801</v>
      </c>
      <c r="I625">
        <f>Tableau4[[#This Row],[GHG (kgCO2eq/GJ)]]*3.6</f>
        <v>10.627816236626808</v>
      </c>
      <c r="J625" t="s">
        <v>104</v>
      </c>
      <c r="K625" t="s">
        <v>108</v>
      </c>
    </row>
    <row r="626" spans="1:11" hidden="1" x14ac:dyDescent="0.3">
      <c r="A626" t="s">
        <v>35</v>
      </c>
      <c r="B626" t="s">
        <v>46</v>
      </c>
      <c r="C626" t="s">
        <v>79</v>
      </c>
      <c r="D626">
        <v>78.400000000000006</v>
      </c>
      <c r="E626">
        <f>Tableau4[[#This Row],[Potential (PJ)]]/3.6</f>
        <v>21.777777777777779</v>
      </c>
      <c r="F626">
        <v>2.025192602040816</v>
      </c>
      <c r="G626">
        <f>Tableau4[[#This Row],[Cost (€/GJ)]]*3.6</f>
        <v>7.2906933673469378</v>
      </c>
      <c r="H626">
        <v>6.8428961748633883</v>
      </c>
      <c r="I626">
        <f>Tableau4[[#This Row],[GHG (kgCO2eq/GJ)]]*3.6</f>
        <v>24.634426229508197</v>
      </c>
      <c r="J626" t="s">
        <v>104</v>
      </c>
      <c r="K626" t="s">
        <v>108</v>
      </c>
    </row>
    <row r="627" spans="1:11" hidden="1" x14ac:dyDescent="0.3">
      <c r="A627" t="s">
        <v>35</v>
      </c>
      <c r="B627" t="s">
        <v>46</v>
      </c>
      <c r="C627" t="s">
        <v>65</v>
      </c>
      <c r="D627">
        <v>5.0999999999999996</v>
      </c>
      <c r="E627">
        <f>Tableau4[[#This Row],[Potential (PJ)]]/3.6</f>
        <v>1.4166666666666665</v>
      </c>
      <c r="F627">
        <v>3.637960784313726</v>
      </c>
      <c r="G627">
        <f>Tableau4[[#This Row],[Cost (€/GJ)]]*3.6</f>
        <v>13.096658823529413</v>
      </c>
      <c r="H627">
        <v>2.9521711768407801</v>
      </c>
      <c r="I627">
        <f>Tableau4[[#This Row],[GHG (kgCO2eq/GJ)]]*3.6</f>
        <v>10.627816236626808</v>
      </c>
      <c r="J627" t="s">
        <v>104</v>
      </c>
      <c r="K627" t="s">
        <v>108</v>
      </c>
    </row>
    <row r="628" spans="1:11" hidden="1" x14ac:dyDescent="0.3">
      <c r="A628" t="s">
        <v>35</v>
      </c>
      <c r="B628" t="s">
        <v>46</v>
      </c>
      <c r="C628" t="s">
        <v>80</v>
      </c>
      <c r="D628">
        <v>1.2668999999999999</v>
      </c>
      <c r="E628">
        <f>Tableau4[[#This Row],[Potential (PJ)]]/3.6</f>
        <v>0.35191666666666666</v>
      </c>
      <c r="F628">
        <v>0.46459878624409978</v>
      </c>
      <c r="G628">
        <f>Tableau4[[#This Row],[Cost (€/GJ)]]*3.6</f>
        <v>1.6725556304787592</v>
      </c>
      <c r="H628">
        <v>28.139870918023309</v>
      </c>
      <c r="I628">
        <f>Tableau4[[#This Row],[GHG (kgCO2eq/GJ)]]*3.6</f>
        <v>101.30353530488391</v>
      </c>
      <c r="J628" t="s">
        <v>105</v>
      </c>
      <c r="K628" t="s">
        <v>108</v>
      </c>
    </row>
    <row r="629" spans="1:11" hidden="1" x14ac:dyDescent="0.3">
      <c r="A629" t="s">
        <v>35</v>
      </c>
      <c r="B629" t="s">
        <v>46</v>
      </c>
      <c r="C629" t="s">
        <v>81</v>
      </c>
      <c r="D629">
        <v>4.8923000000000014</v>
      </c>
      <c r="E629">
        <f>Tableau4[[#This Row],[Potential (PJ)]]/3.6</f>
        <v>1.3589722222222227</v>
      </c>
      <c r="F629">
        <v>0.69388954171562867</v>
      </c>
      <c r="G629">
        <f>Tableau4[[#This Row],[Cost (€/GJ)]]*3.6</f>
        <v>2.4980023501762632</v>
      </c>
      <c r="H629">
        <v>8.9647473560517046</v>
      </c>
      <c r="I629">
        <f>Tableau4[[#This Row],[GHG (kgCO2eq/GJ)]]*3.6</f>
        <v>32.273090481786134</v>
      </c>
      <c r="J629" t="s">
        <v>105</v>
      </c>
      <c r="K629" t="s">
        <v>108</v>
      </c>
    </row>
    <row r="630" spans="1:11" hidden="1" x14ac:dyDescent="0.3">
      <c r="A630" t="s">
        <v>35</v>
      </c>
      <c r="B630" t="s">
        <v>46</v>
      </c>
      <c r="C630" t="s">
        <v>66</v>
      </c>
      <c r="D630">
        <v>0.1</v>
      </c>
      <c r="E630">
        <f>Tableau4[[#This Row],[Potential (PJ)]]/3.6</f>
        <v>2.777777777777778E-2</v>
      </c>
      <c r="F630">
        <v>2.1469999999999998</v>
      </c>
      <c r="G630">
        <f>Tableau4[[#This Row],[Cost (€/GJ)]]*3.6</f>
        <v>7.7291999999999996</v>
      </c>
      <c r="H630">
        <v>6.8428961748633883</v>
      </c>
      <c r="I630">
        <f>Tableau4[[#This Row],[GHG (kgCO2eq/GJ)]]*3.6</f>
        <v>24.634426229508197</v>
      </c>
      <c r="J630" t="s">
        <v>104</v>
      </c>
      <c r="K630" t="s">
        <v>108</v>
      </c>
    </row>
    <row r="631" spans="1:11" hidden="1" x14ac:dyDescent="0.3">
      <c r="A631" t="s">
        <v>35</v>
      </c>
      <c r="B631" t="s">
        <v>46</v>
      </c>
      <c r="C631" t="s">
        <v>82</v>
      </c>
      <c r="D631">
        <v>8.6</v>
      </c>
      <c r="E631">
        <f>Tableau4[[#This Row],[Potential (PJ)]]/3.6</f>
        <v>2.3888888888888888</v>
      </c>
      <c r="F631">
        <v>1.3062558139534881</v>
      </c>
      <c r="G631">
        <f>Tableau4[[#This Row],[Cost (€/GJ)]]*3.6</f>
        <v>4.7025209302325575</v>
      </c>
      <c r="H631">
        <v>6.8428961748633883</v>
      </c>
      <c r="I631">
        <f>Tableau4[[#This Row],[GHG (kgCO2eq/GJ)]]*3.6</f>
        <v>24.634426229508197</v>
      </c>
      <c r="J631" t="s">
        <v>104</v>
      </c>
      <c r="K631" t="s">
        <v>108</v>
      </c>
    </row>
    <row r="632" spans="1:11" hidden="1" x14ac:dyDescent="0.3">
      <c r="A632" t="s">
        <v>35</v>
      </c>
      <c r="B632" t="s">
        <v>46</v>
      </c>
      <c r="C632" t="s">
        <v>84</v>
      </c>
      <c r="D632">
        <v>2.1</v>
      </c>
      <c r="E632">
        <f>Tableau4[[#This Row],[Potential (PJ)]]/3.6</f>
        <v>0.58333333333333337</v>
      </c>
      <c r="F632">
        <v>1.3849523809523809</v>
      </c>
      <c r="G632">
        <f>Tableau4[[#This Row],[Cost (€/GJ)]]*3.6</f>
        <v>4.9858285714285717</v>
      </c>
      <c r="H632">
        <v>28.139870918023309</v>
      </c>
      <c r="I632">
        <f>Tableau4[[#This Row],[GHG (kgCO2eq/GJ)]]*3.6</f>
        <v>101.30353530488391</v>
      </c>
      <c r="J632" t="s">
        <v>105</v>
      </c>
      <c r="K632" t="s">
        <v>108</v>
      </c>
    </row>
    <row r="633" spans="1:11" hidden="1" x14ac:dyDescent="0.3">
      <c r="A633" t="s">
        <v>35</v>
      </c>
      <c r="B633" t="s">
        <v>55</v>
      </c>
      <c r="C633" t="s">
        <v>86</v>
      </c>
      <c r="D633">
        <v>6.1764999999999999</v>
      </c>
      <c r="E633">
        <f>Tableau4[[#This Row],[Potential (PJ)]]/3.6</f>
        <v>1.7156944444444444</v>
      </c>
      <c r="F633">
        <v>14.813999999999989</v>
      </c>
      <c r="G633">
        <f>Tableau4[[#This Row],[Cost (€/GJ)]]*3.6</f>
        <v>53.330399999999962</v>
      </c>
      <c r="H633">
        <v>12.3</v>
      </c>
      <c r="I633">
        <f>Tableau4[[#This Row],[GHG (kgCO2eq/GJ)]]*3.6</f>
        <v>44.28</v>
      </c>
      <c r="J633" t="s">
        <v>106</v>
      </c>
      <c r="K633" t="s">
        <v>109</v>
      </c>
    </row>
    <row r="634" spans="1:11" hidden="1" x14ac:dyDescent="0.3">
      <c r="A634" t="s">
        <v>35</v>
      </c>
      <c r="B634" t="s">
        <v>55</v>
      </c>
      <c r="C634" t="s">
        <v>88</v>
      </c>
      <c r="D634">
        <v>0.1129</v>
      </c>
      <c r="E634">
        <f>Tableau4[[#This Row],[Potential (PJ)]]/3.6</f>
        <v>3.136111111111111E-2</v>
      </c>
      <c r="F634">
        <v>15.557</v>
      </c>
      <c r="G634">
        <f>Tableau4[[#This Row],[Cost (€/GJ)]]*3.6</f>
        <v>56.005200000000002</v>
      </c>
      <c r="H634">
        <v>12.3</v>
      </c>
      <c r="I634">
        <f>Tableau4[[#This Row],[GHG (kgCO2eq/GJ)]]*3.6</f>
        <v>44.28</v>
      </c>
      <c r="J634" t="s">
        <v>106</v>
      </c>
      <c r="K634" t="s">
        <v>109</v>
      </c>
    </row>
    <row r="635" spans="1:11" hidden="1" x14ac:dyDescent="0.3">
      <c r="A635" t="s">
        <v>35</v>
      </c>
      <c r="B635" t="s">
        <v>55</v>
      </c>
      <c r="C635" t="s">
        <v>90</v>
      </c>
      <c r="D635">
        <v>0.36609999999999998</v>
      </c>
      <c r="E635">
        <f>Tableau4[[#This Row],[Potential (PJ)]]/3.6</f>
        <v>0.10169444444444443</v>
      </c>
      <c r="F635">
        <v>15.294</v>
      </c>
      <c r="G635">
        <f>Tableau4[[#This Row],[Cost (€/GJ)]]*3.6</f>
        <v>55.058400000000006</v>
      </c>
      <c r="H635">
        <v>12.3</v>
      </c>
      <c r="I635">
        <f>Tableau4[[#This Row],[GHG (kgCO2eq/GJ)]]*3.6</f>
        <v>44.28</v>
      </c>
      <c r="J635" t="s">
        <v>106</v>
      </c>
      <c r="K635" t="s">
        <v>109</v>
      </c>
    </row>
    <row r="636" spans="1:11" hidden="1" x14ac:dyDescent="0.3">
      <c r="A636" t="s">
        <v>35</v>
      </c>
      <c r="B636" t="s">
        <v>55</v>
      </c>
      <c r="C636" t="s">
        <v>91</v>
      </c>
      <c r="D636">
        <v>9.4757999999999996</v>
      </c>
      <c r="E636">
        <f>Tableau4[[#This Row],[Potential (PJ)]]/3.6</f>
        <v>2.6321666666666665</v>
      </c>
      <c r="F636">
        <v>12.90199999999999</v>
      </c>
      <c r="G636">
        <f>Tableau4[[#This Row],[Cost (€/GJ)]]*3.6</f>
        <v>46.447199999999967</v>
      </c>
      <c r="H636">
        <v>12.3</v>
      </c>
      <c r="I636">
        <f>Tableau4[[#This Row],[GHG (kgCO2eq/GJ)]]*3.6</f>
        <v>44.28</v>
      </c>
      <c r="J636" t="s">
        <v>106</v>
      </c>
      <c r="K636" t="s">
        <v>109</v>
      </c>
    </row>
    <row r="637" spans="1:11" hidden="1" x14ac:dyDescent="0.3">
      <c r="A637" t="s">
        <v>35</v>
      </c>
      <c r="B637" t="s">
        <v>55</v>
      </c>
      <c r="C637" t="s">
        <v>92</v>
      </c>
      <c r="D637">
        <v>4.1813599999999997</v>
      </c>
      <c r="E637">
        <f>Tableau4[[#This Row],[Potential (PJ)]]/3.6</f>
        <v>1.1614888888888888</v>
      </c>
      <c r="F637">
        <v>15.932</v>
      </c>
      <c r="G637">
        <f>Tableau4[[#This Row],[Cost (€/GJ)]]*3.6</f>
        <v>57.355200000000004</v>
      </c>
      <c r="H637">
        <v>12.3</v>
      </c>
      <c r="I637">
        <f>Tableau4[[#This Row],[GHG (kgCO2eq/GJ)]]*3.6</f>
        <v>44.28</v>
      </c>
      <c r="J637" t="s">
        <v>106</v>
      </c>
      <c r="K637" t="s">
        <v>109</v>
      </c>
    </row>
    <row r="638" spans="1:11" hidden="1" x14ac:dyDescent="0.3">
      <c r="A638" t="s">
        <v>35</v>
      </c>
      <c r="B638" t="s">
        <v>56</v>
      </c>
      <c r="C638" t="s">
        <v>93</v>
      </c>
      <c r="D638">
        <v>146.33920000000001</v>
      </c>
      <c r="E638">
        <f>Tableau4[[#This Row],[Potential (PJ)]]/3.6</f>
        <v>40.649777777777778</v>
      </c>
      <c r="F638">
        <v>2.9493975903614462</v>
      </c>
      <c r="G638">
        <f>Tableau4[[#This Row],[Cost (€/GJ)]]*3.6</f>
        <v>10.617831325301207</v>
      </c>
      <c r="H638">
        <v>29.5</v>
      </c>
      <c r="I638">
        <f>Tableau4[[#This Row],[GHG (kgCO2eq/GJ)]]*3.6</f>
        <v>106.2</v>
      </c>
      <c r="J638" t="s">
        <v>106</v>
      </c>
      <c r="K638" t="s">
        <v>109</v>
      </c>
    </row>
    <row r="639" spans="1:11" x14ac:dyDescent="0.3">
      <c r="A639" t="s">
        <v>35</v>
      </c>
      <c r="B639" t="s">
        <v>47</v>
      </c>
      <c r="C639" t="s">
        <v>101</v>
      </c>
      <c r="D639">
        <v>292</v>
      </c>
      <c r="E639">
        <f>Tableau4[[#This Row],[Potential (PJ)]]/3.6</f>
        <v>81.111111111111114</v>
      </c>
      <c r="F639">
        <v>3.2888986301369858</v>
      </c>
      <c r="G639">
        <f>Tableau4[[#This Row],[Cost (€/GJ)]]*3.6</f>
        <v>11.840035068493149</v>
      </c>
      <c r="H639">
        <v>44</v>
      </c>
      <c r="I639">
        <f>Tableau4[[#This Row],[GHG (kgCO2eq/GJ)]]*3.6</f>
        <v>158.4</v>
      </c>
      <c r="J639" t="s">
        <v>104</v>
      </c>
      <c r="K639" t="s">
        <v>109</v>
      </c>
    </row>
    <row r="640" spans="1:11" x14ac:dyDescent="0.3">
      <c r="A640" t="s">
        <v>35</v>
      </c>
      <c r="B640" t="s">
        <v>57</v>
      </c>
      <c r="C640" t="s">
        <v>94</v>
      </c>
      <c r="D640">
        <v>131</v>
      </c>
      <c r="E640">
        <f>Tableau4[[#This Row],[Potential (PJ)]]/3.6</f>
        <v>36.388888888888886</v>
      </c>
      <c r="F640">
        <v>7.3087770992366412</v>
      </c>
      <c r="G640">
        <f>Tableau4[[#This Row],[Cost (€/GJ)]]*3.6</f>
        <v>26.311597557251908</v>
      </c>
      <c r="H640">
        <v>19.899999999999999</v>
      </c>
      <c r="I640">
        <f>Tableau4[[#This Row],[GHG (kgCO2eq/GJ)]]*3.6</f>
        <v>71.64</v>
      </c>
      <c r="J640" t="s">
        <v>104</v>
      </c>
      <c r="K640" t="s">
        <v>109</v>
      </c>
    </row>
    <row r="641" spans="1:11" hidden="1" x14ac:dyDescent="0.3">
      <c r="A641" t="s">
        <v>35</v>
      </c>
      <c r="B641" t="s">
        <v>49</v>
      </c>
      <c r="C641" t="s">
        <v>71</v>
      </c>
      <c r="D641">
        <v>506.86909000000003</v>
      </c>
      <c r="E641">
        <f>Tableau4[[#This Row],[Potential (PJ)]]/3.6</f>
        <v>140.79696944444444</v>
      </c>
      <c r="F641">
        <v>2.1189578213183209</v>
      </c>
      <c r="G641">
        <f>Tableau4[[#This Row],[Cost (€/GJ)]]*3.6</f>
        <v>7.628248156745955</v>
      </c>
      <c r="H641">
        <v>3.86607608129234</v>
      </c>
      <c r="I641">
        <f>Tableau4[[#This Row],[GHG (kgCO2eq/GJ)]]*3.6</f>
        <v>13.917873892652425</v>
      </c>
      <c r="J641" t="s">
        <v>104</v>
      </c>
      <c r="K641" t="s">
        <v>108</v>
      </c>
    </row>
    <row r="642" spans="1:11" hidden="1" x14ac:dyDescent="0.3">
      <c r="A642" t="s">
        <v>35</v>
      </c>
      <c r="B642" t="s">
        <v>49</v>
      </c>
      <c r="C642" t="s">
        <v>72</v>
      </c>
      <c r="D642">
        <v>24.8</v>
      </c>
      <c r="E642">
        <f>Tableau4[[#This Row],[Potential (PJ)]]/3.6</f>
        <v>6.8888888888888893</v>
      </c>
      <c r="F642">
        <v>2.8338467741935491</v>
      </c>
      <c r="G642">
        <f>Tableau4[[#This Row],[Cost (€/GJ)]]*3.6</f>
        <v>10.201848387096778</v>
      </c>
      <c r="H642">
        <v>3.86607608129234</v>
      </c>
      <c r="I642">
        <f>Tableau4[[#This Row],[GHG (kgCO2eq/GJ)]]*3.6</f>
        <v>13.917873892652425</v>
      </c>
      <c r="J642" t="s">
        <v>104</v>
      </c>
      <c r="K642" t="s">
        <v>108</v>
      </c>
    </row>
    <row r="643" spans="1:11" hidden="1" x14ac:dyDescent="0.3">
      <c r="A643" t="s">
        <v>35</v>
      </c>
      <c r="B643" t="s">
        <v>58</v>
      </c>
      <c r="C643" t="s">
        <v>95</v>
      </c>
      <c r="D643">
        <v>49.783070000000002</v>
      </c>
      <c r="E643">
        <f>Tableau4[[#This Row],[Potential (PJ)]]/3.6</f>
        <v>13.828630555555556</v>
      </c>
      <c r="F643">
        <v>0.20460933727068259</v>
      </c>
      <c r="G643">
        <f>Tableau4[[#This Row],[Cost (€/GJ)]]*3.6</f>
        <v>0.73659361417445735</v>
      </c>
      <c r="H643">
        <v>2.9521711768407801</v>
      </c>
      <c r="I643">
        <f>Tableau4[[#This Row],[GHG (kgCO2eq/GJ)]]*3.6</f>
        <v>10.627816236626808</v>
      </c>
      <c r="J643" t="s">
        <v>104</v>
      </c>
      <c r="K643" t="s">
        <v>108</v>
      </c>
    </row>
    <row r="644" spans="1:11" hidden="1" x14ac:dyDescent="0.3">
      <c r="A644" t="s">
        <v>35</v>
      </c>
      <c r="B644" t="s">
        <v>50</v>
      </c>
      <c r="C644" t="s">
        <v>73</v>
      </c>
      <c r="D644">
        <v>6.1</v>
      </c>
      <c r="E644">
        <f>Tableau4[[#This Row],[Potential (PJ)]]/3.6</f>
        <v>1.6944444444444442</v>
      </c>
      <c r="F644">
        <v>5.1070000000000002</v>
      </c>
      <c r="G644">
        <f>Tableau4[[#This Row],[Cost (€/GJ)]]*3.6</f>
        <v>18.385200000000001</v>
      </c>
      <c r="H644">
        <v>20.723404255319149</v>
      </c>
      <c r="I644">
        <f>Tableau4[[#This Row],[GHG (kgCO2eq/GJ)]]*3.6</f>
        <v>74.604255319148933</v>
      </c>
      <c r="J644" t="s">
        <v>105</v>
      </c>
      <c r="K644" t="s">
        <v>108</v>
      </c>
    </row>
    <row r="645" spans="1:11" hidden="1" x14ac:dyDescent="0.3">
      <c r="A645" t="s">
        <v>35</v>
      </c>
      <c r="B645" t="s">
        <v>50</v>
      </c>
      <c r="C645" t="s">
        <v>74</v>
      </c>
      <c r="D645">
        <v>110.2</v>
      </c>
      <c r="E645">
        <f>Tableau4[[#This Row],[Potential (PJ)]]/3.6</f>
        <v>30.611111111111111</v>
      </c>
      <c r="F645">
        <v>3.7998484573502722</v>
      </c>
      <c r="G645">
        <f>Tableau4[[#This Row],[Cost (€/GJ)]]*3.6</f>
        <v>13.67945444646098</v>
      </c>
      <c r="H645">
        <v>2.0635593220338988</v>
      </c>
      <c r="I645">
        <f>Tableau4[[#This Row],[GHG (kgCO2eq/GJ)]]*3.6</f>
        <v>7.4288135593220357</v>
      </c>
      <c r="J645" t="s">
        <v>105</v>
      </c>
      <c r="K645" t="s">
        <v>108</v>
      </c>
    </row>
    <row r="646" spans="1:11" hidden="1" x14ac:dyDescent="0.3">
      <c r="A646" t="s">
        <v>35</v>
      </c>
      <c r="B646" t="s">
        <v>59</v>
      </c>
      <c r="C646" t="s">
        <v>96</v>
      </c>
      <c r="D646">
        <v>0.1021</v>
      </c>
      <c r="E646">
        <f>Tableau4[[#This Row],[Potential (PJ)]]/3.6</f>
        <v>2.8361111111111108E-2</v>
      </c>
      <c r="F646">
        <v>29.969000000000001</v>
      </c>
      <c r="G646">
        <f>Tableau4[[#This Row],[Cost (€/GJ)]]*3.6</f>
        <v>107.8884</v>
      </c>
      <c r="H646">
        <v>16</v>
      </c>
      <c r="I646">
        <f>Tableau4[[#This Row],[GHG (kgCO2eq/GJ)]]*3.6</f>
        <v>57.6</v>
      </c>
      <c r="J646" t="s">
        <v>107</v>
      </c>
      <c r="K646" t="s">
        <v>109</v>
      </c>
    </row>
    <row r="647" spans="1:11" hidden="1" x14ac:dyDescent="0.3">
      <c r="A647" t="s">
        <v>35</v>
      </c>
      <c r="B647" t="s">
        <v>59</v>
      </c>
      <c r="C647" t="s">
        <v>97</v>
      </c>
      <c r="D647">
        <v>0.105</v>
      </c>
      <c r="E647">
        <f>Tableau4[[#This Row],[Potential (PJ)]]/3.6</f>
        <v>2.9166666666666664E-2</v>
      </c>
      <c r="F647">
        <v>19.099294628323381</v>
      </c>
      <c r="G647">
        <f>Tableau4[[#This Row],[Cost (€/GJ)]]*3.6</f>
        <v>68.757460661964174</v>
      </c>
      <c r="H647">
        <v>16</v>
      </c>
      <c r="I647">
        <f>Tableau4[[#This Row],[GHG (kgCO2eq/GJ)]]*3.6</f>
        <v>57.6</v>
      </c>
      <c r="J647" t="s">
        <v>107</v>
      </c>
      <c r="K647" t="s">
        <v>109</v>
      </c>
    </row>
    <row r="648" spans="1:11" hidden="1" x14ac:dyDescent="0.3">
      <c r="A648" t="s">
        <v>35</v>
      </c>
      <c r="B648" t="s">
        <v>51</v>
      </c>
      <c r="C648" t="s">
        <v>75</v>
      </c>
      <c r="D648">
        <v>40.509</v>
      </c>
      <c r="E648">
        <f>Tableau4[[#This Row],[Potential (PJ)]]/3.6</f>
        <v>11.2525</v>
      </c>
      <c r="F648">
        <v>2.2811446298634198E-3</v>
      </c>
      <c r="G648">
        <f>Tableau4[[#This Row],[Cost (€/GJ)]]*3.6</f>
        <v>8.2121206675083123E-3</v>
      </c>
      <c r="H648">
        <v>11.74</v>
      </c>
      <c r="I648">
        <f>Tableau4[[#This Row],[GHG (kgCO2eq/GJ)]]*3.6</f>
        <v>42.264000000000003</v>
      </c>
      <c r="J648" t="s">
        <v>104</v>
      </c>
      <c r="K648" t="s">
        <v>108</v>
      </c>
    </row>
    <row r="649" spans="1:11" hidden="1" x14ac:dyDescent="0.3">
      <c r="A649" t="s">
        <v>35</v>
      </c>
      <c r="B649" t="s">
        <v>60</v>
      </c>
      <c r="C649" t="s">
        <v>98</v>
      </c>
      <c r="D649">
        <v>8.6170100000000005</v>
      </c>
      <c r="E649">
        <f>Tableau4[[#This Row],[Potential (PJ)]]/3.6</f>
        <v>2.3936138888888889</v>
      </c>
      <c r="F649">
        <v>16.165413533834581</v>
      </c>
      <c r="G649">
        <f>Tableau4[[#This Row],[Cost (€/GJ)]]*3.6</f>
        <v>58.195488721804495</v>
      </c>
      <c r="H649">
        <v>46</v>
      </c>
      <c r="I649">
        <f>Tableau4[[#This Row],[GHG (kgCO2eq/GJ)]]*3.6</f>
        <v>165.6</v>
      </c>
      <c r="J649" t="s">
        <v>107</v>
      </c>
      <c r="K649" t="s">
        <v>109</v>
      </c>
    </row>
    <row r="650" spans="1:11" hidden="1" x14ac:dyDescent="0.3">
      <c r="A650" t="s">
        <v>35</v>
      </c>
      <c r="B650" t="s">
        <v>52</v>
      </c>
      <c r="C650" t="s">
        <v>76</v>
      </c>
      <c r="D650">
        <v>1.8029999999999999</v>
      </c>
      <c r="E650">
        <f>Tableau4[[#This Row],[Potential (PJ)]]/3.6</f>
        <v>0.50083333333333335</v>
      </c>
      <c r="F650">
        <v>4.7567250000000003</v>
      </c>
      <c r="G650">
        <f>Tableau4[[#This Row],[Cost (€/GJ)]]*3.6</f>
        <v>17.124210000000001</v>
      </c>
      <c r="H650">
        <v>12.68872359754714</v>
      </c>
      <c r="I650">
        <f>Tableau4[[#This Row],[GHG (kgCO2eq/GJ)]]*3.6</f>
        <v>45.679404951169708</v>
      </c>
      <c r="J650" t="s">
        <v>105</v>
      </c>
      <c r="K650" t="s">
        <v>108</v>
      </c>
    </row>
    <row r="651" spans="1:11" hidden="1" x14ac:dyDescent="0.3">
      <c r="A651" t="s">
        <v>35</v>
      </c>
      <c r="B651" t="s">
        <v>53</v>
      </c>
      <c r="C651" t="s">
        <v>77</v>
      </c>
      <c r="D651">
        <v>11.5</v>
      </c>
      <c r="E651">
        <f>Tableau4[[#This Row],[Potential (PJ)]]/3.6</f>
        <v>3.1944444444444442</v>
      </c>
      <c r="F651">
        <v>2.8338521739130438</v>
      </c>
      <c r="G651">
        <f>Tableau4[[#This Row],[Cost (€/GJ)]]*3.6</f>
        <v>10.201867826086957</v>
      </c>
      <c r="H651">
        <v>3.86607608129234</v>
      </c>
      <c r="I651">
        <f>Tableau4[[#This Row],[GHG (kgCO2eq/GJ)]]*3.6</f>
        <v>13.917873892652425</v>
      </c>
      <c r="J651" t="s">
        <v>104</v>
      </c>
      <c r="K651" t="s">
        <v>108</v>
      </c>
    </row>
    <row r="652" spans="1:11" hidden="1" x14ac:dyDescent="0.3">
      <c r="A652" t="s">
        <v>35</v>
      </c>
      <c r="B652" t="s">
        <v>61</v>
      </c>
      <c r="C652" t="s">
        <v>99</v>
      </c>
      <c r="D652">
        <v>40.299999999999997</v>
      </c>
      <c r="E652">
        <f>Tableau4[[#This Row],[Potential (PJ)]]/3.6</f>
        <v>11.194444444444443</v>
      </c>
      <c r="F652">
        <v>1.1120645161290319</v>
      </c>
      <c r="G652">
        <f>Tableau4[[#This Row],[Cost (€/GJ)]]*3.6</f>
        <v>4.0034322580645147</v>
      </c>
      <c r="H652">
        <v>2.9245635910224439</v>
      </c>
      <c r="I652">
        <f>Tableau4[[#This Row],[GHG (kgCO2eq/GJ)]]*3.6</f>
        <v>10.528428927680798</v>
      </c>
      <c r="J652" t="s">
        <v>104</v>
      </c>
      <c r="K652" t="s">
        <v>108</v>
      </c>
    </row>
    <row r="653" spans="1:11" hidden="1" x14ac:dyDescent="0.3">
      <c r="A653" t="s">
        <v>35</v>
      </c>
      <c r="B653" t="s">
        <v>62</v>
      </c>
      <c r="C653" t="s">
        <v>100</v>
      </c>
      <c r="D653">
        <v>6.1</v>
      </c>
      <c r="E653">
        <f>Tableau4[[#This Row],[Potential (PJ)]]/3.6</f>
        <v>1.6944444444444442</v>
      </c>
      <c r="F653">
        <v>9.0163934426229525E-2</v>
      </c>
      <c r="G653">
        <f>Tableau4[[#This Row],[Cost (€/GJ)]]*3.6</f>
        <v>0.3245901639344263</v>
      </c>
      <c r="H653">
        <v>2.6764106050305911</v>
      </c>
      <c r="I653">
        <f>Tableau4[[#This Row],[GHG (kgCO2eq/GJ)]]*3.6</f>
        <v>9.6350781781101276</v>
      </c>
      <c r="J653" t="s">
        <v>104</v>
      </c>
      <c r="K653" t="s">
        <v>108</v>
      </c>
    </row>
    <row r="654" spans="1:11" hidden="1" x14ac:dyDescent="0.3">
      <c r="A654" t="s">
        <v>35</v>
      </c>
      <c r="B654" t="s">
        <v>54</v>
      </c>
      <c r="C654" t="s">
        <v>78</v>
      </c>
      <c r="D654">
        <v>234.6</v>
      </c>
      <c r="E654">
        <f>Tableau4[[#This Row],[Potential (PJ)]]/3.6</f>
        <v>65.166666666666657</v>
      </c>
      <c r="F654">
        <v>2.8068503836317129</v>
      </c>
      <c r="G654">
        <f>Tableau4[[#This Row],[Cost (€/GJ)]]*3.6</f>
        <v>10.104661381074166</v>
      </c>
      <c r="H654">
        <v>3.86607608129234</v>
      </c>
      <c r="I654">
        <f>Tableau4[[#This Row],[GHG (kgCO2eq/GJ)]]*3.6</f>
        <v>13.917873892652425</v>
      </c>
      <c r="J654" t="s">
        <v>104</v>
      </c>
      <c r="K654" t="s">
        <v>108</v>
      </c>
    </row>
    <row r="655" spans="1:11" hidden="1" x14ac:dyDescent="0.3">
      <c r="A655" t="s">
        <v>36</v>
      </c>
      <c r="B655" t="s">
        <v>46</v>
      </c>
      <c r="C655" t="s">
        <v>63</v>
      </c>
      <c r="D655">
        <v>1.8486</v>
      </c>
      <c r="E655">
        <f>Tableau4[[#This Row],[Potential (PJ)]]/3.6</f>
        <v>0.51349999999999996</v>
      </c>
      <c r="F655">
        <v>2.9286474973375931</v>
      </c>
      <c r="G655">
        <f>Tableau4[[#This Row],[Cost (€/GJ)]]*3.6</f>
        <v>10.543130990415335</v>
      </c>
      <c r="H655">
        <v>3.950479233226837</v>
      </c>
      <c r="I655">
        <f>Tableau4[[#This Row],[GHG (kgCO2eq/GJ)]]*3.6</f>
        <v>14.221725239616614</v>
      </c>
      <c r="J655" t="s">
        <v>104</v>
      </c>
      <c r="K655" t="s">
        <v>108</v>
      </c>
    </row>
    <row r="656" spans="1:11" hidden="1" x14ac:dyDescent="0.3">
      <c r="A656" t="s">
        <v>36</v>
      </c>
      <c r="B656" t="s">
        <v>46</v>
      </c>
      <c r="C656" t="s">
        <v>64</v>
      </c>
      <c r="D656">
        <v>0.21512999999999999</v>
      </c>
      <c r="E656">
        <f>Tableau4[[#This Row],[Potential (PJ)]]/3.6</f>
        <v>5.975833333333333E-2</v>
      </c>
      <c r="F656">
        <v>0</v>
      </c>
      <c r="G656">
        <f>Tableau4[[#This Row],[Cost (€/GJ)]]*3.6</f>
        <v>0</v>
      </c>
      <c r="H656">
        <v>2.9521711768407801</v>
      </c>
      <c r="I656">
        <f>Tableau4[[#This Row],[GHG (kgCO2eq/GJ)]]*3.6</f>
        <v>10.627816236626808</v>
      </c>
      <c r="J656" t="s">
        <v>104</v>
      </c>
      <c r="K656" t="s">
        <v>108</v>
      </c>
    </row>
    <row r="657" spans="1:11" hidden="1" x14ac:dyDescent="0.3">
      <c r="A657" t="s">
        <v>36</v>
      </c>
      <c r="B657" t="s">
        <v>46</v>
      </c>
      <c r="C657" t="s">
        <v>65</v>
      </c>
      <c r="D657">
        <v>2.2999999999999998</v>
      </c>
      <c r="E657">
        <f>Tableau4[[#This Row],[Potential (PJ)]]/3.6</f>
        <v>0.63888888888888884</v>
      </c>
      <c r="F657">
        <v>3.5611739130434792</v>
      </c>
      <c r="G657">
        <f>Tableau4[[#This Row],[Cost (€/GJ)]]*3.6</f>
        <v>12.820226086956525</v>
      </c>
      <c r="H657">
        <v>2.9521711768407801</v>
      </c>
      <c r="I657">
        <f>Tableau4[[#This Row],[GHG (kgCO2eq/GJ)]]*3.6</f>
        <v>10.627816236626808</v>
      </c>
      <c r="J657" t="s">
        <v>104</v>
      </c>
      <c r="K657" t="s">
        <v>108</v>
      </c>
    </row>
    <row r="658" spans="1:11" hidden="1" x14ac:dyDescent="0.3">
      <c r="A658" t="s">
        <v>36</v>
      </c>
      <c r="B658" t="s">
        <v>46</v>
      </c>
      <c r="C658" t="s">
        <v>102</v>
      </c>
      <c r="D658">
        <v>0.3</v>
      </c>
      <c r="E658">
        <f>Tableau4[[#This Row],[Potential (PJ)]]/3.6</f>
        <v>8.3333333333333329E-2</v>
      </c>
      <c r="F658">
        <v>3.4043333333333332</v>
      </c>
      <c r="G658">
        <f>Tableau4[[#This Row],[Cost (€/GJ)]]*3.6</f>
        <v>12.255599999999999</v>
      </c>
      <c r="H658">
        <v>2.9521711768407801</v>
      </c>
      <c r="I658">
        <f>Tableau4[[#This Row],[GHG (kgCO2eq/GJ)]]*3.6</f>
        <v>10.627816236626808</v>
      </c>
      <c r="J658" t="s">
        <v>104</v>
      </c>
      <c r="K658" t="s">
        <v>108</v>
      </c>
    </row>
    <row r="659" spans="1:11" hidden="1" x14ac:dyDescent="0.3">
      <c r="A659" t="s">
        <v>36</v>
      </c>
      <c r="B659" t="s">
        <v>46</v>
      </c>
      <c r="C659" t="s">
        <v>80</v>
      </c>
      <c r="D659">
        <v>0.15659999999999999</v>
      </c>
      <c r="E659">
        <f>Tableau4[[#This Row],[Potential (PJ)]]/3.6</f>
        <v>4.3499999999999997E-2</v>
      </c>
      <c r="F659">
        <v>0.36952124072825349</v>
      </c>
      <c r="G659">
        <f>Tableau4[[#This Row],[Cost (€/GJ)]]*3.6</f>
        <v>1.3302764666217126</v>
      </c>
      <c r="H659">
        <v>28.139870918023309</v>
      </c>
      <c r="I659">
        <f>Tableau4[[#This Row],[GHG (kgCO2eq/GJ)]]*3.6</f>
        <v>101.30353530488391</v>
      </c>
      <c r="J659" t="s">
        <v>105</v>
      </c>
      <c r="K659" t="s">
        <v>108</v>
      </c>
    </row>
    <row r="660" spans="1:11" hidden="1" x14ac:dyDescent="0.3">
      <c r="A660" t="s">
        <v>36</v>
      </c>
      <c r="B660" t="s">
        <v>46</v>
      </c>
      <c r="C660" t="s">
        <v>81</v>
      </c>
      <c r="D660">
        <v>1.0507</v>
      </c>
      <c r="E660">
        <f>Tableau4[[#This Row],[Potential (PJ)]]/3.6</f>
        <v>0.29186111111111107</v>
      </c>
      <c r="F660">
        <v>1.463572267920094</v>
      </c>
      <c r="G660">
        <f>Tableau4[[#This Row],[Cost (€/GJ)]]*3.6</f>
        <v>5.2688601645123381</v>
      </c>
      <c r="H660">
        <v>8.9647473560517046</v>
      </c>
      <c r="I660">
        <f>Tableau4[[#This Row],[GHG (kgCO2eq/GJ)]]*3.6</f>
        <v>32.273090481786134</v>
      </c>
      <c r="J660" t="s">
        <v>105</v>
      </c>
      <c r="K660" t="s">
        <v>108</v>
      </c>
    </row>
    <row r="661" spans="1:11" hidden="1" x14ac:dyDescent="0.3">
      <c r="A661" t="s">
        <v>36</v>
      </c>
      <c r="B661" t="s">
        <v>46</v>
      </c>
      <c r="C661" t="s">
        <v>66</v>
      </c>
      <c r="D661">
        <v>1.3</v>
      </c>
      <c r="E661">
        <f>Tableau4[[#This Row],[Potential (PJ)]]/3.6</f>
        <v>0.3611111111111111</v>
      </c>
      <c r="F661">
        <v>1.843692307692308</v>
      </c>
      <c r="G661">
        <f>Tableau4[[#This Row],[Cost (€/GJ)]]*3.6</f>
        <v>6.6372923076923085</v>
      </c>
      <c r="H661">
        <v>6.8428961748633883</v>
      </c>
      <c r="I661">
        <f>Tableau4[[#This Row],[GHG (kgCO2eq/GJ)]]*3.6</f>
        <v>24.634426229508197</v>
      </c>
      <c r="J661" t="s">
        <v>104</v>
      </c>
      <c r="K661" t="s">
        <v>108</v>
      </c>
    </row>
    <row r="662" spans="1:11" hidden="1" x14ac:dyDescent="0.3">
      <c r="A662" t="s">
        <v>36</v>
      </c>
      <c r="B662" t="s">
        <v>46</v>
      </c>
      <c r="C662" t="s">
        <v>67</v>
      </c>
      <c r="D662">
        <v>3.9</v>
      </c>
      <c r="E662">
        <f>Tableau4[[#This Row],[Potential (PJ)]]/3.6</f>
        <v>1.0833333333333333</v>
      </c>
      <c r="F662">
        <v>4.3026153846153843</v>
      </c>
      <c r="G662">
        <f>Tableau4[[#This Row],[Cost (€/GJ)]]*3.6</f>
        <v>15.489415384615384</v>
      </c>
      <c r="H662">
        <v>2.9521711768407801</v>
      </c>
      <c r="I662">
        <f>Tableau4[[#This Row],[GHG (kgCO2eq/GJ)]]*3.6</f>
        <v>10.627816236626808</v>
      </c>
      <c r="J662" t="s">
        <v>104</v>
      </c>
      <c r="K662" t="s">
        <v>108</v>
      </c>
    </row>
    <row r="663" spans="1:11" hidden="1" x14ac:dyDescent="0.3">
      <c r="A663" t="s">
        <v>36</v>
      </c>
      <c r="B663" t="s">
        <v>46</v>
      </c>
      <c r="C663" t="s">
        <v>82</v>
      </c>
      <c r="D663">
        <v>0.1</v>
      </c>
      <c r="E663">
        <f>Tableau4[[#This Row],[Potential (PJ)]]/3.6</f>
        <v>2.777777777777778E-2</v>
      </c>
      <c r="F663">
        <v>1.28</v>
      </c>
      <c r="G663">
        <f>Tableau4[[#This Row],[Cost (€/GJ)]]*3.6</f>
        <v>4.6080000000000005</v>
      </c>
      <c r="H663">
        <v>6.8428961748633883</v>
      </c>
      <c r="I663">
        <f>Tableau4[[#This Row],[GHG (kgCO2eq/GJ)]]*3.6</f>
        <v>24.634426229508197</v>
      </c>
      <c r="J663" t="s">
        <v>104</v>
      </c>
      <c r="K663" t="s">
        <v>108</v>
      </c>
    </row>
    <row r="664" spans="1:11" hidden="1" x14ac:dyDescent="0.3">
      <c r="A664" t="s">
        <v>36</v>
      </c>
      <c r="B664" t="s">
        <v>46</v>
      </c>
      <c r="C664" t="s">
        <v>83</v>
      </c>
      <c r="D664">
        <v>1.3593</v>
      </c>
      <c r="E664">
        <f>Tableau4[[#This Row],[Potential (PJ)]]/3.6</f>
        <v>0.37758333333333333</v>
      </c>
      <c r="F664">
        <v>1.676261230044876</v>
      </c>
      <c r="G664">
        <f>Tableau4[[#This Row],[Cost (€/GJ)]]*3.6</f>
        <v>6.034540428161554</v>
      </c>
      <c r="H664">
        <v>6.8428961748633883</v>
      </c>
      <c r="I664">
        <f>Tableau4[[#This Row],[GHG (kgCO2eq/GJ)]]*3.6</f>
        <v>24.634426229508197</v>
      </c>
      <c r="J664" t="s">
        <v>104</v>
      </c>
      <c r="K664" t="s">
        <v>108</v>
      </c>
    </row>
    <row r="665" spans="1:11" hidden="1" x14ac:dyDescent="0.3">
      <c r="A665" t="s">
        <v>36</v>
      </c>
      <c r="B665" t="s">
        <v>46</v>
      </c>
      <c r="C665" t="s">
        <v>85</v>
      </c>
      <c r="D665">
        <v>1.3</v>
      </c>
      <c r="E665">
        <f>Tableau4[[#This Row],[Potential (PJ)]]/3.6</f>
        <v>0.3611111111111111</v>
      </c>
      <c r="F665">
        <v>0</v>
      </c>
      <c r="G665">
        <f>Tableau4[[#This Row],[Cost (€/GJ)]]*3.6</f>
        <v>0</v>
      </c>
      <c r="H665">
        <v>2.9521711768407801</v>
      </c>
      <c r="I665">
        <f>Tableau4[[#This Row],[GHG (kgCO2eq/GJ)]]*3.6</f>
        <v>10.627816236626808</v>
      </c>
      <c r="J665" t="s">
        <v>104</v>
      </c>
      <c r="K665" t="s">
        <v>108</v>
      </c>
    </row>
    <row r="666" spans="1:11" hidden="1" x14ac:dyDescent="0.3">
      <c r="A666" t="s">
        <v>36</v>
      </c>
      <c r="B666" t="s">
        <v>55</v>
      </c>
      <c r="C666" t="s">
        <v>86</v>
      </c>
      <c r="D666">
        <v>3.4599999999999999E-2</v>
      </c>
      <c r="E666">
        <f>Tableau4[[#This Row],[Potential (PJ)]]/3.6</f>
        <v>9.6111111111111102E-3</v>
      </c>
      <c r="F666">
        <v>20.815000000000001</v>
      </c>
      <c r="G666">
        <f>Tableau4[[#This Row],[Cost (€/GJ)]]*3.6</f>
        <v>74.934000000000012</v>
      </c>
      <c r="H666">
        <v>26.1</v>
      </c>
      <c r="I666">
        <f>Tableau4[[#This Row],[GHG (kgCO2eq/GJ)]]*3.6</f>
        <v>93.960000000000008</v>
      </c>
      <c r="J666" t="s">
        <v>106</v>
      </c>
      <c r="K666" t="s">
        <v>109</v>
      </c>
    </row>
    <row r="667" spans="1:11" hidden="1" x14ac:dyDescent="0.3">
      <c r="A667" t="s">
        <v>36</v>
      </c>
      <c r="B667" t="s">
        <v>55</v>
      </c>
      <c r="C667" t="s">
        <v>88</v>
      </c>
      <c r="D667">
        <v>3.5999999999999997E-2</v>
      </c>
      <c r="E667">
        <f>Tableau4[[#This Row],[Potential (PJ)]]/3.6</f>
        <v>9.9999999999999985E-3</v>
      </c>
      <c r="F667">
        <v>18.759</v>
      </c>
      <c r="G667">
        <f>Tableau4[[#This Row],[Cost (€/GJ)]]*3.6</f>
        <v>67.53240000000001</v>
      </c>
      <c r="H667">
        <v>26.1</v>
      </c>
      <c r="I667">
        <f>Tableau4[[#This Row],[GHG (kgCO2eq/GJ)]]*3.6</f>
        <v>93.960000000000008</v>
      </c>
      <c r="J667" t="s">
        <v>106</v>
      </c>
      <c r="K667" t="s">
        <v>109</v>
      </c>
    </row>
    <row r="668" spans="1:11" hidden="1" x14ac:dyDescent="0.3">
      <c r="A668" t="s">
        <v>36</v>
      </c>
      <c r="B668" t="s">
        <v>56</v>
      </c>
      <c r="C668" t="s">
        <v>93</v>
      </c>
      <c r="D668">
        <v>0.52429999999999999</v>
      </c>
      <c r="E668">
        <f>Tableau4[[#This Row],[Potential (PJ)]]/3.6</f>
        <v>0.14563888888888887</v>
      </c>
      <c r="F668">
        <v>2.939759036144578</v>
      </c>
      <c r="G668">
        <f>Tableau4[[#This Row],[Cost (€/GJ)]]*3.6</f>
        <v>10.583132530120482</v>
      </c>
      <c r="H668">
        <v>26.7</v>
      </c>
      <c r="I668">
        <f>Tableau4[[#This Row],[GHG (kgCO2eq/GJ)]]*3.6</f>
        <v>96.12</v>
      </c>
      <c r="J668" t="s">
        <v>106</v>
      </c>
      <c r="K668" t="s">
        <v>109</v>
      </c>
    </row>
    <row r="669" spans="1:11" x14ac:dyDescent="0.3">
      <c r="A669" t="s">
        <v>36</v>
      </c>
      <c r="B669" t="s">
        <v>47</v>
      </c>
      <c r="C669" t="s">
        <v>68</v>
      </c>
      <c r="D669">
        <v>21.5</v>
      </c>
      <c r="E669">
        <f>Tableau4[[#This Row],[Potential (PJ)]]/3.6</f>
        <v>5.9722222222222223</v>
      </c>
      <c r="F669">
        <v>3.9533999999999998</v>
      </c>
      <c r="G669">
        <f>Tableau4[[#This Row],[Cost (€/GJ)]]*3.6</f>
        <v>14.232239999999999</v>
      </c>
      <c r="H669">
        <v>10</v>
      </c>
      <c r="I669">
        <f>Tableau4[[#This Row],[GHG (kgCO2eq/GJ)]]*3.6</f>
        <v>36</v>
      </c>
      <c r="J669" t="s">
        <v>104</v>
      </c>
      <c r="K669" t="s">
        <v>109</v>
      </c>
    </row>
    <row r="670" spans="1:11" x14ac:dyDescent="0.3">
      <c r="A670" t="s">
        <v>36</v>
      </c>
      <c r="B670" t="s">
        <v>47</v>
      </c>
      <c r="C670" t="s">
        <v>69</v>
      </c>
      <c r="D670">
        <v>15.1</v>
      </c>
      <c r="E670">
        <f>Tableau4[[#This Row],[Potential (PJ)]]/3.6</f>
        <v>4.1944444444444446</v>
      </c>
      <c r="F670">
        <v>4.2874635761589399</v>
      </c>
      <c r="G670">
        <f>Tableau4[[#This Row],[Cost (€/GJ)]]*3.6</f>
        <v>15.434868874172183</v>
      </c>
      <c r="H670">
        <v>10</v>
      </c>
      <c r="I670">
        <f>Tableau4[[#This Row],[GHG (kgCO2eq/GJ)]]*3.6</f>
        <v>36</v>
      </c>
      <c r="J670" t="s">
        <v>104</v>
      </c>
      <c r="K670" t="s">
        <v>109</v>
      </c>
    </row>
    <row r="671" spans="1:11" x14ac:dyDescent="0.3">
      <c r="A671" t="s">
        <v>36</v>
      </c>
      <c r="B671" t="s">
        <v>48</v>
      </c>
      <c r="C671" t="s">
        <v>70</v>
      </c>
      <c r="D671">
        <v>9.4</v>
      </c>
      <c r="E671">
        <f>Tableau4[[#This Row],[Potential (PJ)]]/3.6</f>
        <v>2.6111111111111112</v>
      </c>
      <c r="F671">
        <v>9.7817021276595746</v>
      </c>
      <c r="G671">
        <f>Tableau4[[#This Row],[Cost (€/GJ)]]*3.6</f>
        <v>35.214127659574473</v>
      </c>
      <c r="H671">
        <v>0</v>
      </c>
      <c r="I671">
        <f>Tableau4[[#This Row],[GHG (kgCO2eq/GJ)]]*3.6</f>
        <v>0</v>
      </c>
      <c r="J671" t="s">
        <v>104</v>
      </c>
      <c r="K671" t="s">
        <v>109</v>
      </c>
    </row>
    <row r="672" spans="1:11" hidden="1" x14ac:dyDescent="0.3">
      <c r="A672" t="s">
        <v>36</v>
      </c>
      <c r="B672" t="s">
        <v>49</v>
      </c>
      <c r="C672" t="s">
        <v>71</v>
      </c>
      <c r="D672">
        <v>170.34751</v>
      </c>
      <c r="E672">
        <f>Tableau4[[#This Row],[Potential (PJ)]]/3.6</f>
        <v>47.318752777777775</v>
      </c>
      <c r="F672">
        <v>3.921070745912282</v>
      </c>
      <c r="G672">
        <f>Tableau4[[#This Row],[Cost (€/GJ)]]*3.6</f>
        <v>14.115854685284216</v>
      </c>
      <c r="H672">
        <v>3.86607608129234</v>
      </c>
      <c r="I672">
        <f>Tableau4[[#This Row],[GHG (kgCO2eq/GJ)]]*3.6</f>
        <v>13.917873892652425</v>
      </c>
      <c r="J672" t="s">
        <v>104</v>
      </c>
      <c r="K672" t="s">
        <v>108</v>
      </c>
    </row>
    <row r="673" spans="1:11" hidden="1" x14ac:dyDescent="0.3">
      <c r="A673" t="s">
        <v>36</v>
      </c>
      <c r="B673" t="s">
        <v>49</v>
      </c>
      <c r="C673" t="s">
        <v>72</v>
      </c>
      <c r="D673">
        <v>4.5</v>
      </c>
      <c r="E673">
        <f>Tableau4[[#This Row],[Potential (PJ)]]/3.6</f>
        <v>1.25</v>
      </c>
      <c r="F673">
        <v>3.1411555555555561</v>
      </c>
      <c r="G673">
        <f>Tableau4[[#This Row],[Cost (€/GJ)]]*3.6</f>
        <v>11.308160000000003</v>
      </c>
      <c r="H673">
        <v>3.86607608129234</v>
      </c>
      <c r="I673">
        <f>Tableau4[[#This Row],[GHG (kgCO2eq/GJ)]]*3.6</f>
        <v>13.917873892652425</v>
      </c>
      <c r="J673" t="s">
        <v>104</v>
      </c>
      <c r="K673" t="s">
        <v>108</v>
      </c>
    </row>
    <row r="674" spans="1:11" hidden="1" x14ac:dyDescent="0.3">
      <c r="A674" t="s">
        <v>36</v>
      </c>
      <c r="B674" t="s">
        <v>58</v>
      </c>
      <c r="C674" t="s">
        <v>95</v>
      </c>
      <c r="D674">
        <v>13.93187</v>
      </c>
      <c r="E674">
        <f>Tableau4[[#This Row],[Potential (PJ)]]/3.6</f>
        <v>3.869963888888889</v>
      </c>
      <c r="F674">
        <v>0</v>
      </c>
      <c r="G674">
        <f>Tableau4[[#This Row],[Cost (€/GJ)]]*3.6</f>
        <v>0</v>
      </c>
      <c r="H674">
        <v>2.9521711768407801</v>
      </c>
      <c r="I674">
        <f>Tableau4[[#This Row],[GHG (kgCO2eq/GJ)]]*3.6</f>
        <v>10.627816236626808</v>
      </c>
      <c r="J674" t="s">
        <v>104</v>
      </c>
      <c r="K674" t="s">
        <v>108</v>
      </c>
    </row>
    <row r="675" spans="1:11" hidden="1" x14ac:dyDescent="0.3">
      <c r="A675" t="s">
        <v>36</v>
      </c>
      <c r="B675" t="s">
        <v>50</v>
      </c>
      <c r="C675" t="s">
        <v>73</v>
      </c>
      <c r="D675">
        <v>3.1</v>
      </c>
      <c r="E675">
        <f>Tableau4[[#This Row],[Potential (PJ)]]/3.6</f>
        <v>0.86111111111111116</v>
      </c>
      <c r="F675">
        <v>5.0774838709677423</v>
      </c>
      <c r="G675">
        <f>Tableau4[[#This Row],[Cost (€/GJ)]]*3.6</f>
        <v>18.278941935483871</v>
      </c>
      <c r="H675">
        <v>20.723404255319149</v>
      </c>
      <c r="I675">
        <f>Tableau4[[#This Row],[GHG (kgCO2eq/GJ)]]*3.6</f>
        <v>74.604255319148933</v>
      </c>
      <c r="J675" t="s">
        <v>105</v>
      </c>
      <c r="K675" t="s">
        <v>108</v>
      </c>
    </row>
    <row r="676" spans="1:11" hidden="1" x14ac:dyDescent="0.3">
      <c r="A676" t="s">
        <v>36</v>
      </c>
      <c r="B676" t="s">
        <v>50</v>
      </c>
      <c r="C676" t="s">
        <v>74</v>
      </c>
      <c r="D676">
        <v>31.4</v>
      </c>
      <c r="E676">
        <f>Tableau4[[#This Row],[Potential (PJ)]]/3.6</f>
        <v>8.7222222222222214</v>
      </c>
      <c r="F676">
        <v>3.9148184713375791</v>
      </c>
      <c r="G676">
        <f>Tableau4[[#This Row],[Cost (€/GJ)]]*3.6</f>
        <v>14.093346496815284</v>
      </c>
      <c r="H676">
        <v>2.0635593220338988</v>
      </c>
      <c r="I676">
        <f>Tableau4[[#This Row],[GHG (kgCO2eq/GJ)]]*3.6</f>
        <v>7.4288135593220357</v>
      </c>
      <c r="J676" t="s">
        <v>105</v>
      </c>
      <c r="K676" t="s">
        <v>108</v>
      </c>
    </row>
    <row r="677" spans="1:11" hidden="1" x14ac:dyDescent="0.3">
      <c r="A677" t="s">
        <v>36</v>
      </c>
      <c r="B677" t="s">
        <v>59</v>
      </c>
      <c r="C677" t="s">
        <v>97</v>
      </c>
      <c r="D677">
        <v>0.36599999999999999</v>
      </c>
      <c r="E677">
        <f>Tableau4[[#This Row],[Potential (PJ)]]/3.6</f>
        <v>0.10166666666666666</v>
      </c>
      <c r="F677">
        <v>36.353771025501899</v>
      </c>
      <c r="G677">
        <f>Tableau4[[#This Row],[Cost (€/GJ)]]*3.6</f>
        <v>130.87357569180685</v>
      </c>
      <c r="H677">
        <v>36.299999999999997</v>
      </c>
      <c r="I677">
        <f>Tableau4[[#This Row],[GHG (kgCO2eq/GJ)]]*3.6</f>
        <v>130.68</v>
      </c>
      <c r="J677" t="s">
        <v>107</v>
      </c>
      <c r="K677" t="s">
        <v>109</v>
      </c>
    </row>
    <row r="678" spans="1:11" hidden="1" x14ac:dyDescent="0.3">
      <c r="A678" t="s">
        <v>36</v>
      </c>
      <c r="B678" t="s">
        <v>51</v>
      </c>
      <c r="C678" t="s">
        <v>75</v>
      </c>
      <c r="D678">
        <v>22.58212</v>
      </c>
      <c r="E678">
        <f>Tableau4[[#This Row],[Potential (PJ)]]/3.6</f>
        <v>6.2728111111111104</v>
      </c>
      <c r="F678">
        <v>3.5423942658118898E-3</v>
      </c>
      <c r="G678">
        <f>Tableau4[[#This Row],[Cost (€/GJ)]]*3.6</f>
        <v>1.2752619356922804E-2</v>
      </c>
      <c r="H678">
        <v>11.74</v>
      </c>
      <c r="I678">
        <f>Tableau4[[#This Row],[GHG (kgCO2eq/GJ)]]*3.6</f>
        <v>42.264000000000003</v>
      </c>
      <c r="J678" t="s">
        <v>104</v>
      </c>
      <c r="K678" t="s">
        <v>108</v>
      </c>
    </row>
    <row r="679" spans="1:11" hidden="1" x14ac:dyDescent="0.3">
      <c r="A679" t="s">
        <v>36</v>
      </c>
      <c r="B679" t="s">
        <v>52</v>
      </c>
      <c r="C679" t="s">
        <v>76</v>
      </c>
      <c r="D679">
        <v>1.1419999999999999</v>
      </c>
      <c r="E679">
        <f>Tableau4[[#This Row],[Potential (PJ)]]/3.6</f>
        <v>0.31722222222222218</v>
      </c>
      <c r="F679">
        <v>4.7567250000000003</v>
      </c>
      <c r="G679">
        <f>Tableau4[[#This Row],[Cost (€/GJ)]]*3.6</f>
        <v>17.124210000000001</v>
      </c>
      <c r="H679">
        <v>12.68872359754714</v>
      </c>
      <c r="I679">
        <f>Tableau4[[#This Row],[GHG (kgCO2eq/GJ)]]*3.6</f>
        <v>45.679404951169708</v>
      </c>
      <c r="J679" t="s">
        <v>105</v>
      </c>
      <c r="K679" t="s">
        <v>108</v>
      </c>
    </row>
    <row r="680" spans="1:11" hidden="1" x14ac:dyDescent="0.3">
      <c r="A680" t="s">
        <v>36</v>
      </c>
      <c r="B680" t="s">
        <v>53</v>
      </c>
      <c r="C680" t="s">
        <v>77</v>
      </c>
      <c r="D680">
        <v>1.4</v>
      </c>
      <c r="E680">
        <f>Tableau4[[#This Row],[Potential (PJ)]]/3.6</f>
        <v>0.38888888888888884</v>
      </c>
      <c r="F680">
        <v>3.1416428571428572</v>
      </c>
      <c r="G680">
        <f>Tableau4[[#This Row],[Cost (€/GJ)]]*3.6</f>
        <v>11.309914285714287</v>
      </c>
      <c r="H680">
        <v>3.86607608129234</v>
      </c>
      <c r="I680">
        <f>Tableau4[[#This Row],[GHG (kgCO2eq/GJ)]]*3.6</f>
        <v>13.917873892652425</v>
      </c>
      <c r="J680" t="s">
        <v>104</v>
      </c>
      <c r="K680" t="s">
        <v>108</v>
      </c>
    </row>
    <row r="681" spans="1:11" hidden="1" x14ac:dyDescent="0.3">
      <c r="A681" t="s">
        <v>36</v>
      </c>
      <c r="B681" t="s">
        <v>61</v>
      </c>
      <c r="C681" t="s">
        <v>99</v>
      </c>
      <c r="D681">
        <v>10.9</v>
      </c>
      <c r="E681">
        <f>Tableau4[[#This Row],[Potential (PJ)]]/3.6</f>
        <v>3.0277777777777777</v>
      </c>
      <c r="F681">
        <v>1.5403669724770639</v>
      </c>
      <c r="G681">
        <f>Tableau4[[#This Row],[Cost (€/GJ)]]*3.6</f>
        <v>5.5453211009174304</v>
      </c>
      <c r="H681">
        <v>2.9245635910224439</v>
      </c>
      <c r="I681">
        <f>Tableau4[[#This Row],[GHG (kgCO2eq/GJ)]]*3.6</f>
        <v>10.528428927680798</v>
      </c>
      <c r="J681" t="s">
        <v>104</v>
      </c>
      <c r="K681" t="s">
        <v>108</v>
      </c>
    </row>
    <row r="682" spans="1:11" hidden="1" x14ac:dyDescent="0.3">
      <c r="A682" t="s">
        <v>36</v>
      </c>
      <c r="B682" t="s">
        <v>62</v>
      </c>
      <c r="C682" t="s">
        <v>100</v>
      </c>
      <c r="D682">
        <v>2.4</v>
      </c>
      <c r="E682">
        <f>Tableau4[[#This Row],[Potential (PJ)]]/3.6</f>
        <v>0.66666666666666663</v>
      </c>
      <c r="F682">
        <v>2.0833333333333339E-2</v>
      </c>
      <c r="G682">
        <f>Tableau4[[#This Row],[Cost (€/GJ)]]*3.6</f>
        <v>7.5000000000000025E-2</v>
      </c>
      <c r="H682">
        <v>2.6764106050305911</v>
      </c>
      <c r="I682">
        <f>Tableau4[[#This Row],[GHG (kgCO2eq/GJ)]]*3.6</f>
        <v>9.6350781781101276</v>
      </c>
      <c r="J682" t="s">
        <v>104</v>
      </c>
      <c r="K682" t="s">
        <v>108</v>
      </c>
    </row>
    <row r="683" spans="1:11" hidden="1" x14ac:dyDescent="0.3">
      <c r="A683" t="s">
        <v>36</v>
      </c>
      <c r="B683" t="s">
        <v>54</v>
      </c>
      <c r="C683" t="s">
        <v>78</v>
      </c>
      <c r="D683">
        <v>55.3</v>
      </c>
      <c r="E683">
        <f>Tableau4[[#This Row],[Potential (PJ)]]/3.6</f>
        <v>15.361111111111111</v>
      </c>
      <c r="F683">
        <v>6.5293110307414111</v>
      </c>
      <c r="G683">
        <f>Tableau4[[#This Row],[Cost (€/GJ)]]*3.6</f>
        <v>23.505519710669081</v>
      </c>
      <c r="H683">
        <v>3.86607608129234</v>
      </c>
      <c r="I683">
        <f>Tableau4[[#This Row],[GHG (kgCO2eq/GJ)]]*3.6</f>
        <v>13.917873892652425</v>
      </c>
      <c r="J683" t="s">
        <v>104</v>
      </c>
      <c r="K683" t="s">
        <v>108</v>
      </c>
    </row>
    <row r="684" spans="1:11" hidden="1" x14ac:dyDescent="0.3">
      <c r="A684" t="s">
        <v>37</v>
      </c>
      <c r="B684" t="s">
        <v>46</v>
      </c>
      <c r="C684" t="s">
        <v>64</v>
      </c>
      <c r="D684">
        <v>0.54586000000000001</v>
      </c>
      <c r="E684">
        <f>Tableau4[[#This Row],[Potential (PJ)]]/3.6</f>
        <v>0.15162777777777778</v>
      </c>
      <c r="F684">
        <v>0</v>
      </c>
      <c r="G684">
        <f>Tableau4[[#This Row],[Cost (€/GJ)]]*3.6</f>
        <v>0</v>
      </c>
      <c r="H684">
        <v>2.9521711768407801</v>
      </c>
      <c r="I684">
        <f>Tableau4[[#This Row],[GHG (kgCO2eq/GJ)]]*3.6</f>
        <v>10.627816236626808</v>
      </c>
      <c r="J684" t="s">
        <v>104</v>
      </c>
      <c r="K684" t="s">
        <v>108</v>
      </c>
    </row>
    <row r="685" spans="1:11" hidden="1" x14ac:dyDescent="0.3">
      <c r="A685" t="s">
        <v>37</v>
      </c>
      <c r="B685" t="s">
        <v>46</v>
      </c>
      <c r="C685" t="s">
        <v>79</v>
      </c>
      <c r="D685">
        <v>37.299999999999997</v>
      </c>
      <c r="E685">
        <f>Tableau4[[#This Row],[Potential (PJ)]]/3.6</f>
        <v>10.361111111111111</v>
      </c>
      <c r="F685">
        <v>1.9921420911528149</v>
      </c>
      <c r="G685">
        <f>Tableau4[[#This Row],[Cost (€/GJ)]]*3.6</f>
        <v>7.1717115281501336</v>
      </c>
      <c r="H685">
        <v>6.8428961748633883</v>
      </c>
      <c r="I685">
        <f>Tableau4[[#This Row],[GHG (kgCO2eq/GJ)]]*3.6</f>
        <v>24.634426229508197</v>
      </c>
      <c r="J685" t="s">
        <v>104</v>
      </c>
      <c r="K685" t="s">
        <v>108</v>
      </c>
    </row>
    <row r="686" spans="1:11" hidden="1" x14ac:dyDescent="0.3">
      <c r="A686" t="s">
        <v>37</v>
      </c>
      <c r="B686" t="s">
        <v>46</v>
      </c>
      <c r="C686" t="s">
        <v>65</v>
      </c>
      <c r="D686">
        <v>1.5</v>
      </c>
      <c r="E686">
        <f>Tableau4[[#This Row],[Potential (PJ)]]/3.6</f>
        <v>0.41666666666666663</v>
      </c>
      <c r="F686">
        <v>3.8524666666666669</v>
      </c>
      <c r="G686">
        <f>Tableau4[[#This Row],[Cost (€/GJ)]]*3.6</f>
        <v>13.868880000000001</v>
      </c>
      <c r="H686">
        <v>2.9521711768407801</v>
      </c>
      <c r="I686">
        <f>Tableau4[[#This Row],[GHG (kgCO2eq/GJ)]]*3.6</f>
        <v>10.627816236626808</v>
      </c>
      <c r="J686" t="s">
        <v>104</v>
      </c>
      <c r="K686" t="s">
        <v>108</v>
      </c>
    </row>
    <row r="687" spans="1:11" hidden="1" x14ac:dyDescent="0.3">
      <c r="A687" t="s">
        <v>37</v>
      </c>
      <c r="B687" t="s">
        <v>46</v>
      </c>
      <c r="C687" t="s">
        <v>80</v>
      </c>
      <c r="D687">
        <v>1.3835999999999999</v>
      </c>
      <c r="E687">
        <f>Tableau4[[#This Row],[Potential (PJ)]]/3.6</f>
        <v>0.3843333333333333</v>
      </c>
      <c r="F687">
        <v>1.7687120701281189</v>
      </c>
      <c r="G687">
        <f>Tableau4[[#This Row],[Cost (€/GJ)]]*3.6</f>
        <v>6.3673634524612286</v>
      </c>
      <c r="H687">
        <v>28.139870918023309</v>
      </c>
      <c r="I687">
        <f>Tableau4[[#This Row],[GHG (kgCO2eq/GJ)]]*3.6</f>
        <v>101.30353530488391</v>
      </c>
      <c r="J687" t="s">
        <v>105</v>
      </c>
      <c r="K687" t="s">
        <v>108</v>
      </c>
    </row>
    <row r="688" spans="1:11" hidden="1" x14ac:dyDescent="0.3">
      <c r="A688" t="s">
        <v>37</v>
      </c>
      <c r="B688" t="s">
        <v>46</v>
      </c>
      <c r="C688" t="s">
        <v>81</v>
      </c>
      <c r="D688">
        <v>1.4255</v>
      </c>
      <c r="E688">
        <f>Tableau4[[#This Row],[Potential (PJ)]]/3.6</f>
        <v>0.39597222222222223</v>
      </c>
      <c r="F688">
        <v>3.96180963572268</v>
      </c>
      <c r="G688">
        <f>Tableau4[[#This Row],[Cost (€/GJ)]]*3.6</f>
        <v>14.262514688601648</v>
      </c>
      <c r="H688">
        <v>8.9647473560517046</v>
      </c>
      <c r="I688">
        <f>Tableau4[[#This Row],[GHG (kgCO2eq/GJ)]]*3.6</f>
        <v>32.273090481786134</v>
      </c>
      <c r="J688" t="s">
        <v>105</v>
      </c>
      <c r="K688" t="s">
        <v>108</v>
      </c>
    </row>
    <row r="689" spans="1:11" hidden="1" x14ac:dyDescent="0.3">
      <c r="A689" t="s">
        <v>37</v>
      </c>
      <c r="B689" t="s">
        <v>46</v>
      </c>
      <c r="C689" t="s">
        <v>66</v>
      </c>
      <c r="D689">
        <v>34.200000000000003</v>
      </c>
      <c r="E689">
        <f>Tableau4[[#This Row],[Potential (PJ)]]/3.6</f>
        <v>9.5</v>
      </c>
      <c r="F689">
        <v>2.0764532163742691</v>
      </c>
      <c r="G689">
        <f>Tableau4[[#This Row],[Cost (€/GJ)]]*3.6</f>
        <v>7.4752315789473691</v>
      </c>
      <c r="H689">
        <v>6.8428961748633883</v>
      </c>
      <c r="I689">
        <f>Tableau4[[#This Row],[GHG (kgCO2eq/GJ)]]*3.6</f>
        <v>24.634426229508197</v>
      </c>
      <c r="J689" t="s">
        <v>104</v>
      </c>
      <c r="K689" t="s">
        <v>108</v>
      </c>
    </row>
    <row r="690" spans="1:11" hidden="1" x14ac:dyDescent="0.3">
      <c r="A690" t="s">
        <v>37</v>
      </c>
      <c r="B690" t="s">
        <v>46</v>
      </c>
      <c r="C690" t="s">
        <v>82</v>
      </c>
      <c r="D690">
        <v>24.2</v>
      </c>
      <c r="E690">
        <f>Tableau4[[#This Row],[Potential (PJ)]]/3.6</f>
        <v>6.7222222222222214</v>
      </c>
      <c r="F690">
        <v>1.2821363636363641</v>
      </c>
      <c r="G690">
        <f>Tableau4[[#This Row],[Cost (€/GJ)]]*3.6</f>
        <v>4.6156909090909108</v>
      </c>
      <c r="H690">
        <v>6.8428961748633883</v>
      </c>
      <c r="I690">
        <f>Tableau4[[#This Row],[GHG (kgCO2eq/GJ)]]*3.6</f>
        <v>24.634426229508197</v>
      </c>
      <c r="J690" t="s">
        <v>104</v>
      </c>
      <c r="K690" t="s">
        <v>108</v>
      </c>
    </row>
    <row r="691" spans="1:11" hidden="1" x14ac:dyDescent="0.3">
      <c r="A691" t="s">
        <v>37</v>
      </c>
      <c r="B691" t="s">
        <v>46</v>
      </c>
      <c r="C691" t="s">
        <v>83</v>
      </c>
      <c r="D691">
        <v>0.36958000000000002</v>
      </c>
      <c r="E691">
        <f>Tableau4[[#This Row],[Potential (PJ)]]/3.6</f>
        <v>0.10266111111111112</v>
      </c>
      <c r="F691">
        <v>2.3459465880188319</v>
      </c>
      <c r="G691">
        <f>Tableau4[[#This Row],[Cost (€/GJ)]]*3.6</f>
        <v>8.4454077168677948</v>
      </c>
      <c r="H691">
        <v>6.8428961748633883</v>
      </c>
      <c r="I691">
        <f>Tableau4[[#This Row],[GHG (kgCO2eq/GJ)]]*3.6</f>
        <v>24.634426229508197</v>
      </c>
      <c r="J691" t="s">
        <v>104</v>
      </c>
      <c r="K691" t="s">
        <v>108</v>
      </c>
    </row>
    <row r="692" spans="1:11" hidden="1" x14ac:dyDescent="0.3">
      <c r="A692" t="s">
        <v>37</v>
      </c>
      <c r="B692" t="s">
        <v>46</v>
      </c>
      <c r="C692" t="s">
        <v>84</v>
      </c>
      <c r="D692">
        <v>0.5</v>
      </c>
      <c r="E692">
        <f>Tableau4[[#This Row],[Potential (PJ)]]/3.6</f>
        <v>0.1388888888888889</v>
      </c>
      <c r="F692">
        <v>1.3996</v>
      </c>
      <c r="G692">
        <f>Tableau4[[#This Row],[Cost (€/GJ)]]*3.6</f>
        <v>5.0385600000000004</v>
      </c>
      <c r="H692">
        <v>28.139870918023309</v>
      </c>
      <c r="I692">
        <f>Tableau4[[#This Row],[GHG (kgCO2eq/GJ)]]*3.6</f>
        <v>101.30353530488391</v>
      </c>
      <c r="J692" t="s">
        <v>105</v>
      </c>
      <c r="K692" t="s">
        <v>108</v>
      </c>
    </row>
    <row r="693" spans="1:11" hidden="1" x14ac:dyDescent="0.3">
      <c r="A693" t="s">
        <v>37</v>
      </c>
      <c r="B693" t="s">
        <v>46</v>
      </c>
      <c r="C693" t="s">
        <v>85</v>
      </c>
      <c r="D693">
        <v>0.7</v>
      </c>
      <c r="E693">
        <f>Tableau4[[#This Row],[Potential (PJ)]]/3.6</f>
        <v>0.19444444444444442</v>
      </c>
      <c r="F693">
        <v>0</v>
      </c>
      <c r="G693">
        <f>Tableau4[[#This Row],[Cost (€/GJ)]]*3.6</f>
        <v>0</v>
      </c>
      <c r="H693">
        <v>2.9521711768407801</v>
      </c>
      <c r="I693">
        <f>Tableau4[[#This Row],[GHG (kgCO2eq/GJ)]]*3.6</f>
        <v>10.627816236626808</v>
      </c>
      <c r="J693" t="s">
        <v>104</v>
      </c>
      <c r="K693" t="s">
        <v>108</v>
      </c>
    </row>
    <row r="694" spans="1:11" hidden="1" x14ac:dyDescent="0.3">
      <c r="A694" t="s">
        <v>37</v>
      </c>
      <c r="B694" t="s">
        <v>55</v>
      </c>
      <c r="C694" t="s">
        <v>86</v>
      </c>
      <c r="D694">
        <v>2.5423</v>
      </c>
      <c r="E694">
        <f>Tableau4[[#This Row],[Potential (PJ)]]/3.6</f>
        <v>0.70619444444444446</v>
      </c>
      <c r="F694">
        <v>20.597000000000001</v>
      </c>
      <c r="G694">
        <f>Tableau4[[#This Row],[Cost (€/GJ)]]*3.6</f>
        <v>74.149200000000008</v>
      </c>
      <c r="H694">
        <v>8.6999999999999993</v>
      </c>
      <c r="I694">
        <f>Tableau4[[#This Row],[GHG (kgCO2eq/GJ)]]*3.6</f>
        <v>31.319999999999997</v>
      </c>
      <c r="J694" t="s">
        <v>106</v>
      </c>
      <c r="K694" t="s">
        <v>109</v>
      </c>
    </row>
    <row r="695" spans="1:11" hidden="1" x14ac:dyDescent="0.3">
      <c r="A695" t="s">
        <v>37</v>
      </c>
      <c r="B695" t="s">
        <v>55</v>
      </c>
      <c r="C695" t="s">
        <v>87</v>
      </c>
      <c r="D695">
        <v>0.18509999999999999</v>
      </c>
      <c r="E695">
        <f>Tableau4[[#This Row],[Potential (PJ)]]/3.6</f>
        <v>5.1416666666666659E-2</v>
      </c>
      <c r="F695">
        <v>18.068000000000001</v>
      </c>
      <c r="G695">
        <f>Tableau4[[#This Row],[Cost (€/GJ)]]*3.6</f>
        <v>65.044800000000009</v>
      </c>
      <c r="H695">
        <v>8.6999999999999993</v>
      </c>
      <c r="I695">
        <f>Tableau4[[#This Row],[GHG (kgCO2eq/GJ)]]*3.6</f>
        <v>31.319999999999997</v>
      </c>
      <c r="J695" t="s">
        <v>106</v>
      </c>
      <c r="K695" t="s">
        <v>109</v>
      </c>
    </row>
    <row r="696" spans="1:11" hidden="1" x14ac:dyDescent="0.3">
      <c r="A696" t="s">
        <v>37</v>
      </c>
      <c r="B696" t="s">
        <v>55</v>
      </c>
      <c r="C696" t="s">
        <v>88</v>
      </c>
      <c r="D696">
        <v>24.344000000000001</v>
      </c>
      <c r="E696">
        <f>Tableau4[[#This Row],[Potential (PJ)]]/3.6</f>
        <v>6.7622222222222224</v>
      </c>
      <c r="F696">
        <v>26.291</v>
      </c>
      <c r="G696">
        <f>Tableau4[[#This Row],[Cost (€/GJ)]]*3.6</f>
        <v>94.647599999999997</v>
      </c>
      <c r="H696">
        <v>8.6999999999999993</v>
      </c>
      <c r="I696">
        <f>Tableau4[[#This Row],[GHG (kgCO2eq/GJ)]]*3.6</f>
        <v>31.319999999999997</v>
      </c>
      <c r="J696" t="s">
        <v>106</v>
      </c>
      <c r="K696" t="s">
        <v>109</v>
      </c>
    </row>
    <row r="697" spans="1:11" hidden="1" x14ac:dyDescent="0.3">
      <c r="A697" t="s">
        <v>37</v>
      </c>
      <c r="B697" t="s">
        <v>55</v>
      </c>
      <c r="C697" t="s">
        <v>89</v>
      </c>
      <c r="D697">
        <v>7.4000000000000003E-3</v>
      </c>
      <c r="E697">
        <f>Tableau4[[#This Row],[Potential (PJ)]]/3.6</f>
        <v>2.0555555555555557E-3</v>
      </c>
      <c r="F697">
        <v>0</v>
      </c>
      <c r="G697">
        <f>Tableau4[[#This Row],[Cost (€/GJ)]]*3.6</f>
        <v>0</v>
      </c>
      <c r="H697">
        <v>8.6999999999999993</v>
      </c>
      <c r="I697">
        <f>Tableau4[[#This Row],[GHG (kgCO2eq/GJ)]]*3.6</f>
        <v>31.319999999999997</v>
      </c>
      <c r="J697" t="s">
        <v>106</v>
      </c>
      <c r="K697" t="s">
        <v>109</v>
      </c>
    </row>
    <row r="698" spans="1:11" hidden="1" x14ac:dyDescent="0.3">
      <c r="A698" t="s">
        <v>37</v>
      </c>
      <c r="B698" t="s">
        <v>55</v>
      </c>
      <c r="C698" t="s">
        <v>92</v>
      </c>
      <c r="D698">
        <v>2.2601300000000002</v>
      </c>
      <c r="E698">
        <f>Tableau4[[#This Row],[Potential (PJ)]]/3.6</f>
        <v>0.62781388888888889</v>
      </c>
      <c r="F698">
        <v>18.068000000000001</v>
      </c>
      <c r="G698">
        <f>Tableau4[[#This Row],[Cost (€/GJ)]]*3.6</f>
        <v>65.044800000000009</v>
      </c>
      <c r="H698">
        <v>8.6999999999999993</v>
      </c>
      <c r="I698">
        <f>Tableau4[[#This Row],[GHG (kgCO2eq/GJ)]]*3.6</f>
        <v>31.319999999999997</v>
      </c>
      <c r="J698" t="s">
        <v>106</v>
      </c>
      <c r="K698" t="s">
        <v>109</v>
      </c>
    </row>
    <row r="699" spans="1:11" hidden="1" x14ac:dyDescent="0.3">
      <c r="A699" t="s">
        <v>37</v>
      </c>
      <c r="B699" t="s">
        <v>56</v>
      </c>
      <c r="C699" t="s">
        <v>93</v>
      </c>
      <c r="D699">
        <v>10.3094</v>
      </c>
      <c r="E699">
        <f>Tableau4[[#This Row],[Potential (PJ)]]/3.6</f>
        <v>2.8637222222222221</v>
      </c>
      <c r="F699">
        <v>2.9493975903614462</v>
      </c>
      <c r="G699">
        <f>Tableau4[[#This Row],[Cost (€/GJ)]]*3.6</f>
        <v>10.617831325301207</v>
      </c>
      <c r="H699">
        <v>34</v>
      </c>
      <c r="I699">
        <f>Tableau4[[#This Row],[GHG (kgCO2eq/GJ)]]*3.6</f>
        <v>122.4</v>
      </c>
      <c r="J699" t="s">
        <v>106</v>
      </c>
      <c r="K699" t="s">
        <v>109</v>
      </c>
    </row>
    <row r="700" spans="1:11" x14ac:dyDescent="0.3">
      <c r="A700" t="s">
        <v>37</v>
      </c>
      <c r="B700" t="s">
        <v>47</v>
      </c>
      <c r="C700" t="s">
        <v>68</v>
      </c>
      <c r="D700">
        <v>185.3</v>
      </c>
      <c r="E700">
        <f>Tableau4[[#This Row],[Potential (PJ)]]/3.6</f>
        <v>51.472222222222221</v>
      </c>
      <c r="F700">
        <v>2.513846195358878</v>
      </c>
      <c r="G700">
        <f>Tableau4[[#This Row],[Cost (€/GJ)]]*3.6</f>
        <v>9.0498463032919609</v>
      </c>
      <c r="H700">
        <v>16.600000000000001</v>
      </c>
      <c r="I700">
        <f>Tableau4[[#This Row],[GHG (kgCO2eq/GJ)]]*3.6</f>
        <v>59.760000000000005</v>
      </c>
      <c r="J700" t="s">
        <v>104</v>
      </c>
      <c r="K700" t="s">
        <v>109</v>
      </c>
    </row>
    <row r="701" spans="1:11" x14ac:dyDescent="0.3">
      <c r="A701" t="s">
        <v>37</v>
      </c>
      <c r="B701" t="s">
        <v>47</v>
      </c>
      <c r="C701" t="s">
        <v>69</v>
      </c>
      <c r="D701">
        <v>183.1</v>
      </c>
      <c r="E701">
        <f>Tableau4[[#This Row],[Potential (PJ)]]/3.6</f>
        <v>50.861111111111107</v>
      </c>
      <c r="F701">
        <v>2.3549748771163301</v>
      </c>
      <c r="G701">
        <f>Tableau4[[#This Row],[Cost (€/GJ)]]*3.6</f>
        <v>8.4779095576187888</v>
      </c>
      <c r="H701">
        <v>16.600000000000001</v>
      </c>
      <c r="I701">
        <f>Tableau4[[#This Row],[GHG (kgCO2eq/GJ)]]*3.6</f>
        <v>59.760000000000005</v>
      </c>
      <c r="J701" t="s">
        <v>104</v>
      </c>
      <c r="K701" t="s">
        <v>109</v>
      </c>
    </row>
    <row r="702" spans="1:11" x14ac:dyDescent="0.3">
      <c r="A702" t="s">
        <v>37</v>
      </c>
      <c r="B702" t="s">
        <v>57</v>
      </c>
      <c r="C702" t="s">
        <v>94</v>
      </c>
      <c r="D702">
        <v>89.1</v>
      </c>
      <c r="E702">
        <f>Tableau4[[#This Row],[Potential (PJ)]]/3.6</f>
        <v>24.749999999999996</v>
      </c>
      <c r="F702">
        <v>6.4830168350168353</v>
      </c>
      <c r="G702">
        <f>Tableau4[[#This Row],[Cost (€/GJ)]]*3.6</f>
        <v>23.338860606060607</v>
      </c>
      <c r="H702">
        <v>16.5</v>
      </c>
      <c r="I702">
        <f>Tableau4[[#This Row],[GHG (kgCO2eq/GJ)]]*3.6</f>
        <v>59.4</v>
      </c>
      <c r="J702" t="s">
        <v>104</v>
      </c>
      <c r="K702" t="s">
        <v>109</v>
      </c>
    </row>
    <row r="703" spans="1:11" hidden="1" x14ac:dyDescent="0.3">
      <c r="A703" t="s">
        <v>37</v>
      </c>
      <c r="B703" t="s">
        <v>49</v>
      </c>
      <c r="C703" t="s">
        <v>71</v>
      </c>
      <c r="D703">
        <v>357.3152</v>
      </c>
      <c r="E703">
        <f>Tableau4[[#This Row],[Potential (PJ)]]/3.6</f>
        <v>99.254222222222225</v>
      </c>
      <c r="F703">
        <v>1.7121745846244429</v>
      </c>
      <c r="G703">
        <f>Tableau4[[#This Row],[Cost (€/GJ)]]*3.6</f>
        <v>6.163828504647995</v>
      </c>
      <c r="H703">
        <v>3.86607608129234</v>
      </c>
      <c r="I703">
        <f>Tableau4[[#This Row],[GHG (kgCO2eq/GJ)]]*3.6</f>
        <v>13.917873892652425</v>
      </c>
      <c r="J703" t="s">
        <v>104</v>
      </c>
      <c r="K703" t="s">
        <v>108</v>
      </c>
    </row>
    <row r="704" spans="1:11" hidden="1" x14ac:dyDescent="0.3">
      <c r="A704" t="s">
        <v>37</v>
      </c>
      <c r="B704" t="s">
        <v>49</v>
      </c>
      <c r="C704" t="s">
        <v>72</v>
      </c>
      <c r="D704">
        <v>22</v>
      </c>
      <c r="E704">
        <f>Tableau4[[#This Row],[Potential (PJ)]]/3.6</f>
        <v>6.1111111111111107</v>
      </c>
      <c r="F704">
        <v>2.2743409090909088</v>
      </c>
      <c r="G704">
        <f>Tableau4[[#This Row],[Cost (€/GJ)]]*3.6</f>
        <v>8.1876272727272728</v>
      </c>
      <c r="H704">
        <v>3.86607608129234</v>
      </c>
      <c r="I704">
        <f>Tableau4[[#This Row],[GHG (kgCO2eq/GJ)]]*3.6</f>
        <v>13.917873892652425</v>
      </c>
      <c r="J704" t="s">
        <v>104</v>
      </c>
      <c r="K704" t="s">
        <v>108</v>
      </c>
    </row>
    <row r="705" spans="1:11" hidden="1" x14ac:dyDescent="0.3">
      <c r="A705" t="s">
        <v>37</v>
      </c>
      <c r="B705" t="s">
        <v>58</v>
      </c>
      <c r="C705" t="s">
        <v>95</v>
      </c>
      <c r="D705">
        <v>52.27299</v>
      </c>
      <c r="E705">
        <f>Tableau4[[#This Row],[Potential (PJ)]]/3.6</f>
        <v>14.520275</v>
      </c>
      <c r="F705">
        <v>1.6696404860330361</v>
      </c>
      <c r="G705">
        <f>Tableau4[[#This Row],[Cost (€/GJ)]]*3.6</f>
        <v>6.0107057497189302</v>
      </c>
      <c r="H705">
        <v>2.9521711768407801</v>
      </c>
      <c r="I705">
        <f>Tableau4[[#This Row],[GHG (kgCO2eq/GJ)]]*3.6</f>
        <v>10.627816236626808</v>
      </c>
      <c r="J705" t="s">
        <v>104</v>
      </c>
      <c r="K705" t="s">
        <v>108</v>
      </c>
    </row>
    <row r="706" spans="1:11" hidden="1" x14ac:dyDescent="0.3">
      <c r="A706" t="s">
        <v>37</v>
      </c>
      <c r="B706" t="s">
        <v>50</v>
      </c>
      <c r="C706" t="s">
        <v>73</v>
      </c>
      <c r="D706">
        <v>1.5</v>
      </c>
      <c r="E706">
        <f>Tableau4[[#This Row],[Potential (PJ)]]/3.6</f>
        <v>0.41666666666666663</v>
      </c>
      <c r="F706">
        <v>4.9509333333333334</v>
      </c>
      <c r="G706">
        <f>Tableau4[[#This Row],[Cost (€/GJ)]]*3.6</f>
        <v>17.823360000000001</v>
      </c>
      <c r="H706">
        <v>20.723404255319149</v>
      </c>
      <c r="I706">
        <f>Tableau4[[#This Row],[GHG (kgCO2eq/GJ)]]*3.6</f>
        <v>74.604255319148933</v>
      </c>
      <c r="J706" t="s">
        <v>105</v>
      </c>
      <c r="K706" t="s">
        <v>108</v>
      </c>
    </row>
    <row r="707" spans="1:11" hidden="1" x14ac:dyDescent="0.3">
      <c r="A707" t="s">
        <v>37</v>
      </c>
      <c r="B707" t="s">
        <v>50</v>
      </c>
      <c r="C707" t="s">
        <v>74</v>
      </c>
      <c r="D707">
        <v>25.4</v>
      </c>
      <c r="E707">
        <f>Tableau4[[#This Row],[Potential (PJ)]]/3.6</f>
        <v>7.0555555555555554</v>
      </c>
      <c r="F707">
        <v>3.3499448818897641</v>
      </c>
      <c r="G707">
        <f>Tableau4[[#This Row],[Cost (€/GJ)]]*3.6</f>
        <v>12.059801574803151</v>
      </c>
      <c r="H707">
        <v>2.0635593220338988</v>
      </c>
      <c r="I707">
        <f>Tableau4[[#This Row],[GHG (kgCO2eq/GJ)]]*3.6</f>
        <v>7.4288135593220357</v>
      </c>
      <c r="J707" t="s">
        <v>105</v>
      </c>
      <c r="K707" t="s">
        <v>108</v>
      </c>
    </row>
    <row r="708" spans="1:11" hidden="1" x14ac:dyDescent="0.3">
      <c r="A708" t="s">
        <v>37</v>
      </c>
      <c r="B708" t="s">
        <v>59</v>
      </c>
      <c r="C708" t="s">
        <v>96</v>
      </c>
      <c r="D708">
        <v>4.7545999999999999</v>
      </c>
      <c r="E708">
        <f>Tableau4[[#This Row],[Potential (PJ)]]/3.6</f>
        <v>1.3207222222222221</v>
      </c>
      <c r="F708">
        <v>31.498000000000001</v>
      </c>
      <c r="G708">
        <f>Tableau4[[#This Row],[Cost (€/GJ)]]*3.6</f>
        <v>113.39280000000001</v>
      </c>
      <c r="H708">
        <v>6</v>
      </c>
      <c r="I708">
        <f>Tableau4[[#This Row],[GHG (kgCO2eq/GJ)]]*3.6</f>
        <v>21.6</v>
      </c>
      <c r="J708" t="s">
        <v>107</v>
      </c>
      <c r="K708" t="s">
        <v>109</v>
      </c>
    </row>
    <row r="709" spans="1:11" hidden="1" x14ac:dyDescent="0.3">
      <c r="A709" t="s">
        <v>37</v>
      </c>
      <c r="B709" t="s">
        <v>59</v>
      </c>
      <c r="C709" t="s">
        <v>97</v>
      </c>
      <c r="D709">
        <v>2.7867999999999999</v>
      </c>
      <c r="E709">
        <f>Tableau4[[#This Row],[Potential (PJ)]]/3.6</f>
        <v>0.77411111111111108</v>
      </c>
      <c r="F709">
        <v>15.95225176342919</v>
      </c>
      <c r="G709">
        <f>Tableau4[[#This Row],[Cost (€/GJ)]]*3.6</f>
        <v>57.428106348345089</v>
      </c>
      <c r="H709">
        <v>6</v>
      </c>
      <c r="I709">
        <f>Tableau4[[#This Row],[GHG (kgCO2eq/GJ)]]*3.6</f>
        <v>21.6</v>
      </c>
      <c r="J709" t="s">
        <v>107</v>
      </c>
      <c r="K709" t="s">
        <v>109</v>
      </c>
    </row>
    <row r="710" spans="1:11" hidden="1" x14ac:dyDescent="0.3">
      <c r="A710" t="s">
        <v>37</v>
      </c>
      <c r="B710" t="s">
        <v>51</v>
      </c>
      <c r="C710" t="s">
        <v>75</v>
      </c>
      <c r="D710">
        <v>11.84056</v>
      </c>
      <c r="E710">
        <f>Tableau4[[#This Row],[Potential (PJ)]]/3.6</f>
        <v>3.2890444444444444</v>
      </c>
      <c r="F710">
        <v>8.84487541138336E-2</v>
      </c>
      <c r="G710">
        <f>Tableau4[[#This Row],[Cost (€/GJ)]]*3.6</f>
        <v>0.31841551480980096</v>
      </c>
      <c r="H710">
        <v>11.74</v>
      </c>
      <c r="I710">
        <f>Tableau4[[#This Row],[GHG (kgCO2eq/GJ)]]*3.6</f>
        <v>42.264000000000003</v>
      </c>
      <c r="J710" t="s">
        <v>104</v>
      </c>
      <c r="K710" t="s">
        <v>108</v>
      </c>
    </row>
    <row r="711" spans="1:11" hidden="1" x14ac:dyDescent="0.3">
      <c r="A711" t="s">
        <v>37</v>
      </c>
      <c r="B711" t="s">
        <v>60</v>
      </c>
      <c r="C711" t="s">
        <v>98</v>
      </c>
      <c r="D711">
        <v>15.99785</v>
      </c>
      <c r="E711">
        <f>Tableau4[[#This Row],[Potential (PJ)]]/3.6</f>
        <v>4.4438472222222218</v>
      </c>
      <c r="F711">
        <v>13.856068743286791</v>
      </c>
      <c r="G711">
        <f>Tableau4[[#This Row],[Cost (€/GJ)]]*3.6</f>
        <v>49.881847475832451</v>
      </c>
      <c r="H711">
        <v>24.7</v>
      </c>
      <c r="I711">
        <f>Tableau4[[#This Row],[GHG (kgCO2eq/GJ)]]*3.6</f>
        <v>88.92</v>
      </c>
      <c r="J711" t="s">
        <v>107</v>
      </c>
      <c r="K711" t="s">
        <v>109</v>
      </c>
    </row>
    <row r="712" spans="1:11" hidden="1" x14ac:dyDescent="0.3">
      <c r="A712" t="s">
        <v>37</v>
      </c>
      <c r="B712" t="s">
        <v>52</v>
      </c>
      <c r="C712" t="s">
        <v>76</v>
      </c>
      <c r="D712">
        <v>4.1000000000000002E-2</v>
      </c>
      <c r="E712">
        <f>Tableau4[[#This Row],[Potential (PJ)]]/3.6</f>
        <v>1.1388888888888889E-2</v>
      </c>
      <c r="F712">
        <v>4.7567250000000003</v>
      </c>
      <c r="G712">
        <f>Tableau4[[#This Row],[Cost (€/GJ)]]*3.6</f>
        <v>17.124210000000001</v>
      </c>
      <c r="H712">
        <v>12.68872359754714</v>
      </c>
      <c r="I712">
        <f>Tableau4[[#This Row],[GHG (kgCO2eq/GJ)]]*3.6</f>
        <v>45.679404951169708</v>
      </c>
      <c r="J712" t="s">
        <v>105</v>
      </c>
      <c r="K712" t="s">
        <v>108</v>
      </c>
    </row>
    <row r="713" spans="1:11" hidden="1" x14ac:dyDescent="0.3">
      <c r="A713" t="s">
        <v>37</v>
      </c>
      <c r="B713" t="s">
        <v>53</v>
      </c>
      <c r="C713" t="s">
        <v>77</v>
      </c>
      <c r="D713">
        <v>8.6999999999999993</v>
      </c>
      <c r="E713">
        <f>Tableau4[[#This Row],[Potential (PJ)]]/3.6</f>
        <v>2.4166666666666665</v>
      </c>
      <c r="F713">
        <v>2.2743448275862068</v>
      </c>
      <c r="G713">
        <f>Tableau4[[#This Row],[Cost (€/GJ)]]*3.6</f>
        <v>8.1876413793103442</v>
      </c>
      <c r="H713">
        <v>3.86607608129234</v>
      </c>
      <c r="I713">
        <f>Tableau4[[#This Row],[GHG (kgCO2eq/GJ)]]*3.6</f>
        <v>13.917873892652425</v>
      </c>
      <c r="J713" t="s">
        <v>104</v>
      </c>
      <c r="K713" t="s">
        <v>108</v>
      </c>
    </row>
    <row r="714" spans="1:11" hidden="1" x14ac:dyDescent="0.3">
      <c r="A714" t="s">
        <v>37</v>
      </c>
      <c r="B714" t="s">
        <v>61</v>
      </c>
      <c r="C714" t="s">
        <v>99</v>
      </c>
      <c r="D714">
        <v>55.3</v>
      </c>
      <c r="E714">
        <f>Tableau4[[#This Row],[Potential (PJ)]]/3.6</f>
        <v>15.361111111111111</v>
      </c>
      <c r="F714">
        <v>1.120690777576854</v>
      </c>
      <c r="G714">
        <f>Tableau4[[#This Row],[Cost (€/GJ)]]*3.6</f>
        <v>4.0344867992766744</v>
      </c>
      <c r="H714">
        <v>2.9245635910224439</v>
      </c>
      <c r="I714">
        <f>Tableau4[[#This Row],[GHG (kgCO2eq/GJ)]]*3.6</f>
        <v>10.528428927680798</v>
      </c>
      <c r="J714" t="s">
        <v>104</v>
      </c>
      <c r="K714" t="s">
        <v>108</v>
      </c>
    </row>
    <row r="715" spans="1:11" hidden="1" x14ac:dyDescent="0.3">
      <c r="A715" t="s">
        <v>37</v>
      </c>
      <c r="B715" t="s">
        <v>62</v>
      </c>
      <c r="C715" t="s">
        <v>100</v>
      </c>
      <c r="D715">
        <v>17.8</v>
      </c>
      <c r="E715">
        <f>Tableau4[[#This Row],[Potential (PJ)]]/3.6</f>
        <v>4.9444444444444446</v>
      </c>
      <c r="F715">
        <v>0.13988764044943819</v>
      </c>
      <c r="G715">
        <f>Tableau4[[#This Row],[Cost (€/GJ)]]*3.6</f>
        <v>0.5035955056179775</v>
      </c>
      <c r="H715">
        <v>2.6764106050305911</v>
      </c>
      <c r="I715">
        <f>Tableau4[[#This Row],[GHG (kgCO2eq/GJ)]]*3.6</f>
        <v>9.6350781781101276</v>
      </c>
      <c r="J715" t="s">
        <v>104</v>
      </c>
      <c r="K715" t="s">
        <v>108</v>
      </c>
    </row>
    <row r="716" spans="1:11" hidden="1" x14ac:dyDescent="0.3">
      <c r="A716" t="s">
        <v>37</v>
      </c>
      <c r="B716" t="s">
        <v>54</v>
      </c>
      <c r="C716" t="s">
        <v>78</v>
      </c>
      <c r="D716">
        <v>144.30000000000001</v>
      </c>
      <c r="E716">
        <f>Tableau4[[#This Row],[Potential (PJ)]]/3.6</f>
        <v>40.083333333333336</v>
      </c>
      <c r="F716">
        <v>2.2566382536382541</v>
      </c>
      <c r="G716">
        <f>Tableau4[[#This Row],[Cost (€/GJ)]]*3.6</f>
        <v>8.1238977130977155</v>
      </c>
      <c r="H716">
        <v>3.86607608129234</v>
      </c>
      <c r="I716">
        <f>Tableau4[[#This Row],[GHG (kgCO2eq/GJ)]]*3.6</f>
        <v>13.917873892652425</v>
      </c>
      <c r="J716" t="s">
        <v>104</v>
      </c>
      <c r="K716" t="s">
        <v>108</v>
      </c>
    </row>
    <row r="717" spans="1:11" hidden="1" x14ac:dyDescent="0.3">
      <c r="A717" t="s">
        <v>38</v>
      </c>
      <c r="B717" t="s">
        <v>46</v>
      </c>
      <c r="C717" t="s">
        <v>64</v>
      </c>
      <c r="D717">
        <v>1.1146</v>
      </c>
      <c r="E717">
        <f>Tableau4[[#This Row],[Potential (PJ)]]/3.6</f>
        <v>0.30961111111111111</v>
      </c>
      <c r="F717">
        <v>0</v>
      </c>
      <c r="G717">
        <f>Tableau4[[#This Row],[Cost (€/GJ)]]*3.6</f>
        <v>0</v>
      </c>
      <c r="H717">
        <v>2.9521711768407801</v>
      </c>
      <c r="I717">
        <f>Tableau4[[#This Row],[GHG (kgCO2eq/GJ)]]*3.6</f>
        <v>10.627816236626808</v>
      </c>
      <c r="J717" t="s">
        <v>104</v>
      </c>
      <c r="K717" t="s">
        <v>108</v>
      </c>
    </row>
    <row r="718" spans="1:11" hidden="1" x14ac:dyDescent="0.3">
      <c r="A718" t="s">
        <v>38</v>
      </c>
      <c r="B718" t="s">
        <v>46</v>
      </c>
      <c r="C718" t="s">
        <v>79</v>
      </c>
      <c r="D718">
        <v>20</v>
      </c>
      <c r="E718">
        <f>Tableau4[[#This Row],[Potential (PJ)]]/3.6</f>
        <v>5.5555555555555554</v>
      </c>
      <c r="F718">
        <v>0</v>
      </c>
      <c r="G718">
        <f>Tableau4[[#This Row],[Cost (€/GJ)]]*3.6</f>
        <v>0</v>
      </c>
      <c r="H718">
        <v>6.8428961748633883</v>
      </c>
      <c r="I718">
        <f>Tableau4[[#This Row],[GHG (kgCO2eq/GJ)]]*3.6</f>
        <v>24.634426229508197</v>
      </c>
      <c r="J718" t="s">
        <v>104</v>
      </c>
      <c r="K718" t="s">
        <v>108</v>
      </c>
    </row>
    <row r="719" spans="1:11" hidden="1" x14ac:dyDescent="0.3">
      <c r="A719" t="s">
        <v>38</v>
      </c>
      <c r="B719" t="s">
        <v>46</v>
      </c>
      <c r="C719" t="s">
        <v>65</v>
      </c>
      <c r="D719">
        <v>2.9</v>
      </c>
      <c r="E719">
        <f>Tableau4[[#This Row],[Potential (PJ)]]/3.6</f>
        <v>0.80555555555555547</v>
      </c>
      <c r="F719">
        <v>4.3079999999999998</v>
      </c>
      <c r="G719">
        <f>Tableau4[[#This Row],[Cost (€/GJ)]]*3.6</f>
        <v>15.508799999999999</v>
      </c>
      <c r="H719">
        <v>2.9521711768407801</v>
      </c>
      <c r="I719">
        <f>Tableau4[[#This Row],[GHG (kgCO2eq/GJ)]]*3.6</f>
        <v>10.627816236626808</v>
      </c>
      <c r="J719" t="s">
        <v>104</v>
      </c>
      <c r="K719" t="s">
        <v>108</v>
      </c>
    </row>
    <row r="720" spans="1:11" hidden="1" x14ac:dyDescent="0.3">
      <c r="A720" t="s">
        <v>38</v>
      </c>
      <c r="B720" t="s">
        <v>46</v>
      </c>
      <c r="C720" t="s">
        <v>66</v>
      </c>
      <c r="D720">
        <v>28.5</v>
      </c>
      <c r="E720">
        <f>Tableau4[[#This Row],[Potential (PJ)]]/3.6</f>
        <v>7.9166666666666661</v>
      </c>
      <c r="F720">
        <v>2.6139999999999999</v>
      </c>
      <c r="G720">
        <f>Tableau4[[#This Row],[Cost (€/GJ)]]*3.6</f>
        <v>9.4103999999999992</v>
      </c>
      <c r="H720">
        <v>6.8428961748633883</v>
      </c>
      <c r="I720">
        <f>Tableau4[[#This Row],[GHG (kgCO2eq/GJ)]]*3.6</f>
        <v>24.634426229508197</v>
      </c>
      <c r="J720" t="s">
        <v>104</v>
      </c>
      <c r="K720" t="s">
        <v>108</v>
      </c>
    </row>
    <row r="721" spans="1:11" hidden="1" x14ac:dyDescent="0.3">
      <c r="A721" t="s">
        <v>38</v>
      </c>
      <c r="B721" t="s">
        <v>46</v>
      </c>
      <c r="C721" t="s">
        <v>82</v>
      </c>
      <c r="D721">
        <v>0.6</v>
      </c>
      <c r="E721">
        <f>Tableau4[[#This Row],[Potential (PJ)]]/3.6</f>
        <v>0.16666666666666666</v>
      </c>
      <c r="F721">
        <v>0</v>
      </c>
      <c r="G721">
        <f>Tableau4[[#This Row],[Cost (€/GJ)]]*3.6</f>
        <v>0</v>
      </c>
      <c r="H721">
        <v>6.8428961748633883</v>
      </c>
      <c r="I721">
        <f>Tableau4[[#This Row],[GHG (kgCO2eq/GJ)]]*3.6</f>
        <v>24.634426229508197</v>
      </c>
      <c r="J721" t="s">
        <v>104</v>
      </c>
      <c r="K721" t="s">
        <v>108</v>
      </c>
    </row>
    <row r="722" spans="1:11" hidden="1" x14ac:dyDescent="0.3">
      <c r="A722" t="s">
        <v>38</v>
      </c>
      <c r="B722" t="s">
        <v>46</v>
      </c>
      <c r="C722" t="s">
        <v>84</v>
      </c>
      <c r="D722">
        <v>0.7</v>
      </c>
      <c r="E722">
        <f>Tableau4[[#This Row],[Potential (PJ)]]/3.6</f>
        <v>0.19444444444444442</v>
      </c>
      <c r="F722">
        <v>2.0419999999999998</v>
      </c>
      <c r="G722">
        <f>Tableau4[[#This Row],[Cost (€/GJ)]]*3.6</f>
        <v>7.3511999999999995</v>
      </c>
      <c r="H722">
        <v>28.139870918023309</v>
      </c>
      <c r="I722">
        <f>Tableau4[[#This Row],[GHG (kgCO2eq/GJ)]]*3.6</f>
        <v>101.30353530488391</v>
      </c>
      <c r="J722" t="s">
        <v>105</v>
      </c>
      <c r="K722" t="s">
        <v>108</v>
      </c>
    </row>
    <row r="723" spans="1:11" hidden="1" x14ac:dyDescent="0.3">
      <c r="A723" t="s">
        <v>38</v>
      </c>
      <c r="B723" t="s">
        <v>46</v>
      </c>
      <c r="C723" t="s">
        <v>85</v>
      </c>
      <c r="D723">
        <v>0.8</v>
      </c>
      <c r="E723">
        <f>Tableau4[[#This Row],[Potential (PJ)]]/3.6</f>
        <v>0.22222222222222224</v>
      </c>
      <c r="F723">
        <v>0</v>
      </c>
      <c r="G723">
        <f>Tableau4[[#This Row],[Cost (€/GJ)]]*3.6</f>
        <v>0</v>
      </c>
      <c r="H723">
        <v>2.9521711768407801</v>
      </c>
      <c r="I723">
        <f>Tableau4[[#This Row],[GHG (kgCO2eq/GJ)]]*3.6</f>
        <v>10.627816236626808</v>
      </c>
      <c r="J723" t="s">
        <v>104</v>
      </c>
      <c r="K723" t="s">
        <v>108</v>
      </c>
    </row>
    <row r="724" spans="1:11" x14ac:dyDescent="0.3">
      <c r="A724" t="s">
        <v>38</v>
      </c>
      <c r="B724" t="s">
        <v>47</v>
      </c>
      <c r="C724" t="s">
        <v>68</v>
      </c>
      <c r="D724">
        <v>24.6</v>
      </c>
      <c r="E724">
        <f>Tableau4[[#This Row],[Potential (PJ)]]/3.6</f>
        <v>6.8333333333333339</v>
      </c>
      <c r="F724">
        <v>3.9649999999999999</v>
      </c>
      <c r="G724">
        <f>Tableau4[[#This Row],[Cost (€/GJ)]]*3.6</f>
        <v>14.273999999999999</v>
      </c>
      <c r="H724">
        <v>14.1</v>
      </c>
      <c r="I724">
        <f>Tableau4[[#This Row],[GHG (kgCO2eq/GJ)]]*3.6</f>
        <v>50.76</v>
      </c>
      <c r="J724" t="s">
        <v>104</v>
      </c>
      <c r="K724" t="s">
        <v>109</v>
      </c>
    </row>
    <row r="725" spans="1:11" x14ac:dyDescent="0.3">
      <c r="A725" t="s">
        <v>38</v>
      </c>
      <c r="B725" t="s">
        <v>47</v>
      </c>
      <c r="C725" t="s">
        <v>69</v>
      </c>
      <c r="D725">
        <v>17.2</v>
      </c>
      <c r="E725">
        <f>Tableau4[[#This Row],[Potential (PJ)]]/3.6</f>
        <v>4.7777777777777777</v>
      </c>
      <c r="F725">
        <v>3.9769999999999999</v>
      </c>
      <c r="G725">
        <f>Tableau4[[#This Row],[Cost (€/GJ)]]*3.6</f>
        <v>14.3172</v>
      </c>
      <c r="H725">
        <v>14.1</v>
      </c>
      <c r="I725">
        <f>Tableau4[[#This Row],[GHG (kgCO2eq/GJ)]]*3.6</f>
        <v>50.76</v>
      </c>
      <c r="J725" t="s">
        <v>104</v>
      </c>
      <c r="K725" t="s">
        <v>109</v>
      </c>
    </row>
    <row r="726" spans="1:11" x14ac:dyDescent="0.3">
      <c r="A726" t="s">
        <v>38</v>
      </c>
      <c r="B726" t="s">
        <v>48</v>
      </c>
      <c r="C726" t="s">
        <v>70</v>
      </c>
      <c r="D726">
        <v>9.1</v>
      </c>
      <c r="E726">
        <f>Tableau4[[#This Row],[Potential (PJ)]]/3.6</f>
        <v>2.5277777777777777</v>
      </c>
      <c r="F726">
        <v>10.218</v>
      </c>
      <c r="G726">
        <f>Tableau4[[#This Row],[Cost (€/GJ)]]*3.6</f>
        <v>36.784800000000004</v>
      </c>
      <c r="H726">
        <v>0</v>
      </c>
      <c r="I726">
        <f>Tableau4[[#This Row],[GHG (kgCO2eq/GJ)]]*3.6</f>
        <v>0</v>
      </c>
      <c r="J726" t="s">
        <v>104</v>
      </c>
      <c r="K726" t="s">
        <v>109</v>
      </c>
    </row>
    <row r="727" spans="1:11" hidden="1" x14ac:dyDescent="0.3">
      <c r="A727" t="s">
        <v>38</v>
      </c>
      <c r="B727" t="s">
        <v>49</v>
      </c>
      <c r="C727" t="s">
        <v>72</v>
      </c>
      <c r="D727">
        <v>27.9</v>
      </c>
      <c r="E727">
        <f>Tableau4[[#This Row],[Potential (PJ)]]/3.6</f>
        <v>7.7499999999999991</v>
      </c>
      <c r="F727">
        <v>0</v>
      </c>
      <c r="G727">
        <f>Tableau4[[#This Row],[Cost (€/GJ)]]*3.6</f>
        <v>0</v>
      </c>
      <c r="H727">
        <v>3.86607608129234</v>
      </c>
      <c r="I727">
        <f>Tableau4[[#This Row],[GHG (kgCO2eq/GJ)]]*3.6</f>
        <v>13.917873892652425</v>
      </c>
      <c r="J727" t="s">
        <v>104</v>
      </c>
      <c r="K727" t="s">
        <v>108</v>
      </c>
    </row>
    <row r="728" spans="1:11" hidden="1" x14ac:dyDescent="0.3">
      <c r="A728" t="s">
        <v>38</v>
      </c>
      <c r="B728" t="s">
        <v>50</v>
      </c>
      <c r="C728" t="s">
        <v>73</v>
      </c>
      <c r="D728">
        <v>4.9000000000000004</v>
      </c>
      <c r="E728">
        <f>Tableau4[[#This Row],[Potential (PJ)]]/3.6</f>
        <v>1.3611111111111112</v>
      </c>
      <c r="F728">
        <v>5.4240000000000004</v>
      </c>
      <c r="G728">
        <f>Tableau4[[#This Row],[Cost (€/GJ)]]*3.6</f>
        <v>19.526400000000002</v>
      </c>
      <c r="H728">
        <v>20.723404255319149</v>
      </c>
      <c r="I728">
        <f>Tableau4[[#This Row],[GHG (kgCO2eq/GJ)]]*3.6</f>
        <v>74.604255319148933</v>
      </c>
      <c r="J728" t="s">
        <v>105</v>
      </c>
      <c r="K728" t="s">
        <v>108</v>
      </c>
    </row>
    <row r="729" spans="1:11" hidden="1" x14ac:dyDescent="0.3">
      <c r="A729" t="s">
        <v>38</v>
      </c>
      <c r="B729" t="s">
        <v>50</v>
      </c>
      <c r="C729" t="s">
        <v>74</v>
      </c>
      <c r="D729">
        <v>7</v>
      </c>
      <c r="E729">
        <f>Tableau4[[#This Row],[Potential (PJ)]]/3.6</f>
        <v>1.9444444444444444</v>
      </c>
      <c r="F729">
        <v>3.484</v>
      </c>
      <c r="G729">
        <f>Tableau4[[#This Row],[Cost (€/GJ)]]*3.6</f>
        <v>12.542400000000001</v>
      </c>
      <c r="H729">
        <v>2.0635593220338988</v>
      </c>
      <c r="I729">
        <f>Tableau4[[#This Row],[GHG (kgCO2eq/GJ)]]*3.6</f>
        <v>7.4288135593220357</v>
      </c>
      <c r="J729" t="s">
        <v>105</v>
      </c>
      <c r="K729" t="s">
        <v>108</v>
      </c>
    </row>
    <row r="730" spans="1:11" hidden="1" x14ac:dyDescent="0.3">
      <c r="A730" t="s">
        <v>38</v>
      </c>
      <c r="B730" t="s">
        <v>51</v>
      </c>
      <c r="C730" t="s">
        <v>75</v>
      </c>
      <c r="D730">
        <v>27.238040000000002</v>
      </c>
      <c r="E730">
        <f>Tableau4[[#This Row],[Potential (PJ)]]/3.6</f>
        <v>7.5661222222222229</v>
      </c>
      <c r="F730">
        <v>8.84487541138336E-2</v>
      </c>
      <c r="G730">
        <f>Tableau4[[#This Row],[Cost (€/GJ)]]*3.6</f>
        <v>0.31841551480980096</v>
      </c>
      <c r="H730">
        <v>11.74</v>
      </c>
      <c r="I730">
        <f>Tableau4[[#This Row],[GHG (kgCO2eq/GJ)]]*3.6</f>
        <v>42.264000000000003</v>
      </c>
      <c r="J730" t="s">
        <v>104</v>
      </c>
      <c r="K730" t="s">
        <v>108</v>
      </c>
    </row>
    <row r="731" spans="1:11" hidden="1" x14ac:dyDescent="0.3">
      <c r="A731" t="s">
        <v>38</v>
      </c>
      <c r="B731" t="s">
        <v>52</v>
      </c>
      <c r="C731" t="s">
        <v>76</v>
      </c>
      <c r="D731">
        <v>1.2999999999999999E-2</v>
      </c>
      <c r="E731">
        <f>Tableau4[[#This Row],[Potential (PJ)]]/3.6</f>
        <v>3.6111111111111109E-3</v>
      </c>
      <c r="F731">
        <v>4.7567250000000003</v>
      </c>
      <c r="G731">
        <f>Tableau4[[#This Row],[Cost (€/GJ)]]*3.6</f>
        <v>17.124210000000001</v>
      </c>
      <c r="H731">
        <v>12.68872359754714</v>
      </c>
      <c r="I731">
        <f>Tableau4[[#This Row],[GHG (kgCO2eq/GJ)]]*3.6</f>
        <v>45.679404951169708</v>
      </c>
      <c r="J731" t="s">
        <v>105</v>
      </c>
      <c r="K731" t="s">
        <v>108</v>
      </c>
    </row>
    <row r="732" spans="1:11" hidden="1" x14ac:dyDescent="0.3">
      <c r="A732" t="s">
        <v>38</v>
      </c>
      <c r="B732" t="s">
        <v>53</v>
      </c>
      <c r="C732" t="s">
        <v>77</v>
      </c>
      <c r="D732">
        <v>27</v>
      </c>
      <c r="E732">
        <f>Tableau4[[#This Row],[Potential (PJ)]]/3.6</f>
        <v>7.5</v>
      </c>
      <c r="F732">
        <v>0</v>
      </c>
      <c r="G732">
        <f>Tableau4[[#This Row],[Cost (€/GJ)]]*3.6</f>
        <v>0</v>
      </c>
      <c r="H732">
        <v>3.86607608129234</v>
      </c>
      <c r="I732">
        <f>Tableau4[[#This Row],[GHG (kgCO2eq/GJ)]]*3.6</f>
        <v>13.917873892652425</v>
      </c>
      <c r="J732" t="s">
        <v>104</v>
      </c>
      <c r="K732" t="s">
        <v>108</v>
      </c>
    </row>
    <row r="733" spans="1:11" hidden="1" x14ac:dyDescent="0.3">
      <c r="A733" t="s">
        <v>39</v>
      </c>
      <c r="B733" t="s">
        <v>46</v>
      </c>
      <c r="C733" t="s">
        <v>64</v>
      </c>
      <c r="D733">
        <v>1.6150000000000001E-2</v>
      </c>
      <c r="E733">
        <f>Tableau4[[#This Row],[Potential (PJ)]]/3.6</f>
        <v>4.4861111111111117E-3</v>
      </c>
      <c r="F733">
        <v>0</v>
      </c>
      <c r="G733">
        <f>Tableau4[[#This Row],[Cost (€/GJ)]]*3.6</f>
        <v>0</v>
      </c>
      <c r="H733">
        <v>2.9521711768407801</v>
      </c>
      <c r="I733">
        <f>Tableau4[[#This Row],[GHG (kgCO2eq/GJ)]]*3.6</f>
        <v>10.627816236626808</v>
      </c>
      <c r="J733" t="s">
        <v>104</v>
      </c>
      <c r="K733" t="s">
        <v>108</v>
      </c>
    </row>
    <row r="734" spans="1:11" hidden="1" x14ac:dyDescent="0.3">
      <c r="A734" t="s">
        <v>39</v>
      </c>
      <c r="B734" t="s">
        <v>46</v>
      </c>
      <c r="C734" t="s">
        <v>79</v>
      </c>
      <c r="D734">
        <v>20.2</v>
      </c>
      <c r="E734">
        <f>Tableau4[[#This Row],[Potential (PJ)]]/3.6</f>
        <v>5.6111111111111107</v>
      </c>
      <c r="F734">
        <v>3.285524752475248</v>
      </c>
      <c r="G734">
        <f>Tableau4[[#This Row],[Cost (€/GJ)]]*3.6</f>
        <v>11.827889108910894</v>
      </c>
      <c r="H734">
        <v>6.8428961748633883</v>
      </c>
      <c r="I734">
        <f>Tableau4[[#This Row],[GHG (kgCO2eq/GJ)]]*3.6</f>
        <v>24.634426229508197</v>
      </c>
      <c r="J734" t="s">
        <v>104</v>
      </c>
      <c r="K734" t="s">
        <v>108</v>
      </c>
    </row>
    <row r="735" spans="1:11" hidden="1" x14ac:dyDescent="0.3">
      <c r="A735" t="s">
        <v>39</v>
      </c>
      <c r="B735" t="s">
        <v>46</v>
      </c>
      <c r="C735" t="s">
        <v>80</v>
      </c>
      <c r="D735">
        <v>1.2709999999999999</v>
      </c>
      <c r="E735">
        <f>Tableau4[[#This Row],[Potential (PJ)]]/3.6</f>
        <v>0.35305555555555551</v>
      </c>
      <c r="F735">
        <v>0.56844234659474036</v>
      </c>
      <c r="G735">
        <f>Tableau4[[#This Row],[Cost (€/GJ)]]*3.6</f>
        <v>2.0463924477410655</v>
      </c>
      <c r="H735">
        <v>28.139870918023309</v>
      </c>
      <c r="I735">
        <f>Tableau4[[#This Row],[GHG (kgCO2eq/GJ)]]*3.6</f>
        <v>101.30353530488391</v>
      </c>
      <c r="J735" t="s">
        <v>105</v>
      </c>
      <c r="K735" t="s">
        <v>108</v>
      </c>
    </row>
    <row r="736" spans="1:11" hidden="1" x14ac:dyDescent="0.3">
      <c r="A736" t="s">
        <v>39</v>
      </c>
      <c r="B736" t="s">
        <v>46</v>
      </c>
      <c r="C736" t="s">
        <v>81</v>
      </c>
      <c r="D736">
        <v>7.6E-3</v>
      </c>
      <c r="E736">
        <f>Tableau4[[#This Row],[Potential (PJ)]]/3.6</f>
        <v>2.1111111111111109E-3</v>
      </c>
      <c r="F736">
        <v>3.150998824911869</v>
      </c>
      <c r="G736">
        <f>Tableau4[[#This Row],[Cost (€/GJ)]]*3.6</f>
        <v>11.343595769682729</v>
      </c>
      <c r="H736">
        <v>8.9647473560517046</v>
      </c>
      <c r="I736">
        <f>Tableau4[[#This Row],[GHG (kgCO2eq/GJ)]]*3.6</f>
        <v>32.273090481786134</v>
      </c>
      <c r="J736" t="s">
        <v>105</v>
      </c>
      <c r="K736" t="s">
        <v>108</v>
      </c>
    </row>
    <row r="737" spans="1:11" hidden="1" x14ac:dyDescent="0.3">
      <c r="A737" t="s">
        <v>39</v>
      </c>
      <c r="B737" t="s">
        <v>46</v>
      </c>
      <c r="C737" t="s">
        <v>82</v>
      </c>
      <c r="D737">
        <v>2</v>
      </c>
      <c r="E737">
        <f>Tableau4[[#This Row],[Potential (PJ)]]/3.6</f>
        <v>0.55555555555555558</v>
      </c>
      <c r="F737">
        <v>2.0992999999999999</v>
      </c>
      <c r="G737">
        <f>Tableau4[[#This Row],[Cost (€/GJ)]]*3.6</f>
        <v>7.55748</v>
      </c>
      <c r="H737">
        <v>6.8428961748633883</v>
      </c>
      <c r="I737">
        <f>Tableau4[[#This Row],[GHG (kgCO2eq/GJ)]]*3.6</f>
        <v>24.634426229508197</v>
      </c>
      <c r="J737" t="s">
        <v>104</v>
      </c>
      <c r="K737" t="s">
        <v>108</v>
      </c>
    </row>
    <row r="738" spans="1:11" hidden="1" x14ac:dyDescent="0.3">
      <c r="A738" t="s">
        <v>39</v>
      </c>
      <c r="B738" t="s">
        <v>46</v>
      </c>
      <c r="C738" t="s">
        <v>84</v>
      </c>
      <c r="D738">
        <v>0.3</v>
      </c>
      <c r="E738">
        <f>Tableau4[[#This Row],[Potential (PJ)]]/3.6</f>
        <v>8.3333333333333329E-2</v>
      </c>
      <c r="F738">
        <v>2.6520000000000001</v>
      </c>
      <c r="G738">
        <f>Tableau4[[#This Row],[Cost (€/GJ)]]*3.6</f>
        <v>9.5472000000000001</v>
      </c>
      <c r="H738">
        <v>28.139870918023309</v>
      </c>
      <c r="I738">
        <f>Tableau4[[#This Row],[GHG (kgCO2eq/GJ)]]*3.6</f>
        <v>101.30353530488391</v>
      </c>
      <c r="J738" t="s">
        <v>105</v>
      </c>
      <c r="K738" t="s">
        <v>108</v>
      </c>
    </row>
    <row r="739" spans="1:11" hidden="1" x14ac:dyDescent="0.3">
      <c r="A739" t="s">
        <v>39</v>
      </c>
      <c r="B739" t="s">
        <v>55</v>
      </c>
      <c r="C739" t="s">
        <v>86</v>
      </c>
      <c r="D739">
        <v>0.33489999999999998</v>
      </c>
      <c r="E739">
        <f>Tableau4[[#This Row],[Potential (PJ)]]/3.6</f>
        <v>9.3027777777777765E-2</v>
      </c>
      <c r="F739">
        <v>16.594999999999999</v>
      </c>
      <c r="G739">
        <f>Tableau4[[#This Row],[Cost (€/GJ)]]*3.6</f>
        <v>59.741999999999997</v>
      </c>
      <c r="H739">
        <v>14.2</v>
      </c>
      <c r="I739">
        <f>Tableau4[[#This Row],[GHG (kgCO2eq/GJ)]]*3.6</f>
        <v>51.12</v>
      </c>
      <c r="J739" t="s">
        <v>106</v>
      </c>
      <c r="K739" t="s">
        <v>109</v>
      </c>
    </row>
    <row r="740" spans="1:11" hidden="1" x14ac:dyDescent="0.3">
      <c r="A740" t="s">
        <v>39</v>
      </c>
      <c r="B740" t="s">
        <v>55</v>
      </c>
      <c r="C740" t="s">
        <v>89</v>
      </c>
      <c r="D740">
        <v>6.5000000000000002E-2</v>
      </c>
      <c r="E740">
        <f>Tableau4[[#This Row],[Potential (PJ)]]/3.6</f>
        <v>1.8055555555555557E-2</v>
      </c>
      <c r="F740">
        <v>0</v>
      </c>
      <c r="G740">
        <f>Tableau4[[#This Row],[Cost (€/GJ)]]*3.6</f>
        <v>0</v>
      </c>
      <c r="H740">
        <v>14.2</v>
      </c>
      <c r="I740">
        <f>Tableau4[[#This Row],[GHG (kgCO2eq/GJ)]]*3.6</f>
        <v>51.12</v>
      </c>
      <c r="J740" t="s">
        <v>106</v>
      </c>
      <c r="K740" t="s">
        <v>109</v>
      </c>
    </row>
    <row r="741" spans="1:11" hidden="1" x14ac:dyDescent="0.3">
      <c r="A741" t="s">
        <v>39</v>
      </c>
      <c r="B741" t="s">
        <v>55</v>
      </c>
      <c r="C741" t="s">
        <v>91</v>
      </c>
      <c r="D741">
        <v>1E-4</v>
      </c>
      <c r="E741">
        <f>Tableau4[[#This Row],[Potential (PJ)]]/3.6</f>
        <v>2.7777777777777779E-5</v>
      </c>
      <c r="F741">
        <v>15.297000000000001</v>
      </c>
      <c r="G741">
        <f>Tableau4[[#This Row],[Cost (€/GJ)]]*3.6</f>
        <v>55.069200000000002</v>
      </c>
      <c r="H741">
        <v>14.2</v>
      </c>
      <c r="I741">
        <f>Tableau4[[#This Row],[GHG (kgCO2eq/GJ)]]*3.6</f>
        <v>51.12</v>
      </c>
      <c r="J741" t="s">
        <v>106</v>
      </c>
      <c r="K741" t="s">
        <v>109</v>
      </c>
    </row>
    <row r="742" spans="1:11" hidden="1" x14ac:dyDescent="0.3">
      <c r="A742" t="s">
        <v>39</v>
      </c>
      <c r="B742" t="s">
        <v>55</v>
      </c>
      <c r="C742" t="s">
        <v>92</v>
      </c>
      <c r="D742">
        <v>0.10242</v>
      </c>
      <c r="E742">
        <f>Tableau4[[#This Row],[Potential (PJ)]]/3.6</f>
        <v>2.845E-2</v>
      </c>
      <c r="F742">
        <v>17.721</v>
      </c>
      <c r="G742">
        <f>Tableau4[[#This Row],[Cost (€/GJ)]]*3.6</f>
        <v>63.7956</v>
      </c>
      <c r="H742">
        <v>14.2</v>
      </c>
      <c r="I742">
        <f>Tableau4[[#This Row],[GHG (kgCO2eq/GJ)]]*3.6</f>
        <v>51.12</v>
      </c>
      <c r="J742" t="s">
        <v>106</v>
      </c>
      <c r="K742" t="s">
        <v>109</v>
      </c>
    </row>
    <row r="743" spans="1:11" hidden="1" x14ac:dyDescent="0.3">
      <c r="A743" t="s">
        <v>39</v>
      </c>
      <c r="B743" t="s">
        <v>56</v>
      </c>
      <c r="C743" t="s">
        <v>93</v>
      </c>
      <c r="D743">
        <v>5.9813999999999998</v>
      </c>
      <c r="E743">
        <f>Tableau4[[#This Row],[Potential (PJ)]]/3.6</f>
        <v>1.6615</v>
      </c>
      <c r="F743">
        <v>2.939759036144578</v>
      </c>
      <c r="G743">
        <f>Tableau4[[#This Row],[Cost (€/GJ)]]*3.6</f>
        <v>10.583132530120482</v>
      </c>
      <c r="H743">
        <v>0.1</v>
      </c>
      <c r="I743">
        <f>Tableau4[[#This Row],[GHG (kgCO2eq/GJ)]]*3.6</f>
        <v>0.36000000000000004</v>
      </c>
      <c r="J743" t="s">
        <v>106</v>
      </c>
      <c r="K743" t="s">
        <v>109</v>
      </c>
    </row>
    <row r="744" spans="1:11" x14ac:dyDescent="0.3">
      <c r="A744" t="s">
        <v>39</v>
      </c>
      <c r="B744" t="s">
        <v>47</v>
      </c>
      <c r="C744" t="s">
        <v>101</v>
      </c>
      <c r="D744">
        <v>16.2</v>
      </c>
      <c r="E744">
        <f>Tableau4[[#This Row],[Potential (PJ)]]/3.6</f>
        <v>4.5</v>
      </c>
      <c r="F744">
        <v>6.3676913580246914</v>
      </c>
      <c r="G744">
        <f>Tableau4[[#This Row],[Cost (€/GJ)]]*3.6</f>
        <v>22.92368888888889</v>
      </c>
      <c r="H744">
        <v>29.3</v>
      </c>
      <c r="I744">
        <f>Tableau4[[#This Row],[GHG (kgCO2eq/GJ)]]*3.6</f>
        <v>105.48</v>
      </c>
      <c r="J744" t="s">
        <v>104</v>
      </c>
      <c r="K744" t="s">
        <v>109</v>
      </c>
    </row>
    <row r="745" spans="1:11" x14ac:dyDescent="0.3">
      <c r="A745" t="s">
        <v>39</v>
      </c>
      <c r="B745" t="s">
        <v>57</v>
      </c>
      <c r="C745" t="s">
        <v>94</v>
      </c>
      <c r="D745">
        <v>6.5</v>
      </c>
      <c r="E745">
        <f>Tableau4[[#This Row],[Potential (PJ)]]/3.6</f>
        <v>1.8055555555555556</v>
      </c>
      <c r="F745">
        <v>11.79158461538462</v>
      </c>
      <c r="G745">
        <f>Tableau4[[#This Row],[Cost (€/GJ)]]*3.6</f>
        <v>42.449704615384633</v>
      </c>
      <c r="H745">
        <v>15.9</v>
      </c>
      <c r="I745">
        <f>Tableau4[[#This Row],[GHG (kgCO2eq/GJ)]]*3.6</f>
        <v>57.24</v>
      </c>
      <c r="J745" t="s">
        <v>104</v>
      </c>
      <c r="K745" t="s">
        <v>109</v>
      </c>
    </row>
    <row r="746" spans="1:11" hidden="1" x14ac:dyDescent="0.3">
      <c r="A746" t="s">
        <v>39</v>
      </c>
      <c r="B746" t="s">
        <v>49</v>
      </c>
      <c r="C746" t="s">
        <v>71</v>
      </c>
      <c r="D746">
        <v>584.15256999999997</v>
      </c>
      <c r="E746">
        <f>Tableau4[[#This Row],[Potential (PJ)]]/3.6</f>
        <v>162.26460277777775</v>
      </c>
      <c r="F746">
        <v>4.499387449206977</v>
      </c>
      <c r="G746">
        <f>Tableau4[[#This Row],[Cost (€/GJ)]]*3.6</f>
        <v>16.197794817145116</v>
      </c>
      <c r="H746">
        <v>3.86607608129234</v>
      </c>
      <c r="I746">
        <f>Tableau4[[#This Row],[GHG (kgCO2eq/GJ)]]*3.6</f>
        <v>13.917873892652425</v>
      </c>
      <c r="J746" t="s">
        <v>104</v>
      </c>
      <c r="K746" t="s">
        <v>108</v>
      </c>
    </row>
    <row r="747" spans="1:11" hidden="1" x14ac:dyDescent="0.3">
      <c r="A747" t="s">
        <v>39</v>
      </c>
      <c r="B747" t="s">
        <v>49</v>
      </c>
      <c r="C747" t="s">
        <v>72</v>
      </c>
      <c r="D747">
        <v>30.2</v>
      </c>
      <c r="E747">
        <f>Tableau4[[#This Row],[Potential (PJ)]]/3.6</f>
        <v>8.3888888888888893</v>
      </c>
      <c r="F747">
        <v>3.596549668874172</v>
      </c>
      <c r="G747">
        <f>Tableau4[[#This Row],[Cost (€/GJ)]]*3.6</f>
        <v>12.94757880794702</v>
      </c>
      <c r="H747">
        <v>3.86607608129234</v>
      </c>
      <c r="I747">
        <f>Tableau4[[#This Row],[GHG (kgCO2eq/GJ)]]*3.6</f>
        <v>13.917873892652425</v>
      </c>
      <c r="J747" t="s">
        <v>104</v>
      </c>
      <c r="K747" t="s">
        <v>108</v>
      </c>
    </row>
    <row r="748" spans="1:11" hidden="1" x14ac:dyDescent="0.3">
      <c r="A748" t="s">
        <v>39</v>
      </c>
      <c r="B748" t="s">
        <v>58</v>
      </c>
      <c r="C748" t="s">
        <v>95</v>
      </c>
      <c r="D748">
        <v>71.447180000000003</v>
      </c>
      <c r="E748">
        <f>Tableau4[[#This Row],[Potential (PJ)]]/3.6</f>
        <v>19.846438888888891</v>
      </c>
      <c r="F748">
        <v>0.47826435123121719</v>
      </c>
      <c r="G748">
        <f>Tableau4[[#This Row],[Cost (€/GJ)]]*3.6</f>
        <v>1.7217516644323818</v>
      </c>
      <c r="H748">
        <v>2.9521711768407801</v>
      </c>
      <c r="I748">
        <f>Tableau4[[#This Row],[GHG (kgCO2eq/GJ)]]*3.6</f>
        <v>10.627816236626808</v>
      </c>
      <c r="J748" t="s">
        <v>104</v>
      </c>
      <c r="K748" t="s">
        <v>108</v>
      </c>
    </row>
    <row r="749" spans="1:11" hidden="1" x14ac:dyDescent="0.3">
      <c r="A749" t="s">
        <v>39</v>
      </c>
      <c r="B749" t="s">
        <v>50</v>
      </c>
      <c r="C749" t="s">
        <v>73</v>
      </c>
      <c r="D749">
        <v>5.0999999999999996</v>
      </c>
      <c r="E749">
        <f>Tableau4[[#This Row],[Potential (PJ)]]/3.6</f>
        <v>1.4166666666666665</v>
      </c>
      <c r="F749">
        <v>5.780117647058824</v>
      </c>
      <c r="G749">
        <f>Tableau4[[#This Row],[Cost (€/GJ)]]*3.6</f>
        <v>20.808423529411765</v>
      </c>
      <c r="H749">
        <v>20.723404255319149</v>
      </c>
      <c r="I749">
        <f>Tableau4[[#This Row],[GHG (kgCO2eq/GJ)]]*3.6</f>
        <v>74.604255319148933</v>
      </c>
      <c r="J749" t="s">
        <v>105</v>
      </c>
      <c r="K749" t="s">
        <v>108</v>
      </c>
    </row>
    <row r="750" spans="1:11" hidden="1" x14ac:dyDescent="0.3">
      <c r="A750" t="s">
        <v>39</v>
      </c>
      <c r="B750" t="s">
        <v>50</v>
      </c>
      <c r="C750" t="s">
        <v>74</v>
      </c>
      <c r="D750">
        <v>24.3</v>
      </c>
      <c r="E750">
        <f>Tableau4[[#This Row],[Potential (PJ)]]/3.6</f>
        <v>6.75</v>
      </c>
      <c r="F750">
        <v>6.7218971193415644</v>
      </c>
      <c r="G750">
        <f>Tableau4[[#This Row],[Cost (€/GJ)]]*3.6</f>
        <v>24.198829629629632</v>
      </c>
      <c r="H750">
        <v>2.0635593220338988</v>
      </c>
      <c r="I750">
        <f>Tableau4[[#This Row],[GHG (kgCO2eq/GJ)]]*3.6</f>
        <v>7.4288135593220357</v>
      </c>
      <c r="J750" t="s">
        <v>105</v>
      </c>
      <c r="K750" t="s">
        <v>108</v>
      </c>
    </row>
    <row r="751" spans="1:11" hidden="1" x14ac:dyDescent="0.3">
      <c r="A751" t="s">
        <v>39</v>
      </c>
      <c r="B751" t="s">
        <v>51</v>
      </c>
      <c r="C751" t="s">
        <v>75</v>
      </c>
      <c r="D751">
        <v>42.196599999999997</v>
      </c>
      <c r="E751">
        <f>Tableau4[[#This Row],[Potential (PJ)]]/3.6</f>
        <v>11.721277777777777</v>
      </c>
      <c r="F751">
        <v>3.2096293703716499E-3</v>
      </c>
      <c r="G751">
        <f>Tableau4[[#This Row],[Cost (€/GJ)]]*3.6</f>
        <v>1.1554665733337939E-2</v>
      </c>
      <c r="H751">
        <v>11.74</v>
      </c>
      <c r="I751">
        <f>Tableau4[[#This Row],[GHG (kgCO2eq/GJ)]]*3.6</f>
        <v>42.264000000000003</v>
      </c>
      <c r="J751" t="s">
        <v>104</v>
      </c>
      <c r="K751" t="s">
        <v>108</v>
      </c>
    </row>
    <row r="752" spans="1:11" hidden="1" x14ac:dyDescent="0.3">
      <c r="A752" t="s">
        <v>39</v>
      </c>
      <c r="B752" t="s">
        <v>60</v>
      </c>
      <c r="C752" t="s">
        <v>98</v>
      </c>
      <c r="D752">
        <v>1.492</v>
      </c>
      <c r="E752">
        <f>Tableau4[[#This Row],[Potential (PJ)]]/3.6</f>
        <v>0.41444444444444445</v>
      </c>
      <c r="F752">
        <v>16.004296455424271</v>
      </c>
      <c r="G752">
        <f>Tableau4[[#This Row],[Cost (€/GJ)]]*3.6</f>
        <v>57.615467239527376</v>
      </c>
      <c r="H752">
        <v>22.8</v>
      </c>
      <c r="I752">
        <f>Tableau4[[#This Row],[GHG (kgCO2eq/GJ)]]*3.6</f>
        <v>82.08</v>
      </c>
      <c r="J752" t="s">
        <v>107</v>
      </c>
      <c r="K752" t="s">
        <v>109</v>
      </c>
    </row>
    <row r="753" spans="1:11" hidden="1" x14ac:dyDescent="0.3">
      <c r="A753" t="s">
        <v>39</v>
      </c>
      <c r="B753" t="s">
        <v>52</v>
      </c>
      <c r="C753" t="s">
        <v>76</v>
      </c>
      <c r="D753">
        <v>3.1970000000000001</v>
      </c>
      <c r="E753">
        <f>Tableau4[[#This Row],[Potential (PJ)]]/3.6</f>
        <v>0.8880555555555556</v>
      </c>
      <c r="F753">
        <v>4.7567250000000003</v>
      </c>
      <c r="G753">
        <f>Tableau4[[#This Row],[Cost (€/GJ)]]*3.6</f>
        <v>17.124210000000001</v>
      </c>
      <c r="H753">
        <v>12.68872359754714</v>
      </c>
      <c r="I753">
        <f>Tableau4[[#This Row],[GHG (kgCO2eq/GJ)]]*3.6</f>
        <v>45.679404951169708</v>
      </c>
      <c r="J753" t="s">
        <v>105</v>
      </c>
      <c r="K753" t="s">
        <v>108</v>
      </c>
    </row>
    <row r="754" spans="1:11" hidden="1" x14ac:dyDescent="0.3">
      <c r="A754" t="s">
        <v>39</v>
      </c>
      <c r="B754" t="s">
        <v>53</v>
      </c>
      <c r="C754" t="s">
        <v>77</v>
      </c>
      <c r="D754">
        <v>20.5</v>
      </c>
      <c r="E754">
        <f>Tableau4[[#This Row],[Potential (PJ)]]/3.6</f>
        <v>5.6944444444444446</v>
      </c>
      <c r="F754">
        <v>3.5968341463414628</v>
      </c>
      <c r="G754">
        <f>Tableau4[[#This Row],[Cost (€/GJ)]]*3.6</f>
        <v>12.948602926829267</v>
      </c>
      <c r="H754">
        <v>3.86607608129234</v>
      </c>
      <c r="I754">
        <f>Tableau4[[#This Row],[GHG (kgCO2eq/GJ)]]*3.6</f>
        <v>13.917873892652425</v>
      </c>
      <c r="J754" t="s">
        <v>104</v>
      </c>
      <c r="K754" t="s">
        <v>108</v>
      </c>
    </row>
    <row r="755" spans="1:11" hidden="1" x14ac:dyDescent="0.3">
      <c r="A755" t="s">
        <v>39</v>
      </c>
      <c r="B755" t="s">
        <v>61</v>
      </c>
      <c r="C755" t="s">
        <v>99</v>
      </c>
      <c r="D755">
        <v>190.2</v>
      </c>
      <c r="E755">
        <f>Tableau4[[#This Row],[Potential (PJ)]]/3.6</f>
        <v>52.833333333333329</v>
      </c>
      <c r="F755">
        <v>1.3855504731861199</v>
      </c>
      <c r="G755">
        <f>Tableau4[[#This Row],[Cost (€/GJ)]]*3.6</f>
        <v>4.987981703470032</v>
      </c>
      <c r="H755">
        <v>2.9245635910224439</v>
      </c>
      <c r="I755">
        <f>Tableau4[[#This Row],[GHG (kgCO2eq/GJ)]]*3.6</f>
        <v>10.528428927680798</v>
      </c>
      <c r="J755" t="s">
        <v>104</v>
      </c>
      <c r="K755" t="s">
        <v>108</v>
      </c>
    </row>
    <row r="756" spans="1:11" hidden="1" x14ac:dyDescent="0.3">
      <c r="A756" t="s">
        <v>39</v>
      </c>
      <c r="B756" t="s">
        <v>62</v>
      </c>
      <c r="C756" t="s">
        <v>100</v>
      </c>
      <c r="D756">
        <v>86.800000000000011</v>
      </c>
      <c r="E756">
        <f>Tableau4[[#This Row],[Potential (PJ)]]/3.6</f>
        <v>24.111111111111114</v>
      </c>
      <c r="F756">
        <v>0.50599078341013826</v>
      </c>
      <c r="G756">
        <f>Tableau4[[#This Row],[Cost (€/GJ)]]*3.6</f>
        <v>1.8215668202764979</v>
      </c>
      <c r="H756">
        <v>2.6764106050305911</v>
      </c>
      <c r="I756">
        <f>Tableau4[[#This Row],[GHG (kgCO2eq/GJ)]]*3.6</f>
        <v>9.6350781781101276</v>
      </c>
      <c r="J756" t="s">
        <v>104</v>
      </c>
      <c r="K756" t="s">
        <v>108</v>
      </c>
    </row>
    <row r="757" spans="1:11" hidden="1" x14ac:dyDescent="0.3">
      <c r="A757" t="s">
        <v>39</v>
      </c>
      <c r="B757" t="s">
        <v>54</v>
      </c>
      <c r="C757" t="s">
        <v>78</v>
      </c>
      <c r="D757">
        <v>397.6</v>
      </c>
      <c r="E757">
        <f>Tableau4[[#This Row],[Potential (PJ)]]/3.6</f>
        <v>110.44444444444444</v>
      </c>
      <c r="F757">
        <v>7.400907193158953</v>
      </c>
      <c r="G757">
        <f>Tableau4[[#This Row],[Cost (€/GJ)]]*3.6</f>
        <v>26.643265895372231</v>
      </c>
      <c r="H757">
        <v>3.86607608129234</v>
      </c>
      <c r="I757">
        <f>Tableau4[[#This Row],[GHG (kgCO2eq/GJ)]]*3.6</f>
        <v>13.917873892652425</v>
      </c>
      <c r="J757" t="s">
        <v>104</v>
      </c>
      <c r="K757" t="s">
        <v>108</v>
      </c>
    </row>
    <row r="758" spans="1:11" hidden="1" x14ac:dyDescent="0.3">
      <c r="A758" t="s">
        <v>40</v>
      </c>
      <c r="B758" t="s">
        <v>46</v>
      </c>
      <c r="C758" t="s">
        <v>63</v>
      </c>
      <c r="D758">
        <v>7.1000000000000004E-3</v>
      </c>
      <c r="E758">
        <f>Tableau4[[#This Row],[Potential (PJ)]]/3.6</f>
        <v>1.9722222222222224E-3</v>
      </c>
      <c r="F758">
        <v>2.9286474973375931</v>
      </c>
      <c r="G758">
        <f>Tableau4[[#This Row],[Cost (€/GJ)]]*3.6</f>
        <v>10.543130990415335</v>
      </c>
      <c r="H758">
        <v>3.950479233226837</v>
      </c>
      <c r="I758">
        <f>Tableau4[[#This Row],[GHG (kgCO2eq/GJ)]]*3.6</f>
        <v>14.221725239616614</v>
      </c>
      <c r="J758" t="s">
        <v>104</v>
      </c>
      <c r="K758" t="s">
        <v>108</v>
      </c>
    </row>
    <row r="759" spans="1:11" hidden="1" x14ac:dyDescent="0.3">
      <c r="A759" t="s">
        <v>40</v>
      </c>
      <c r="B759" t="s">
        <v>46</v>
      </c>
      <c r="C759" t="s">
        <v>64</v>
      </c>
      <c r="D759">
        <v>5.806E-2</v>
      </c>
      <c r="E759">
        <f>Tableau4[[#This Row],[Potential (PJ)]]/3.6</f>
        <v>1.6127777777777779E-2</v>
      </c>
      <c r="F759">
        <v>0</v>
      </c>
      <c r="G759">
        <f>Tableau4[[#This Row],[Cost (€/GJ)]]*3.6</f>
        <v>0</v>
      </c>
      <c r="H759">
        <v>2.9521711768407801</v>
      </c>
      <c r="I759">
        <f>Tableau4[[#This Row],[GHG (kgCO2eq/GJ)]]*3.6</f>
        <v>10.627816236626808</v>
      </c>
      <c r="J759" t="s">
        <v>104</v>
      </c>
      <c r="K759" t="s">
        <v>108</v>
      </c>
    </row>
    <row r="760" spans="1:11" hidden="1" x14ac:dyDescent="0.3">
      <c r="A760" t="s">
        <v>40</v>
      </c>
      <c r="B760" t="s">
        <v>46</v>
      </c>
      <c r="C760" t="s">
        <v>80</v>
      </c>
      <c r="D760">
        <v>0.18090000000000001</v>
      </c>
      <c r="E760">
        <f>Tableau4[[#This Row],[Potential (PJ)]]/3.6</f>
        <v>5.0250000000000003E-2</v>
      </c>
      <c r="F760">
        <v>2.7417397167902902</v>
      </c>
      <c r="G760">
        <f>Tableau4[[#This Row],[Cost (€/GJ)]]*3.6</f>
        <v>9.8702629804450446</v>
      </c>
      <c r="H760">
        <v>28.139870918023309</v>
      </c>
      <c r="I760">
        <f>Tableau4[[#This Row],[GHG (kgCO2eq/GJ)]]*3.6</f>
        <v>101.30353530488391</v>
      </c>
      <c r="J760" t="s">
        <v>105</v>
      </c>
      <c r="K760" t="s">
        <v>108</v>
      </c>
    </row>
    <row r="761" spans="1:11" hidden="1" x14ac:dyDescent="0.3">
      <c r="A761" t="s">
        <v>40</v>
      </c>
      <c r="B761" t="s">
        <v>46</v>
      </c>
      <c r="C761" t="s">
        <v>81</v>
      </c>
      <c r="D761">
        <v>5.3400000000000003E-2</v>
      </c>
      <c r="E761">
        <f>Tableau4[[#This Row],[Potential (PJ)]]/3.6</f>
        <v>1.4833333333333334E-2</v>
      </c>
      <c r="F761">
        <v>2.5616921269095179</v>
      </c>
      <c r="G761">
        <f>Tableau4[[#This Row],[Cost (€/GJ)]]*3.6</f>
        <v>9.2220916568742641</v>
      </c>
      <c r="H761">
        <v>8.9647473560517046</v>
      </c>
      <c r="I761">
        <f>Tableau4[[#This Row],[GHG (kgCO2eq/GJ)]]*3.6</f>
        <v>32.273090481786134</v>
      </c>
      <c r="J761" t="s">
        <v>105</v>
      </c>
      <c r="K761" t="s">
        <v>108</v>
      </c>
    </row>
    <row r="762" spans="1:11" hidden="1" x14ac:dyDescent="0.3">
      <c r="A762" t="s">
        <v>40</v>
      </c>
      <c r="B762" t="s">
        <v>46</v>
      </c>
      <c r="C762" t="s">
        <v>66</v>
      </c>
      <c r="D762">
        <v>0.4</v>
      </c>
      <c r="E762">
        <f>Tableau4[[#This Row],[Potential (PJ)]]/3.6</f>
        <v>0.11111111111111112</v>
      </c>
      <c r="F762">
        <v>2.2512500000000002</v>
      </c>
      <c r="G762">
        <f>Tableau4[[#This Row],[Cost (€/GJ)]]*3.6</f>
        <v>8.1045000000000016</v>
      </c>
      <c r="H762">
        <v>6.8428961748633883</v>
      </c>
      <c r="I762">
        <f>Tableau4[[#This Row],[GHG (kgCO2eq/GJ)]]*3.6</f>
        <v>24.634426229508197</v>
      </c>
      <c r="J762" t="s">
        <v>104</v>
      </c>
      <c r="K762" t="s">
        <v>108</v>
      </c>
    </row>
    <row r="763" spans="1:11" hidden="1" x14ac:dyDescent="0.3">
      <c r="A763" t="s">
        <v>40</v>
      </c>
      <c r="B763" t="s">
        <v>46</v>
      </c>
      <c r="C763" t="s">
        <v>82</v>
      </c>
      <c r="D763">
        <v>0.60000000000000009</v>
      </c>
      <c r="E763">
        <f>Tableau4[[#This Row],[Potential (PJ)]]/3.6</f>
        <v>0.16666666666666669</v>
      </c>
      <c r="F763">
        <v>1.3340000000000001</v>
      </c>
      <c r="G763">
        <f>Tableau4[[#This Row],[Cost (€/GJ)]]*3.6</f>
        <v>4.8024000000000004</v>
      </c>
      <c r="H763">
        <v>6.8428961748633883</v>
      </c>
      <c r="I763">
        <f>Tableau4[[#This Row],[GHG (kgCO2eq/GJ)]]*3.6</f>
        <v>24.634426229508197</v>
      </c>
      <c r="J763" t="s">
        <v>104</v>
      </c>
      <c r="K763" t="s">
        <v>108</v>
      </c>
    </row>
    <row r="764" spans="1:11" hidden="1" x14ac:dyDescent="0.3">
      <c r="A764" t="s">
        <v>40</v>
      </c>
      <c r="B764" t="s">
        <v>46</v>
      </c>
      <c r="C764" t="s">
        <v>85</v>
      </c>
      <c r="D764">
        <v>0.3</v>
      </c>
      <c r="E764">
        <f>Tableau4[[#This Row],[Potential (PJ)]]/3.6</f>
        <v>8.3333333333333329E-2</v>
      </c>
      <c r="F764">
        <v>0</v>
      </c>
      <c r="G764">
        <f>Tableau4[[#This Row],[Cost (€/GJ)]]*3.6</f>
        <v>0</v>
      </c>
      <c r="H764">
        <v>2.9521711768407801</v>
      </c>
      <c r="I764">
        <f>Tableau4[[#This Row],[GHG (kgCO2eq/GJ)]]*3.6</f>
        <v>10.627816236626808</v>
      </c>
      <c r="J764" t="s">
        <v>104</v>
      </c>
      <c r="K764" t="s">
        <v>108</v>
      </c>
    </row>
    <row r="765" spans="1:11" hidden="1" x14ac:dyDescent="0.3">
      <c r="A765" t="s">
        <v>40</v>
      </c>
      <c r="B765" t="s">
        <v>55</v>
      </c>
      <c r="C765" t="s">
        <v>86</v>
      </c>
      <c r="D765">
        <v>0.12039999999999999</v>
      </c>
      <c r="E765">
        <f>Tableau4[[#This Row],[Potential (PJ)]]/3.6</f>
        <v>3.3444444444444443E-2</v>
      </c>
      <c r="F765">
        <v>14.561</v>
      </c>
      <c r="G765">
        <f>Tableau4[[#This Row],[Cost (€/GJ)]]*3.6</f>
        <v>52.419600000000003</v>
      </c>
      <c r="H765">
        <v>21.3</v>
      </c>
      <c r="I765">
        <f>Tableau4[[#This Row],[GHG (kgCO2eq/GJ)]]*3.6</f>
        <v>76.680000000000007</v>
      </c>
      <c r="J765" t="s">
        <v>106</v>
      </c>
      <c r="K765" t="s">
        <v>109</v>
      </c>
    </row>
    <row r="766" spans="1:11" hidden="1" x14ac:dyDescent="0.3">
      <c r="A766" t="s">
        <v>40</v>
      </c>
      <c r="B766" t="s">
        <v>55</v>
      </c>
      <c r="C766" t="s">
        <v>88</v>
      </c>
      <c r="D766">
        <v>3.2099999999999997E-2</v>
      </c>
      <c r="E766">
        <f>Tableau4[[#This Row],[Potential (PJ)]]/3.6</f>
        <v>8.9166666666666648E-3</v>
      </c>
      <c r="F766">
        <v>15.038</v>
      </c>
      <c r="G766">
        <f>Tableau4[[#This Row],[Cost (€/GJ)]]*3.6</f>
        <v>54.136800000000001</v>
      </c>
      <c r="H766">
        <v>21.3</v>
      </c>
      <c r="I766">
        <f>Tableau4[[#This Row],[GHG (kgCO2eq/GJ)]]*3.6</f>
        <v>76.680000000000007</v>
      </c>
      <c r="J766" t="s">
        <v>106</v>
      </c>
      <c r="K766" t="s">
        <v>109</v>
      </c>
    </row>
    <row r="767" spans="1:11" x14ac:dyDescent="0.3">
      <c r="A767" t="s">
        <v>40</v>
      </c>
      <c r="B767" t="s">
        <v>47</v>
      </c>
      <c r="C767" t="s">
        <v>68</v>
      </c>
      <c r="D767">
        <v>3.9</v>
      </c>
      <c r="E767">
        <f>Tableau4[[#This Row],[Potential (PJ)]]/3.6</f>
        <v>1.0833333333333333</v>
      </c>
      <c r="F767">
        <v>2.7851538461538459</v>
      </c>
      <c r="G767">
        <f>Tableau4[[#This Row],[Cost (€/GJ)]]*3.6</f>
        <v>10.026553846153845</v>
      </c>
      <c r="H767">
        <v>17.3</v>
      </c>
      <c r="I767">
        <f>Tableau4[[#This Row],[GHG (kgCO2eq/GJ)]]*3.6</f>
        <v>62.28</v>
      </c>
      <c r="J767" t="s">
        <v>104</v>
      </c>
      <c r="K767" t="s">
        <v>109</v>
      </c>
    </row>
    <row r="768" spans="1:11" x14ac:dyDescent="0.3">
      <c r="A768" t="s">
        <v>40</v>
      </c>
      <c r="B768" t="s">
        <v>47</v>
      </c>
      <c r="C768" t="s">
        <v>69</v>
      </c>
      <c r="D768">
        <v>1.7</v>
      </c>
      <c r="E768">
        <f>Tableau4[[#This Row],[Potential (PJ)]]/3.6</f>
        <v>0.47222222222222221</v>
      </c>
      <c r="F768">
        <v>2.8875294117647061</v>
      </c>
      <c r="G768">
        <f>Tableau4[[#This Row],[Cost (€/GJ)]]*3.6</f>
        <v>10.395105882352942</v>
      </c>
      <c r="H768">
        <v>17.3</v>
      </c>
      <c r="I768">
        <f>Tableau4[[#This Row],[GHG (kgCO2eq/GJ)]]*3.6</f>
        <v>62.28</v>
      </c>
      <c r="J768" t="s">
        <v>104</v>
      </c>
      <c r="K768" t="s">
        <v>109</v>
      </c>
    </row>
    <row r="769" spans="1:11" x14ac:dyDescent="0.3">
      <c r="A769" t="s">
        <v>40</v>
      </c>
      <c r="B769" t="s">
        <v>48</v>
      </c>
      <c r="C769" t="s">
        <v>70</v>
      </c>
      <c r="D769">
        <v>0.3</v>
      </c>
      <c r="E769">
        <f>Tableau4[[#This Row],[Potential (PJ)]]/3.6</f>
        <v>8.3333333333333329E-2</v>
      </c>
      <c r="F769">
        <v>8.2579999999999991</v>
      </c>
      <c r="G769">
        <f>Tableau4[[#This Row],[Cost (€/GJ)]]*3.6</f>
        <v>29.728799999999996</v>
      </c>
      <c r="H769">
        <v>0</v>
      </c>
      <c r="I769">
        <f>Tableau4[[#This Row],[GHG (kgCO2eq/GJ)]]*3.6</f>
        <v>0</v>
      </c>
      <c r="J769" t="s">
        <v>104</v>
      </c>
      <c r="K769" t="s">
        <v>109</v>
      </c>
    </row>
    <row r="770" spans="1:11" hidden="1" x14ac:dyDescent="0.3">
      <c r="A770" t="s">
        <v>40</v>
      </c>
      <c r="B770" t="s">
        <v>49</v>
      </c>
      <c r="C770" t="s">
        <v>71</v>
      </c>
      <c r="D770">
        <v>88.246489999999994</v>
      </c>
      <c r="E770">
        <f>Tableau4[[#This Row],[Potential (PJ)]]/3.6</f>
        <v>24.512913888888885</v>
      </c>
      <c r="F770">
        <v>1.946592851341737</v>
      </c>
      <c r="G770">
        <f>Tableau4[[#This Row],[Cost (€/GJ)]]*3.6</f>
        <v>7.007734264830253</v>
      </c>
      <c r="H770">
        <v>3.86607608129234</v>
      </c>
      <c r="I770">
        <f>Tableau4[[#This Row],[GHG (kgCO2eq/GJ)]]*3.6</f>
        <v>13.917873892652425</v>
      </c>
      <c r="J770" t="s">
        <v>104</v>
      </c>
      <c r="K770" t="s">
        <v>108</v>
      </c>
    </row>
    <row r="771" spans="1:11" hidden="1" x14ac:dyDescent="0.3">
      <c r="A771" t="s">
        <v>40</v>
      </c>
      <c r="B771" t="s">
        <v>49</v>
      </c>
      <c r="C771" t="s">
        <v>72</v>
      </c>
      <c r="D771">
        <v>7.3</v>
      </c>
      <c r="E771">
        <f>Tableau4[[#This Row],[Potential (PJ)]]/3.6</f>
        <v>2.0277777777777777</v>
      </c>
      <c r="F771">
        <v>2.5380684931506852</v>
      </c>
      <c r="G771">
        <f>Tableau4[[#This Row],[Cost (€/GJ)]]*3.6</f>
        <v>9.1370465753424668</v>
      </c>
      <c r="H771">
        <v>3.86607608129234</v>
      </c>
      <c r="I771">
        <f>Tableau4[[#This Row],[GHG (kgCO2eq/GJ)]]*3.6</f>
        <v>13.917873892652425</v>
      </c>
      <c r="J771" t="s">
        <v>104</v>
      </c>
      <c r="K771" t="s">
        <v>108</v>
      </c>
    </row>
    <row r="772" spans="1:11" hidden="1" x14ac:dyDescent="0.3">
      <c r="A772" t="s">
        <v>40</v>
      </c>
      <c r="B772" t="s">
        <v>58</v>
      </c>
      <c r="C772" t="s">
        <v>95</v>
      </c>
      <c r="D772">
        <v>1.74234</v>
      </c>
      <c r="E772">
        <f>Tableau4[[#This Row],[Potential (PJ)]]/3.6</f>
        <v>0.48398333333333332</v>
      </c>
      <c r="F772">
        <v>0</v>
      </c>
      <c r="G772">
        <f>Tableau4[[#This Row],[Cost (€/GJ)]]*3.6</f>
        <v>0</v>
      </c>
      <c r="H772">
        <v>2.9521711768407801</v>
      </c>
      <c r="I772">
        <f>Tableau4[[#This Row],[GHG (kgCO2eq/GJ)]]*3.6</f>
        <v>10.627816236626808</v>
      </c>
      <c r="J772" t="s">
        <v>104</v>
      </c>
      <c r="K772" t="s">
        <v>108</v>
      </c>
    </row>
    <row r="773" spans="1:11" hidden="1" x14ac:dyDescent="0.3">
      <c r="A773" t="s">
        <v>40</v>
      </c>
      <c r="B773" t="s">
        <v>50</v>
      </c>
      <c r="C773" t="s">
        <v>73</v>
      </c>
      <c r="D773">
        <v>0.4</v>
      </c>
      <c r="E773">
        <f>Tableau4[[#This Row],[Potential (PJ)]]/3.6</f>
        <v>0.11111111111111112</v>
      </c>
      <c r="F773">
        <v>5.1550000000000002</v>
      </c>
      <c r="G773">
        <f>Tableau4[[#This Row],[Cost (€/GJ)]]*3.6</f>
        <v>18.558</v>
      </c>
      <c r="H773">
        <v>20.723404255319149</v>
      </c>
      <c r="I773">
        <f>Tableau4[[#This Row],[GHG (kgCO2eq/GJ)]]*3.6</f>
        <v>74.604255319148933</v>
      </c>
      <c r="J773" t="s">
        <v>105</v>
      </c>
      <c r="K773" t="s">
        <v>108</v>
      </c>
    </row>
    <row r="774" spans="1:11" hidden="1" x14ac:dyDescent="0.3">
      <c r="A774" t="s">
        <v>40</v>
      </c>
      <c r="B774" t="s">
        <v>50</v>
      </c>
      <c r="C774" t="s">
        <v>74</v>
      </c>
      <c r="D774">
        <v>1.7</v>
      </c>
      <c r="E774">
        <f>Tableau4[[#This Row],[Potential (PJ)]]/3.6</f>
        <v>0.47222222222222221</v>
      </c>
      <c r="F774">
        <v>3.8133529411764702</v>
      </c>
      <c r="G774">
        <f>Tableau4[[#This Row],[Cost (€/GJ)]]*3.6</f>
        <v>13.728070588235292</v>
      </c>
      <c r="H774">
        <v>2.0635593220338988</v>
      </c>
      <c r="I774">
        <f>Tableau4[[#This Row],[GHG (kgCO2eq/GJ)]]*3.6</f>
        <v>7.4288135593220357</v>
      </c>
      <c r="J774" t="s">
        <v>105</v>
      </c>
      <c r="K774" t="s">
        <v>108</v>
      </c>
    </row>
    <row r="775" spans="1:11" hidden="1" x14ac:dyDescent="0.3">
      <c r="A775" t="s">
        <v>40</v>
      </c>
      <c r="B775" t="s">
        <v>51</v>
      </c>
      <c r="C775" t="s">
        <v>75</v>
      </c>
      <c r="D775">
        <v>1.4403109999999999</v>
      </c>
      <c r="E775">
        <f>Tableau4[[#This Row],[Potential (PJ)]]/3.6</f>
        <v>0.40008638888888887</v>
      </c>
      <c r="F775">
        <v>9.5888996448760297E-2</v>
      </c>
      <c r="G775">
        <f>Tableau4[[#This Row],[Cost (€/GJ)]]*3.6</f>
        <v>0.34520038721553709</v>
      </c>
      <c r="H775">
        <v>11.74</v>
      </c>
      <c r="I775">
        <f>Tableau4[[#This Row],[GHG (kgCO2eq/GJ)]]*3.6</f>
        <v>42.264000000000003</v>
      </c>
      <c r="J775" t="s">
        <v>104</v>
      </c>
      <c r="K775" t="s">
        <v>108</v>
      </c>
    </row>
    <row r="776" spans="1:11" hidden="1" x14ac:dyDescent="0.3">
      <c r="A776" t="s">
        <v>40</v>
      </c>
      <c r="B776" t="s">
        <v>60</v>
      </c>
      <c r="C776" t="s">
        <v>98</v>
      </c>
      <c r="D776">
        <v>0.13752</v>
      </c>
      <c r="E776">
        <f>Tableau4[[#This Row],[Potential (PJ)]]/3.6</f>
        <v>3.8199999999999998E-2</v>
      </c>
      <c r="F776">
        <v>28.73254564983888</v>
      </c>
      <c r="G776">
        <f>Tableau4[[#This Row],[Cost (€/GJ)]]*3.6</f>
        <v>103.43716433941997</v>
      </c>
      <c r="H776">
        <v>37.6</v>
      </c>
      <c r="I776">
        <f>Tableau4[[#This Row],[GHG (kgCO2eq/GJ)]]*3.6</f>
        <v>135.36000000000001</v>
      </c>
      <c r="J776" t="s">
        <v>107</v>
      </c>
      <c r="K776" t="s">
        <v>109</v>
      </c>
    </row>
    <row r="777" spans="1:11" hidden="1" x14ac:dyDescent="0.3">
      <c r="A777" t="s">
        <v>40</v>
      </c>
      <c r="B777" t="s">
        <v>52</v>
      </c>
      <c r="C777" t="s">
        <v>76</v>
      </c>
      <c r="D777">
        <v>0.126</v>
      </c>
      <c r="E777">
        <f>Tableau4[[#This Row],[Potential (PJ)]]/3.6</f>
        <v>3.4999999999999996E-2</v>
      </c>
      <c r="F777">
        <v>4.7567250000000003</v>
      </c>
      <c r="G777">
        <f>Tableau4[[#This Row],[Cost (€/GJ)]]*3.6</f>
        <v>17.124210000000001</v>
      </c>
      <c r="H777">
        <v>12.68872359754714</v>
      </c>
      <c r="I777">
        <f>Tableau4[[#This Row],[GHG (kgCO2eq/GJ)]]*3.6</f>
        <v>45.679404951169708</v>
      </c>
      <c r="J777" t="s">
        <v>105</v>
      </c>
      <c r="K777" t="s">
        <v>108</v>
      </c>
    </row>
    <row r="778" spans="1:11" hidden="1" x14ac:dyDescent="0.3">
      <c r="A778" t="s">
        <v>40</v>
      </c>
      <c r="B778" t="s">
        <v>53</v>
      </c>
      <c r="C778" t="s">
        <v>77</v>
      </c>
      <c r="D778">
        <v>3.2</v>
      </c>
      <c r="E778">
        <f>Tableau4[[#This Row],[Potential (PJ)]]/3.6</f>
        <v>0.88888888888888895</v>
      </c>
      <c r="F778">
        <v>2.538125</v>
      </c>
      <c r="G778">
        <f>Tableau4[[#This Row],[Cost (€/GJ)]]*3.6</f>
        <v>9.1372499999999999</v>
      </c>
      <c r="H778">
        <v>3.86607608129234</v>
      </c>
      <c r="I778">
        <f>Tableau4[[#This Row],[GHG (kgCO2eq/GJ)]]*3.6</f>
        <v>13.917873892652425</v>
      </c>
      <c r="J778" t="s">
        <v>104</v>
      </c>
      <c r="K778" t="s">
        <v>108</v>
      </c>
    </row>
    <row r="779" spans="1:11" hidden="1" x14ac:dyDescent="0.3">
      <c r="A779" t="s">
        <v>40</v>
      </c>
      <c r="B779" t="s">
        <v>61</v>
      </c>
      <c r="C779" t="s">
        <v>99</v>
      </c>
      <c r="D779">
        <v>6.3</v>
      </c>
      <c r="E779">
        <f>Tableau4[[#This Row],[Potential (PJ)]]/3.6</f>
        <v>1.75</v>
      </c>
      <c r="F779">
        <v>1.2551111111111111</v>
      </c>
      <c r="G779">
        <f>Tableau4[[#This Row],[Cost (€/GJ)]]*3.6</f>
        <v>4.5183999999999997</v>
      </c>
      <c r="H779">
        <v>2.9245635910224439</v>
      </c>
      <c r="I779">
        <f>Tableau4[[#This Row],[GHG (kgCO2eq/GJ)]]*3.6</f>
        <v>10.528428927680798</v>
      </c>
      <c r="J779" t="s">
        <v>104</v>
      </c>
      <c r="K779" t="s">
        <v>108</v>
      </c>
    </row>
    <row r="780" spans="1:11" hidden="1" x14ac:dyDescent="0.3">
      <c r="A780" t="s">
        <v>40</v>
      </c>
      <c r="B780" t="s">
        <v>62</v>
      </c>
      <c r="C780" t="s">
        <v>100</v>
      </c>
      <c r="D780">
        <v>1.4</v>
      </c>
      <c r="E780">
        <f>Tableau4[[#This Row],[Potential (PJ)]]/3.6</f>
        <v>0.38888888888888884</v>
      </c>
      <c r="F780">
        <v>0.32142857142857151</v>
      </c>
      <c r="G780">
        <f>Tableau4[[#This Row],[Cost (€/GJ)]]*3.6</f>
        <v>1.1571428571428575</v>
      </c>
      <c r="H780">
        <v>2.6764106050305911</v>
      </c>
      <c r="I780">
        <f>Tableau4[[#This Row],[GHG (kgCO2eq/GJ)]]*3.6</f>
        <v>9.6350781781101276</v>
      </c>
      <c r="J780" t="s">
        <v>104</v>
      </c>
      <c r="K780" t="s">
        <v>108</v>
      </c>
    </row>
    <row r="781" spans="1:11" hidden="1" x14ac:dyDescent="0.3">
      <c r="A781" t="s">
        <v>40</v>
      </c>
      <c r="B781" t="s">
        <v>54</v>
      </c>
      <c r="C781" t="s">
        <v>78</v>
      </c>
      <c r="D781">
        <v>38.799999999999997</v>
      </c>
      <c r="E781">
        <f>Tableau4[[#This Row],[Potential (PJ)]]/3.6</f>
        <v>10.777777777777777</v>
      </c>
      <c r="F781">
        <v>2.5441237113402071</v>
      </c>
      <c r="G781">
        <f>Tableau4[[#This Row],[Cost (€/GJ)]]*3.6</f>
        <v>9.1588453608247455</v>
      </c>
      <c r="H781">
        <v>3.86607608129234</v>
      </c>
      <c r="I781">
        <f>Tableau4[[#This Row],[GHG (kgCO2eq/GJ)]]*3.6</f>
        <v>13.917873892652425</v>
      </c>
      <c r="J781" t="s">
        <v>104</v>
      </c>
      <c r="K781" t="s">
        <v>108</v>
      </c>
    </row>
    <row r="782" spans="1:11" hidden="1" x14ac:dyDescent="0.3">
      <c r="A782" t="s">
        <v>41</v>
      </c>
      <c r="B782" t="s">
        <v>46</v>
      </c>
      <c r="C782" t="s">
        <v>64</v>
      </c>
      <c r="D782">
        <v>5.3199999999999997E-2</v>
      </c>
      <c r="E782">
        <f>Tableau4[[#This Row],[Potential (PJ)]]/3.6</f>
        <v>1.4777777777777777E-2</v>
      </c>
      <c r="F782">
        <v>5.2535926691729333</v>
      </c>
      <c r="G782">
        <f>Tableau4[[#This Row],[Cost (€/GJ)]]*3.6</f>
        <v>18.912933609022559</v>
      </c>
      <c r="H782">
        <v>2.9521711768407801</v>
      </c>
      <c r="I782">
        <f>Tableau4[[#This Row],[GHG (kgCO2eq/GJ)]]*3.6</f>
        <v>10.627816236626808</v>
      </c>
      <c r="J782" t="s">
        <v>104</v>
      </c>
      <c r="K782" t="s">
        <v>108</v>
      </c>
    </row>
    <row r="783" spans="1:11" hidden="1" x14ac:dyDescent="0.3">
      <c r="A783" t="s">
        <v>41</v>
      </c>
      <c r="B783" t="s">
        <v>46</v>
      </c>
      <c r="C783" t="s">
        <v>79</v>
      </c>
      <c r="D783">
        <v>11.3</v>
      </c>
      <c r="E783">
        <f>Tableau4[[#This Row],[Potential (PJ)]]/3.6</f>
        <v>3.1388888888888888</v>
      </c>
      <c r="F783">
        <v>3.3388495575221242</v>
      </c>
      <c r="G783">
        <f>Tableau4[[#This Row],[Cost (€/GJ)]]*3.6</f>
        <v>12.019858407079647</v>
      </c>
      <c r="H783">
        <v>6.8428961748633883</v>
      </c>
      <c r="I783">
        <f>Tableau4[[#This Row],[GHG (kgCO2eq/GJ)]]*3.6</f>
        <v>24.634426229508197</v>
      </c>
      <c r="J783" t="s">
        <v>104</v>
      </c>
      <c r="K783" t="s">
        <v>108</v>
      </c>
    </row>
    <row r="784" spans="1:11" hidden="1" x14ac:dyDescent="0.3">
      <c r="A784" t="s">
        <v>41</v>
      </c>
      <c r="B784" t="s">
        <v>46</v>
      </c>
      <c r="C784" t="s">
        <v>65</v>
      </c>
      <c r="D784">
        <v>0.1</v>
      </c>
      <c r="E784">
        <f>Tableau4[[#This Row],[Potential (PJ)]]/3.6</f>
        <v>2.777777777777778E-2</v>
      </c>
      <c r="F784">
        <v>4.2919999999999998</v>
      </c>
      <c r="G784">
        <f>Tableau4[[#This Row],[Cost (€/GJ)]]*3.6</f>
        <v>15.4512</v>
      </c>
      <c r="H784">
        <v>2.9521711768407801</v>
      </c>
      <c r="I784">
        <f>Tableau4[[#This Row],[GHG (kgCO2eq/GJ)]]*3.6</f>
        <v>10.627816236626808</v>
      </c>
      <c r="J784" t="s">
        <v>104</v>
      </c>
      <c r="K784" t="s">
        <v>108</v>
      </c>
    </row>
    <row r="785" spans="1:11" hidden="1" x14ac:dyDescent="0.3">
      <c r="A785" t="s">
        <v>41</v>
      </c>
      <c r="B785" t="s">
        <v>46</v>
      </c>
      <c r="C785" t="s">
        <v>80</v>
      </c>
      <c r="D785">
        <v>0.11409999999999999</v>
      </c>
      <c r="E785">
        <f>Tableau4[[#This Row],[Potential (PJ)]]/3.6</f>
        <v>3.1694444444444442E-2</v>
      </c>
      <c r="F785">
        <v>0.2002697235333783</v>
      </c>
      <c r="G785">
        <f>Tableau4[[#This Row],[Cost (€/GJ)]]*3.6</f>
        <v>0.72097100472016185</v>
      </c>
      <c r="H785">
        <v>28.139870918023309</v>
      </c>
      <c r="I785">
        <f>Tableau4[[#This Row],[GHG (kgCO2eq/GJ)]]*3.6</f>
        <v>101.30353530488391</v>
      </c>
      <c r="J785" t="s">
        <v>105</v>
      </c>
      <c r="K785" t="s">
        <v>108</v>
      </c>
    </row>
    <row r="786" spans="1:11" hidden="1" x14ac:dyDescent="0.3">
      <c r="A786" t="s">
        <v>41</v>
      </c>
      <c r="B786" t="s">
        <v>46</v>
      </c>
      <c r="C786" t="s">
        <v>81</v>
      </c>
      <c r="D786">
        <v>6.8500000000000005E-2</v>
      </c>
      <c r="E786">
        <f>Tableau4[[#This Row],[Potential (PJ)]]/3.6</f>
        <v>1.9027777777777779E-2</v>
      </c>
      <c r="F786">
        <v>0.36251468860164521</v>
      </c>
      <c r="G786">
        <f>Tableau4[[#This Row],[Cost (€/GJ)]]*3.6</f>
        <v>1.3050528789659228</v>
      </c>
      <c r="H786">
        <v>8.9647473560517046</v>
      </c>
      <c r="I786">
        <f>Tableau4[[#This Row],[GHG (kgCO2eq/GJ)]]*3.6</f>
        <v>32.273090481786134</v>
      </c>
      <c r="J786" t="s">
        <v>105</v>
      </c>
      <c r="K786" t="s">
        <v>108</v>
      </c>
    </row>
    <row r="787" spans="1:11" hidden="1" x14ac:dyDescent="0.3">
      <c r="A787" t="s">
        <v>41</v>
      </c>
      <c r="B787" t="s">
        <v>46</v>
      </c>
      <c r="C787" t="s">
        <v>66</v>
      </c>
      <c r="D787">
        <v>4.3</v>
      </c>
      <c r="E787">
        <f>Tableau4[[#This Row],[Potential (PJ)]]/3.6</f>
        <v>1.1944444444444444</v>
      </c>
      <c r="F787">
        <v>3.4333255813953492</v>
      </c>
      <c r="G787">
        <f>Tableau4[[#This Row],[Cost (€/GJ)]]*3.6</f>
        <v>12.359972093023258</v>
      </c>
      <c r="H787">
        <v>6.8428961748633883</v>
      </c>
      <c r="I787">
        <f>Tableau4[[#This Row],[GHG (kgCO2eq/GJ)]]*3.6</f>
        <v>24.634426229508197</v>
      </c>
      <c r="J787" t="s">
        <v>104</v>
      </c>
      <c r="K787" t="s">
        <v>108</v>
      </c>
    </row>
    <row r="788" spans="1:11" hidden="1" x14ac:dyDescent="0.3">
      <c r="A788" t="s">
        <v>41</v>
      </c>
      <c r="B788" t="s">
        <v>46</v>
      </c>
      <c r="C788" t="s">
        <v>82</v>
      </c>
      <c r="D788">
        <v>3.5</v>
      </c>
      <c r="E788">
        <f>Tableau4[[#This Row],[Potential (PJ)]]/3.6</f>
        <v>0.97222222222222221</v>
      </c>
      <c r="F788">
        <v>2.1172571428571429</v>
      </c>
      <c r="G788">
        <f>Tableau4[[#This Row],[Cost (€/GJ)]]*3.6</f>
        <v>7.6221257142857146</v>
      </c>
      <c r="H788">
        <v>6.8428961748633883</v>
      </c>
      <c r="I788">
        <f>Tableau4[[#This Row],[GHG (kgCO2eq/GJ)]]*3.6</f>
        <v>24.634426229508197</v>
      </c>
      <c r="J788" t="s">
        <v>104</v>
      </c>
      <c r="K788" t="s">
        <v>108</v>
      </c>
    </row>
    <row r="789" spans="1:11" hidden="1" x14ac:dyDescent="0.3">
      <c r="A789" t="s">
        <v>41</v>
      </c>
      <c r="B789" t="s">
        <v>46</v>
      </c>
      <c r="C789" t="s">
        <v>84</v>
      </c>
      <c r="D789">
        <v>0.2</v>
      </c>
      <c r="E789">
        <f>Tableau4[[#This Row],[Potential (PJ)]]/3.6</f>
        <v>5.5555555555555559E-2</v>
      </c>
      <c r="F789">
        <v>2.0019999999999998</v>
      </c>
      <c r="G789">
        <f>Tableau4[[#This Row],[Cost (€/GJ)]]*3.6</f>
        <v>7.2071999999999994</v>
      </c>
      <c r="H789">
        <v>28.139870918023309</v>
      </c>
      <c r="I789">
        <f>Tableau4[[#This Row],[GHG (kgCO2eq/GJ)]]*3.6</f>
        <v>101.30353530488391</v>
      </c>
      <c r="J789" t="s">
        <v>105</v>
      </c>
      <c r="K789" t="s">
        <v>108</v>
      </c>
    </row>
    <row r="790" spans="1:11" hidden="1" x14ac:dyDescent="0.3">
      <c r="A790" t="s">
        <v>41</v>
      </c>
      <c r="B790" t="s">
        <v>55</v>
      </c>
      <c r="C790" t="s">
        <v>86</v>
      </c>
      <c r="D790">
        <v>4.2900000000000001E-2</v>
      </c>
      <c r="E790">
        <f>Tableau4[[#This Row],[Potential (PJ)]]/3.6</f>
        <v>1.1916666666666666E-2</v>
      </c>
      <c r="F790">
        <v>17.356000000000002</v>
      </c>
      <c r="G790">
        <f>Tableau4[[#This Row],[Cost (€/GJ)]]*3.6</f>
        <v>62.481600000000007</v>
      </c>
      <c r="H790">
        <v>9</v>
      </c>
      <c r="I790">
        <f>Tableau4[[#This Row],[GHG (kgCO2eq/GJ)]]*3.6</f>
        <v>32.4</v>
      </c>
      <c r="J790" t="s">
        <v>106</v>
      </c>
      <c r="K790" t="s">
        <v>109</v>
      </c>
    </row>
    <row r="791" spans="1:11" hidden="1" x14ac:dyDescent="0.3">
      <c r="A791" t="s">
        <v>41</v>
      </c>
      <c r="B791" t="s">
        <v>55</v>
      </c>
      <c r="C791" t="s">
        <v>87</v>
      </c>
      <c r="D791">
        <v>0.84319999999999995</v>
      </c>
      <c r="E791">
        <f>Tableau4[[#This Row],[Potential (PJ)]]/3.6</f>
        <v>0.23422222222222219</v>
      </c>
      <c r="F791">
        <v>15.88</v>
      </c>
      <c r="G791">
        <f>Tableau4[[#This Row],[Cost (€/GJ)]]*3.6</f>
        <v>57.168000000000006</v>
      </c>
      <c r="H791">
        <v>9</v>
      </c>
      <c r="I791">
        <f>Tableau4[[#This Row],[GHG (kgCO2eq/GJ)]]*3.6</f>
        <v>32.4</v>
      </c>
      <c r="J791" t="s">
        <v>106</v>
      </c>
      <c r="K791" t="s">
        <v>109</v>
      </c>
    </row>
    <row r="792" spans="1:11" hidden="1" x14ac:dyDescent="0.3">
      <c r="A792" t="s">
        <v>41</v>
      </c>
      <c r="B792" t="s">
        <v>55</v>
      </c>
      <c r="C792" t="s">
        <v>88</v>
      </c>
      <c r="D792">
        <v>1.7355</v>
      </c>
      <c r="E792">
        <f>Tableau4[[#This Row],[Potential (PJ)]]/3.6</f>
        <v>0.48208333333333331</v>
      </c>
      <c r="F792">
        <v>14.911</v>
      </c>
      <c r="G792">
        <f>Tableau4[[#This Row],[Cost (€/GJ)]]*3.6</f>
        <v>53.679600000000001</v>
      </c>
      <c r="H792">
        <v>9</v>
      </c>
      <c r="I792">
        <f>Tableau4[[#This Row],[GHG (kgCO2eq/GJ)]]*3.6</f>
        <v>32.4</v>
      </c>
      <c r="J792" t="s">
        <v>106</v>
      </c>
      <c r="K792" t="s">
        <v>109</v>
      </c>
    </row>
    <row r="793" spans="1:11" hidden="1" x14ac:dyDescent="0.3">
      <c r="A793" t="s">
        <v>41</v>
      </c>
      <c r="B793" t="s">
        <v>55</v>
      </c>
      <c r="C793" t="s">
        <v>91</v>
      </c>
      <c r="D793">
        <v>0.2442</v>
      </c>
      <c r="E793">
        <f>Tableau4[[#This Row],[Potential (PJ)]]/3.6</f>
        <v>6.7833333333333329E-2</v>
      </c>
      <c r="F793">
        <v>16.141999999999999</v>
      </c>
      <c r="G793">
        <f>Tableau4[[#This Row],[Cost (€/GJ)]]*3.6</f>
        <v>58.111199999999997</v>
      </c>
      <c r="H793">
        <v>9</v>
      </c>
      <c r="I793">
        <f>Tableau4[[#This Row],[GHG (kgCO2eq/GJ)]]*3.6</f>
        <v>32.4</v>
      </c>
      <c r="J793" t="s">
        <v>106</v>
      </c>
      <c r="K793" t="s">
        <v>109</v>
      </c>
    </row>
    <row r="794" spans="1:11" hidden="1" x14ac:dyDescent="0.3">
      <c r="A794" t="s">
        <v>41</v>
      </c>
      <c r="B794" t="s">
        <v>55</v>
      </c>
      <c r="C794" t="s">
        <v>92</v>
      </c>
      <c r="D794">
        <v>0.10915999999999999</v>
      </c>
      <c r="E794">
        <f>Tableau4[[#This Row],[Potential (PJ)]]/3.6</f>
        <v>3.0322222222222219E-2</v>
      </c>
      <c r="F794">
        <v>15.88</v>
      </c>
      <c r="G794">
        <f>Tableau4[[#This Row],[Cost (€/GJ)]]*3.6</f>
        <v>57.168000000000006</v>
      </c>
      <c r="H794">
        <v>9</v>
      </c>
      <c r="I794">
        <f>Tableau4[[#This Row],[GHG (kgCO2eq/GJ)]]*3.6</f>
        <v>32.4</v>
      </c>
      <c r="J794" t="s">
        <v>106</v>
      </c>
      <c r="K794" t="s">
        <v>109</v>
      </c>
    </row>
    <row r="795" spans="1:11" hidden="1" x14ac:dyDescent="0.3">
      <c r="A795" t="s">
        <v>41</v>
      </c>
      <c r="B795" t="s">
        <v>56</v>
      </c>
      <c r="C795" t="s">
        <v>93</v>
      </c>
      <c r="D795">
        <v>9.6708999999999996</v>
      </c>
      <c r="E795">
        <f>Tableau4[[#This Row],[Potential (PJ)]]/3.6</f>
        <v>2.6863611111111108</v>
      </c>
      <c r="F795">
        <v>2.9493975903614462</v>
      </c>
      <c r="G795">
        <f>Tableau4[[#This Row],[Cost (€/GJ)]]*3.6</f>
        <v>10.617831325301207</v>
      </c>
      <c r="H795">
        <v>15.9</v>
      </c>
      <c r="I795">
        <f>Tableau4[[#This Row],[GHG (kgCO2eq/GJ)]]*3.6</f>
        <v>57.24</v>
      </c>
      <c r="J795" t="s">
        <v>106</v>
      </c>
      <c r="K795" t="s">
        <v>109</v>
      </c>
    </row>
    <row r="796" spans="1:11" x14ac:dyDescent="0.3">
      <c r="A796" t="s">
        <v>41</v>
      </c>
      <c r="B796" t="s">
        <v>47</v>
      </c>
      <c r="C796" t="s">
        <v>68</v>
      </c>
      <c r="D796">
        <v>2.2999999999999998</v>
      </c>
      <c r="E796">
        <f>Tableau4[[#This Row],[Potential (PJ)]]/3.6</f>
        <v>0.63888888888888884</v>
      </c>
      <c r="F796">
        <v>3.3540869565217402</v>
      </c>
      <c r="G796">
        <f>Tableau4[[#This Row],[Cost (€/GJ)]]*3.6</f>
        <v>12.074713043478265</v>
      </c>
      <c r="H796">
        <v>22.8</v>
      </c>
      <c r="I796">
        <f>Tableau4[[#This Row],[GHG (kgCO2eq/GJ)]]*3.6</f>
        <v>82.08</v>
      </c>
      <c r="J796" t="s">
        <v>104</v>
      </c>
      <c r="K796" t="s">
        <v>109</v>
      </c>
    </row>
    <row r="797" spans="1:11" x14ac:dyDescent="0.3">
      <c r="A797" t="s">
        <v>41</v>
      </c>
      <c r="B797" t="s">
        <v>47</v>
      </c>
      <c r="C797" t="s">
        <v>69</v>
      </c>
      <c r="D797">
        <v>1.6</v>
      </c>
      <c r="E797">
        <f>Tableau4[[#This Row],[Potential (PJ)]]/3.6</f>
        <v>0.44444444444444448</v>
      </c>
      <c r="F797">
        <v>3.3641874999999999</v>
      </c>
      <c r="G797">
        <f>Tableau4[[#This Row],[Cost (€/GJ)]]*3.6</f>
        <v>12.111075</v>
      </c>
      <c r="H797">
        <v>22.8</v>
      </c>
      <c r="I797">
        <f>Tableau4[[#This Row],[GHG (kgCO2eq/GJ)]]*3.6</f>
        <v>82.08</v>
      </c>
      <c r="J797" t="s">
        <v>104</v>
      </c>
      <c r="K797" t="s">
        <v>109</v>
      </c>
    </row>
    <row r="798" spans="1:11" x14ac:dyDescent="0.3">
      <c r="A798" t="s">
        <v>41</v>
      </c>
      <c r="B798" t="s">
        <v>57</v>
      </c>
      <c r="C798" t="s">
        <v>94</v>
      </c>
      <c r="D798">
        <v>1.9</v>
      </c>
      <c r="E798">
        <f>Tableau4[[#This Row],[Potential (PJ)]]/3.6</f>
        <v>0.52777777777777779</v>
      </c>
      <c r="F798">
        <v>8.0303684210526303</v>
      </c>
      <c r="G798">
        <f>Tableau4[[#This Row],[Cost (€/GJ)]]*3.6</f>
        <v>28.909326315789471</v>
      </c>
      <c r="H798">
        <v>14.9</v>
      </c>
      <c r="I798">
        <f>Tableau4[[#This Row],[GHG (kgCO2eq/GJ)]]*3.6</f>
        <v>53.64</v>
      </c>
      <c r="J798" t="s">
        <v>104</v>
      </c>
      <c r="K798" t="s">
        <v>109</v>
      </c>
    </row>
    <row r="799" spans="1:11" hidden="1" x14ac:dyDescent="0.3">
      <c r="A799" t="s">
        <v>41</v>
      </c>
      <c r="B799" t="s">
        <v>49</v>
      </c>
      <c r="C799" t="s">
        <v>71</v>
      </c>
      <c r="D799">
        <v>93.684460000000001</v>
      </c>
      <c r="E799">
        <f>Tableau4[[#This Row],[Potential (PJ)]]/3.6</f>
        <v>26.023461111111111</v>
      </c>
      <c r="F799">
        <v>1.839650450352172</v>
      </c>
      <c r="G799">
        <f>Tableau4[[#This Row],[Cost (€/GJ)]]*3.6</f>
        <v>6.622741621267819</v>
      </c>
      <c r="H799">
        <v>3.86607608129234</v>
      </c>
      <c r="I799">
        <f>Tableau4[[#This Row],[GHG (kgCO2eq/GJ)]]*3.6</f>
        <v>13.917873892652425</v>
      </c>
      <c r="J799" t="s">
        <v>104</v>
      </c>
      <c r="K799" t="s">
        <v>108</v>
      </c>
    </row>
    <row r="800" spans="1:11" hidden="1" x14ac:dyDescent="0.3">
      <c r="A800" t="s">
        <v>41</v>
      </c>
      <c r="B800" t="s">
        <v>49</v>
      </c>
      <c r="C800" t="s">
        <v>72</v>
      </c>
      <c r="D800">
        <v>2.7</v>
      </c>
      <c r="E800">
        <f>Tableau4[[#This Row],[Potential (PJ)]]/3.6</f>
        <v>0.75</v>
      </c>
      <c r="F800">
        <v>2.4145555555555549</v>
      </c>
      <c r="G800">
        <f>Tableau4[[#This Row],[Cost (€/GJ)]]*3.6</f>
        <v>8.6923999999999975</v>
      </c>
      <c r="H800">
        <v>3.86607608129234</v>
      </c>
      <c r="I800">
        <f>Tableau4[[#This Row],[GHG (kgCO2eq/GJ)]]*3.6</f>
        <v>13.917873892652425</v>
      </c>
      <c r="J800" t="s">
        <v>104</v>
      </c>
      <c r="K800" t="s">
        <v>108</v>
      </c>
    </row>
    <row r="801" spans="1:11" hidden="1" x14ac:dyDescent="0.3">
      <c r="A801" t="s">
        <v>41</v>
      </c>
      <c r="B801" t="s">
        <v>58</v>
      </c>
      <c r="C801" t="s">
        <v>95</v>
      </c>
      <c r="D801">
        <v>7.4681500000000014</v>
      </c>
      <c r="E801">
        <f>Tableau4[[#This Row],[Potential (PJ)]]/3.6</f>
        <v>2.0744861111111113</v>
      </c>
      <c r="F801">
        <v>2.3055807047260699</v>
      </c>
      <c r="G801">
        <f>Tableau4[[#This Row],[Cost (€/GJ)]]*3.6</f>
        <v>8.3000905370138511</v>
      </c>
      <c r="H801">
        <v>2.9521711768407801</v>
      </c>
      <c r="I801">
        <f>Tableau4[[#This Row],[GHG (kgCO2eq/GJ)]]*3.6</f>
        <v>10.627816236626808</v>
      </c>
      <c r="J801" t="s">
        <v>104</v>
      </c>
      <c r="K801" t="s">
        <v>108</v>
      </c>
    </row>
    <row r="802" spans="1:11" hidden="1" x14ac:dyDescent="0.3">
      <c r="A802" t="s">
        <v>41</v>
      </c>
      <c r="B802" t="s">
        <v>50</v>
      </c>
      <c r="C802" t="s">
        <v>73</v>
      </c>
      <c r="D802">
        <v>2.1</v>
      </c>
      <c r="E802">
        <f>Tableau4[[#This Row],[Potential (PJ)]]/3.6</f>
        <v>0.58333333333333337</v>
      </c>
      <c r="F802">
        <v>5.1365238095238093</v>
      </c>
      <c r="G802">
        <f>Tableau4[[#This Row],[Cost (€/GJ)]]*3.6</f>
        <v>18.491485714285712</v>
      </c>
      <c r="H802">
        <v>20.723404255319149</v>
      </c>
      <c r="I802">
        <f>Tableau4[[#This Row],[GHG (kgCO2eq/GJ)]]*3.6</f>
        <v>74.604255319148933</v>
      </c>
      <c r="J802" t="s">
        <v>105</v>
      </c>
      <c r="K802" t="s">
        <v>108</v>
      </c>
    </row>
    <row r="803" spans="1:11" hidden="1" x14ac:dyDescent="0.3">
      <c r="A803" t="s">
        <v>41</v>
      </c>
      <c r="B803" t="s">
        <v>50</v>
      </c>
      <c r="C803" t="s">
        <v>74</v>
      </c>
      <c r="D803">
        <v>13.4</v>
      </c>
      <c r="E803">
        <f>Tableau4[[#This Row],[Potential (PJ)]]/3.6</f>
        <v>3.7222222222222223</v>
      </c>
      <c r="F803">
        <v>3.4208507462686559</v>
      </c>
      <c r="G803">
        <f>Tableau4[[#This Row],[Cost (€/GJ)]]*3.6</f>
        <v>12.315062686567162</v>
      </c>
      <c r="H803">
        <v>2.0635593220338988</v>
      </c>
      <c r="I803">
        <f>Tableau4[[#This Row],[GHG (kgCO2eq/GJ)]]*3.6</f>
        <v>7.4288135593220357</v>
      </c>
      <c r="J803" t="s">
        <v>105</v>
      </c>
      <c r="K803" t="s">
        <v>108</v>
      </c>
    </row>
    <row r="804" spans="1:11" hidden="1" x14ac:dyDescent="0.3">
      <c r="A804" t="s">
        <v>41</v>
      </c>
      <c r="B804" t="s">
        <v>59</v>
      </c>
      <c r="C804" t="s">
        <v>96</v>
      </c>
      <c r="D804">
        <v>7.619999999999999E-2</v>
      </c>
      <c r="E804">
        <f>Tableau4[[#This Row],[Potential (PJ)]]/3.6</f>
        <v>2.1166666666666663E-2</v>
      </c>
      <c r="F804">
        <v>30.006</v>
      </c>
      <c r="G804">
        <f>Tableau4[[#This Row],[Cost (€/GJ)]]*3.6</f>
        <v>108.02160000000001</v>
      </c>
      <c r="H804">
        <v>1</v>
      </c>
      <c r="I804">
        <f>Tableau4[[#This Row],[GHG (kgCO2eq/GJ)]]*3.6</f>
        <v>3.6</v>
      </c>
      <c r="J804" t="s">
        <v>107</v>
      </c>
      <c r="K804" t="s">
        <v>109</v>
      </c>
    </row>
    <row r="805" spans="1:11" hidden="1" x14ac:dyDescent="0.3">
      <c r="A805" t="s">
        <v>41</v>
      </c>
      <c r="B805" t="s">
        <v>59</v>
      </c>
      <c r="C805" t="s">
        <v>97</v>
      </c>
      <c r="D805">
        <v>4.2000000000000006E-3</v>
      </c>
      <c r="E805">
        <f>Tableau4[[#This Row],[Potential (PJ)]]/3.6</f>
        <v>1.1666666666666668E-3</v>
      </c>
      <c r="F805">
        <v>15.95225176342919</v>
      </c>
      <c r="G805">
        <f>Tableau4[[#This Row],[Cost (€/GJ)]]*3.6</f>
        <v>57.428106348345089</v>
      </c>
      <c r="H805">
        <v>1</v>
      </c>
      <c r="I805">
        <f>Tableau4[[#This Row],[GHG (kgCO2eq/GJ)]]*3.6</f>
        <v>3.6</v>
      </c>
      <c r="J805" t="s">
        <v>107</v>
      </c>
      <c r="K805" t="s">
        <v>109</v>
      </c>
    </row>
    <row r="806" spans="1:11" hidden="1" x14ac:dyDescent="0.3">
      <c r="A806" t="s">
        <v>41</v>
      </c>
      <c r="B806" t="s">
        <v>51</v>
      </c>
      <c r="C806" t="s">
        <v>75</v>
      </c>
      <c r="D806">
        <v>6.2903399999999996</v>
      </c>
      <c r="E806">
        <f>Tableau4[[#This Row],[Potential (PJ)]]/3.6</f>
        <v>1.7473166666666664</v>
      </c>
      <c r="F806">
        <v>1.4104643750917301E-2</v>
      </c>
      <c r="G806">
        <f>Tableau4[[#This Row],[Cost (€/GJ)]]*3.6</f>
        <v>5.0776717503302281E-2</v>
      </c>
      <c r="H806">
        <v>11.74</v>
      </c>
      <c r="I806">
        <f>Tableau4[[#This Row],[GHG (kgCO2eq/GJ)]]*3.6</f>
        <v>42.264000000000003</v>
      </c>
      <c r="J806" t="s">
        <v>104</v>
      </c>
      <c r="K806" t="s">
        <v>108</v>
      </c>
    </row>
    <row r="807" spans="1:11" hidden="1" x14ac:dyDescent="0.3">
      <c r="A807" t="s">
        <v>41</v>
      </c>
      <c r="B807" t="s">
        <v>60</v>
      </c>
      <c r="C807" t="s">
        <v>98</v>
      </c>
      <c r="D807">
        <v>1.27095</v>
      </c>
      <c r="E807">
        <f>Tableau4[[#This Row],[Potential (PJ)]]/3.6</f>
        <v>0.35304166666666664</v>
      </c>
      <c r="F807">
        <v>18.367346938775508</v>
      </c>
      <c r="G807">
        <f>Tableau4[[#This Row],[Cost (€/GJ)]]*3.6</f>
        <v>66.122448979591837</v>
      </c>
      <c r="H807">
        <v>18.8</v>
      </c>
      <c r="I807">
        <f>Tableau4[[#This Row],[GHG (kgCO2eq/GJ)]]*3.6</f>
        <v>67.680000000000007</v>
      </c>
      <c r="J807" t="s">
        <v>107</v>
      </c>
      <c r="K807" t="s">
        <v>109</v>
      </c>
    </row>
    <row r="808" spans="1:11" hidden="1" x14ac:dyDescent="0.3">
      <c r="A808" t="s">
        <v>41</v>
      </c>
      <c r="B808" t="s">
        <v>52</v>
      </c>
      <c r="C808" t="s">
        <v>76</v>
      </c>
      <c r="D808">
        <v>3.0000000000000001E-3</v>
      </c>
      <c r="E808">
        <f>Tableau4[[#This Row],[Potential (PJ)]]/3.6</f>
        <v>8.3333333333333328E-4</v>
      </c>
      <c r="F808">
        <v>4.7567250000000003</v>
      </c>
      <c r="G808">
        <f>Tableau4[[#This Row],[Cost (€/GJ)]]*3.6</f>
        <v>17.124210000000001</v>
      </c>
      <c r="H808">
        <v>12.68872359754714</v>
      </c>
      <c r="I808">
        <f>Tableau4[[#This Row],[GHG (kgCO2eq/GJ)]]*3.6</f>
        <v>45.679404951169708</v>
      </c>
      <c r="J808" t="s">
        <v>105</v>
      </c>
      <c r="K808" t="s">
        <v>108</v>
      </c>
    </row>
    <row r="809" spans="1:11" hidden="1" x14ac:dyDescent="0.3">
      <c r="A809" t="s">
        <v>41</v>
      </c>
      <c r="B809" t="s">
        <v>53</v>
      </c>
      <c r="C809" t="s">
        <v>77</v>
      </c>
      <c r="D809">
        <v>1.2</v>
      </c>
      <c r="E809">
        <f>Tableau4[[#This Row],[Potential (PJ)]]/3.6</f>
        <v>0.33333333333333331</v>
      </c>
      <c r="F809">
        <v>2.414333333333333</v>
      </c>
      <c r="G809">
        <f>Tableau4[[#This Row],[Cost (€/GJ)]]*3.6</f>
        <v>8.6915999999999993</v>
      </c>
      <c r="H809">
        <v>3.86607608129234</v>
      </c>
      <c r="I809">
        <f>Tableau4[[#This Row],[GHG (kgCO2eq/GJ)]]*3.6</f>
        <v>13.917873892652425</v>
      </c>
      <c r="J809" t="s">
        <v>104</v>
      </c>
      <c r="K809" t="s">
        <v>108</v>
      </c>
    </row>
    <row r="810" spans="1:11" hidden="1" x14ac:dyDescent="0.3">
      <c r="A810" t="s">
        <v>41</v>
      </c>
      <c r="B810" t="s">
        <v>61</v>
      </c>
      <c r="C810" t="s">
        <v>99</v>
      </c>
      <c r="D810">
        <v>14.3</v>
      </c>
      <c r="E810">
        <f>Tableau4[[#This Row],[Potential (PJ)]]/3.6</f>
        <v>3.9722222222222223</v>
      </c>
      <c r="F810">
        <v>1.518391608391608</v>
      </c>
      <c r="G810">
        <f>Tableau4[[#This Row],[Cost (€/GJ)]]*3.6</f>
        <v>5.4662097902097893</v>
      </c>
      <c r="H810">
        <v>2.9245635910224439</v>
      </c>
      <c r="I810">
        <f>Tableau4[[#This Row],[GHG (kgCO2eq/GJ)]]*3.6</f>
        <v>10.528428927680798</v>
      </c>
      <c r="J810" t="s">
        <v>104</v>
      </c>
      <c r="K810" t="s">
        <v>108</v>
      </c>
    </row>
    <row r="811" spans="1:11" hidden="1" x14ac:dyDescent="0.3">
      <c r="A811" t="s">
        <v>41</v>
      </c>
      <c r="B811" t="s">
        <v>62</v>
      </c>
      <c r="C811" t="s">
        <v>100</v>
      </c>
      <c r="D811">
        <v>4.4000000000000004</v>
      </c>
      <c r="E811">
        <f>Tableau4[[#This Row],[Potential (PJ)]]/3.6</f>
        <v>1.2222222222222223</v>
      </c>
      <c r="F811">
        <v>0.38181818181818178</v>
      </c>
      <c r="G811">
        <f>Tableau4[[#This Row],[Cost (€/GJ)]]*3.6</f>
        <v>1.3745454545454545</v>
      </c>
      <c r="H811">
        <v>2.6764106050305911</v>
      </c>
      <c r="I811">
        <f>Tableau4[[#This Row],[GHG (kgCO2eq/GJ)]]*3.6</f>
        <v>9.6350781781101276</v>
      </c>
      <c r="J811" t="s">
        <v>104</v>
      </c>
      <c r="K811" t="s">
        <v>108</v>
      </c>
    </row>
    <row r="812" spans="1:11" hidden="1" x14ac:dyDescent="0.3">
      <c r="A812" t="s">
        <v>41</v>
      </c>
      <c r="B812" t="s">
        <v>54</v>
      </c>
      <c r="C812" t="s">
        <v>78</v>
      </c>
      <c r="D812">
        <v>42.8</v>
      </c>
      <c r="E812">
        <f>Tableau4[[#This Row],[Potential (PJ)]]/3.6</f>
        <v>11.888888888888888</v>
      </c>
      <c r="F812">
        <v>2.4112126168224299</v>
      </c>
      <c r="G812">
        <f>Tableau4[[#This Row],[Cost (€/GJ)]]*3.6</f>
        <v>8.6803654205607472</v>
      </c>
      <c r="H812">
        <v>3.86607608129234</v>
      </c>
      <c r="I812">
        <f>Tableau4[[#This Row],[GHG (kgCO2eq/GJ)]]*3.6</f>
        <v>13.917873892652425</v>
      </c>
      <c r="J812" t="s">
        <v>104</v>
      </c>
      <c r="K812" t="s">
        <v>108</v>
      </c>
    </row>
    <row r="813" spans="1:11" hidden="1" x14ac:dyDescent="0.3">
      <c r="A813" t="s">
        <v>42</v>
      </c>
      <c r="B813" t="s">
        <v>46</v>
      </c>
      <c r="C813" t="s">
        <v>63</v>
      </c>
      <c r="D813">
        <v>5.2691999999999997</v>
      </c>
      <c r="E813">
        <f>Tableau4[[#This Row],[Potential (PJ)]]/3.6</f>
        <v>1.4636666666666664</v>
      </c>
      <c r="F813">
        <v>2.9286474973375931</v>
      </c>
      <c r="G813">
        <f>Tableau4[[#This Row],[Cost (€/GJ)]]*3.6</f>
        <v>10.543130990415335</v>
      </c>
      <c r="H813">
        <v>3.950479233226837</v>
      </c>
      <c r="I813">
        <f>Tableau4[[#This Row],[GHG (kgCO2eq/GJ)]]*3.6</f>
        <v>14.221725239616614</v>
      </c>
      <c r="J813" t="s">
        <v>104</v>
      </c>
      <c r="K813" t="s">
        <v>108</v>
      </c>
    </row>
    <row r="814" spans="1:11" hidden="1" x14ac:dyDescent="0.3">
      <c r="A814" t="s">
        <v>42</v>
      </c>
      <c r="B814" t="s">
        <v>46</v>
      </c>
      <c r="C814" t="s">
        <v>64</v>
      </c>
      <c r="D814">
        <v>3.5775999999999999</v>
      </c>
      <c r="E814">
        <f>Tableau4[[#This Row],[Potential (PJ)]]/3.6</f>
        <v>0.99377777777777776</v>
      </c>
      <c r="F814">
        <v>6.1414905076028621</v>
      </c>
      <c r="G814">
        <f>Tableau4[[#This Row],[Cost (€/GJ)]]*3.6</f>
        <v>22.109365827370304</v>
      </c>
      <c r="H814">
        <v>2.9521711768407801</v>
      </c>
      <c r="I814">
        <f>Tableau4[[#This Row],[GHG (kgCO2eq/GJ)]]*3.6</f>
        <v>10.627816236626808</v>
      </c>
      <c r="J814" t="s">
        <v>104</v>
      </c>
      <c r="K814" t="s">
        <v>108</v>
      </c>
    </row>
    <row r="815" spans="1:11" hidden="1" x14ac:dyDescent="0.3">
      <c r="A815" t="s">
        <v>42</v>
      </c>
      <c r="B815" t="s">
        <v>46</v>
      </c>
      <c r="C815" t="s">
        <v>65</v>
      </c>
      <c r="D815">
        <v>21.1</v>
      </c>
      <c r="E815">
        <f>Tableau4[[#This Row],[Potential (PJ)]]/3.6</f>
        <v>5.8611111111111116</v>
      </c>
      <c r="F815">
        <v>4.441393364928909</v>
      </c>
      <c r="G815">
        <f>Tableau4[[#This Row],[Cost (€/GJ)]]*3.6</f>
        <v>15.989016113744073</v>
      </c>
      <c r="H815">
        <v>2.9521711768407801</v>
      </c>
      <c r="I815">
        <f>Tableau4[[#This Row],[GHG (kgCO2eq/GJ)]]*3.6</f>
        <v>10.627816236626808</v>
      </c>
      <c r="J815" t="s">
        <v>104</v>
      </c>
      <c r="K815" t="s">
        <v>108</v>
      </c>
    </row>
    <row r="816" spans="1:11" hidden="1" x14ac:dyDescent="0.3">
      <c r="A816" t="s">
        <v>42</v>
      </c>
      <c r="B816" t="s">
        <v>46</v>
      </c>
      <c r="C816" t="s">
        <v>67</v>
      </c>
      <c r="D816">
        <v>15.6</v>
      </c>
      <c r="E816">
        <f>Tableau4[[#This Row],[Potential (PJ)]]/3.6</f>
        <v>4.333333333333333</v>
      </c>
      <c r="F816">
        <v>5.657</v>
      </c>
      <c r="G816">
        <f>Tableau4[[#This Row],[Cost (€/GJ)]]*3.6</f>
        <v>20.365200000000002</v>
      </c>
      <c r="H816">
        <v>2.9521711768407801</v>
      </c>
      <c r="I816">
        <f>Tableau4[[#This Row],[GHG (kgCO2eq/GJ)]]*3.6</f>
        <v>10.627816236626808</v>
      </c>
      <c r="J816" t="s">
        <v>104</v>
      </c>
      <c r="K816" t="s">
        <v>108</v>
      </c>
    </row>
    <row r="817" spans="1:11" hidden="1" x14ac:dyDescent="0.3">
      <c r="A817" t="s">
        <v>42</v>
      </c>
      <c r="B817" t="s">
        <v>46</v>
      </c>
      <c r="C817" t="s">
        <v>85</v>
      </c>
      <c r="D817">
        <v>4.1000000000000014</v>
      </c>
      <c r="E817">
        <f>Tableau4[[#This Row],[Potential (PJ)]]/3.6</f>
        <v>1.1388888888888893</v>
      </c>
      <c r="F817">
        <v>4.5365853658536581</v>
      </c>
      <c r="G817">
        <f>Tableau4[[#This Row],[Cost (€/GJ)]]*3.6</f>
        <v>16.331707317073171</v>
      </c>
      <c r="H817">
        <v>2.9521711768407801</v>
      </c>
      <c r="I817">
        <f>Tableau4[[#This Row],[GHG (kgCO2eq/GJ)]]*3.6</f>
        <v>10.627816236626808</v>
      </c>
      <c r="J817" t="s">
        <v>104</v>
      </c>
      <c r="K817" t="s">
        <v>108</v>
      </c>
    </row>
    <row r="818" spans="1:11" x14ac:dyDescent="0.3">
      <c r="A818" t="s">
        <v>42</v>
      </c>
      <c r="B818" t="s">
        <v>47</v>
      </c>
      <c r="C818" t="s">
        <v>68</v>
      </c>
      <c r="D818">
        <v>223.9</v>
      </c>
      <c r="E818">
        <f>Tableau4[[#This Row],[Potential (PJ)]]/3.6</f>
        <v>62.194444444444443</v>
      </c>
      <c r="F818">
        <v>3.3740000000000001</v>
      </c>
      <c r="G818">
        <f>Tableau4[[#This Row],[Cost (€/GJ)]]*3.6</f>
        <v>12.1464</v>
      </c>
      <c r="I818">
        <f>Tableau4[[#This Row],[GHG (kgCO2eq/GJ)]]*3.6</f>
        <v>0</v>
      </c>
      <c r="J818" t="s">
        <v>104</v>
      </c>
      <c r="K818" t="s">
        <v>109</v>
      </c>
    </row>
    <row r="819" spans="1:11" x14ac:dyDescent="0.3">
      <c r="A819" t="s">
        <v>42</v>
      </c>
      <c r="B819" t="s">
        <v>47</v>
      </c>
      <c r="C819" t="s">
        <v>69</v>
      </c>
      <c r="D819">
        <v>156.9</v>
      </c>
      <c r="E819">
        <f>Tableau4[[#This Row],[Potential (PJ)]]/3.6</f>
        <v>43.583333333333336</v>
      </c>
      <c r="F819">
        <v>3.3820000000000001</v>
      </c>
      <c r="G819">
        <f>Tableau4[[#This Row],[Cost (€/GJ)]]*3.6</f>
        <v>12.1752</v>
      </c>
      <c r="I819">
        <f>Tableau4[[#This Row],[GHG (kgCO2eq/GJ)]]*3.6</f>
        <v>0</v>
      </c>
      <c r="J819" t="s">
        <v>104</v>
      </c>
      <c r="K819" t="s">
        <v>109</v>
      </c>
    </row>
    <row r="820" spans="1:11" x14ac:dyDescent="0.3">
      <c r="A820" t="s">
        <v>42</v>
      </c>
      <c r="B820" t="s">
        <v>48</v>
      </c>
      <c r="C820" t="s">
        <v>70</v>
      </c>
      <c r="D820">
        <v>82.8</v>
      </c>
      <c r="E820">
        <f>Tableau4[[#This Row],[Potential (PJ)]]/3.6</f>
        <v>23</v>
      </c>
      <c r="F820">
        <v>8.9080000000000013</v>
      </c>
      <c r="G820">
        <f>Tableau4[[#This Row],[Cost (€/GJ)]]*3.6</f>
        <v>32.068800000000003</v>
      </c>
      <c r="I820">
        <f>Tableau4[[#This Row],[GHG (kgCO2eq/GJ)]]*3.6</f>
        <v>0</v>
      </c>
      <c r="J820" t="s">
        <v>104</v>
      </c>
      <c r="K820" t="s">
        <v>109</v>
      </c>
    </row>
    <row r="821" spans="1:11" hidden="1" x14ac:dyDescent="0.3">
      <c r="A821" t="s">
        <v>42</v>
      </c>
      <c r="B821" t="s">
        <v>49</v>
      </c>
      <c r="C821" t="s">
        <v>71</v>
      </c>
      <c r="D821">
        <v>0.19686999999999999</v>
      </c>
      <c r="E821">
        <f>Tableau4[[#This Row],[Potential (PJ)]]/3.6</f>
        <v>5.4686111111111109E-2</v>
      </c>
      <c r="F821">
        <v>2.496</v>
      </c>
      <c r="G821">
        <f>Tableau4[[#This Row],[Cost (€/GJ)]]*3.6</f>
        <v>8.9855999999999998</v>
      </c>
      <c r="H821">
        <v>3.86607608129234</v>
      </c>
      <c r="I821">
        <f>Tableau4[[#This Row],[GHG (kgCO2eq/GJ)]]*3.6</f>
        <v>13.917873892652425</v>
      </c>
      <c r="J821" t="s">
        <v>104</v>
      </c>
      <c r="K821" t="s">
        <v>108</v>
      </c>
    </row>
    <row r="822" spans="1:11" hidden="1" x14ac:dyDescent="0.3">
      <c r="A822" t="s">
        <v>42</v>
      </c>
      <c r="B822" t="s">
        <v>52</v>
      </c>
      <c r="C822" t="s">
        <v>76</v>
      </c>
      <c r="D822">
        <v>13.396000000000001</v>
      </c>
      <c r="E822">
        <f>Tableau4[[#This Row],[Potential (PJ)]]/3.6</f>
        <v>3.721111111111111</v>
      </c>
      <c r="F822">
        <v>0</v>
      </c>
      <c r="G822">
        <f>Tableau4[[#This Row],[Cost (€/GJ)]]*3.6</f>
        <v>0</v>
      </c>
      <c r="H822">
        <v>12.68872359754714</v>
      </c>
      <c r="I822">
        <f>Tableau4[[#This Row],[GHG (kgCO2eq/GJ)]]*3.6</f>
        <v>45.679404951169708</v>
      </c>
      <c r="J822" t="s">
        <v>105</v>
      </c>
      <c r="K822" t="s">
        <v>108</v>
      </c>
    </row>
    <row r="823" spans="1:11" hidden="1" x14ac:dyDescent="0.3">
      <c r="A823" t="s">
        <v>43</v>
      </c>
      <c r="B823" t="s">
        <v>49</v>
      </c>
      <c r="C823" t="s">
        <v>71</v>
      </c>
      <c r="D823">
        <v>370.10629999999998</v>
      </c>
      <c r="E823">
        <f>Tableau4[[#This Row],[Potential (PJ)]]/3.6</f>
        <v>102.80730555555554</v>
      </c>
      <c r="F823">
        <v>0</v>
      </c>
      <c r="G823">
        <f>Tableau4[[#This Row],[Cost (€/GJ)]]*3.6</f>
        <v>0</v>
      </c>
      <c r="I823">
        <f>Tableau4[[#This Row],[GHG (kgCO2eq/GJ)]]*3.6</f>
        <v>0</v>
      </c>
      <c r="J823" t="s">
        <v>104</v>
      </c>
      <c r="K823" t="s">
        <v>108</v>
      </c>
    </row>
    <row r="824" spans="1:11" hidden="1" x14ac:dyDescent="0.3">
      <c r="A824" t="s">
        <v>43</v>
      </c>
      <c r="B824" t="s">
        <v>49</v>
      </c>
      <c r="C824" t="s">
        <v>72</v>
      </c>
      <c r="D824">
        <v>67.400000000000006</v>
      </c>
      <c r="E824">
        <f>Tableau4[[#This Row],[Potential (PJ)]]/3.6</f>
        <v>18.722222222222225</v>
      </c>
      <c r="F824">
        <v>0</v>
      </c>
      <c r="G824">
        <f>Tableau4[[#This Row],[Cost (€/GJ)]]*3.6</f>
        <v>0</v>
      </c>
      <c r="I824">
        <f>Tableau4[[#This Row],[GHG (kgCO2eq/GJ)]]*3.6</f>
        <v>0</v>
      </c>
      <c r="J824" t="s">
        <v>104</v>
      </c>
      <c r="K824" t="s">
        <v>108</v>
      </c>
    </row>
    <row r="825" spans="1:11" hidden="1" x14ac:dyDescent="0.3">
      <c r="A825" t="s">
        <v>43</v>
      </c>
      <c r="B825" t="s">
        <v>53</v>
      </c>
      <c r="C825" t="s">
        <v>77</v>
      </c>
      <c r="D825">
        <v>28.5</v>
      </c>
      <c r="E825">
        <f>Tableau4[[#This Row],[Potential (PJ)]]/3.6</f>
        <v>7.9166666666666661</v>
      </c>
      <c r="F825">
        <v>0</v>
      </c>
      <c r="G825">
        <f>Tableau4[[#This Row],[Cost (€/GJ)]]*3.6</f>
        <v>0</v>
      </c>
      <c r="I825">
        <f>Tableau4[[#This Row],[GHG (kgCO2eq/GJ)]]*3.6</f>
        <v>0</v>
      </c>
      <c r="J825" t="s">
        <v>104</v>
      </c>
      <c r="K825" t="s">
        <v>108</v>
      </c>
    </row>
    <row r="826" spans="1:11" hidden="1" x14ac:dyDescent="0.3">
      <c r="A826" t="s">
        <v>43</v>
      </c>
      <c r="B826" t="s">
        <v>54</v>
      </c>
      <c r="C826" t="s">
        <v>78</v>
      </c>
      <c r="D826">
        <v>156.30000000000001</v>
      </c>
      <c r="E826">
        <f>Tableau4[[#This Row],[Potential (PJ)]]/3.6</f>
        <v>43.416666666666671</v>
      </c>
      <c r="F826">
        <v>0</v>
      </c>
      <c r="G826">
        <f>Tableau4[[#This Row],[Cost (€/GJ)]]*3.6</f>
        <v>0</v>
      </c>
      <c r="I826">
        <f>Tableau4[[#This Row],[GHG (kgCO2eq/GJ)]]*3.6</f>
        <v>0</v>
      </c>
      <c r="J826" t="s">
        <v>104</v>
      </c>
      <c r="K826" t="s">
        <v>108</v>
      </c>
    </row>
    <row r="827" spans="1:11" hidden="1" x14ac:dyDescent="0.3">
      <c r="A827" t="s">
        <v>44</v>
      </c>
      <c r="B827" t="s">
        <v>46</v>
      </c>
      <c r="C827" t="s">
        <v>64</v>
      </c>
      <c r="D827">
        <v>0.1303</v>
      </c>
      <c r="E827">
        <f>Tableau4[[#This Row],[Potential (PJ)]]/3.6</f>
        <v>3.6194444444444446E-2</v>
      </c>
      <c r="F827">
        <v>3.891496776669225</v>
      </c>
      <c r="G827">
        <f>Tableau4[[#This Row],[Cost (€/GJ)]]*3.6</f>
        <v>14.009388396009211</v>
      </c>
      <c r="H827">
        <v>2.9521711768407801</v>
      </c>
      <c r="I827">
        <f>Tableau4[[#This Row],[GHG (kgCO2eq/GJ)]]*3.6</f>
        <v>10.627816236626808</v>
      </c>
      <c r="J827" t="s">
        <v>104</v>
      </c>
      <c r="K827" t="s">
        <v>108</v>
      </c>
    </row>
    <row r="828" spans="1:11" hidden="1" x14ac:dyDescent="0.3">
      <c r="A828" t="s">
        <v>44</v>
      </c>
      <c r="B828" t="s">
        <v>46</v>
      </c>
      <c r="C828" t="s">
        <v>79</v>
      </c>
      <c r="D828">
        <v>78.099999999999994</v>
      </c>
      <c r="E828">
        <f>Tableau4[[#This Row],[Potential (PJ)]]/3.6</f>
        <v>21.694444444444443</v>
      </c>
      <c r="F828">
        <v>3.4581690140845081</v>
      </c>
      <c r="G828">
        <f>Tableau4[[#This Row],[Cost (€/GJ)]]*3.6</f>
        <v>12.44940845070423</v>
      </c>
      <c r="H828">
        <v>6.8428961748633883</v>
      </c>
      <c r="I828">
        <f>Tableau4[[#This Row],[GHG (kgCO2eq/GJ)]]*3.6</f>
        <v>24.634426229508197</v>
      </c>
      <c r="J828" t="s">
        <v>104</v>
      </c>
      <c r="K828" t="s">
        <v>108</v>
      </c>
    </row>
    <row r="829" spans="1:11" hidden="1" x14ac:dyDescent="0.3">
      <c r="A829" t="s">
        <v>44</v>
      </c>
      <c r="B829" t="s">
        <v>46</v>
      </c>
      <c r="C829" t="s">
        <v>65</v>
      </c>
      <c r="D829">
        <v>0.2</v>
      </c>
      <c r="E829">
        <f>Tableau4[[#This Row],[Potential (PJ)]]/3.6</f>
        <v>5.5555555555555559E-2</v>
      </c>
      <c r="F829">
        <v>5.4515000000000002</v>
      </c>
      <c r="G829">
        <f>Tableau4[[#This Row],[Cost (€/GJ)]]*3.6</f>
        <v>19.625400000000003</v>
      </c>
      <c r="H829">
        <v>2.9521711768407801</v>
      </c>
      <c r="I829">
        <f>Tableau4[[#This Row],[GHG (kgCO2eq/GJ)]]*3.6</f>
        <v>10.627816236626808</v>
      </c>
      <c r="J829" t="s">
        <v>104</v>
      </c>
      <c r="K829" t="s">
        <v>108</v>
      </c>
    </row>
    <row r="830" spans="1:11" hidden="1" x14ac:dyDescent="0.3">
      <c r="A830" t="s">
        <v>44</v>
      </c>
      <c r="B830" t="s">
        <v>46</v>
      </c>
      <c r="C830" t="s">
        <v>80</v>
      </c>
      <c r="D830">
        <v>3.3449</v>
      </c>
      <c r="E830">
        <f>Tableau4[[#This Row],[Potential (PJ)]]/3.6</f>
        <v>0.92913888888888885</v>
      </c>
      <c r="F830">
        <v>4.7201618341200263E-2</v>
      </c>
      <c r="G830">
        <f>Tableau4[[#This Row],[Cost (€/GJ)]]*3.6</f>
        <v>0.16992582602832096</v>
      </c>
      <c r="H830">
        <v>28.139870918023309</v>
      </c>
      <c r="I830">
        <f>Tableau4[[#This Row],[GHG (kgCO2eq/GJ)]]*3.6</f>
        <v>101.30353530488391</v>
      </c>
      <c r="J830" t="s">
        <v>105</v>
      </c>
      <c r="K830" t="s">
        <v>108</v>
      </c>
    </row>
    <row r="831" spans="1:11" hidden="1" x14ac:dyDescent="0.3">
      <c r="A831" t="s">
        <v>44</v>
      </c>
      <c r="B831" t="s">
        <v>46</v>
      </c>
      <c r="C831" t="s">
        <v>81</v>
      </c>
      <c r="D831">
        <v>0.4002</v>
      </c>
      <c r="E831">
        <f>Tableau4[[#This Row],[Potential (PJ)]]/3.6</f>
        <v>0.11116666666666666</v>
      </c>
      <c r="F831">
        <v>0.69388954171562867</v>
      </c>
      <c r="G831">
        <f>Tableau4[[#This Row],[Cost (€/GJ)]]*3.6</f>
        <v>2.4980023501762632</v>
      </c>
      <c r="H831">
        <v>8.9647473560517046</v>
      </c>
      <c r="I831">
        <f>Tableau4[[#This Row],[GHG (kgCO2eq/GJ)]]*3.6</f>
        <v>32.273090481786134</v>
      </c>
      <c r="J831" t="s">
        <v>105</v>
      </c>
      <c r="K831" t="s">
        <v>108</v>
      </c>
    </row>
    <row r="832" spans="1:11" hidden="1" x14ac:dyDescent="0.3">
      <c r="A832" t="s">
        <v>44</v>
      </c>
      <c r="B832" t="s">
        <v>46</v>
      </c>
      <c r="C832" t="s">
        <v>82</v>
      </c>
      <c r="D832">
        <v>14.2</v>
      </c>
      <c r="E832">
        <f>Tableau4[[#This Row],[Potential (PJ)]]/3.6</f>
        <v>3.9444444444444442</v>
      </c>
      <c r="F832">
        <v>2.2010985915492962</v>
      </c>
      <c r="G832">
        <f>Tableau4[[#This Row],[Cost (€/GJ)]]*3.6</f>
        <v>7.9239549295774667</v>
      </c>
      <c r="H832">
        <v>6.8428961748633883</v>
      </c>
      <c r="I832">
        <f>Tableau4[[#This Row],[GHG (kgCO2eq/GJ)]]*3.6</f>
        <v>24.634426229508197</v>
      </c>
      <c r="J832" t="s">
        <v>104</v>
      </c>
      <c r="K832" t="s">
        <v>108</v>
      </c>
    </row>
    <row r="833" spans="1:11" hidden="1" x14ac:dyDescent="0.3">
      <c r="A833" t="s">
        <v>44</v>
      </c>
      <c r="B833" t="s">
        <v>46</v>
      </c>
      <c r="C833" t="s">
        <v>84</v>
      </c>
      <c r="D833">
        <v>1.6</v>
      </c>
      <c r="E833">
        <f>Tableau4[[#This Row],[Potential (PJ)]]/3.6</f>
        <v>0.44444444444444448</v>
      </c>
      <c r="F833">
        <v>2.4077500000000001</v>
      </c>
      <c r="G833">
        <f>Tableau4[[#This Row],[Cost (€/GJ)]]*3.6</f>
        <v>8.6679000000000013</v>
      </c>
      <c r="H833">
        <v>28.139870918023309</v>
      </c>
      <c r="I833">
        <f>Tableau4[[#This Row],[GHG (kgCO2eq/GJ)]]*3.6</f>
        <v>101.30353530488391</v>
      </c>
      <c r="J833" t="s">
        <v>105</v>
      </c>
      <c r="K833" t="s">
        <v>108</v>
      </c>
    </row>
    <row r="834" spans="1:11" hidden="1" x14ac:dyDescent="0.3">
      <c r="A834" t="s">
        <v>44</v>
      </c>
      <c r="B834" t="s">
        <v>55</v>
      </c>
      <c r="C834" t="s">
        <v>86</v>
      </c>
      <c r="D834">
        <v>3.4171</v>
      </c>
      <c r="E834">
        <f>Tableau4[[#This Row],[Potential (PJ)]]/3.6</f>
        <v>0.94919444444444445</v>
      </c>
      <c r="F834">
        <v>18.461000000000009</v>
      </c>
      <c r="G834">
        <f>Tableau4[[#This Row],[Cost (€/GJ)]]*3.6</f>
        <v>66.459600000000037</v>
      </c>
      <c r="H834">
        <v>11.6</v>
      </c>
      <c r="I834">
        <f>Tableau4[[#This Row],[GHG (kgCO2eq/GJ)]]*3.6</f>
        <v>41.76</v>
      </c>
      <c r="J834" t="s">
        <v>106</v>
      </c>
      <c r="K834" t="s">
        <v>109</v>
      </c>
    </row>
    <row r="835" spans="1:11" hidden="1" x14ac:dyDescent="0.3">
      <c r="A835" t="s">
        <v>44</v>
      </c>
      <c r="B835" t="s">
        <v>55</v>
      </c>
      <c r="C835" t="s">
        <v>89</v>
      </c>
      <c r="D835">
        <v>4.3154000000000003</v>
      </c>
      <c r="E835">
        <f>Tableau4[[#This Row],[Potential (PJ)]]/3.6</f>
        <v>1.1987222222222222</v>
      </c>
      <c r="F835">
        <v>0</v>
      </c>
      <c r="G835">
        <f>Tableau4[[#This Row],[Cost (€/GJ)]]*3.6</f>
        <v>0</v>
      </c>
      <c r="H835">
        <v>11.6</v>
      </c>
      <c r="I835">
        <f>Tableau4[[#This Row],[GHG (kgCO2eq/GJ)]]*3.6</f>
        <v>41.76</v>
      </c>
      <c r="J835" t="s">
        <v>106</v>
      </c>
      <c r="K835" t="s">
        <v>109</v>
      </c>
    </row>
    <row r="836" spans="1:11" hidden="1" x14ac:dyDescent="0.3">
      <c r="A836" t="s">
        <v>44</v>
      </c>
      <c r="B836" t="s">
        <v>55</v>
      </c>
      <c r="C836" t="s">
        <v>92</v>
      </c>
      <c r="D836">
        <v>16.754750000000001</v>
      </c>
      <c r="E836">
        <f>Tableau4[[#This Row],[Potential (PJ)]]/3.6</f>
        <v>4.6540972222222221</v>
      </c>
      <c r="F836">
        <v>18.32500000000001</v>
      </c>
      <c r="G836">
        <f>Tableau4[[#This Row],[Cost (€/GJ)]]*3.6</f>
        <v>65.970000000000041</v>
      </c>
      <c r="H836">
        <v>11.6</v>
      </c>
      <c r="I836">
        <f>Tableau4[[#This Row],[GHG (kgCO2eq/GJ)]]*3.6</f>
        <v>41.76</v>
      </c>
      <c r="J836" t="s">
        <v>106</v>
      </c>
      <c r="K836" t="s">
        <v>109</v>
      </c>
    </row>
    <row r="837" spans="1:11" hidden="1" x14ac:dyDescent="0.3">
      <c r="A837" t="s">
        <v>44</v>
      </c>
      <c r="B837" t="s">
        <v>56</v>
      </c>
      <c r="C837" t="s">
        <v>93</v>
      </c>
      <c r="D837">
        <v>74.7774</v>
      </c>
      <c r="E837">
        <f>Tableau4[[#This Row],[Potential (PJ)]]/3.6</f>
        <v>20.7715</v>
      </c>
      <c r="F837">
        <v>2.939759036144578</v>
      </c>
      <c r="G837">
        <f>Tableau4[[#This Row],[Cost (€/GJ)]]*3.6</f>
        <v>10.583132530120482</v>
      </c>
      <c r="H837">
        <v>28.8</v>
      </c>
      <c r="I837">
        <f>Tableau4[[#This Row],[GHG (kgCO2eq/GJ)]]*3.6</f>
        <v>103.68</v>
      </c>
      <c r="J837" t="s">
        <v>106</v>
      </c>
      <c r="K837" t="s">
        <v>109</v>
      </c>
    </row>
    <row r="838" spans="1:11" x14ac:dyDescent="0.3">
      <c r="A838" t="s">
        <v>44</v>
      </c>
      <c r="B838" t="s">
        <v>47</v>
      </c>
      <c r="C838" t="s">
        <v>68</v>
      </c>
      <c r="D838">
        <v>22.9</v>
      </c>
      <c r="E838">
        <f>Tableau4[[#This Row],[Potential (PJ)]]/3.6</f>
        <v>6.3611111111111107</v>
      </c>
      <c r="F838">
        <v>5.8673275109170318</v>
      </c>
      <c r="G838">
        <f>Tableau4[[#This Row],[Cost (€/GJ)]]*3.6</f>
        <v>21.122379039301315</v>
      </c>
      <c r="H838">
        <v>15.6</v>
      </c>
      <c r="I838">
        <f>Tableau4[[#This Row],[GHG (kgCO2eq/GJ)]]*3.6</f>
        <v>56.16</v>
      </c>
      <c r="J838" t="s">
        <v>104</v>
      </c>
      <c r="K838" t="s">
        <v>109</v>
      </c>
    </row>
    <row r="839" spans="1:11" x14ac:dyDescent="0.3">
      <c r="A839" t="s">
        <v>44</v>
      </c>
      <c r="B839" t="s">
        <v>47</v>
      </c>
      <c r="C839" t="s">
        <v>69</v>
      </c>
      <c r="D839">
        <v>15.6</v>
      </c>
      <c r="E839">
        <f>Tableau4[[#This Row],[Potential (PJ)]]/3.6</f>
        <v>4.333333333333333</v>
      </c>
      <c r="F839">
        <v>6.0016987179487176</v>
      </c>
      <c r="G839">
        <f>Tableau4[[#This Row],[Cost (€/GJ)]]*3.6</f>
        <v>21.606115384615382</v>
      </c>
      <c r="H839">
        <v>15.6</v>
      </c>
      <c r="I839">
        <f>Tableau4[[#This Row],[GHG (kgCO2eq/GJ)]]*3.6</f>
        <v>56.16</v>
      </c>
      <c r="J839" t="s">
        <v>104</v>
      </c>
      <c r="K839" t="s">
        <v>109</v>
      </c>
    </row>
    <row r="840" spans="1:11" x14ac:dyDescent="0.3">
      <c r="A840" t="s">
        <v>44</v>
      </c>
      <c r="B840" t="s">
        <v>57</v>
      </c>
      <c r="C840" t="s">
        <v>94</v>
      </c>
      <c r="D840">
        <v>38.700000000000003</v>
      </c>
      <c r="E840">
        <f>Tableau4[[#This Row],[Potential (PJ)]]/3.6</f>
        <v>10.75</v>
      </c>
      <c r="F840">
        <v>8.7312713178294565</v>
      </c>
      <c r="G840">
        <f>Tableau4[[#This Row],[Cost (€/GJ)]]*3.6</f>
        <v>31.432576744186044</v>
      </c>
      <c r="H840">
        <v>24.4</v>
      </c>
      <c r="I840">
        <f>Tableau4[[#This Row],[GHG (kgCO2eq/GJ)]]*3.6</f>
        <v>87.84</v>
      </c>
      <c r="J840" t="s">
        <v>104</v>
      </c>
      <c r="K840" t="s">
        <v>109</v>
      </c>
    </row>
    <row r="841" spans="1:11" hidden="1" x14ac:dyDescent="0.3">
      <c r="A841" t="s">
        <v>44</v>
      </c>
      <c r="B841" t="s">
        <v>49</v>
      </c>
      <c r="C841" t="s">
        <v>71</v>
      </c>
      <c r="D841">
        <v>116.74066000000001</v>
      </c>
      <c r="E841">
        <f>Tableau4[[#This Row],[Potential (PJ)]]/3.6</f>
        <v>32.427961111111109</v>
      </c>
      <c r="F841">
        <v>2.5157310172822389</v>
      </c>
      <c r="G841">
        <f>Tableau4[[#This Row],[Cost (€/GJ)]]*3.6</f>
        <v>9.056631662216061</v>
      </c>
      <c r="H841">
        <v>3.86607608129234</v>
      </c>
      <c r="I841">
        <f>Tableau4[[#This Row],[GHG (kgCO2eq/GJ)]]*3.6</f>
        <v>13.917873892652425</v>
      </c>
      <c r="J841" t="s">
        <v>104</v>
      </c>
      <c r="K841" t="s">
        <v>108</v>
      </c>
    </row>
    <row r="842" spans="1:11" hidden="1" x14ac:dyDescent="0.3">
      <c r="A842" t="s">
        <v>44</v>
      </c>
      <c r="B842" t="s">
        <v>49</v>
      </c>
      <c r="C842" t="s">
        <v>72</v>
      </c>
      <c r="D842">
        <v>8.4</v>
      </c>
      <c r="E842">
        <f>Tableau4[[#This Row],[Potential (PJ)]]/3.6</f>
        <v>2.3333333333333335</v>
      </c>
      <c r="F842">
        <v>2.0059404761904762</v>
      </c>
      <c r="G842">
        <f>Tableau4[[#This Row],[Cost (€/GJ)]]*3.6</f>
        <v>7.2213857142857147</v>
      </c>
      <c r="H842">
        <v>3.86607608129234</v>
      </c>
      <c r="I842">
        <f>Tableau4[[#This Row],[GHG (kgCO2eq/GJ)]]*3.6</f>
        <v>13.917873892652425</v>
      </c>
      <c r="J842" t="s">
        <v>104</v>
      </c>
      <c r="K842" t="s">
        <v>108</v>
      </c>
    </row>
    <row r="843" spans="1:11" hidden="1" x14ac:dyDescent="0.3">
      <c r="A843" t="s">
        <v>44</v>
      </c>
      <c r="B843" t="s">
        <v>58</v>
      </c>
      <c r="C843" t="s">
        <v>95</v>
      </c>
      <c r="D843">
        <v>36.194310000000002</v>
      </c>
      <c r="E843">
        <f>Tableau4[[#This Row],[Potential (PJ)]]/3.6</f>
        <v>10.053974999999999</v>
      </c>
      <c r="F843">
        <v>0.28333709469803398</v>
      </c>
      <c r="G843">
        <f>Tableau4[[#This Row],[Cost (€/GJ)]]*3.6</f>
        <v>1.0200135409129223</v>
      </c>
      <c r="H843">
        <v>2.9521711768407801</v>
      </c>
      <c r="I843">
        <f>Tableau4[[#This Row],[GHG (kgCO2eq/GJ)]]*3.6</f>
        <v>10.627816236626808</v>
      </c>
      <c r="J843" t="s">
        <v>104</v>
      </c>
      <c r="K843" t="s">
        <v>108</v>
      </c>
    </row>
    <row r="844" spans="1:11" hidden="1" x14ac:dyDescent="0.3">
      <c r="A844" t="s">
        <v>44</v>
      </c>
      <c r="B844" t="s">
        <v>50</v>
      </c>
      <c r="C844" t="s">
        <v>73</v>
      </c>
      <c r="D844">
        <v>20.2</v>
      </c>
      <c r="E844">
        <f>Tableau4[[#This Row],[Potential (PJ)]]/3.6</f>
        <v>5.6111111111111107</v>
      </c>
      <c r="F844">
        <v>5.9723514851485149</v>
      </c>
      <c r="G844">
        <f>Tableau4[[#This Row],[Cost (€/GJ)]]*3.6</f>
        <v>21.500465346534654</v>
      </c>
      <c r="H844">
        <v>20.723404255319149</v>
      </c>
      <c r="I844">
        <f>Tableau4[[#This Row],[GHG (kgCO2eq/GJ)]]*3.6</f>
        <v>74.604255319148933</v>
      </c>
      <c r="J844" t="s">
        <v>105</v>
      </c>
      <c r="K844" t="s">
        <v>108</v>
      </c>
    </row>
    <row r="845" spans="1:11" hidden="1" x14ac:dyDescent="0.3">
      <c r="A845" t="s">
        <v>44</v>
      </c>
      <c r="B845" t="s">
        <v>50</v>
      </c>
      <c r="C845" t="s">
        <v>74</v>
      </c>
      <c r="D845">
        <v>231.9</v>
      </c>
      <c r="E845">
        <f>Tableau4[[#This Row],[Potential (PJ)]]/3.6</f>
        <v>64.416666666666671</v>
      </c>
      <c r="F845">
        <v>6.5946860715825792</v>
      </c>
      <c r="G845">
        <f>Tableau4[[#This Row],[Cost (€/GJ)]]*3.6</f>
        <v>23.740869857697287</v>
      </c>
      <c r="H845">
        <v>2.0635593220338988</v>
      </c>
      <c r="I845">
        <f>Tableau4[[#This Row],[GHG (kgCO2eq/GJ)]]*3.6</f>
        <v>7.4288135593220357</v>
      </c>
      <c r="J845" t="s">
        <v>105</v>
      </c>
      <c r="K845" t="s">
        <v>108</v>
      </c>
    </row>
    <row r="846" spans="1:11" hidden="1" x14ac:dyDescent="0.3">
      <c r="A846" t="s">
        <v>44</v>
      </c>
      <c r="B846" t="s">
        <v>51</v>
      </c>
      <c r="C846" t="s">
        <v>75</v>
      </c>
      <c r="D846">
        <v>26.52779</v>
      </c>
      <c r="E846">
        <f>Tableau4[[#This Row],[Potential (PJ)]]/3.6</f>
        <v>7.3688305555555553</v>
      </c>
      <c r="F846">
        <v>2.9006945344545801E-2</v>
      </c>
      <c r="G846">
        <f>Tableau4[[#This Row],[Cost (€/GJ)]]*3.6</f>
        <v>0.10442500324036488</v>
      </c>
      <c r="H846">
        <v>11.74</v>
      </c>
      <c r="I846">
        <f>Tableau4[[#This Row],[GHG (kgCO2eq/GJ)]]*3.6</f>
        <v>42.264000000000003</v>
      </c>
      <c r="J846" t="s">
        <v>104</v>
      </c>
      <c r="K846" t="s">
        <v>108</v>
      </c>
    </row>
    <row r="847" spans="1:11" hidden="1" x14ac:dyDescent="0.3">
      <c r="A847" t="s">
        <v>44</v>
      </c>
      <c r="B847" t="s">
        <v>60</v>
      </c>
      <c r="C847" t="s">
        <v>98</v>
      </c>
      <c r="D847">
        <v>9.8786000000000005</v>
      </c>
      <c r="E847">
        <f>Tableau4[[#This Row],[Potential (PJ)]]/3.6</f>
        <v>2.7440555555555557</v>
      </c>
      <c r="F847">
        <v>19.60257787325456</v>
      </c>
      <c r="G847">
        <f>Tableau4[[#This Row],[Cost (€/GJ)]]*3.6</f>
        <v>70.569280343716414</v>
      </c>
      <c r="H847">
        <v>20.6</v>
      </c>
      <c r="I847">
        <f>Tableau4[[#This Row],[GHG (kgCO2eq/GJ)]]*3.6</f>
        <v>74.160000000000011</v>
      </c>
      <c r="J847" t="s">
        <v>107</v>
      </c>
      <c r="K847" t="s">
        <v>109</v>
      </c>
    </row>
    <row r="848" spans="1:11" hidden="1" x14ac:dyDescent="0.3">
      <c r="A848" t="s">
        <v>44</v>
      </c>
      <c r="B848" t="s">
        <v>52</v>
      </c>
      <c r="C848" t="s">
        <v>76</v>
      </c>
      <c r="D848">
        <v>0.29099999999999998</v>
      </c>
      <c r="E848">
        <f>Tableau4[[#This Row],[Potential (PJ)]]/3.6</f>
        <v>8.0833333333333326E-2</v>
      </c>
      <c r="F848">
        <v>4.7567250000000003</v>
      </c>
      <c r="G848">
        <f>Tableau4[[#This Row],[Cost (€/GJ)]]*3.6</f>
        <v>17.124210000000001</v>
      </c>
      <c r="H848">
        <v>12.68872359754714</v>
      </c>
      <c r="I848">
        <f>Tableau4[[#This Row],[GHG (kgCO2eq/GJ)]]*3.6</f>
        <v>45.679404951169708</v>
      </c>
      <c r="J848" t="s">
        <v>105</v>
      </c>
      <c r="K848" t="s">
        <v>108</v>
      </c>
    </row>
    <row r="849" spans="1:11" hidden="1" x14ac:dyDescent="0.3">
      <c r="A849" t="s">
        <v>44</v>
      </c>
      <c r="B849" t="s">
        <v>53</v>
      </c>
      <c r="C849" t="s">
        <v>77</v>
      </c>
      <c r="D849">
        <v>5</v>
      </c>
      <c r="E849">
        <f>Tableau4[[#This Row],[Potential (PJ)]]/3.6</f>
        <v>1.3888888888888888</v>
      </c>
      <c r="F849">
        <v>1.92334</v>
      </c>
      <c r="G849">
        <f>Tableau4[[#This Row],[Cost (€/GJ)]]*3.6</f>
        <v>6.9240240000000002</v>
      </c>
      <c r="H849">
        <v>3.86607608129234</v>
      </c>
      <c r="I849">
        <f>Tableau4[[#This Row],[GHG (kgCO2eq/GJ)]]*3.6</f>
        <v>13.917873892652425</v>
      </c>
      <c r="J849" t="s">
        <v>104</v>
      </c>
      <c r="K849" t="s">
        <v>108</v>
      </c>
    </row>
    <row r="850" spans="1:11" hidden="1" x14ac:dyDescent="0.3">
      <c r="A850" t="s">
        <v>44</v>
      </c>
      <c r="B850" t="s">
        <v>61</v>
      </c>
      <c r="C850" t="s">
        <v>99</v>
      </c>
      <c r="D850">
        <v>21.5</v>
      </c>
      <c r="E850">
        <f>Tableau4[[#This Row],[Potential (PJ)]]/3.6</f>
        <v>5.9722222222222223</v>
      </c>
      <c r="F850">
        <v>1.3588</v>
      </c>
      <c r="G850">
        <f>Tableau4[[#This Row],[Cost (€/GJ)]]*3.6</f>
        <v>4.89168</v>
      </c>
      <c r="H850">
        <v>2.9245635910224439</v>
      </c>
      <c r="I850">
        <f>Tableau4[[#This Row],[GHG (kgCO2eq/GJ)]]*3.6</f>
        <v>10.528428927680798</v>
      </c>
      <c r="J850" t="s">
        <v>104</v>
      </c>
      <c r="K850" t="s">
        <v>108</v>
      </c>
    </row>
    <row r="851" spans="1:11" hidden="1" x14ac:dyDescent="0.3">
      <c r="A851" t="s">
        <v>44</v>
      </c>
      <c r="B851" t="s">
        <v>62</v>
      </c>
      <c r="C851" t="s">
        <v>100</v>
      </c>
      <c r="D851">
        <v>6.8</v>
      </c>
      <c r="E851">
        <f>Tableau4[[#This Row],[Potential (PJ)]]/3.6</f>
        <v>1.8888888888888888</v>
      </c>
      <c r="F851">
        <v>8.0882352941176475E-2</v>
      </c>
      <c r="G851">
        <f>Tableau4[[#This Row],[Cost (€/GJ)]]*3.6</f>
        <v>0.29117647058823531</v>
      </c>
      <c r="H851">
        <v>2.6764106050305911</v>
      </c>
      <c r="I851">
        <f>Tableau4[[#This Row],[GHG (kgCO2eq/GJ)]]*3.6</f>
        <v>9.6350781781101276</v>
      </c>
      <c r="J851" t="s">
        <v>104</v>
      </c>
      <c r="K851" t="s">
        <v>108</v>
      </c>
    </row>
    <row r="852" spans="1:11" hidden="1" x14ac:dyDescent="0.3">
      <c r="A852" t="s">
        <v>44</v>
      </c>
      <c r="B852" t="s">
        <v>54</v>
      </c>
      <c r="C852" t="s">
        <v>78</v>
      </c>
      <c r="D852">
        <v>74.099999999999994</v>
      </c>
      <c r="E852">
        <f>Tableau4[[#This Row],[Potential (PJ)]]/3.6</f>
        <v>20.583333333333332</v>
      </c>
      <c r="F852">
        <v>4.005445344129555</v>
      </c>
      <c r="G852">
        <f>Tableau4[[#This Row],[Cost (€/GJ)]]*3.6</f>
        <v>14.419603238866399</v>
      </c>
      <c r="H852">
        <v>3.86607608129234</v>
      </c>
      <c r="I852">
        <f>Tableau4[[#This Row],[GHG (kgCO2eq/GJ)]]*3.6</f>
        <v>13.917873892652425</v>
      </c>
      <c r="J852" t="s">
        <v>104</v>
      </c>
      <c r="K852" t="s">
        <v>108</v>
      </c>
    </row>
    <row r="853" spans="1:11" hidden="1" x14ac:dyDescent="0.3">
      <c r="A853" t="s">
        <v>45</v>
      </c>
      <c r="B853" t="s">
        <v>46</v>
      </c>
      <c r="C853" t="s">
        <v>64</v>
      </c>
      <c r="D853">
        <v>2.8639999999999999E-2</v>
      </c>
      <c r="E853">
        <f>Tableau4[[#This Row],[Potential (PJ)]]/3.6</f>
        <v>7.9555555555555543E-3</v>
      </c>
      <c r="F853">
        <v>0</v>
      </c>
      <c r="G853">
        <f>Tableau4[[#This Row],[Cost (€/GJ)]]*3.6</f>
        <v>0</v>
      </c>
      <c r="H853">
        <v>2.9521711768407801</v>
      </c>
      <c r="I853">
        <f>Tableau4[[#This Row],[GHG (kgCO2eq/GJ)]]*3.6</f>
        <v>10.627816236626808</v>
      </c>
      <c r="J853" t="s">
        <v>104</v>
      </c>
      <c r="K853" t="s">
        <v>108</v>
      </c>
    </row>
    <row r="854" spans="1:11" hidden="1" x14ac:dyDescent="0.3">
      <c r="A854" t="s">
        <v>45</v>
      </c>
      <c r="B854" t="s">
        <v>46</v>
      </c>
      <c r="C854" t="s">
        <v>79</v>
      </c>
      <c r="D854">
        <v>2.6</v>
      </c>
      <c r="E854">
        <f>Tableau4[[#This Row],[Potential (PJ)]]/3.6</f>
        <v>0.72222222222222221</v>
      </c>
      <c r="F854">
        <v>0</v>
      </c>
      <c r="G854">
        <f>Tableau4[[#This Row],[Cost (€/GJ)]]*3.6</f>
        <v>0</v>
      </c>
      <c r="H854">
        <v>6.8428961748633883</v>
      </c>
      <c r="I854">
        <f>Tableau4[[#This Row],[GHG (kgCO2eq/GJ)]]*3.6</f>
        <v>24.634426229508197</v>
      </c>
      <c r="J854" t="s">
        <v>104</v>
      </c>
      <c r="K854" t="s">
        <v>108</v>
      </c>
    </row>
    <row r="855" spans="1:11" hidden="1" x14ac:dyDescent="0.3">
      <c r="A855" t="s">
        <v>45</v>
      </c>
      <c r="B855" t="s">
        <v>46</v>
      </c>
      <c r="C855" t="s">
        <v>66</v>
      </c>
      <c r="D855">
        <v>0.3</v>
      </c>
      <c r="E855">
        <f>Tableau4[[#This Row],[Potential (PJ)]]/3.6</f>
        <v>8.3333333333333329E-2</v>
      </c>
      <c r="F855">
        <v>2.4049999999999998</v>
      </c>
      <c r="G855">
        <f>Tableau4[[#This Row],[Cost (€/GJ)]]*3.6</f>
        <v>8.6579999999999995</v>
      </c>
      <c r="H855">
        <v>6.8428961748633883</v>
      </c>
      <c r="I855">
        <f>Tableau4[[#This Row],[GHG (kgCO2eq/GJ)]]*3.6</f>
        <v>24.634426229508197</v>
      </c>
      <c r="J855" t="s">
        <v>104</v>
      </c>
      <c r="K855" t="s">
        <v>108</v>
      </c>
    </row>
    <row r="856" spans="1:11" x14ac:dyDescent="0.3">
      <c r="A856" t="s">
        <v>45</v>
      </c>
      <c r="B856" t="s">
        <v>47</v>
      </c>
      <c r="C856" t="s">
        <v>68</v>
      </c>
      <c r="D856">
        <v>34</v>
      </c>
      <c r="E856">
        <f>Tableau4[[#This Row],[Potential (PJ)]]/3.6</f>
        <v>9.4444444444444446</v>
      </c>
      <c r="F856">
        <v>3.96</v>
      </c>
      <c r="G856">
        <f>Tableau4[[#This Row],[Cost (€/GJ)]]*3.6</f>
        <v>14.256</v>
      </c>
      <c r="I856">
        <f>Tableau4[[#This Row],[GHG (kgCO2eq/GJ)]]*3.6</f>
        <v>0</v>
      </c>
      <c r="J856" t="s">
        <v>104</v>
      </c>
      <c r="K856" t="s">
        <v>109</v>
      </c>
    </row>
    <row r="857" spans="1:11" x14ac:dyDescent="0.3">
      <c r="A857" t="s">
        <v>45</v>
      </c>
      <c r="B857" t="s">
        <v>47</v>
      </c>
      <c r="C857" t="s">
        <v>69</v>
      </c>
      <c r="D857">
        <v>23.8</v>
      </c>
      <c r="E857">
        <f>Tableau4[[#This Row],[Potential (PJ)]]/3.6</f>
        <v>6.6111111111111107</v>
      </c>
      <c r="F857">
        <v>3.972</v>
      </c>
      <c r="G857">
        <f>Tableau4[[#This Row],[Cost (€/GJ)]]*3.6</f>
        <v>14.299200000000001</v>
      </c>
      <c r="I857">
        <f>Tableau4[[#This Row],[GHG (kgCO2eq/GJ)]]*3.6</f>
        <v>0</v>
      </c>
      <c r="J857" t="s">
        <v>104</v>
      </c>
      <c r="K857" t="s">
        <v>109</v>
      </c>
    </row>
    <row r="858" spans="1:11" x14ac:dyDescent="0.3">
      <c r="A858" t="s">
        <v>45</v>
      </c>
      <c r="B858" t="s">
        <v>48</v>
      </c>
      <c r="C858" t="s">
        <v>70</v>
      </c>
      <c r="D858">
        <v>12.6</v>
      </c>
      <c r="E858">
        <f>Tableau4[[#This Row],[Potential (PJ)]]/3.6</f>
        <v>3.5</v>
      </c>
      <c r="F858">
        <v>10.204000000000001</v>
      </c>
      <c r="G858">
        <f>Tableau4[[#This Row],[Cost (€/GJ)]]*3.6</f>
        <v>36.734400000000001</v>
      </c>
      <c r="I858">
        <f>Tableau4[[#This Row],[GHG (kgCO2eq/GJ)]]*3.6</f>
        <v>0</v>
      </c>
      <c r="J858" t="s">
        <v>104</v>
      </c>
      <c r="K858" t="s">
        <v>109</v>
      </c>
    </row>
    <row r="859" spans="1:11" hidden="1" x14ac:dyDescent="0.3">
      <c r="A859" t="s">
        <v>45</v>
      </c>
      <c r="B859" t="s">
        <v>49</v>
      </c>
      <c r="C859" t="s">
        <v>71</v>
      </c>
      <c r="D859">
        <v>2.7724700000000002</v>
      </c>
      <c r="E859">
        <f>Tableau4[[#This Row],[Potential (PJ)]]/3.6</f>
        <v>0.77013055555555554</v>
      </c>
      <c r="F859">
        <v>0</v>
      </c>
      <c r="G859">
        <f>Tableau4[[#This Row],[Cost (€/GJ)]]*3.6</f>
        <v>0</v>
      </c>
      <c r="H859">
        <v>3.86607608129234</v>
      </c>
      <c r="I859">
        <f>Tableau4[[#This Row],[GHG (kgCO2eq/GJ)]]*3.6</f>
        <v>13.917873892652425</v>
      </c>
      <c r="J859" t="s">
        <v>104</v>
      </c>
      <c r="K859" t="s">
        <v>108</v>
      </c>
    </row>
    <row r="860" spans="1:11" hidden="1" x14ac:dyDescent="0.3">
      <c r="A860" t="s">
        <v>45</v>
      </c>
      <c r="B860" t="s">
        <v>50</v>
      </c>
      <c r="C860" t="s">
        <v>73</v>
      </c>
      <c r="D860">
        <v>0.2</v>
      </c>
      <c r="E860">
        <f>Tableau4[[#This Row],[Potential (PJ)]]/3.6</f>
        <v>5.5555555555555559E-2</v>
      </c>
      <c r="F860">
        <v>5.4240000000000004</v>
      </c>
      <c r="G860">
        <f>Tableau4[[#This Row],[Cost (€/GJ)]]*3.6</f>
        <v>19.526400000000002</v>
      </c>
      <c r="H860">
        <v>20.723404255319149</v>
      </c>
      <c r="I860">
        <f>Tableau4[[#This Row],[GHG (kgCO2eq/GJ)]]*3.6</f>
        <v>74.604255319148933</v>
      </c>
      <c r="J860" t="s">
        <v>105</v>
      </c>
      <c r="K860" t="s">
        <v>108</v>
      </c>
    </row>
    <row r="861" spans="1:11" hidden="1" x14ac:dyDescent="0.3">
      <c r="A861" t="s">
        <v>45</v>
      </c>
      <c r="B861" t="s">
        <v>50</v>
      </c>
      <c r="C861" t="s">
        <v>74</v>
      </c>
      <c r="D861">
        <v>0.1</v>
      </c>
      <c r="E861">
        <f>Tableau4[[#This Row],[Potential (PJ)]]/3.6</f>
        <v>2.777777777777778E-2</v>
      </c>
      <c r="F861">
        <v>3.484</v>
      </c>
      <c r="G861">
        <f>Tableau4[[#This Row],[Cost (€/GJ)]]*3.6</f>
        <v>12.542400000000001</v>
      </c>
      <c r="H861">
        <v>2.0635593220338988</v>
      </c>
      <c r="I861">
        <f>Tableau4[[#This Row],[GHG (kgCO2eq/GJ)]]*3.6</f>
        <v>7.4288135593220357</v>
      </c>
      <c r="J861" t="s">
        <v>105</v>
      </c>
      <c r="K861" t="s">
        <v>108</v>
      </c>
    </row>
    <row r="862" spans="1:11" hidden="1" x14ac:dyDescent="0.3">
      <c r="A862" t="s">
        <v>45</v>
      </c>
      <c r="B862" t="s">
        <v>52</v>
      </c>
      <c r="C862" t="s">
        <v>76</v>
      </c>
      <c r="D862">
        <v>7.8E-2</v>
      </c>
      <c r="E862">
        <f>Tableau4[[#This Row],[Potential (PJ)]]/3.6</f>
        <v>2.1666666666666667E-2</v>
      </c>
      <c r="F862">
        <v>0</v>
      </c>
      <c r="G862">
        <f>Tableau4[[#This Row],[Cost (€/GJ)]]*3.6</f>
        <v>0</v>
      </c>
      <c r="H862">
        <v>12.68872359754714</v>
      </c>
      <c r="I862">
        <f>Tableau4[[#This Row],[GHG (kgCO2eq/GJ)]]*3.6</f>
        <v>45.679404951169708</v>
      </c>
      <c r="J862" t="s">
        <v>105</v>
      </c>
      <c r="K862" t="s">
        <v>108</v>
      </c>
    </row>
    <row r="863" spans="1:11" hidden="1" x14ac:dyDescent="0.3">
      <c r="A863" t="s">
        <v>45</v>
      </c>
      <c r="B863" t="s">
        <v>54</v>
      </c>
      <c r="C863" t="s">
        <v>78</v>
      </c>
      <c r="D863">
        <v>2.7</v>
      </c>
      <c r="E863">
        <f>Tableau4[[#This Row],[Potential (PJ)]]/3.6</f>
        <v>0.75</v>
      </c>
      <c r="F863">
        <v>0</v>
      </c>
      <c r="G863">
        <f>Tableau4[[#This Row],[Cost (€/GJ)]]*3.6</f>
        <v>0</v>
      </c>
      <c r="H863">
        <v>3.86607608129234</v>
      </c>
      <c r="I863">
        <f>Tableau4[[#This Row],[GHG (kgCO2eq/GJ)]]*3.6</f>
        <v>13.917873892652425</v>
      </c>
      <c r="J863" t="s">
        <v>104</v>
      </c>
      <c r="K863" t="s">
        <v>108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52"/>
  <sheetViews>
    <sheetView workbookViewId="0">
      <selection activeCell="E1" sqref="E1"/>
    </sheetView>
  </sheetViews>
  <sheetFormatPr baseColWidth="10" defaultColWidth="8.88671875" defaultRowHeight="14.4" x14ac:dyDescent="0.3"/>
  <cols>
    <col min="2" max="2" width="10.109375" customWidth="1"/>
    <col min="4" max="5" width="14" customWidth="1"/>
    <col min="7" max="7" width="15.44140625" customWidth="1"/>
    <col min="8" max="8" width="18.6640625" customWidth="1"/>
    <col min="9" max="9" width="21.5546875" customWidth="1"/>
    <col min="10" max="10" width="10.44140625" customWidth="1"/>
    <col min="11" max="11" width="15.109375" style="3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113</v>
      </c>
      <c r="F1" s="1" t="s">
        <v>110</v>
      </c>
      <c r="G1" s="2" t="s">
        <v>111</v>
      </c>
      <c r="H1" s="2" t="s">
        <v>4</v>
      </c>
      <c r="I1" s="2" t="s">
        <v>112</v>
      </c>
      <c r="J1" s="2" t="s">
        <v>5</v>
      </c>
      <c r="K1" s="2" t="s">
        <v>6</v>
      </c>
    </row>
    <row r="2" spans="1:11" x14ac:dyDescent="0.3">
      <c r="A2" t="s">
        <v>7</v>
      </c>
      <c r="B2" t="s">
        <v>46</v>
      </c>
      <c r="C2" t="s">
        <v>63</v>
      </c>
      <c r="D2">
        <v>9.3399999999999997E-2</v>
      </c>
      <c r="E2">
        <f>Tableau3[[#This Row],[Potential (PJ)]]/3.6</f>
        <v>2.5944444444444444E-2</v>
      </c>
      <c r="F2">
        <v>2.9286474973375931</v>
      </c>
      <c r="G2">
        <f>Tableau3[[#This Row],[Cost (€/GJ)]]*3.6</f>
        <v>10.543130990415335</v>
      </c>
      <c r="H2">
        <v>3.950479233226837</v>
      </c>
      <c r="I2">
        <f>Tableau3[[#This Row],[GHG (kgCO2eq/GJ)]]*3.6</f>
        <v>14.221725239616614</v>
      </c>
      <c r="J2" t="s">
        <v>104</v>
      </c>
      <c r="K2" t="s">
        <v>108</v>
      </c>
    </row>
    <row r="3" spans="1:11" x14ac:dyDescent="0.3">
      <c r="A3" t="s">
        <v>7</v>
      </c>
      <c r="B3" t="s">
        <v>46</v>
      </c>
      <c r="C3" t="s">
        <v>64</v>
      </c>
      <c r="D3">
        <v>0.13916000000000001</v>
      </c>
      <c r="E3">
        <f>Tableau3[[#This Row],[Potential (PJ)]]/3.6</f>
        <v>3.8655555555555554E-2</v>
      </c>
      <c r="F3">
        <v>6.4809999999999999</v>
      </c>
      <c r="G3">
        <f>Tableau3[[#This Row],[Cost (€/GJ)]]*3.6</f>
        <v>23.331600000000002</v>
      </c>
      <c r="H3">
        <v>2.9521711768407801</v>
      </c>
      <c r="I3">
        <f>Tableau3[[#This Row],[GHG (kgCO2eq/GJ)]]*3.6</f>
        <v>10.627816236626808</v>
      </c>
      <c r="J3" t="s">
        <v>104</v>
      </c>
      <c r="K3" t="s">
        <v>108</v>
      </c>
    </row>
    <row r="4" spans="1:11" x14ac:dyDescent="0.3">
      <c r="A4" t="s">
        <v>7</v>
      </c>
      <c r="B4" t="s">
        <v>46</v>
      </c>
      <c r="C4" t="s">
        <v>65</v>
      </c>
      <c r="D4">
        <v>0.3</v>
      </c>
      <c r="E4">
        <f>Tableau3[[#This Row],[Potential (PJ)]]/3.6</f>
        <v>8.3333333333333329E-2</v>
      </c>
      <c r="F4">
        <v>4.4379999999999997</v>
      </c>
      <c r="G4">
        <f>Tableau3[[#This Row],[Cost (€/GJ)]]*3.6</f>
        <v>15.976799999999999</v>
      </c>
      <c r="H4">
        <v>2.9521711768407801</v>
      </c>
      <c r="I4">
        <f>Tableau3[[#This Row],[GHG (kgCO2eq/GJ)]]*3.6</f>
        <v>10.627816236626808</v>
      </c>
      <c r="J4" t="s">
        <v>104</v>
      </c>
      <c r="K4" t="s">
        <v>108</v>
      </c>
    </row>
    <row r="5" spans="1:11" x14ac:dyDescent="0.3">
      <c r="A5" t="s">
        <v>7</v>
      </c>
      <c r="B5" t="s">
        <v>46</v>
      </c>
      <c r="C5" t="s">
        <v>66</v>
      </c>
      <c r="D5">
        <v>0.5</v>
      </c>
      <c r="E5">
        <f>Tableau3[[#This Row],[Potential (PJ)]]/3.6</f>
        <v>0.1388888888888889</v>
      </c>
      <c r="F5">
        <v>1.96</v>
      </c>
      <c r="G5">
        <f>Tableau3[[#This Row],[Cost (€/GJ)]]*3.6</f>
        <v>7.056</v>
      </c>
      <c r="H5">
        <v>6.8428961748633883</v>
      </c>
      <c r="I5">
        <f>Tableau3[[#This Row],[GHG (kgCO2eq/GJ)]]*3.6</f>
        <v>24.634426229508197</v>
      </c>
      <c r="J5" t="s">
        <v>104</v>
      </c>
      <c r="K5" t="s">
        <v>108</v>
      </c>
    </row>
    <row r="6" spans="1:11" x14ac:dyDescent="0.3">
      <c r="A6" t="s">
        <v>7</v>
      </c>
      <c r="B6" t="s">
        <v>46</v>
      </c>
      <c r="C6" t="s">
        <v>67</v>
      </c>
      <c r="D6">
        <v>0.2</v>
      </c>
      <c r="E6">
        <f>Tableau3[[#This Row],[Potential (PJ)]]/3.6</f>
        <v>5.5555555555555559E-2</v>
      </c>
      <c r="F6">
        <v>4.992</v>
      </c>
      <c r="G6">
        <f>Tableau3[[#This Row],[Cost (€/GJ)]]*3.6</f>
        <v>17.9712</v>
      </c>
      <c r="H6">
        <v>2.9521711768407801</v>
      </c>
      <c r="I6">
        <f>Tableau3[[#This Row],[GHG (kgCO2eq/GJ)]]*3.6</f>
        <v>10.627816236626808</v>
      </c>
      <c r="J6" t="s">
        <v>104</v>
      </c>
      <c r="K6" t="s">
        <v>108</v>
      </c>
    </row>
    <row r="7" spans="1:11" x14ac:dyDescent="0.3">
      <c r="A7" t="s">
        <v>7</v>
      </c>
      <c r="B7" t="s">
        <v>46</v>
      </c>
      <c r="C7" t="s">
        <v>85</v>
      </c>
      <c r="D7">
        <v>0.1</v>
      </c>
      <c r="E7">
        <f>Tableau3[[#This Row],[Potential (PJ)]]/3.6</f>
        <v>2.777777777777778E-2</v>
      </c>
      <c r="F7">
        <v>4.0999999999999996</v>
      </c>
      <c r="G7">
        <f>Tableau3[[#This Row],[Cost (€/GJ)]]*3.6</f>
        <v>14.76</v>
      </c>
      <c r="H7">
        <v>2.9521711768407801</v>
      </c>
      <c r="I7">
        <f>Tableau3[[#This Row],[GHG (kgCO2eq/GJ)]]*3.6</f>
        <v>10.627816236626808</v>
      </c>
      <c r="J7" t="s">
        <v>104</v>
      </c>
      <c r="K7" t="s">
        <v>108</v>
      </c>
    </row>
    <row r="8" spans="1:11" x14ac:dyDescent="0.3">
      <c r="A8" t="s">
        <v>7</v>
      </c>
      <c r="B8" t="s">
        <v>47</v>
      </c>
      <c r="C8" t="s">
        <v>68</v>
      </c>
      <c r="D8">
        <v>14.5</v>
      </c>
      <c r="E8">
        <f>Tableau3[[#This Row],[Potential (PJ)]]/3.6</f>
        <v>4.0277777777777777</v>
      </c>
      <c r="F8">
        <v>3.048</v>
      </c>
      <c r="G8">
        <f>Tableau3[[#This Row],[Cost (€/GJ)]]*3.6</f>
        <v>10.972800000000001</v>
      </c>
      <c r="H8">
        <v>14.5</v>
      </c>
      <c r="I8">
        <f>Tableau3[[#This Row],[GHG (kgCO2eq/GJ)]]*3.6</f>
        <v>52.2</v>
      </c>
      <c r="J8" t="s">
        <v>104</v>
      </c>
      <c r="K8" t="s">
        <v>109</v>
      </c>
    </row>
    <row r="9" spans="1:11" x14ac:dyDescent="0.3">
      <c r="A9" t="s">
        <v>7</v>
      </c>
      <c r="B9" t="s">
        <v>47</v>
      </c>
      <c r="C9" t="s">
        <v>69</v>
      </c>
      <c r="D9">
        <v>10.199999999999999</v>
      </c>
      <c r="E9">
        <f>Tableau3[[#This Row],[Potential (PJ)]]/3.6</f>
        <v>2.833333333333333</v>
      </c>
      <c r="F9">
        <v>3.0339999999999998</v>
      </c>
      <c r="G9">
        <f>Tableau3[[#This Row],[Cost (€/GJ)]]*3.6</f>
        <v>10.9224</v>
      </c>
      <c r="H9">
        <v>14.5</v>
      </c>
      <c r="I9">
        <f>Tableau3[[#This Row],[GHG (kgCO2eq/GJ)]]*3.6</f>
        <v>52.2</v>
      </c>
      <c r="J9" t="s">
        <v>104</v>
      </c>
      <c r="K9" t="s">
        <v>109</v>
      </c>
    </row>
    <row r="10" spans="1:11" x14ac:dyDescent="0.3">
      <c r="A10" t="s">
        <v>7</v>
      </c>
      <c r="B10" t="s">
        <v>48</v>
      </c>
      <c r="C10" t="s">
        <v>70</v>
      </c>
      <c r="D10">
        <v>5.4</v>
      </c>
      <c r="E10">
        <f>Tableau3[[#This Row],[Potential (PJ)]]/3.6</f>
        <v>1.5</v>
      </c>
      <c r="F10">
        <v>7.9149999999999991</v>
      </c>
      <c r="G10">
        <f>Tableau3[[#This Row],[Cost (€/GJ)]]*3.6</f>
        <v>28.493999999999996</v>
      </c>
      <c r="H10">
        <v>0</v>
      </c>
      <c r="I10">
        <f>Tableau3[[#This Row],[GHG (kgCO2eq/GJ)]]*3.6</f>
        <v>0</v>
      </c>
      <c r="J10" t="s">
        <v>104</v>
      </c>
      <c r="K10" t="s">
        <v>109</v>
      </c>
    </row>
    <row r="11" spans="1:11" x14ac:dyDescent="0.3">
      <c r="A11" t="s">
        <v>7</v>
      </c>
      <c r="B11" t="s">
        <v>49</v>
      </c>
      <c r="C11" t="s">
        <v>71</v>
      </c>
      <c r="D11">
        <v>4.7249800000000004</v>
      </c>
      <c r="E11">
        <f>Tableau3[[#This Row],[Potential (PJ)]]/3.6</f>
        <v>1.3124944444444446</v>
      </c>
      <c r="F11">
        <v>0</v>
      </c>
      <c r="G11">
        <f>Tableau3[[#This Row],[Cost (€/GJ)]]*3.6</f>
        <v>0</v>
      </c>
      <c r="H11">
        <v>3.86607608129234</v>
      </c>
      <c r="I11">
        <f>Tableau3[[#This Row],[GHG (kgCO2eq/GJ)]]*3.6</f>
        <v>13.917873892652425</v>
      </c>
      <c r="J11" t="s">
        <v>104</v>
      </c>
      <c r="K11" t="s">
        <v>108</v>
      </c>
    </row>
    <row r="12" spans="1:11" x14ac:dyDescent="0.3">
      <c r="A12" t="s">
        <v>7</v>
      </c>
      <c r="B12" t="s">
        <v>49</v>
      </c>
      <c r="C12" t="s">
        <v>72</v>
      </c>
      <c r="D12">
        <v>1.3</v>
      </c>
      <c r="E12">
        <f>Tableau3[[#This Row],[Potential (PJ)]]/3.6</f>
        <v>0.3611111111111111</v>
      </c>
      <c r="F12">
        <v>0</v>
      </c>
      <c r="G12">
        <f>Tableau3[[#This Row],[Cost (€/GJ)]]*3.6</f>
        <v>0</v>
      </c>
      <c r="H12">
        <v>3.86607608129234</v>
      </c>
      <c r="I12">
        <f>Tableau3[[#This Row],[GHG (kgCO2eq/GJ)]]*3.6</f>
        <v>13.917873892652425</v>
      </c>
      <c r="J12" t="s">
        <v>104</v>
      </c>
      <c r="K12" t="s">
        <v>108</v>
      </c>
    </row>
    <row r="13" spans="1:11" x14ac:dyDescent="0.3">
      <c r="A13" t="s">
        <v>7</v>
      </c>
      <c r="B13" t="s">
        <v>50</v>
      </c>
      <c r="C13" t="s">
        <v>73</v>
      </c>
      <c r="D13">
        <v>0.4</v>
      </c>
      <c r="E13">
        <f>Tableau3[[#This Row],[Potential (PJ)]]/3.6</f>
        <v>0.11111111111111112</v>
      </c>
      <c r="F13">
        <v>5.4240000000000004</v>
      </c>
      <c r="G13">
        <f>Tableau3[[#This Row],[Cost (€/GJ)]]*3.6</f>
        <v>19.526400000000002</v>
      </c>
      <c r="H13">
        <v>20.723404255319149</v>
      </c>
      <c r="I13">
        <f>Tableau3[[#This Row],[GHG (kgCO2eq/GJ)]]*3.6</f>
        <v>74.604255319148933</v>
      </c>
      <c r="J13" t="s">
        <v>105</v>
      </c>
      <c r="K13" t="s">
        <v>108</v>
      </c>
    </row>
    <row r="14" spans="1:11" x14ac:dyDescent="0.3">
      <c r="A14" t="s">
        <v>7</v>
      </c>
      <c r="B14" t="s">
        <v>50</v>
      </c>
      <c r="C14" t="s">
        <v>74</v>
      </c>
      <c r="D14">
        <v>1.4</v>
      </c>
      <c r="E14">
        <f>Tableau3[[#This Row],[Potential (PJ)]]/3.6</f>
        <v>0.38888888888888884</v>
      </c>
      <c r="F14">
        <v>3.484</v>
      </c>
      <c r="G14">
        <f>Tableau3[[#This Row],[Cost (€/GJ)]]*3.6</f>
        <v>12.542400000000001</v>
      </c>
      <c r="H14">
        <v>2.0635593220338988</v>
      </c>
      <c r="I14">
        <f>Tableau3[[#This Row],[GHG (kgCO2eq/GJ)]]*3.6</f>
        <v>7.4288135593220357</v>
      </c>
      <c r="J14" t="s">
        <v>105</v>
      </c>
      <c r="K14" t="s">
        <v>108</v>
      </c>
    </row>
    <row r="15" spans="1:11" x14ac:dyDescent="0.3">
      <c r="A15" t="s">
        <v>7</v>
      </c>
      <c r="B15" t="s">
        <v>51</v>
      </c>
      <c r="C15" t="s">
        <v>75</v>
      </c>
      <c r="D15">
        <v>1.2341759999999999</v>
      </c>
      <c r="E15">
        <f>Tableau3[[#This Row],[Potential (PJ)]]/3.6</f>
        <v>0.34282666666666667</v>
      </c>
      <c r="F15">
        <v>0.151238492415432</v>
      </c>
      <c r="G15">
        <f>Tableau3[[#This Row],[Cost (€/GJ)]]*3.6</f>
        <v>0.5444585726955552</v>
      </c>
      <c r="H15">
        <v>11.74</v>
      </c>
      <c r="I15">
        <f>Tableau3[[#This Row],[GHG (kgCO2eq/GJ)]]*3.6</f>
        <v>42.264000000000003</v>
      </c>
      <c r="J15" t="s">
        <v>104</v>
      </c>
      <c r="K15" t="s">
        <v>108</v>
      </c>
    </row>
    <row r="16" spans="1:11" x14ac:dyDescent="0.3">
      <c r="A16" t="s">
        <v>7</v>
      </c>
      <c r="B16" t="s">
        <v>52</v>
      </c>
      <c r="C16" t="s">
        <v>76</v>
      </c>
      <c r="D16">
        <v>2.1999999999999999E-2</v>
      </c>
      <c r="E16">
        <f>Tableau3[[#This Row],[Potential (PJ)]]/3.6</f>
        <v>6.1111111111111106E-3</v>
      </c>
      <c r="F16">
        <v>7.5037500000000001</v>
      </c>
      <c r="G16">
        <f>Tableau3[[#This Row],[Cost (€/GJ)]]*3.6</f>
        <v>27.013500000000001</v>
      </c>
      <c r="H16">
        <v>12.68872359754714</v>
      </c>
      <c r="I16">
        <f>Tableau3[[#This Row],[GHG (kgCO2eq/GJ)]]*3.6</f>
        <v>45.679404951169708</v>
      </c>
      <c r="J16" t="s">
        <v>105</v>
      </c>
      <c r="K16" t="s">
        <v>108</v>
      </c>
    </row>
    <row r="17" spans="1:11" x14ac:dyDescent="0.3">
      <c r="A17" t="s">
        <v>7</v>
      </c>
      <c r="B17" t="s">
        <v>53</v>
      </c>
      <c r="C17" t="s">
        <v>77</v>
      </c>
      <c r="D17">
        <v>1.2</v>
      </c>
      <c r="E17">
        <f>Tableau3[[#This Row],[Potential (PJ)]]/3.6</f>
        <v>0.33333333333333331</v>
      </c>
      <c r="F17">
        <v>0</v>
      </c>
      <c r="G17">
        <f>Tableau3[[#This Row],[Cost (€/GJ)]]*3.6</f>
        <v>0</v>
      </c>
      <c r="H17">
        <v>3.86607608129234</v>
      </c>
      <c r="I17">
        <f>Tableau3[[#This Row],[GHG (kgCO2eq/GJ)]]*3.6</f>
        <v>13.917873892652425</v>
      </c>
      <c r="J17" t="s">
        <v>104</v>
      </c>
      <c r="K17" t="s">
        <v>108</v>
      </c>
    </row>
    <row r="18" spans="1:11" x14ac:dyDescent="0.3">
      <c r="A18" t="s">
        <v>7</v>
      </c>
      <c r="B18" t="s">
        <v>54</v>
      </c>
      <c r="C18" t="s">
        <v>78</v>
      </c>
      <c r="D18">
        <v>4.5</v>
      </c>
      <c r="E18">
        <f>Tableau3[[#This Row],[Potential (PJ)]]/3.6</f>
        <v>1.25</v>
      </c>
      <c r="F18">
        <v>0</v>
      </c>
      <c r="G18">
        <f>Tableau3[[#This Row],[Cost (€/GJ)]]*3.6</f>
        <v>0</v>
      </c>
      <c r="H18">
        <v>3.86607608129234</v>
      </c>
      <c r="I18">
        <f>Tableau3[[#This Row],[GHG (kgCO2eq/GJ)]]*3.6</f>
        <v>13.917873892652425</v>
      </c>
      <c r="J18" t="s">
        <v>104</v>
      </c>
      <c r="K18" t="s">
        <v>108</v>
      </c>
    </row>
    <row r="19" spans="1:11" x14ac:dyDescent="0.3">
      <c r="A19" t="s">
        <v>8</v>
      </c>
      <c r="B19" t="s">
        <v>46</v>
      </c>
      <c r="C19" t="s">
        <v>79</v>
      </c>
      <c r="D19">
        <v>7.3</v>
      </c>
      <c r="E19">
        <f>Tableau3[[#This Row],[Potential (PJ)]]/3.6</f>
        <v>2.0277777777777777</v>
      </c>
      <c r="F19">
        <v>11.580123287671229</v>
      </c>
      <c r="G19">
        <f>Tableau3[[#This Row],[Cost (€/GJ)]]*3.6</f>
        <v>41.688443835616425</v>
      </c>
      <c r="H19">
        <v>6.8428961748633883</v>
      </c>
      <c r="I19">
        <f>Tableau3[[#This Row],[GHG (kgCO2eq/GJ)]]*3.6</f>
        <v>24.634426229508197</v>
      </c>
      <c r="J19" t="s">
        <v>104</v>
      </c>
      <c r="K19" t="s">
        <v>108</v>
      </c>
    </row>
    <row r="20" spans="1:11" x14ac:dyDescent="0.3">
      <c r="A20" t="s">
        <v>8</v>
      </c>
      <c r="B20" t="s">
        <v>46</v>
      </c>
      <c r="C20" t="s">
        <v>80</v>
      </c>
      <c r="D20">
        <v>6.62508975252985</v>
      </c>
      <c r="E20">
        <f>Tableau3[[#This Row],[Potential (PJ)]]/3.6</f>
        <v>1.8403027090360693</v>
      </c>
      <c r="F20">
        <v>0.71274443695212408</v>
      </c>
      <c r="G20">
        <f>Tableau3[[#This Row],[Cost (€/GJ)]]*3.6</f>
        <v>2.5658799730276467</v>
      </c>
      <c r="H20">
        <v>28.139870918023309</v>
      </c>
      <c r="I20">
        <f>Tableau3[[#This Row],[GHG (kgCO2eq/GJ)]]*3.6</f>
        <v>101.30353530488391</v>
      </c>
      <c r="J20" t="s">
        <v>105</v>
      </c>
      <c r="K20" t="s">
        <v>108</v>
      </c>
    </row>
    <row r="21" spans="1:11" x14ac:dyDescent="0.3">
      <c r="A21" t="s">
        <v>8</v>
      </c>
      <c r="B21" t="s">
        <v>46</v>
      </c>
      <c r="C21" t="s">
        <v>81</v>
      </c>
      <c r="D21">
        <v>2.4226410259685829</v>
      </c>
      <c r="E21">
        <f>Tableau3[[#This Row],[Potential (PJ)]]/3.6</f>
        <v>0.67295584054682855</v>
      </c>
      <c r="F21">
        <v>1.242655699177438</v>
      </c>
      <c r="G21">
        <f>Tableau3[[#This Row],[Cost (€/GJ)]]*3.6</f>
        <v>4.4735605170387771</v>
      </c>
      <c r="H21">
        <v>8.9647473560517046</v>
      </c>
      <c r="I21">
        <f>Tableau3[[#This Row],[GHG (kgCO2eq/GJ)]]*3.6</f>
        <v>32.273090481786134</v>
      </c>
      <c r="J21" t="s">
        <v>105</v>
      </c>
      <c r="K21" t="s">
        <v>108</v>
      </c>
    </row>
    <row r="22" spans="1:11" x14ac:dyDescent="0.3">
      <c r="A22" t="s">
        <v>8</v>
      </c>
      <c r="B22" t="s">
        <v>46</v>
      </c>
      <c r="C22" t="s">
        <v>66</v>
      </c>
      <c r="D22">
        <v>3.8</v>
      </c>
      <c r="E22">
        <f>Tableau3[[#This Row],[Potential (PJ)]]/3.6</f>
        <v>1.0555555555555556</v>
      </c>
      <c r="F22">
        <v>11.98302631578947</v>
      </c>
      <c r="G22">
        <f>Tableau3[[#This Row],[Cost (€/GJ)]]*3.6</f>
        <v>43.13889473684209</v>
      </c>
      <c r="H22">
        <v>6.8428961748633883</v>
      </c>
      <c r="I22">
        <f>Tableau3[[#This Row],[GHG (kgCO2eq/GJ)]]*3.6</f>
        <v>24.634426229508197</v>
      </c>
      <c r="J22" t="s">
        <v>104</v>
      </c>
      <c r="K22" t="s">
        <v>108</v>
      </c>
    </row>
    <row r="23" spans="1:11" x14ac:dyDescent="0.3">
      <c r="A23" t="s">
        <v>8</v>
      </c>
      <c r="B23" t="s">
        <v>46</v>
      </c>
      <c r="C23" t="s">
        <v>82</v>
      </c>
      <c r="D23">
        <v>0.6</v>
      </c>
      <c r="E23">
        <f>Tableau3[[#This Row],[Potential (PJ)]]/3.6</f>
        <v>0.16666666666666666</v>
      </c>
      <c r="F23">
        <v>7.063833333333335</v>
      </c>
      <c r="G23">
        <f>Tableau3[[#This Row],[Cost (€/GJ)]]*3.6</f>
        <v>25.429800000000007</v>
      </c>
      <c r="H23">
        <v>6.8428961748633883</v>
      </c>
      <c r="I23">
        <f>Tableau3[[#This Row],[GHG (kgCO2eq/GJ)]]*3.6</f>
        <v>24.634426229508197</v>
      </c>
      <c r="J23" t="s">
        <v>104</v>
      </c>
      <c r="K23" t="s">
        <v>108</v>
      </c>
    </row>
    <row r="24" spans="1:11" x14ac:dyDescent="0.3">
      <c r="A24" t="s">
        <v>8</v>
      </c>
      <c r="B24" t="s">
        <v>46</v>
      </c>
      <c r="C24" t="s">
        <v>83</v>
      </c>
      <c r="D24">
        <v>0.2</v>
      </c>
      <c r="E24">
        <f>Tableau3[[#This Row],[Potential (PJ)]]/3.6</f>
        <v>5.5555555555555559E-2</v>
      </c>
      <c r="F24">
        <v>0</v>
      </c>
      <c r="G24">
        <f>Tableau3[[#This Row],[Cost (€/GJ)]]*3.6</f>
        <v>0</v>
      </c>
      <c r="H24">
        <v>6.8428961748633883</v>
      </c>
      <c r="I24">
        <f>Tableau3[[#This Row],[GHG (kgCO2eq/GJ)]]*3.6</f>
        <v>24.634426229508197</v>
      </c>
      <c r="J24" t="s">
        <v>104</v>
      </c>
      <c r="K24" t="s">
        <v>108</v>
      </c>
    </row>
    <row r="25" spans="1:11" x14ac:dyDescent="0.3">
      <c r="A25" t="s">
        <v>8</v>
      </c>
      <c r="B25" t="s">
        <v>46</v>
      </c>
      <c r="C25" t="s">
        <v>84</v>
      </c>
      <c r="D25">
        <v>0.2</v>
      </c>
      <c r="E25">
        <f>Tableau3[[#This Row],[Potential (PJ)]]/3.6</f>
        <v>5.5555555555555559E-2</v>
      </c>
      <c r="F25">
        <v>4.9660000000000002</v>
      </c>
      <c r="G25">
        <f>Tableau3[[#This Row],[Cost (€/GJ)]]*3.6</f>
        <v>17.877600000000001</v>
      </c>
      <c r="H25">
        <v>28.139870918023309</v>
      </c>
      <c r="I25">
        <f>Tableau3[[#This Row],[GHG (kgCO2eq/GJ)]]*3.6</f>
        <v>101.30353530488391</v>
      </c>
      <c r="J25" t="s">
        <v>105</v>
      </c>
      <c r="K25" t="s">
        <v>108</v>
      </c>
    </row>
    <row r="26" spans="1:11" x14ac:dyDescent="0.3">
      <c r="A26" t="s">
        <v>8</v>
      </c>
      <c r="B26" t="s">
        <v>46</v>
      </c>
      <c r="C26" t="s">
        <v>85</v>
      </c>
      <c r="D26">
        <v>0.3</v>
      </c>
      <c r="E26">
        <f>Tableau3[[#This Row],[Potential (PJ)]]/3.6</f>
        <v>8.3333333333333329E-2</v>
      </c>
      <c r="F26">
        <v>4.6839999999999993</v>
      </c>
      <c r="G26">
        <f>Tableau3[[#This Row],[Cost (€/GJ)]]*3.6</f>
        <v>16.862399999999997</v>
      </c>
      <c r="H26">
        <v>2.9521711768407801</v>
      </c>
      <c r="I26">
        <f>Tableau3[[#This Row],[GHG (kgCO2eq/GJ)]]*3.6</f>
        <v>10.627816236626808</v>
      </c>
      <c r="J26" t="s">
        <v>104</v>
      </c>
      <c r="K26" t="s">
        <v>108</v>
      </c>
    </row>
    <row r="27" spans="1:11" x14ac:dyDescent="0.3">
      <c r="A27" t="s">
        <v>8</v>
      </c>
      <c r="B27" t="s">
        <v>55</v>
      </c>
      <c r="C27" t="s">
        <v>86</v>
      </c>
      <c r="D27">
        <v>5.8599999999999999E-2</v>
      </c>
      <c r="E27">
        <f>Tableau3[[#This Row],[Potential (PJ)]]/3.6</f>
        <v>1.6277777777777776E-2</v>
      </c>
      <c r="F27">
        <v>10.414</v>
      </c>
      <c r="G27">
        <f>Tableau3[[#This Row],[Cost (€/GJ)]]*3.6</f>
        <v>37.490400000000001</v>
      </c>
      <c r="H27">
        <v>9.3000000000000007</v>
      </c>
      <c r="I27">
        <f>Tableau3[[#This Row],[GHG (kgCO2eq/GJ)]]*3.6</f>
        <v>33.480000000000004</v>
      </c>
      <c r="J27" t="s">
        <v>106</v>
      </c>
      <c r="K27" t="s">
        <v>109</v>
      </c>
    </row>
    <row r="28" spans="1:11" x14ac:dyDescent="0.3">
      <c r="A28" t="s">
        <v>8</v>
      </c>
      <c r="B28" t="s">
        <v>55</v>
      </c>
      <c r="C28" t="s">
        <v>87</v>
      </c>
      <c r="D28">
        <v>0.23180000000000001</v>
      </c>
      <c r="E28">
        <f>Tableau3[[#This Row],[Potential (PJ)]]/3.6</f>
        <v>6.4388888888888884E-2</v>
      </c>
      <c r="F28">
        <v>11.951000000000001</v>
      </c>
      <c r="G28">
        <f>Tableau3[[#This Row],[Cost (€/GJ)]]*3.6</f>
        <v>43.023600000000002</v>
      </c>
      <c r="H28">
        <v>9.3000000000000007</v>
      </c>
      <c r="I28">
        <f>Tableau3[[#This Row],[GHG (kgCO2eq/GJ)]]*3.6</f>
        <v>33.480000000000004</v>
      </c>
      <c r="J28" t="s">
        <v>106</v>
      </c>
      <c r="K28" t="s">
        <v>109</v>
      </c>
    </row>
    <row r="29" spans="1:11" x14ac:dyDescent="0.3">
      <c r="A29" t="s">
        <v>8</v>
      </c>
      <c r="B29" t="s">
        <v>55</v>
      </c>
      <c r="C29" t="s">
        <v>88</v>
      </c>
      <c r="D29">
        <v>0.32500000000000001</v>
      </c>
      <c r="E29">
        <f>Tableau3[[#This Row],[Potential (PJ)]]/3.6</f>
        <v>9.0277777777777776E-2</v>
      </c>
      <c r="F29">
        <v>10.555</v>
      </c>
      <c r="G29">
        <f>Tableau3[[#This Row],[Cost (€/GJ)]]*3.6</f>
        <v>37.997999999999998</v>
      </c>
      <c r="H29">
        <v>9.3000000000000007</v>
      </c>
      <c r="I29">
        <f>Tableau3[[#This Row],[GHG (kgCO2eq/GJ)]]*3.6</f>
        <v>33.480000000000004</v>
      </c>
      <c r="J29" t="s">
        <v>106</v>
      </c>
      <c r="K29" t="s">
        <v>109</v>
      </c>
    </row>
    <row r="30" spans="1:11" x14ac:dyDescent="0.3">
      <c r="A30" t="s">
        <v>8</v>
      </c>
      <c r="B30" t="s">
        <v>55</v>
      </c>
      <c r="C30" t="s">
        <v>89</v>
      </c>
      <c r="D30">
        <v>7.1499999999999994E-2</v>
      </c>
      <c r="E30">
        <f>Tableau3[[#This Row],[Potential (PJ)]]/3.6</f>
        <v>1.9861111111111111E-2</v>
      </c>
      <c r="F30">
        <v>0</v>
      </c>
      <c r="G30">
        <f>Tableau3[[#This Row],[Cost (€/GJ)]]*3.6</f>
        <v>0</v>
      </c>
      <c r="H30">
        <v>9.3000000000000007</v>
      </c>
      <c r="I30">
        <f>Tableau3[[#This Row],[GHG (kgCO2eq/GJ)]]*3.6</f>
        <v>33.480000000000004</v>
      </c>
      <c r="J30" t="s">
        <v>106</v>
      </c>
      <c r="K30" t="s">
        <v>109</v>
      </c>
    </row>
    <row r="31" spans="1:11" x14ac:dyDescent="0.3">
      <c r="A31" t="s">
        <v>8</v>
      </c>
      <c r="B31" t="s">
        <v>55</v>
      </c>
      <c r="C31" t="s">
        <v>90</v>
      </c>
      <c r="D31">
        <v>1.7899999999999999E-2</v>
      </c>
      <c r="E31">
        <f>Tableau3[[#This Row],[Potential (PJ)]]/3.6</f>
        <v>4.9722222222222216E-3</v>
      </c>
      <c r="F31">
        <v>12.005000000000001</v>
      </c>
      <c r="G31">
        <f>Tableau3[[#This Row],[Cost (€/GJ)]]*3.6</f>
        <v>43.218000000000004</v>
      </c>
      <c r="H31">
        <v>9.3000000000000007</v>
      </c>
      <c r="I31">
        <f>Tableau3[[#This Row],[GHG (kgCO2eq/GJ)]]*3.6</f>
        <v>33.480000000000004</v>
      </c>
      <c r="J31" t="s">
        <v>106</v>
      </c>
      <c r="K31" t="s">
        <v>109</v>
      </c>
    </row>
    <row r="32" spans="1:11" x14ac:dyDescent="0.3">
      <c r="A32" t="s">
        <v>8</v>
      </c>
      <c r="B32" t="s">
        <v>55</v>
      </c>
      <c r="C32" t="s">
        <v>91</v>
      </c>
      <c r="D32">
        <v>6.1499999999999999E-2</v>
      </c>
      <c r="E32">
        <f>Tableau3[[#This Row],[Potential (PJ)]]/3.6</f>
        <v>1.7083333333333332E-2</v>
      </c>
      <c r="F32">
        <v>10.369</v>
      </c>
      <c r="G32">
        <f>Tableau3[[#This Row],[Cost (€/GJ)]]*3.6</f>
        <v>37.328400000000002</v>
      </c>
      <c r="H32">
        <v>9.3000000000000007</v>
      </c>
      <c r="I32">
        <f>Tableau3[[#This Row],[GHG (kgCO2eq/GJ)]]*3.6</f>
        <v>33.480000000000004</v>
      </c>
      <c r="J32" t="s">
        <v>106</v>
      </c>
      <c r="K32" t="s">
        <v>109</v>
      </c>
    </row>
    <row r="33" spans="1:11" x14ac:dyDescent="0.3">
      <c r="A33" t="s">
        <v>8</v>
      </c>
      <c r="B33" t="s">
        <v>55</v>
      </c>
      <c r="C33" t="s">
        <v>92</v>
      </c>
      <c r="D33">
        <v>0.30335000000000001</v>
      </c>
      <c r="E33">
        <f>Tableau3[[#This Row],[Potential (PJ)]]/3.6</f>
        <v>8.4263888888888888E-2</v>
      </c>
      <c r="F33">
        <v>11.951000000000001</v>
      </c>
      <c r="G33">
        <f>Tableau3[[#This Row],[Cost (€/GJ)]]*3.6</f>
        <v>43.023600000000002</v>
      </c>
      <c r="H33">
        <v>9.3000000000000007</v>
      </c>
      <c r="I33">
        <f>Tableau3[[#This Row],[GHG (kgCO2eq/GJ)]]*3.6</f>
        <v>33.480000000000004</v>
      </c>
      <c r="J33" t="s">
        <v>106</v>
      </c>
      <c r="K33" t="s">
        <v>109</v>
      </c>
    </row>
    <row r="34" spans="1:11" x14ac:dyDescent="0.3">
      <c r="A34" t="s">
        <v>8</v>
      </c>
      <c r="B34" t="s">
        <v>56</v>
      </c>
      <c r="C34" t="s">
        <v>93</v>
      </c>
      <c r="D34">
        <v>13.7636</v>
      </c>
      <c r="E34">
        <f>Tableau3[[#This Row],[Potential (PJ)]]/3.6</f>
        <v>3.8232222222222223</v>
      </c>
      <c r="F34">
        <v>2.939759036144578</v>
      </c>
      <c r="G34">
        <f>Tableau3[[#This Row],[Cost (€/GJ)]]*3.6</f>
        <v>10.583132530120482</v>
      </c>
      <c r="H34">
        <v>16.899999999999999</v>
      </c>
      <c r="I34">
        <f>Tableau3[[#This Row],[GHG (kgCO2eq/GJ)]]*3.6</f>
        <v>60.839999999999996</v>
      </c>
      <c r="J34" t="s">
        <v>106</v>
      </c>
      <c r="K34" t="s">
        <v>109</v>
      </c>
    </row>
    <row r="35" spans="1:11" x14ac:dyDescent="0.3">
      <c r="A35" t="s">
        <v>8</v>
      </c>
      <c r="B35" t="s">
        <v>47</v>
      </c>
      <c r="C35" t="s">
        <v>68</v>
      </c>
      <c r="D35">
        <v>4.8</v>
      </c>
      <c r="E35">
        <f>Tableau3[[#This Row],[Potential (PJ)]]/3.6</f>
        <v>1.3333333333333333</v>
      </c>
      <c r="F35">
        <v>5.3142708333333326</v>
      </c>
      <c r="G35">
        <f>Tableau3[[#This Row],[Cost (€/GJ)]]*3.6</f>
        <v>19.131374999999998</v>
      </c>
      <c r="H35">
        <v>21.3</v>
      </c>
      <c r="I35">
        <f>Tableau3[[#This Row],[GHG (kgCO2eq/GJ)]]*3.6</f>
        <v>76.680000000000007</v>
      </c>
      <c r="J35" t="s">
        <v>104</v>
      </c>
      <c r="K35" t="s">
        <v>109</v>
      </c>
    </row>
    <row r="36" spans="1:11" x14ac:dyDescent="0.3">
      <c r="A36" t="s">
        <v>8</v>
      </c>
      <c r="B36" t="s">
        <v>47</v>
      </c>
      <c r="C36" t="s">
        <v>69</v>
      </c>
      <c r="D36">
        <v>9.6999999999999993</v>
      </c>
      <c r="E36">
        <f>Tableau3[[#This Row],[Potential (PJ)]]/3.6</f>
        <v>2.6944444444444442</v>
      </c>
      <c r="F36">
        <v>4.6721237113402063</v>
      </c>
      <c r="G36">
        <f>Tableau3[[#This Row],[Cost (€/GJ)]]*3.6</f>
        <v>16.819645360824744</v>
      </c>
      <c r="H36">
        <v>21.3</v>
      </c>
      <c r="I36">
        <f>Tableau3[[#This Row],[GHG (kgCO2eq/GJ)]]*3.6</f>
        <v>76.680000000000007</v>
      </c>
      <c r="J36" t="s">
        <v>104</v>
      </c>
      <c r="K36" t="s">
        <v>109</v>
      </c>
    </row>
    <row r="37" spans="1:11" x14ac:dyDescent="0.3">
      <c r="A37" t="s">
        <v>8</v>
      </c>
      <c r="B37" t="s">
        <v>57</v>
      </c>
      <c r="C37" t="s">
        <v>94</v>
      </c>
      <c r="D37">
        <v>2.2999999999999998</v>
      </c>
      <c r="E37">
        <f>Tableau3[[#This Row],[Potential (PJ)]]/3.6</f>
        <v>0.63888888888888884</v>
      </c>
      <c r="F37">
        <v>9.7586521739130436</v>
      </c>
      <c r="G37">
        <f>Tableau3[[#This Row],[Cost (€/GJ)]]*3.6</f>
        <v>35.131147826086959</v>
      </c>
      <c r="H37">
        <v>15</v>
      </c>
      <c r="I37">
        <f>Tableau3[[#This Row],[GHG (kgCO2eq/GJ)]]*3.6</f>
        <v>54</v>
      </c>
      <c r="J37" t="s">
        <v>104</v>
      </c>
      <c r="K37" t="s">
        <v>109</v>
      </c>
    </row>
    <row r="38" spans="1:11" x14ac:dyDescent="0.3">
      <c r="A38" t="s">
        <v>8</v>
      </c>
      <c r="B38" t="s">
        <v>49</v>
      </c>
      <c r="C38" t="s">
        <v>71</v>
      </c>
      <c r="D38">
        <v>84.916510000000002</v>
      </c>
      <c r="E38">
        <f>Tableau3[[#This Row],[Potential (PJ)]]/3.6</f>
        <v>23.587919444444445</v>
      </c>
      <c r="F38">
        <v>5.7470876778850188</v>
      </c>
      <c r="G38">
        <f>Tableau3[[#This Row],[Cost (€/GJ)]]*3.6</f>
        <v>20.68951564038607</v>
      </c>
      <c r="H38">
        <v>3.86607608129234</v>
      </c>
      <c r="I38">
        <f>Tableau3[[#This Row],[GHG (kgCO2eq/GJ)]]*3.6</f>
        <v>13.917873892652425</v>
      </c>
      <c r="J38" t="s">
        <v>104</v>
      </c>
      <c r="K38" t="s">
        <v>108</v>
      </c>
    </row>
    <row r="39" spans="1:11" x14ac:dyDescent="0.3">
      <c r="A39" t="s">
        <v>8</v>
      </c>
      <c r="B39" t="s">
        <v>49</v>
      </c>
      <c r="C39" t="s">
        <v>72</v>
      </c>
      <c r="D39">
        <v>10.199999999999999</v>
      </c>
      <c r="E39">
        <f>Tableau3[[#This Row],[Potential (PJ)]]/3.6</f>
        <v>2.833333333333333</v>
      </c>
      <c r="F39">
        <v>4.5994019607843137</v>
      </c>
      <c r="G39">
        <f>Tableau3[[#This Row],[Cost (€/GJ)]]*3.6</f>
        <v>16.55784705882353</v>
      </c>
      <c r="H39">
        <v>3.86607608129234</v>
      </c>
      <c r="I39">
        <f>Tableau3[[#This Row],[GHG (kgCO2eq/GJ)]]*3.6</f>
        <v>13.917873892652425</v>
      </c>
      <c r="J39" t="s">
        <v>104</v>
      </c>
      <c r="K39" t="s">
        <v>108</v>
      </c>
    </row>
    <row r="40" spans="1:11" x14ac:dyDescent="0.3">
      <c r="A40" t="s">
        <v>8</v>
      </c>
      <c r="B40" t="s">
        <v>58</v>
      </c>
      <c r="C40" t="s">
        <v>95</v>
      </c>
      <c r="D40">
        <v>4.4412500000000001</v>
      </c>
      <c r="E40">
        <f>Tableau3[[#This Row],[Potential (PJ)]]/3.6</f>
        <v>1.2336805555555557</v>
      </c>
      <c r="F40">
        <v>3.0472222369828308</v>
      </c>
      <c r="G40">
        <f>Tableau3[[#This Row],[Cost (€/GJ)]]*3.6</f>
        <v>10.970000053138191</v>
      </c>
      <c r="H40">
        <v>2.9521711768407801</v>
      </c>
      <c r="I40">
        <f>Tableau3[[#This Row],[GHG (kgCO2eq/GJ)]]*3.6</f>
        <v>10.627816236626808</v>
      </c>
      <c r="J40" t="s">
        <v>104</v>
      </c>
      <c r="K40" t="s">
        <v>108</v>
      </c>
    </row>
    <row r="41" spans="1:11" x14ac:dyDescent="0.3">
      <c r="A41" t="s">
        <v>8</v>
      </c>
      <c r="B41" t="s">
        <v>50</v>
      </c>
      <c r="C41" t="s">
        <v>73</v>
      </c>
      <c r="D41">
        <v>1</v>
      </c>
      <c r="E41">
        <f>Tableau3[[#This Row],[Potential (PJ)]]/3.6</f>
        <v>0.27777777777777779</v>
      </c>
      <c r="F41">
        <v>5.5198999999999998</v>
      </c>
      <c r="G41">
        <f>Tableau3[[#This Row],[Cost (€/GJ)]]*3.6</f>
        <v>19.871639999999999</v>
      </c>
      <c r="H41">
        <v>20.723404255319149</v>
      </c>
      <c r="I41">
        <f>Tableau3[[#This Row],[GHG (kgCO2eq/GJ)]]*3.6</f>
        <v>74.604255319148933</v>
      </c>
      <c r="J41" t="s">
        <v>105</v>
      </c>
      <c r="K41" t="s">
        <v>108</v>
      </c>
    </row>
    <row r="42" spans="1:11" x14ac:dyDescent="0.3">
      <c r="A42" t="s">
        <v>8</v>
      </c>
      <c r="B42" t="s">
        <v>50</v>
      </c>
      <c r="C42" t="s">
        <v>74</v>
      </c>
      <c r="D42">
        <v>3.9</v>
      </c>
      <c r="E42">
        <f>Tableau3[[#This Row],[Potential (PJ)]]/3.6</f>
        <v>1.0833333333333333</v>
      </c>
      <c r="F42">
        <v>6.2526666666666673</v>
      </c>
      <c r="G42">
        <f>Tableau3[[#This Row],[Cost (€/GJ)]]*3.6</f>
        <v>22.509600000000002</v>
      </c>
      <c r="H42">
        <v>2.0635593220338988</v>
      </c>
      <c r="I42">
        <f>Tableau3[[#This Row],[GHG (kgCO2eq/GJ)]]*3.6</f>
        <v>7.4288135593220357</v>
      </c>
      <c r="J42" t="s">
        <v>105</v>
      </c>
      <c r="K42" t="s">
        <v>108</v>
      </c>
    </row>
    <row r="43" spans="1:11" x14ac:dyDescent="0.3">
      <c r="A43" t="s">
        <v>8</v>
      </c>
      <c r="B43" t="s">
        <v>59</v>
      </c>
      <c r="C43" t="s">
        <v>96</v>
      </c>
      <c r="D43">
        <v>0.1792</v>
      </c>
      <c r="E43">
        <f>Tableau3[[#This Row],[Potential (PJ)]]/3.6</f>
        <v>4.9777777777777775E-2</v>
      </c>
      <c r="F43">
        <v>17.393000000000001</v>
      </c>
      <c r="G43">
        <f>Tableau3[[#This Row],[Cost (€/GJ)]]*3.6</f>
        <v>62.614800000000002</v>
      </c>
      <c r="H43">
        <v>13.9</v>
      </c>
      <c r="I43">
        <f>Tableau3[[#This Row],[GHG (kgCO2eq/GJ)]]*3.6</f>
        <v>50.04</v>
      </c>
      <c r="J43" t="s">
        <v>107</v>
      </c>
      <c r="K43" t="s">
        <v>109</v>
      </c>
    </row>
    <row r="44" spans="1:11" x14ac:dyDescent="0.3">
      <c r="A44" t="s">
        <v>8</v>
      </c>
      <c r="B44" t="s">
        <v>59</v>
      </c>
      <c r="C44" t="s">
        <v>97</v>
      </c>
      <c r="D44">
        <v>0.62469999999999992</v>
      </c>
      <c r="E44">
        <f>Tableau3[[#This Row],[Potential (PJ)]]/3.6</f>
        <v>0.17352777777777775</v>
      </c>
      <c r="F44">
        <v>16.657623440043409</v>
      </c>
      <c r="G44">
        <f>Tableau3[[#This Row],[Cost (€/GJ)]]*3.6</f>
        <v>59.967444384156273</v>
      </c>
      <c r="H44">
        <v>13.9</v>
      </c>
      <c r="I44">
        <f>Tableau3[[#This Row],[GHG (kgCO2eq/GJ)]]*3.6</f>
        <v>50.04</v>
      </c>
      <c r="J44" t="s">
        <v>107</v>
      </c>
      <c r="K44" t="s">
        <v>109</v>
      </c>
    </row>
    <row r="45" spans="1:11" x14ac:dyDescent="0.3">
      <c r="A45" t="s">
        <v>8</v>
      </c>
      <c r="B45" t="s">
        <v>51</v>
      </c>
      <c r="C45" t="s">
        <v>75</v>
      </c>
      <c r="D45">
        <v>6.163252</v>
      </c>
      <c r="E45">
        <f>Tableau3[[#This Row],[Potential (PJ)]]/3.6</f>
        <v>1.7120144444444443</v>
      </c>
      <c r="F45">
        <v>0.18374550615216301</v>
      </c>
      <c r="G45">
        <f>Tableau3[[#This Row],[Cost (€/GJ)]]*3.6</f>
        <v>0.66148382214778689</v>
      </c>
      <c r="H45">
        <v>11.74</v>
      </c>
      <c r="I45">
        <f>Tableau3[[#This Row],[GHG (kgCO2eq/GJ)]]*3.6</f>
        <v>42.264000000000003</v>
      </c>
      <c r="J45" t="s">
        <v>104</v>
      </c>
      <c r="K45" t="s">
        <v>108</v>
      </c>
    </row>
    <row r="46" spans="1:11" x14ac:dyDescent="0.3">
      <c r="A46" t="s">
        <v>8</v>
      </c>
      <c r="B46" t="s">
        <v>60</v>
      </c>
      <c r="C46" t="s">
        <v>98</v>
      </c>
      <c r="D46">
        <v>1.6944999999999999</v>
      </c>
      <c r="E46">
        <f>Tableau3[[#This Row],[Potential (PJ)]]/3.6</f>
        <v>0.47069444444444442</v>
      </c>
      <c r="F46">
        <v>20.300751879699249</v>
      </c>
      <c r="G46">
        <f>Tableau3[[#This Row],[Cost (€/GJ)]]*3.6</f>
        <v>73.082706766917298</v>
      </c>
      <c r="H46">
        <v>21</v>
      </c>
      <c r="I46">
        <f>Tableau3[[#This Row],[GHG (kgCO2eq/GJ)]]*3.6</f>
        <v>75.600000000000009</v>
      </c>
      <c r="J46" t="s">
        <v>107</v>
      </c>
      <c r="K46" t="s">
        <v>109</v>
      </c>
    </row>
    <row r="47" spans="1:11" x14ac:dyDescent="0.3">
      <c r="A47" t="s">
        <v>8</v>
      </c>
      <c r="B47" t="s">
        <v>52</v>
      </c>
      <c r="C47" t="s">
        <v>76</v>
      </c>
      <c r="D47">
        <v>2.8210000000000002</v>
      </c>
      <c r="E47">
        <f>Tableau3[[#This Row],[Potential (PJ)]]/3.6</f>
        <v>0.78361111111111115</v>
      </c>
      <c r="F47">
        <v>7.5037500000000001</v>
      </c>
      <c r="G47">
        <f>Tableau3[[#This Row],[Cost (€/GJ)]]*3.6</f>
        <v>27.013500000000001</v>
      </c>
      <c r="H47">
        <v>12.68872359754714</v>
      </c>
      <c r="I47">
        <f>Tableau3[[#This Row],[GHG (kgCO2eq/GJ)]]*3.6</f>
        <v>45.679404951169708</v>
      </c>
      <c r="J47" t="s">
        <v>105</v>
      </c>
      <c r="K47" t="s">
        <v>108</v>
      </c>
    </row>
    <row r="48" spans="1:11" x14ac:dyDescent="0.3">
      <c r="A48" t="s">
        <v>8</v>
      </c>
      <c r="B48" t="s">
        <v>53</v>
      </c>
      <c r="C48" t="s">
        <v>77</v>
      </c>
      <c r="D48">
        <v>11.4</v>
      </c>
      <c r="E48">
        <f>Tableau3[[#This Row],[Potential (PJ)]]/3.6</f>
        <v>3.1666666666666665</v>
      </c>
      <c r="F48">
        <v>4.5984561403508772</v>
      </c>
      <c r="G48">
        <f>Tableau3[[#This Row],[Cost (€/GJ)]]*3.6</f>
        <v>16.55444210526316</v>
      </c>
      <c r="H48">
        <v>3.86607608129234</v>
      </c>
      <c r="I48">
        <f>Tableau3[[#This Row],[GHG (kgCO2eq/GJ)]]*3.6</f>
        <v>13.917873892652425</v>
      </c>
      <c r="J48" t="s">
        <v>104</v>
      </c>
      <c r="K48" t="s">
        <v>108</v>
      </c>
    </row>
    <row r="49" spans="1:11" x14ac:dyDescent="0.3">
      <c r="A49" t="s">
        <v>8</v>
      </c>
      <c r="B49" t="s">
        <v>61</v>
      </c>
      <c r="C49" t="s">
        <v>99</v>
      </c>
      <c r="D49">
        <v>23.5</v>
      </c>
      <c r="E49">
        <f>Tableau3[[#This Row],[Potential (PJ)]]/3.6</f>
        <v>6.5277777777777777</v>
      </c>
      <c r="F49">
        <v>2.3436170212765961</v>
      </c>
      <c r="G49">
        <f>Tableau3[[#This Row],[Cost (€/GJ)]]*3.6</f>
        <v>8.4370212765957469</v>
      </c>
      <c r="H49">
        <v>2.9245635910224439</v>
      </c>
      <c r="I49">
        <f>Tableau3[[#This Row],[GHG (kgCO2eq/GJ)]]*3.6</f>
        <v>10.528428927680798</v>
      </c>
      <c r="J49" t="s">
        <v>104</v>
      </c>
      <c r="K49" t="s">
        <v>108</v>
      </c>
    </row>
    <row r="50" spans="1:11" x14ac:dyDescent="0.3">
      <c r="A50" t="s">
        <v>8</v>
      </c>
      <c r="B50" t="s">
        <v>62</v>
      </c>
      <c r="C50" t="s">
        <v>100</v>
      </c>
      <c r="D50">
        <v>8.5</v>
      </c>
      <c r="E50">
        <f>Tableau3[[#This Row],[Potential (PJ)]]/3.6</f>
        <v>2.3611111111111112</v>
      </c>
      <c r="F50">
        <v>0.4105882352941177</v>
      </c>
      <c r="G50">
        <f>Tableau3[[#This Row],[Cost (€/GJ)]]*3.6</f>
        <v>1.4781176470588238</v>
      </c>
      <c r="H50">
        <v>2.6764106050305911</v>
      </c>
      <c r="I50">
        <f>Tableau3[[#This Row],[GHG (kgCO2eq/GJ)]]*3.6</f>
        <v>9.6350781781101276</v>
      </c>
      <c r="J50" t="s">
        <v>104</v>
      </c>
      <c r="K50" t="s">
        <v>108</v>
      </c>
    </row>
    <row r="51" spans="1:11" x14ac:dyDescent="0.3">
      <c r="A51" t="s">
        <v>8</v>
      </c>
      <c r="B51" t="s">
        <v>54</v>
      </c>
      <c r="C51" t="s">
        <v>78</v>
      </c>
      <c r="D51">
        <v>94.8</v>
      </c>
      <c r="E51">
        <f>Tableau3[[#This Row],[Potential (PJ)]]/3.6</f>
        <v>26.333333333333332</v>
      </c>
      <c r="F51">
        <v>9.6058301687763716</v>
      </c>
      <c r="G51">
        <f>Tableau3[[#This Row],[Cost (€/GJ)]]*3.6</f>
        <v>34.580988607594939</v>
      </c>
      <c r="H51">
        <v>3.86607608129234</v>
      </c>
      <c r="I51">
        <f>Tableau3[[#This Row],[GHG (kgCO2eq/GJ)]]*3.6</f>
        <v>13.917873892652425</v>
      </c>
      <c r="J51" t="s">
        <v>104</v>
      </c>
      <c r="K51" t="s">
        <v>108</v>
      </c>
    </row>
    <row r="52" spans="1:11" x14ac:dyDescent="0.3">
      <c r="A52" t="s">
        <v>9</v>
      </c>
      <c r="B52" t="s">
        <v>46</v>
      </c>
      <c r="C52" t="s">
        <v>64</v>
      </c>
      <c r="D52">
        <v>0.35864000000000001</v>
      </c>
      <c r="E52">
        <f>Tableau3[[#This Row],[Potential (PJ)]]/3.6</f>
        <v>9.9622222222222223E-2</v>
      </c>
      <c r="F52">
        <v>6.1420000000000012</v>
      </c>
      <c r="G52">
        <f>Tableau3[[#This Row],[Cost (€/GJ)]]*3.6</f>
        <v>22.111200000000004</v>
      </c>
      <c r="H52">
        <v>2.9521711768407801</v>
      </c>
      <c r="I52">
        <f>Tableau3[[#This Row],[GHG (kgCO2eq/GJ)]]*3.6</f>
        <v>10.627816236626808</v>
      </c>
      <c r="J52" t="s">
        <v>104</v>
      </c>
      <c r="K52" t="s">
        <v>108</v>
      </c>
    </row>
    <row r="53" spans="1:11" x14ac:dyDescent="0.3">
      <c r="A53" t="s">
        <v>9</v>
      </c>
      <c r="B53" t="s">
        <v>46</v>
      </c>
      <c r="C53" t="s">
        <v>65</v>
      </c>
      <c r="D53">
        <v>0.5</v>
      </c>
      <c r="E53">
        <f>Tableau3[[#This Row],[Potential (PJ)]]/3.6</f>
        <v>0.1388888888888889</v>
      </c>
      <c r="F53">
        <v>4.508</v>
      </c>
      <c r="G53">
        <f>Tableau3[[#This Row],[Cost (€/GJ)]]*3.6</f>
        <v>16.2288</v>
      </c>
      <c r="H53">
        <v>2.9521711768407801</v>
      </c>
      <c r="I53">
        <f>Tableau3[[#This Row],[GHG (kgCO2eq/GJ)]]*3.6</f>
        <v>10.627816236626808</v>
      </c>
      <c r="J53" t="s">
        <v>104</v>
      </c>
      <c r="K53" t="s">
        <v>108</v>
      </c>
    </row>
    <row r="54" spans="1:11" x14ac:dyDescent="0.3">
      <c r="A54" t="s">
        <v>9</v>
      </c>
      <c r="B54" t="s">
        <v>46</v>
      </c>
      <c r="C54" t="s">
        <v>66</v>
      </c>
      <c r="D54">
        <v>1.8</v>
      </c>
      <c r="E54">
        <f>Tableau3[[#This Row],[Potential (PJ)]]/3.6</f>
        <v>0.5</v>
      </c>
      <c r="F54">
        <v>2.851</v>
      </c>
      <c r="G54">
        <f>Tableau3[[#This Row],[Cost (€/GJ)]]*3.6</f>
        <v>10.2636</v>
      </c>
      <c r="H54">
        <v>6.8428961748633883</v>
      </c>
      <c r="I54">
        <f>Tableau3[[#This Row],[GHG (kgCO2eq/GJ)]]*3.6</f>
        <v>24.634426229508197</v>
      </c>
      <c r="J54" t="s">
        <v>104</v>
      </c>
      <c r="K54" t="s">
        <v>108</v>
      </c>
    </row>
    <row r="55" spans="1:11" x14ac:dyDescent="0.3">
      <c r="A55" t="s">
        <v>9</v>
      </c>
      <c r="B55" t="s">
        <v>46</v>
      </c>
      <c r="C55" t="s">
        <v>85</v>
      </c>
      <c r="D55">
        <v>0.1</v>
      </c>
      <c r="E55">
        <f>Tableau3[[#This Row],[Potential (PJ)]]/3.6</f>
        <v>2.777777777777778E-2</v>
      </c>
      <c r="F55">
        <v>4.117</v>
      </c>
      <c r="G55">
        <f>Tableau3[[#This Row],[Cost (€/GJ)]]*3.6</f>
        <v>14.821200000000001</v>
      </c>
      <c r="H55">
        <v>2.9521711768407801</v>
      </c>
      <c r="I55">
        <f>Tableau3[[#This Row],[GHG (kgCO2eq/GJ)]]*3.6</f>
        <v>10.627816236626808</v>
      </c>
      <c r="J55" t="s">
        <v>104</v>
      </c>
      <c r="K55" t="s">
        <v>108</v>
      </c>
    </row>
    <row r="56" spans="1:11" x14ac:dyDescent="0.3">
      <c r="A56" t="s">
        <v>9</v>
      </c>
      <c r="B56" t="s">
        <v>47</v>
      </c>
      <c r="C56" t="s">
        <v>68</v>
      </c>
      <c r="D56">
        <v>35.700000000000003</v>
      </c>
      <c r="E56">
        <f>Tableau3[[#This Row],[Potential (PJ)]]/3.6</f>
        <v>9.9166666666666679</v>
      </c>
      <c r="F56">
        <v>3.59</v>
      </c>
      <c r="G56">
        <f>Tableau3[[#This Row],[Cost (€/GJ)]]*3.6</f>
        <v>12.923999999999999</v>
      </c>
      <c r="I56">
        <f>Tableau3[[#This Row],[GHG (kgCO2eq/GJ)]]*3.6</f>
        <v>0</v>
      </c>
      <c r="J56" t="s">
        <v>104</v>
      </c>
      <c r="K56" t="s">
        <v>109</v>
      </c>
    </row>
    <row r="57" spans="1:11" x14ac:dyDescent="0.3">
      <c r="A57" t="s">
        <v>9</v>
      </c>
      <c r="B57" t="s">
        <v>47</v>
      </c>
      <c r="C57" t="s">
        <v>69</v>
      </c>
      <c r="D57">
        <v>25</v>
      </c>
      <c r="E57">
        <f>Tableau3[[#This Row],[Potential (PJ)]]/3.6</f>
        <v>6.9444444444444446</v>
      </c>
      <c r="F57">
        <v>3.5659999999999998</v>
      </c>
      <c r="G57">
        <f>Tableau3[[#This Row],[Cost (€/GJ)]]*3.6</f>
        <v>12.8376</v>
      </c>
      <c r="I57">
        <f>Tableau3[[#This Row],[GHG (kgCO2eq/GJ)]]*3.6</f>
        <v>0</v>
      </c>
      <c r="J57" t="s">
        <v>104</v>
      </c>
      <c r="K57" t="s">
        <v>109</v>
      </c>
    </row>
    <row r="58" spans="1:11" x14ac:dyDescent="0.3">
      <c r="A58" t="s">
        <v>9</v>
      </c>
      <c r="B58" t="s">
        <v>48</v>
      </c>
      <c r="C58" t="s">
        <v>70</v>
      </c>
      <c r="D58">
        <v>13.2</v>
      </c>
      <c r="E58">
        <f>Tableau3[[#This Row],[Potential (PJ)]]/3.6</f>
        <v>3.6666666666666665</v>
      </c>
      <c r="F58">
        <v>9.0820000000000007</v>
      </c>
      <c r="G58">
        <f>Tableau3[[#This Row],[Cost (€/GJ)]]*3.6</f>
        <v>32.695200000000007</v>
      </c>
      <c r="I58">
        <f>Tableau3[[#This Row],[GHG (kgCO2eq/GJ)]]*3.6</f>
        <v>0</v>
      </c>
      <c r="J58" t="s">
        <v>104</v>
      </c>
      <c r="K58" t="s">
        <v>109</v>
      </c>
    </row>
    <row r="59" spans="1:11" x14ac:dyDescent="0.3">
      <c r="A59" t="s">
        <v>9</v>
      </c>
      <c r="B59" t="s">
        <v>49</v>
      </c>
      <c r="C59" t="s">
        <v>71</v>
      </c>
      <c r="D59">
        <v>5.2941200000000004</v>
      </c>
      <c r="E59">
        <f>Tableau3[[#This Row],[Potential (PJ)]]/3.6</f>
        <v>1.4705888888888889</v>
      </c>
      <c r="F59">
        <v>0</v>
      </c>
      <c r="G59">
        <f>Tableau3[[#This Row],[Cost (€/GJ)]]*3.6</f>
        <v>0</v>
      </c>
      <c r="H59">
        <v>3.86607608129234</v>
      </c>
      <c r="I59">
        <f>Tableau3[[#This Row],[GHG (kgCO2eq/GJ)]]*3.6</f>
        <v>13.917873892652425</v>
      </c>
      <c r="J59" t="s">
        <v>104</v>
      </c>
      <c r="K59" t="s">
        <v>108</v>
      </c>
    </row>
    <row r="60" spans="1:11" x14ac:dyDescent="0.3">
      <c r="A60" t="s">
        <v>9</v>
      </c>
      <c r="B60" t="s">
        <v>49</v>
      </c>
      <c r="C60" t="s">
        <v>72</v>
      </c>
      <c r="D60">
        <v>2.2000000000000002</v>
      </c>
      <c r="E60">
        <f>Tableau3[[#This Row],[Potential (PJ)]]/3.6</f>
        <v>0.61111111111111116</v>
      </c>
      <c r="F60">
        <v>0</v>
      </c>
      <c r="G60">
        <f>Tableau3[[#This Row],[Cost (€/GJ)]]*3.6</f>
        <v>0</v>
      </c>
      <c r="H60">
        <v>3.86607608129234</v>
      </c>
      <c r="I60">
        <f>Tableau3[[#This Row],[GHG (kgCO2eq/GJ)]]*3.6</f>
        <v>13.917873892652425</v>
      </c>
      <c r="J60" t="s">
        <v>104</v>
      </c>
      <c r="K60" t="s">
        <v>108</v>
      </c>
    </row>
    <row r="61" spans="1:11" x14ac:dyDescent="0.3">
      <c r="A61" t="s">
        <v>9</v>
      </c>
      <c r="B61" t="s">
        <v>50</v>
      </c>
      <c r="C61" t="s">
        <v>73</v>
      </c>
      <c r="D61">
        <v>0.4</v>
      </c>
      <c r="E61">
        <f>Tableau3[[#This Row],[Potential (PJ)]]/3.6</f>
        <v>0.11111111111111112</v>
      </c>
      <c r="F61">
        <v>5.4240000000000004</v>
      </c>
      <c r="G61">
        <f>Tableau3[[#This Row],[Cost (€/GJ)]]*3.6</f>
        <v>19.526400000000002</v>
      </c>
      <c r="H61">
        <v>20.723404255319149</v>
      </c>
      <c r="I61">
        <f>Tableau3[[#This Row],[GHG (kgCO2eq/GJ)]]*3.6</f>
        <v>74.604255319148933</v>
      </c>
      <c r="J61" t="s">
        <v>105</v>
      </c>
      <c r="K61" t="s">
        <v>108</v>
      </c>
    </row>
    <row r="62" spans="1:11" x14ac:dyDescent="0.3">
      <c r="A62" t="s">
        <v>9</v>
      </c>
      <c r="B62" t="s">
        <v>50</v>
      </c>
      <c r="C62" t="s">
        <v>74</v>
      </c>
      <c r="D62">
        <v>1.2</v>
      </c>
      <c r="E62">
        <f>Tableau3[[#This Row],[Potential (PJ)]]/3.6</f>
        <v>0.33333333333333331</v>
      </c>
      <c r="F62">
        <v>3.484</v>
      </c>
      <c r="G62">
        <f>Tableau3[[#This Row],[Cost (€/GJ)]]*3.6</f>
        <v>12.542400000000001</v>
      </c>
      <c r="H62">
        <v>2.0635593220338988</v>
      </c>
      <c r="I62">
        <f>Tableau3[[#This Row],[GHG (kgCO2eq/GJ)]]*3.6</f>
        <v>7.4288135593220357</v>
      </c>
      <c r="J62" t="s">
        <v>105</v>
      </c>
      <c r="K62" t="s">
        <v>108</v>
      </c>
    </row>
    <row r="63" spans="1:11" x14ac:dyDescent="0.3">
      <c r="A63" t="s">
        <v>9</v>
      </c>
      <c r="B63" t="s">
        <v>51</v>
      </c>
      <c r="C63" t="s">
        <v>75</v>
      </c>
      <c r="D63">
        <v>0</v>
      </c>
      <c r="E63">
        <f>Tableau3[[#This Row],[Potential (PJ)]]/3.6</f>
        <v>0</v>
      </c>
      <c r="F63">
        <v>0</v>
      </c>
      <c r="G63">
        <f>Tableau3[[#This Row],[Cost (€/GJ)]]*3.6</f>
        <v>0</v>
      </c>
      <c r="H63">
        <v>11.74</v>
      </c>
      <c r="I63">
        <f>Tableau3[[#This Row],[GHG (kgCO2eq/GJ)]]*3.6</f>
        <v>42.264000000000003</v>
      </c>
      <c r="J63" t="s">
        <v>104</v>
      </c>
      <c r="K63" t="s">
        <v>108</v>
      </c>
    </row>
    <row r="64" spans="1:11" x14ac:dyDescent="0.3">
      <c r="A64" t="s">
        <v>9</v>
      </c>
      <c r="B64" t="s">
        <v>52</v>
      </c>
      <c r="C64" t="s">
        <v>76</v>
      </c>
      <c r="D64">
        <v>4.1000000000000002E-2</v>
      </c>
      <c r="E64">
        <f>Tableau3[[#This Row],[Potential (PJ)]]/3.6</f>
        <v>1.1388888888888889E-2</v>
      </c>
      <c r="F64">
        <v>0</v>
      </c>
      <c r="G64">
        <f>Tableau3[[#This Row],[Cost (€/GJ)]]*3.6</f>
        <v>0</v>
      </c>
      <c r="H64">
        <v>12.68872359754714</v>
      </c>
      <c r="I64">
        <f>Tableau3[[#This Row],[GHG (kgCO2eq/GJ)]]*3.6</f>
        <v>45.679404951169708</v>
      </c>
      <c r="J64" t="s">
        <v>105</v>
      </c>
      <c r="K64" t="s">
        <v>108</v>
      </c>
    </row>
    <row r="65" spans="1:11" x14ac:dyDescent="0.3">
      <c r="A65" t="s">
        <v>9</v>
      </c>
      <c r="B65" t="s">
        <v>53</v>
      </c>
      <c r="C65" t="s">
        <v>77</v>
      </c>
      <c r="D65">
        <v>5.0999999999999996</v>
      </c>
      <c r="E65">
        <f>Tableau3[[#This Row],[Potential (PJ)]]/3.6</f>
        <v>1.4166666666666665</v>
      </c>
      <c r="F65">
        <v>0</v>
      </c>
      <c r="G65">
        <f>Tableau3[[#This Row],[Cost (€/GJ)]]*3.6</f>
        <v>0</v>
      </c>
      <c r="H65">
        <v>3.86607608129234</v>
      </c>
      <c r="I65">
        <f>Tableau3[[#This Row],[GHG (kgCO2eq/GJ)]]*3.6</f>
        <v>13.917873892652425</v>
      </c>
      <c r="J65" t="s">
        <v>104</v>
      </c>
      <c r="K65" t="s">
        <v>108</v>
      </c>
    </row>
    <row r="66" spans="1:11" x14ac:dyDescent="0.3">
      <c r="A66" t="s">
        <v>9</v>
      </c>
      <c r="B66" t="s">
        <v>54</v>
      </c>
      <c r="C66" t="s">
        <v>78</v>
      </c>
      <c r="D66">
        <v>12.5</v>
      </c>
      <c r="E66">
        <f>Tableau3[[#This Row],[Potential (PJ)]]/3.6</f>
        <v>3.4722222222222223</v>
      </c>
      <c r="F66">
        <v>0</v>
      </c>
      <c r="G66">
        <f>Tableau3[[#This Row],[Cost (€/GJ)]]*3.6</f>
        <v>0</v>
      </c>
      <c r="H66">
        <v>3.86607608129234</v>
      </c>
      <c r="I66">
        <f>Tableau3[[#This Row],[GHG (kgCO2eq/GJ)]]*3.6</f>
        <v>13.917873892652425</v>
      </c>
      <c r="J66" t="s">
        <v>104</v>
      </c>
      <c r="K66" t="s">
        <v>108</v>
      </c>
    </row>
    <row r="67" spans="1:11" x14ac:dyDescent="0.3">
      <c r="A67" t="s">
        <v>10</v>
      </c>
      <c r="B67" t="s">
        <v>46</v>
      </c>
      <c r="C67" t="s">
        <v>64</v>
      </c>
      <c r="D67">
        <v>0.1</v>
      </c>
      <c r="E67">
        <f>Tableau3[[#This Row],[Potential (PJ)]]/3.6</f>
        <v>2.777777777777778E-2</v>
      </c>
      <c r="F67">
        <v>6.4230000000000009</v>
      </c>
      <c r="G67">
        <f>Tableau3[[#This Row],[Cost (€/GJ)]]*3.6</f>
        <v>23.122800000000005</v>
      </c>
      <c r="H67">
        <v>2.9521711768407801</v>
      </c>
      <c r="I67">
        <f>Tableau3[[#This Row],[GHG (kgCO2eq/GJ)]]*3.6</f>
        <v>10.627816236626808</v>
      </c>
      <c r="J67" t="s">
        <v>104</v>
      </c>
      <c r="K67" t="s">
        <v>108</v>
      </c>
    </row>
    <row r="68" spans="1:11" x14ac:dyDescent="0.3">
      <c r="A68" t="s">
        <v>10</v>
      </c>
      <c r="B68" t="s">
        <v>46</v>
      </c>
      <c r="C68" t="s">
        <v>79</v>
      </c>
      <c r="D68">
        <v>2.6</v>
      </c>
      <c r="E68">
        <f>Tableau3[[#This Row],[Potential (PJ)]]/3.6</f>
        <v>0.72222222222222221</v>
      </c>
      <c r="F68">
        <v>5.4625000000000004</v>
      </c>
      <c r="G68">
        <f>Tableau3[[#This Row],[Cost (€/GJ)]]*3.6</f>
        <v>19.665000000000003</v>
      </c>
      <c r="H68">
        <v>6.8428961748633883</v>
      </c>
      <c r="I68">
        <f>Tableau3[[#This Row],[GHG (kgCO2eq/GJ)]]*3.6</f>
        <v>24.634426229508197</v>
      </c>
      <c r="J68" t="s">
        <v>104</v>
      </c>
      <c r="K68" t="s">
        <v>108</v>
      </c>
    </row>
    <row r="69" spans="1:11" x14ac:dyDescent="0.3">
      <c r="A69" t="s">
        <v>10</v>
      </c>
      <c r="B69" t="s">
        <v>46</v>
      </c>
      <c r="C69" t="s">
        <v>80</v>
      </c>
      <c r="D69">
        <v>0.47118453656671461</v>
      </c>
      <c r="E69">
        <f>Tableau3[[#This Row],[Potential (PJ)]]/3.6</f>
        <v>0.13088459349075404</v>
      </c>
      <c r="F69">
        <v>1.026972353337829</v>
      </c>
      <c r="G69">
        <f>Tableau3[[#This Row],[Cost (€/GJ)]]*3.6</f>
        <v>3.6971004720161846</v>
      </c>
      <c r="H69">
        <v>28.139870918023309</v>
      </c>
      <c r="I69">
        <f>Tableau3[[#This Row],[GHG (kgCO2eq/GJ)]]*3.6</f>
        <v>101.30353530488391</v>
      </c>
      <c r="J69" t="s">
        <v>105</v>
      </c>
      <c r="K69" t="s">
        <v>108</v>
      </c>
    </row>
    <row r="70" spans="1:11" x14ac:dyDescent="0.3">
      <c r="A70" t="s">
        <v>10</v>
      </c>
      <c r="B70" t="s">
        <v>46</v>
      </c>
      <c r="C70" t="s">
        <v>81</v>
      </c>
      <c r="D70">
        <v>1.2382380203047649</v>
      </c>
      <c r="E70">
        <f>Tableau3[[#This Row],[Potential (PJ)]]/3.6</f>
        <v>0.34395500564021247</v>
      </c>
      <c r="F70">
        <v>1.078730904817861</v>
      </c>
      <c r="G70">
        <f>Tableau3[[#This Row],[Cost (€/GJ)]]*3.6</f>
        <v>3.8834312573442999</v>
      </c>
      <c r="H70">
        <v>8.9647473560517046</v>
      </c>
      <c r="I70">
        <f>Tableau3[[#This Row],[GHG (kgCO2eq/GJ)]]*3.6</f>
        <v>32.273090481786134</v>
      </c>
      <c r="J70" t="s">
        <v>105</v>
      </c>
      <c r="K70" t="s">
        <v>108</v>
      </c>
    </row>
    <row r="71" spans="1:11" x14ac:dyDescent="0.3">
      <c r="A71" t="s">
        <v>10</v>
      </c>
      <c r="B71" t="s">
        <v>46</v>
      </c>
      <c r="C71" t="s">
        <v>66</v>
      </c>
      <c r="D71">
        <v>1.5</v>
      </c>
      <c r="E71">
        <f>Tableau3[[#This Row],[Potential (PJ)]]/3.6</f>
        <v>0.41666666666666663</v>
      </c>
      <c r="F71">
        <v>5.6512666666666673</v>
      </c>
      <c r="G71">
        <f>Tableau3[[#This Row],[Cost (€/GJ)]]*3.6</f>
        <v>20.344560000000001</v>
      </c>
      <c r="H71">
        <v>6.8428961748633883</v>
      </c>
      <c r="I71">
        <f>Tableau3[[#This Row],[GHG (kgCO2eq/GJ)]]*3.6</f>
        <v>24.634426229508197</v>
      </c>
      <c r="J71" t="s">
        <v>104</v>
      </c>
      <c r="K71" t="s">
        <v>108</v>
      </c>
    </row>
    <row r="72" spans="1:11" x14ac:dyDescent="0.3">
      <c r="A72" t="s">
        <v>10</v>
      </c>
      <c r="B72" t="s">
        <v>46</v>
      </c>
      <c r="C72" t="s">
        <v>82</v>
      </c>
      <c r="D72">
        <v>0.3</v>
      </c>
      <c r="E72">
        <f>Tableau3[[#This Row],[Potential (PJ)]]/3.6</f>
        <v>8.3333333333333329E-2</v>
      </c>
      <c r="F72">
        <v>3.4283333333333341</v>
      </c>
      <c r="G72">
        <f>Tableau3[[#This Row],[Cost (€/GJ)]]*3.6</f>
        <v>12.342000000000002</v>
      </c>
      <c r="H72">
        <v>6.8428961748633883</v>
      </c>
      <c r="I72">
        <f>Tableau3[[#This Row],[GHG (kgCO2eq/GJ)]]*3.6</f>
        <v>24.634426229508197</v>
      </c>
      <c r="J72" t="s">
        <v>104</v>
      </c>
      <c r="K72" t="s">
        <v>108</v>
      </c>
    </row>
    <row r="73" spans="1:11" x14ac:dyDescent="0.3">
      <c r="A73" t="s">
        <v>10</v>
      </c>
      <c r="B73" t="s">
        <v>46</v>
      </c>
      <c r="C73" t="s">
        <v>83</v>
      </c>
      <c r="D73">
        <v>0.60000000000000009</v>
      </c>
      <c r="E73">
        <f>Tableau3[[#This Row],[Potential (PJ)]]/3.6</f>
        <v>0.16666666666666669</v>
      </c>
      <c r="F73">
        <v>0</v>
      </c>
      <c r="G73">
        <f>Tableau3[[#This Row],[Cost (€/GJ)]]*3.6</f>
        <v>0</v>
      </c>
      <c r="H73">
        <v>6.8428961748633883</v>
      </c>
      <c r="I73">
        <f>Tableau3[[#This Row],[GHG (kgCO2eq/GJ)]]*3.6</f>
        <v>24.634426229508197</v>
      </c>
      <c r="J73" t="s">
        <v>104</v>
      </c>
      <c r="K73" t="s">
        <v>108</v>
      </c>
    </row>
    <row r="74" spans="1:11" x14ac:dyDescent="0.3">
      <c r="A74" t="s">
        <v>10</v>
      </c>
      <c r="B74" t="s">
        <v>46</v>
      </c>
      <c r="C74" t="s">
        <v>84</v>
      </c>
      <c r="D74">
        <v>0.60000000000000009</v>
      </c>
      <c r="E74">
        <f>Tableau3[[#This Row],[Potential (PJ)]]/3.6</f>
        <v>0.16666666666666669</v>
      </c>
      <c r="F74">
        <v>3.0043333333333329</v>
      </c>
      <c r="G74">
        <f>Tableau3[[#This Row],[Cost (€/GJ)]]*3.6</f>
        <v>10.815599999999998</v>
      </c>
      <c r="H74">
        <v>28.139870918023309</v>
      </c>
      <c r="I74">
        <f>Tableau3[[#This Row],[GHG (kgCO2eq/GJ)]]*3.6</f>
        <v>101.30353530488391</v>
      </c>
      <c r="J74" t="s">
        <v>105</v>
      </c>
      <c r="K74" t="s">
        <v>108</v>
      </c>
    </row>
    <row r="75" spans="1:11" x14ac:dyDescent="0.3">
      <c r="A75" t="s">
        <v>10</v>
      </c>
      <c r="B75" t="s">
        <v>55</v>
      </c>
      <c r="C75" t="s">
        <v>86</v>
      </c>
      <c r="D75">
        <v>1.0524</v>
      </c>
      <c r="E75">
        <f>Tableau3[[#This Row],[Potential (PJ)]]/3.6</f>
        <v>0.29233333333333333</v>
      </c>
      <c r="F75">
        <v>10.996</v>
      </c>
      <c r="G75">
        <f>Tableau3[[#This Row],[Cost (€/GJ)]]*3.6</f>
        <v>39.585599999999999</v>
      </c>
      <c r="H75">
        <v>26.8</v>
      </c>
      <c r="I75">
        <f>Tableau3[[#This Row],[GHG (kgCO2eq/GJ)]]*3.6</f>
        <v>96.48</v>
      </c>
      <c r="J75" t="s">
        <v>106</v>
      </c>
      <c r="K75" t="s">
        <v>109</v>
      </c>
    </row>
    <row r="76" spans="1:11" x14ac:dyDescent="0.3">
      <c r="A76" t="s">
        <v>10</v>
      </c>
      <c r="B76" t="s">
        <v>55</v>
      </c>
      <c r="C76" t="s">
        <v>88</v>
      </c>
      <c r="D76">
        <v>1.3568</v>
      </c>
      <c r="E76">
        <f>Tableau3[[#This Row],[Potential (PJ)]]/3.6</f>
        <v>0.37688888888888888</v>
      </c>
      <c r="F76">
        <v>6.9740000000000029</v>
      </c>
      <c r="G76">
        <f>Tableau3[[#This Row],[Cost (€/GJ)]]*3.6</f>
        <v>25.106400000000011</v>
      </c>
      <c r="H76">
        <v>26.8</v>
      </c>
      <c r="I76">
        <f>Tableau3[[#This Row],[GHG (kgCO2eq/GJ)]]*3.6</f>
        <v>96.48</v>
      </c>
      <c r="J76" t="s">
        <v>106</v>
      </c>
      <c r="K76" t="s">
        <v>109</v>
      </c>
    </row>
    <row r="77" spans="1:11" x14ac:dyDescent="0.3">
      <c r="A77" t="s">
        <v>10</v>
      </c>
      <c r="B77" t="s">
        <v>55</v>
      </c>
      <c r="C77" t="s">
        <v>92</v>
      </c>
      <c r="D77">
        <v>2.3259300000000001</v>
      </c>
      <c r="E77">
        <f>Tableau3[[#This Row],[Potential (PJ)]]/3.6</f>
        <v>0.64609166666666662</v>
      </c>
      <c r="F77">
        <v>12.066000000000001</v>
      </c>
      <c r="G77">
        <f>Tableau3[[#This Row],[Cost (€/GJ)]]*3.6</f>
        <v>43.437600000000003</v>
      </c>
      <c r="H77">
        <v>26.8</v>
      </c>
      <c r="I77">
        <f>Tableau3[[#This Row],[GHG (kgCO2eq/GJ)]]*3.6</f>
        <v>96.48</v>
      </c>
      <c r="J77" t="s">
        <v>106</v>
      </c>
      <c r="K77" t="s">
        <v>109</v>
      </c>
    </row>
    <row r="78" spans="1:11" x14ac:dyDescent="0.3">
      <c r="A78" t="s">
        <v>10</v>
      </c>
      <c r="B78" t="s">
        <v>56</v>
      </c>
      <c r="C78" t="s">
        <v>93</v>
      </c>
      <c r="D78">
        <v>17.3691</v>
      </c>
      <c r="E78">
        <f>Tableau3[[#This Row],[Potential (PJ)]]/3.6</f>
        <v>4.8247499999999999</v>
      </c>
      <c r="F78">
        <v>2.939759036144578</v>
      </c>
      <c r="G78">
        <f>Tableau3[[#This Row],[Cost (€/GJ)]]*3.6</f>
        <v>10.583132530120482</v>
      </c>
      <c r="H78">
        <v>31.2</v>
      </c>
      <c r="I78">
        <f>Tableau3[[#This Row],[GHG (kgCO2eq/GJ)]]*3.6</f>
        <v>112.32</v>
      </c>
      <c r="J78" t="s">
        <v>106</v>
      </c>
      <c r="K78" t="s">
        <v>109</v>
      </c>
    </row>
    <row r="79" spans="1:11" x14ac:dyDescent="0.3">
      <c r="A79" t="s">
        <v>10</v>
      </c>
      <c r="B79" t="s">
        <v>47</v>
      </c>
      <c r="C79" t="s">
        <v>68</v>
      </c>
      <c r="D79">
        <v>3.9</v>
      </c>
      <c r="E79">
        <f>Tableau3[[#This Row],[Potential (PJ)]]/3.6</f>
        <v>1.0833333333333333</v>
      </c>
      <c r="F79">
        <v>6.3704871794871787</v>
      </c>
      <c r="G79">
        <f>Tableau3[[#This Row],[Cost (€/GJ)]]*3.6</f>
        <v>22.933753846153845</v>
      </c>
      <c r="H79">
        <v>20.5</v>
      </c>
      <c r="I79">
        <f>Tableau3[[#This Row],[GHG (kgCO2eq/GJ)]]*3.6</f>
        <v>73.8</v>
      </c>
      <c r="J79" t="s">
        <v>104</v>
      </c>
      <c r="K79" t="s">
        <v>109</v>
      </c>
    </row>
    <row r="80" spans="1:11" x14ac:dyDescent="0.3">
      <c r="A80" t="s">
        <v>10</v>
      </c>
      <c r="B80" t="s">
        <v>47</v>
      </c>
      <c r="C80" t="s">
        <v>69</v>
      </c>
      <c r="D80">
        <v>10.3</v>
      </c>
      <c r="E80">
        <f>Tableau3[[#This Row],[Potential (PJ)]]/3.6</f>
        <v>2.8611111111111112</v>
      </c>
      <c r="F80">
        <v>5.3940679611650477</v>
      </c>
      <c r="G80">
        <f>Tableau3[[#This Row],[Cost (€/GJ)]]*3.6</f>
        <v>19.418644660194172</v>
      </c>
      <c r="H80">
        <v>20.5</v>
      </c>
      <c r="I80">
        <f>Tableau3[[#This Row],[GHG (kgCO2eq/GJ)]]*3.6</f>
        <v>73.8</v>
      </c>
      <c r="J80" t="s">
        <v>104</v>
      </c>
      <c r="K80" t="s">
        <v>109</v>
      </c>
    </row>
    <row r="81" spans="1:11" x14ac:dyDescent="0.3">
      <c r="A81" t="s">
        <v>10</v>
      </c>
      <c r="B81" t="s">
        <v>57</v>
      </c>
      <c r="C81" t="s">
        <v>94</v>
      </c>
      <c r="D81">
        <v>3.6</v>
      </c>
      <c r="E81">
        <f>Tableau3[[#This Row],[Potential (PJ)]]/3.6</f>
        <v>1</v>
      </c>
      <c r="F81">
        <v>9.7309166666666673</v>
      </c>
      <c r="G81">
        <f>Tableau3[[#This Row],[Cost (€/GJ)]]*3.6</f>
        <v>35.031300000000002</v>
      </c>
      <c r="H81">
        <v>16.399999999999999</v>
      </c>
      <c r="I81">
        <f>Tableau3[[#This Row],[GHG (kgCO2eq/GJ)]]*3.6</f>
        <v>59.04</v>
      </c>
      <c r="J81" t="s">
        <v>104</v>
      </c>
      <c r="K81" t="s">
        <v>109</v>
      </c>
    </row>
    <row r="82" spans="1:11" x14ac:dyDescent="0.3">
      <c r="A82" t="s">
        <v>10</v>
      </c>
      <c r="B82" t="s">
        <v>49</v>
      </c>
      <c r="C82" t="s">
        <v>71</v>
      </c>
      <c r="D82">
        <v>16.731459999999998</v>
      </c>
      <c r="E82">
        <f>Tableau3[[#This Row],[Potential (PJ)]]/3.6</f>
        <v>4.6476277777777772</v>
      </c>
      <c r="F82">
        <v>5.8573401908739591</v>
      </c>
      <c r="G82">
        <f>Tableau3[[#This Row],[Cost (€/GJ)]]*3.6</f>
        <v>21.086424687146252</v>
      </c>
      <c r="H82">
        <v>3.86607608129234</v>
      </c>
      <c r="I82">
        <f>Tableau3[[#This Row],[GHG (kgCO2eq/GJ)]]*3.6</f>
        <v>13.917873892652425</v>
      </c>
      <c r="J82" t="s">
        <v>104</v>
      </c>
      <c r="K82" t="s">
        <v>108</v>
      </c>
    </row>
    <row r="83" spans="1:11" x14ac:dyDescent="0.3">
      <c r="A83" t="s">
        <v>10</v>
      </c>
      <c r="B83" t="s">
        <v>49</v>
      </c>
      <c r="C83" t="s">
        <v>72</v>
      </c>
      <c r="D83">
        <v>1.8</v>
      </c>
      <c r="E83">
        <f>Tableau3[[#This Row],[Potential (PJ)]]/3.6</f>
        <v>0.5</v>
      </c>
      <c r="F83">
        <v>4.6934444444444443</v>
      </c>
      <c r="G83">
        <f>Tableau3[[#This Row],[Cost (€/GJ)]]*3.6</f>
        <v>16.8964</v>
      </c>
      <c r="H83">
        <v>3.86607608129234</v>
      </c>
      <c r="I83">
        <f>Tableau3[[#This Row],[GHG (kgCO2eq/GJ)]]*3.6</f>
        <v>13.917873892652425</v>
      </c>
      <c r="J83" t="s">
        <v>104</v>
      </c>
      <c r="K83" t="s">
        <v>108</v>
      </c>
    </row>
    <row r="84" spans="1:11" x14ac:dyDescent="0.3">
      <c r="A84" t="s">
        <v>10</v>
      </c>
      <c r="B84" t="s">
        <v>58</v>
      </c>
      <c r="C84" t="s">
        <v>95</v>
      </c>
      <c r="D84">
        <v>7.1680900000000003</v>
      </c>
      <c r="E84">
        <f>Tableau3[[#This Row],[Potential (PJ)]]/3.6</f>
        <v>1.9911361111111112</v>
      </c>
      <c r="F84">
        <v>3.2983057355585661</v>
      </c>
      <c r="G84">
        <f>Tableau3[[#This Row],[Cost (€/GJ)]]*3.6</f>
        <v>11.873900648010839</v>
      </c>
      <c r="H84">
        <v>2.9521711768407801</v>
      </c>
      <c r="I84">
        <f>Tableau3[[#This Row],[GHG (kgCO2eq/GJ)]]*3.6</f>
        <v>10.627816236626808</v>
      </c>
      <c r="J84" t="s">
        <v>104</v>
      </c>
      <c r="K84" t="s">
        <v>108</v>
      </c>
    </row>
    <row r="85" spans="1:11" x14ac:dyDescent="0.3">
      <c r="A85" t="s">
        <v>10</v>
      </c>
      <c r="B85" t="s">
        <v>50</v>
      </c>
      <c r="C85" t="s">
        <v>73</v>
      </c>
      <c r="D85">
        <v>8.1999999999999993</v>
      </c>
      <c r="E85">
        <f>Tableau3[[#This Row],[Potential (PJ)]]/3.6</f>
        <v>2.2777777777777777</v>
      </c>
      <c r="F85">
        <v>5.6698414634146346</v>
      </c>
      <c r="G85">
        <f>Tableau3[[#This Row],[Cost (€/GJ)]]*3.6</f>
        <v>20.411429268292686</v>
      </c>
      <c r="H85">
        <v>20.723404255319149</v>
      </c>
      <c r="I85">
        <f>Tableau3[[#This Row],[GHG (kgCO2eq/GJ)]]*3.6</f>
        <v>74.604255319148933</v>
      </c>
      <c r="J85" t="s">
        <v>105</v>
      </c>
      <c r="K85" t="s">
        <v>108</v>
      </c>
    </row>
    <row r="86" spans="1:11" x14ac:dyDescent="0.3">
      <c r="A86" t="s">
        <v>10</v>
      </c>
      <c r="B86" t="s">
        <v>50</v>
      </c>
      <c r="C86" t="s">
        <v>74</v>
      </c>
      <c r="D86">
        <v>30.2</v>
      </c>
      <c r="E86">
        <f>Tableau3[[#This Row],[Potential (PJ)]]/3.6</f>
        <v>8.3888888888888893</v>
      </c>
      <c r="F86">
        <v>6.3180529801324514</v>
      </c>
      <c r="G86">
        <f>Tableau3[[#This Row],[Cost (€/GJ)]]*3.6</f>
        <v>22.744990728476825</v>
      </c>
      <c r="H86">
        <v>2.0635593220338988</v>
      </c>
      <c r="I86">
        <f>Tableau3[[#This Row],[GHG (kgCO2eq/GJ)]]*3.6</f>
        <v>7.4288135593220357</v>
      </c>
      <c r="J86" t="s">
        <v>105</v>
      </c>
      <c r="K86" t="s">
        <v>108</v>
      </c>
    </row>
    <row r="87" spans="1:11" x14ac:dyDescent="0.3">
      <c r="A87" t="s">
        <v>10</v>
      </c>
      <c r="B87" t="s">
        <v>51</v>
      </c>
      <c r="C87" t="s">
        <v>75</v>
      </c>
      <c r="D87">
        <v>26.714980000000001</v>
      </c>
      <c r="E87">
        <f>Tableau3[[#This Row],[Potential (PJ)]]/3.6</f>
        <v>7.4208277777777774</v>
      </c>
      <c r="F87">
        <v>6.2304223706776199E-2</v>
      </c>
      <c r="G87">
        <f>Tableau3[[#This Row],[Cost (€/GJ)]]*3.6</f>
        <v>0.22429520534439432</v>
      </c>
      <c r="H87">
        <v>11.74</v>
      </c>
      <c r="I87">
        <f>Tableau3[[#This Row],[GHG (kgCO2eq/GJ)]]*3.6</f>
        <v>42.264000000000003</v>
      </c>
      <c r="J87" t="s">
        <v>104</v>
      </c>
      <c r="K87" t="s">
        <v>108</v>
      </c>
    </row>
    <row r="88" spans="1:11" x14ac:dyDescent="0.3">
      <c r="A88" t="s">
        <v>10</v>
      </c>
      <c r="B88" t="s">
        <v>60</v>
      </c>
      <c r="C88" t="s">
        <v>98</v>
      </c>
      <c r="D88">
        <v>2.2595000000000001</v>
      </c>
      <c r="E88">
        <f>Tableau3[[#This Row],[Potential (PJ)]]/3.6</f>
        <v>0.62763888888888886</v>
      </c>
      <c r="F88">
        <v>24.86573576799141</v>
      </c>
      <c r="G88">
        <f>Tableau3[[#This Row],[Cost (€/GJ)]]*3.6</f>
        <v>89.516648764769073</v>
      </c>
      <c r="H88">
        <v>37.799999999999997</v>
      </c>
      <c r="I88">
        <f>Tableau3[[#This Row],[GHG (kgCO2eq/GJ)]]*3.6</f>
        <v>136.07999999999998</v>
      </c>
      <c r="J88" t="s">
        <v>107</v>
      </c>
      <c r="K88" t="s">
        <v>109</v>
      </c>
    </row>
    <row r="89" spans="1:11" x14ac:dyDescent="0.3">
      <c r="A89" t="s">
        <v>10</v>
      </c>
      <c r="B89" t="s">
        <v>52</v>
      </c>
      <c r="C89" t="s">
        <v>76</v>
      </c>
      <c r="D89">
        <v>9.2119999999999997</v>
      </c>
      <c r="E89">
        <f>Tableau3[[#This Row],[Potential (PJ)]]/3.6</f>
        <v>2.5588888888888888</v>
      </c>
      <c r="F89">
        <v>7.5037500000000001</v>
      </c>
      <c r="G89">
        <f>Tableau3[[#This Row],[Cost (€/GJ)]]*3.6</f>
        <v>27.013500000000001</v>
      </c>
      <c r="H89">
        <v>12.68872359754714</v>
      </c>
      <c r="I89">
        <f>Tableau3[[#This Row],[GHG (kgCO2eq/GJ)]]*3.6</f>
        <v>45.679404951169708</v>
      </c>
      <c r="J89" t="s">
        <v>105</v>
      </c>
      <c r="K89" t="s">
        <v>108</v>
      </c>
    </row>
    <row r="90" spans="1:11" x14ac:dyDescent="0.3">
      <c r="A90" t="s">
        <v>10</v>
      </c>
      <c r="B90" t="s">
        <v>53</v>
      </c>
      <c r="C90" t="s">
        <v>77</v>
      </c>
      <c r="D90">
        <v>1.5</v>
      </c>
      <c r="E90">
        <f>Tableau3[[#This Row],[Potential (PJ)]]/3.6</f>
        <v>0.41666666666666663</v>
      </c>
      <c r="F90">
        <v>4.6926666666666668</v>
      </c>
      <c r="G90">
        <f>Tableau3[[#This Row],[Cost (€/GJ)]]*3.6</f>
        <v>16.893599999999999</v>
      </c>
      <c r="H90">
        <v>3.86607608129234</v>
      </c>
      <c r="I90">
        <f>Tableau3[[#This Row],[GHG (kgCO2eq/GJ)]]*3.6</f>
        <v>13.917873892652425</v>
      </c>
      <c r="J90" t="s">
        <v>104</v>
      </c>
      <c r="K90" t="s">
        <v>108</v>
      </c>
    </row>
    <row r="91" spans="1:11" x14ac:dyDescent="0.3">
      <c r="A91" t="s">
        <v>10</v>
      </c>
      <c r="B91" t="s">
        <v>61</v>
      </c>
      <c r="C91" t="s">
        <v>99</v>
      </c>
      <c r="D91">
        <v>13.3</v>
      </c>
      <c r="E91">
        <f>Tableau3[[#This Row],[Potential (PJ)]]/3.6</f>
        <v>3.6944444444444446</v>
      </c>
      <c r="F91">
        <v>2.366954887218045</v>
      </c>
      <c r="G91">
        <f>Tableau3[[#This Row],[Cost (€/GJ)]]*3.6</f>
        <v>8.5210375939849623</v>
      </c>
      <c r="H91">
        <v>2.9245635910224439</v>
      </c>
      <c r="I91">
        <f>Tableau3[[#This Row],[GHG (kgCO2eq/GJ)]]*3.6</f>
        <v>10.528428927680798</v>
      </c>
      <c r="J91" t="s">
        <v>104</v>
      </c>
      <c r="K91" t="s">
        <v>108</v>
      </c>
    </row>
    <row r="92" spans="1:11" x14ac:dyDescent="0.3">
      <c r="A92" t="s">
        <v>10</v>
      </c>
      <c r="B92" t="s">
        <v>62</v>
      </c>
      <c r="C92" t="s">
        <v>100</v>
      </c>
      <c r="D92">
        <v>6.6</v>
      </c>
      <c r="E92">
        <f>Tableau3[[#This Row],[Potential (PJ)]]/3.6</f>
        <v>1.8333333333333333</v>
      </c>
      <c r="F92">
        <v>0.56666666666666665</v>
      </c>
      <c r="G92">
        <f>Tableau3[[#This Row],[Cost (€/GJ)]]*3.6</f>
        <v>2.04</v>
      </c>
      <c r="H92">
        <v>2.6764106050305911</v>
      </c>
      <c r="I92">
        <f>Tableau3[[#This Row],[GHG (kgCO2eq/GJ)]]*3.6</f>
        <v>9.6350781781101276</v>
      </c>
      <c r="J92" t="s">
        <v>104</v>
      </c>
      <c r="K92" t="s">
        <v>108</v>
      </c>
    </row>
    <row r="93" spans="1:11" x14ac:dyDescent="0.3">
      <c r="A93" t="s">
        <v>10</v>
      </c>
      <c r="B93" t="s">
        <v>54</v>
      </c>
      <c r="C93" t="s">
        <v>78</v>
      </c>
      <c r="D93">
        <v>14.6</v>
      </c>
      <c r="E93">
        <f>Tableau3[[#This Row],[Potential (PJ)]]/3.6</f>
        <v>4.0555555555555554</v>
      </c>
      <c r="F93">
        <v>9.8009452054794526</v>
      </c>
      <c r="G93">
        <f>Tableau3[[#This Row],[Cost (€/GJ)]]*3.6</f>
        <v>35.283402739726029</v>
      </c>
      <c r="H93">
        <v>3.86607608129234</v>
      </c>
      <c r="I93">
        <f>Tableau3[[#This Row],[GHG (kgCO2eq/GJ)]]*3.6</f>
        <v>13.917873892652425</v>
      </c>
      <c r="J93" t="s">
        <v>104</v>
      </c>
      <c r="K93" t="s">
        <v>108</v>
      </c>
    </row>
    <row r="94" spans="1:11" x14ac:dyDescent="0.3">
      <c r="A94" t="s">
        <v>11</v>
      </c>
      <c r="B94" t="s">
        <v>46</v>
      </c>
      <c r="C94" t="s">
        <v>64</v>
      </c>
      <c r="D94">
        <v>4.3540000000000002E-2</v>
      </c>
      <c r="E94">
        <f>Tableau3[[#This Row],[Potential (PJ)]]/3.6</f>
        <v>1.2094444444444444E-2</v>
      </c>
      <c r="F94">
        <v>5.9837767570050531</v>
      </c>
      <c r="G94">
        <f>Tableau3[[#This Row],[Cost (€/GJ)]]*3.6</f>
        <v>21.54159632521819</v>
      </c>
      <c r="H94">
        <v>2.9521711768407801</v>
      </c>
      <c r="I94">
        <f>Tableau3[[#This Row],[GHG (kgCO2eq/GJ)]]*3.6</f>
        <v>10.627816236626808</v>
      </c>
      <c r="J94" t="s">
        <v>104</v>
      </c>
      <c r="K94" t="s">
        <v>108</v>
      </c>
    </row>
    <row r="95" spans="1:11" x14ac:dyDescent="0.3">
      <c r="A95" t="s">
        <v>11</v>
      </c>
      <c r="B95" t="s">
        <v>46</v>
      </c>
      <c r="C95" t="s">
        <v>79</v>
      </c>
      <c r="D95">
        <v>19.5</v>
      </c>
      <c r="E95">
        <f>Tableau3[[#This Row],[Potential (PJ)]]/3.6</f>
        <v>5.416666666666667</v>
      </c>
      <c r="F95">
        <v>3.0977025641025642</v>
      </c>
      <c r="G95">
        <f>Tableau3[[#This Row],[Cost (€/GJ)]]*3.6</f>
        <v>11.151729230769231</v>
      </c>
      <c r="H95">
        <v>6.8428961748633883</v>
      </c>
      <c r="I95">
        <f>Tableau3[[#This Row],[GHG (kgCO2eq/GJ)]]*3.6</f>
        <v>24.634426229508197</v>
      </c>
      <c r="J95" t="s">
        <v>104</v>
      </c>
      <c r="K95" t="s">
        <v>108</v>
      </c>
    </row>
    <row r="96" spans="1:11" x14ac:dyDescent="0.3">
      <c r="A96" t="s">
        <v>11</v>
      </c>
      <c r="B96" t="s">
        <v>46</v>
      </c>
      <c r="C96" t="s">
        <v>65</v>
      </c>
      <c r="D96">
        <v>0.4</v>
      </c>
      <c r="E96">
        <f>Tableau3[[#This Row],[Potential (PJ)]]/3.6</f>
        <v>0.11111111111111112</v>
      </c>
      <c r="F96">
        <v>4.5065</v>
      </c>
      <c r="G96">
        <f>Tableau3[[#This Row],[Cost (€/GJ)]]*3.6</f>
        <v>16.223400000000002</v>
      </c>
      <c r="H96">
        <v>2.9521711768407801</v>
      </c>
      <c r="I96">
        <f>Tableau3[[#This Row],[GHG (kgCO2eq/GJ)]]*3.6</f>
        <v>10.627816236626808</v>
      </c>
      <c r="J96" t="s">
        <v>104</v>
      </c>
      <c r="K96" t="s">
        <v>108</v>
      </c>
    </row>
    <row r="97" spans="1:11" x14ac:dyDescent="0.3">
      <c r="A97" t="s">
        <v>11</v>
      </c>
      <c r="B97" t="s">
        <v>46</v>
      </c>
      <c r="C97" t="s">
        <v>80</v>
      </c>
      <c r="D97">
        <v>0.32428000000000001</v>
      </c>
      <c r="E97">
        <f>Tableau3[[#This Row],[Potential (PJ)]]/3.6</f>
        <v>9.0077777777777784E-2</v>
      </c>
      <c r="F97">
        <v>0.44234659474039112</v>
      </c>
      <c r="G97">
        <f>Tableau3[[#This Row],[Cost (€/GJ)]]*3.6</f>
        <v>1.5924477410654081</v>
      </c>
      <c r="H97">
        <v>28.139870918023309</v>
      </c>
      <c r="I97">
        <f>Tableau3[[#This Row],[GHG (kgCO2eq/GJ)]]*3.6</f>
        <v>101.30353530488391</v>
      </c>
      <c r="J97" t="s">
        <v>105</v>
      </c>
      <c r="K97" t="s">
        <v>108</v>
      </c>
    </row>
    <row r="98" spans="1:11" x14ac:dyDescent="0.3">
      <c r="A98" t="s">
        <v>11</v>
      </c>
      <c r="B98" t="s">
        <v>46</v>
      </c>
      <c r="C98" t="s">
        <v>81</v>
      </c>
      <c r="D98">
        <v>6.5399999999999998E-3</v>
      </c>
      <c r="E98">
        <f>Tableau3[[#This Row],[Potential (PJ)]]/3.6</f>
        <v>1.8166666666666665E-3</v>
      </c>
      <c r="F98">
        <v>2.839600470035252</v>
      </c>
      <c r="G98">
        <f>Tableau3[[#This Row],[Cost (€/GJ)]]*3.6</f>
        <v>10.222561692126908</v>
      </c>
      <c r="H98">
        <v>8.9647473560517046</v>
      </c>
      <c r="I98">
        <f>Tableau3[[#This Row],[GHG (kgCO2eq/GJ)]]*3.6</f>
        <v>32.273090481786134</v>
      </c>
      <c r="J98" t="s">
        <v>105</v>
      </c>
      <c r="K98" t="s">
        <v>108</v>
      </c>
    </row>
    <row r="99" spans="1:11" x14ac:dyDescent="0.3">
      <c r="A99" t="s">
        <v>11</v>
      </c>
      <c r="B99" t="s">
        <v>46</v>
      </c>
      <c r="C99" t="s">
        <v>66</v>
      </c>
      <c r="D99">
        <v>3.6</v>
      </c>
      <c r="E99">
        <f>Tableau3[[#This Row],[Potential (PJ)]]/3.6</f>
        <v>1</v>
      </c>
      <c r="F99">
        <v>3.1963333333333339</v>
      </c>
      <c r="G99">
        <f>Tableau3[[#This Row],[Cost (€/GJ)]]*3.6</f>
        <v>11.506800000000002</v>
      </c>
      <c r="H99">
        <v>6.8428961748633883</v>
      </c>
      <c r="I99">
        <f>Tableau3[[#This Row],[GHG (kgCO2eq/GJ)]]*3.6</f>
        <v>24.634426229508197</v>
      </c>
      <c r="J99" t="s">
        <v>104</v>
      </c>
      <c r="K99" t="s">
        <v>108</v>
      </c>
    </row>
    <row r="100" spans="1:11" x14ac:dyDescent="0.3">
      <c r="A100" t="s">
        <v>11</v>
      </c>
      <c r="B100" t="s">
        <v>46</v>
      </c>
      <c r="C100" t="s">
        <v>82</v>
      </c>
      <c r="D100">
        <v>6.7</v>
      </c>
      <c r="E100">
        <f>Tableau3[[#This Row],[Potential (PJ)]]/3.6</f>
        <v>1.8611111111111112</v>
      </c>
      <c r="F100">
        <v>1.964955223880597</v>
      </c>
      <c r="G100">
        <f>Tableau3[[#This Row],[Cost (€/GJ)]]*3.6</f>
        <v>7.0738388059701496</v>
      </c>
      <c r="H100">
        <v>6.8428961748633883</v>
      </c>
      <c r="I100">
        <f>Tableau3[[#This Row],[GHG (kgCO2eq/GJ)]]*3.6</f>
        <v>24.634426229508197</v>
      </c>
      <c r="J100" t="s">
        <v>104</v>
      </c>
      <c r="K100" t="s">
        <v>108</v>
      </c>
    </row>
    <row r="101" spans="1:11" x14ac:dyDescent="0.3">
      <c r="A101" t="s">
        <v>11</v>
      </c>
      <c r="B101" t="s">
        <v>46</v>
      </c>
      <c r="C101" t="s">
        <v>83</v>
      </c>
      <c r="D101">
        <v>0.23699000000000001</v>
      </c>
      <c r="E101">
        <f>Tableau3[[#This Row],[Potential (PJ)]]/3.6</f>
        <v>6.5830555555555559E-2</v>
      </c>
      <c r="F101">
        <v>2.9689999999999999</v>
      </c>
      <c r="G101">
        <f>Tableau3[[#This Row],[Cost (€/GJ)]]*3.6</f>
        <v>10.6884</v>
      </c>
      <c r="H101">
        <v>6.8428961748633883</v>
      </c>
      <c r="I101">
        <f>Tableau3[[#This Row],[GHG (kgCO2eq/GJ)]]*3.6</f>
        <v>24.634426229508197</v>
      </c>
      <c r="J101" t="s">
        <v>104</v>
      </c>
      <c r="K101" t="s">
        <v>108</v>
      </c>
    </row>
    <row r="102" spans="1:11" x14ac:dyDescent="0.3">
      <c r="A102" t="s">
        <v>11</v>
      </c>
      <c r="B102" t="s">
        <v>46</v>
      </c>
      <c r="C102" t="s">
        <v>85</v>
      </c>
      <c r="D102">
        <v>0.5</v>
      </c>
      <c r="E102">
        <f>Tableau3[[#This Row],[Potential (PJ)]]/3.6</f>
        <v>0.1388888888888889</v>
      </c>
      <c r="F102">
        <v>3.6648000000000001</v>
      </c>
      <c r="G102">
        <f>Tableau3[[#This Row],[Cost (€/GJ)]]*3.6</f>
        <v>13.19328</v>
      </c>
      <c r="H102">
        <v>2.9521711768407801</v>
      </c>
      <c r="I102">
        <f>Tableau3[[#This Row],[GHG (kgCO2eq/GJ)]]*3.6</f>
        <v>10.627816236626808</v>
      </c>
      <c r="J102" t="s">
        <v>104</v>
      </c>
      <c r="K102" t="s">
        <v>108</v>
      </c>
    </row>
    <row r="103" spans="1:11" x14ac:dyDescent="0.3">
      <c r="A103" t="s">
        <v>11</v>
      </c>
      <c r="B103" t="s">
        <v>55</v>
      </c>
      <c r="C103" t="s">
        <v>86</v>
      </c>
      <c r="D103">
        <v>2.1966999999999999</v>
      </c>
      <c r="E103">
        <f>Tableau3[[#This Row],[Potential (PJ)]]/3.6</f>
        <v>0.61019444444444437</v>
      </c>
      <c r="F103">
        <v>10.028</v>
      </c>
      <c r="G103">
        <f>Tableau3[[#This Row],[Cost (€/GJ)]]*3.6</f>
        <v>36.1008</v>
      </c>
      <c r="H103">
        <v>9.1</v>
      </c>
      <c r="I103">
        <f>Tableau3[[#This Row],[GHG (kgCO2eq/GJ)]]*3.6</f>
        <v>32.76</v>
      </c>
      <c r="J103" t="s">
        <v>106</v>
      </c>
      <c r="K103" t="s">
        <v>109</v>
      </c>
    </row>
    <row r="104" spans="1:11" x14ac:dyDescent="0.3">
      <c r="A104" t="s">
        <v>11</v>
      </c>
      <c r="B104" t="s">
        <v>55</v>
      </c>
      <c r="C104" t="s">
        <v>87</v>
      </c>
      <c r="D104">
        <v>1.9383999999999999</v>
      </c>
      <c r="E104">
        <f>Tableau3[[#This Row],[Potential (PJ)]]/3.6</f>
        <v>0.53844444444444439</v>
      </c>
      <c r="F104">
        <v>10.538</v>
      </c>
      <c r="G104">
        <f>Tableau3[[#This Row],[Cost (€/GJ)]]*3.6</f>
        <v>37.936800000000005</v>
      </c>
      <c r="H104">
        <v>9.1</v>
      </c>
      <c r="I104">
        <f>Tableau3[[#This Row],[GHG (kgCO2eq/GJ)]]*3.6</f>
        <v>32.76</v>
      </c>
      <c r="J104" t="s">
        <v>106</v>
      </c>
      <c r="K104" t="s">
        <v>109</v>
      </c>
    </row>
    <row r="105" spans="1:11" x14ac:dyDescent="0.3">
      <c r="A105" t="s">
        <v>11</v>
      </c>
      <c r="B105" t="s">
        <v>55</v>
      </c>
      <c r="C105" t="s">
        <v>88</v>
      </c>
      <c r="D105">
        <v>2.3174999999999999</v>
      </c>
      <c r="E105">
        <f>Tableau3[[#This Row],[Potential (PJ)]]/3.6</f>
        <v>0.64374999999999993</v>
      </c>
      <c r="F105">
        <v>11.048999999999999</v>
      </c>
      <c r="G105">
        <f>Tableau3[[#This Row],[Cost (€/GJ)]]*3.6</f>
        <v>39.776400000000002</v>
      </c>
      <c r="H105">
        <v>9.1</v>
      </c>
      <c r="I105">
        <f>Tableau3[[#This Row],[GHG (kgCO2eq/GJ)]]*3.6</f>
        <v>32.76</v>
      </c>
      <c r="J105" t="s">
        <v>106</v>
      </c>
      <c r="K105" t="s">
        <v>109</v>
      </c>
    </row>
    <row r="106" spans="1:11" x14ac:dyDescent="0.3">
      <c r="A106" t="s">
        <v>11</v>
      </c>
      <c r="B106" t="s">
        <v>55</v>
      </c>
      <c r="C106" t="s">
        <v>92</v>
      </c>
      <c r="D106">
        <v>2.10982</v>
      </c>
      <c r="E106">
        <f>Tableau3[[#This Row],[Potential (PJ)]]/3.6</f>
        <v>0.58606111111111114</v>
      </c>
      <c r="F106">
        <v>10.538</v>
      </c>
      <c r="G106">
        <f>Tableau3[[#This Row],[Cost (€/GJ)]]*3.6</f>
        <v>37.936800000000005</v>
      </c>
      <c r="H106">
        <v>9.1</v>
      </c>
      <c r="I106">
        <f>Tableau3[[#This Row],[GHG (kgCO2eq/GJ)]]*3.6</f>
        <v>32.76</v>
      </c>
      <c r="J106" t="s">
        <v>106</v>
      </c>
      <c r="K106" t="s">
        <v>109</v>
      </c>
    </row>
    <row r="107" spans="1:11" x14ac:dyDescent="0.3">
      <c r="A107" t="s">
        <v>11</v>
      </c>
      <c r="B107" t="s">
        <v>56</v>
      </c>
      <c r="C107" t="s">
        <v>93</v>
      </c>
      <c r="D107">
        <v>8.5778999999999996</v>
      </c>
      <c r="E107">
        <f>Tableau3[[#This Row],[Potential (PJ)]]/3.6</f>
        <v>2.3827499999999997</v>
      </c>
      <c r="F107">
        <v>6.7759036144578308</v>
      </c>
      <c r="G107">
        <f>Tableau3[[#This Row],[Cost (€/GJ)]]*3.6</f>
        <v>24.393253012048191</v>
      </c>
      <c r="H107">
        <v>22.9</v>
      </c>
      <c r="I107">
        <f>Tableau3[[#This Row],[GHG (kgCO2eq/GJ)]]*3.6</f>
        <v>82.44</v>
      </c>
      <c r="J107" t="s">
        <v>106</v>
      </c>
      <c r="K107" t="s">
        <v>109</v>
      </c>
    </row>
    <row r="108" spans="1:11" x14ac:dyDescent="0.3">
      <c r="A108" t="s">
        <v>11</v>
      </c>
      <c r="B108" t="s">
        <v>47</v>
      </c>
      <c r="C108" t="s">
        <v>68</v>
      </c>
      <c r="D108">
        <v>30.1</v>
      </c>
      <c r="E108">
        <f>Tableau3[[#This Row],[Potential (PJ)]]/3.6</f>
        <v>8.3611111111111107</v>
      </c>
      <c r="F108">
        <v>2.9729700996677741</v>
      </c>
      <c r="G108">
        <f>Tableau3[[#This Row],[Cost (€/GJ)]]*3.6</f>
        <v>10.702692358803986</v>
      </c>
      <c r="H108">
        <v>15</v>
      </c>
      <c r="I108">
        <f>Tableau3[[#This Row],[GHG (kgCO2eq/GJ)]]*3.6</f>
        <v>54</v>
      </c>
      <c r="J108" t="s">
        <v>104</v>
      </c>
      <c r="K108" t="s">
        <v>109</v>
      </c>
    </row>
    <row r="109" spans="1:11" x14ac:dyDescent="0.3">
      <c r="A109" t="s">
        <v>11</v>
      </c>
      <c r="B109" t="s">
        <v>47</v>
      </c>
      <c r="C109" t="s">
        <v>69</v>
      </c>
      <c r="D109">
        <v>21.4</v>
      </c>
      <c r="E109">
        <f>Tableau3[[#This Row],[Potential (PJ)]]/3.6</f>
        <v>5.9444444444444438</v>
      </c>
      <c r="F109">
        <v>2.8913037383177569</v>
      </c>
      <c r="G109">
        <f>Tableau3[[#This Row],[Cost (€/GJ)]]*3.6</f>
        <v>10.408693457943926</v>
      </c>
      <c r="H109">
        <v>15</v>
      </c>
      <c r="I109">
        <f>Tableau3[[#This Row],[GHG (kgCO2eq/GJ)]]*3.6</f>
        <v>54</v>
      </c>
      <c r="J109" t="s">
        <v>104</v>
      </c>
      <c r="K109" t="s">
        <v>109</v>
      </c>
    </row>
    <row r="110" spans="1:11" x14ac:dyDescent="0.3">
      <c r="A110" t="s">
        <v>11</v>
      </c>
      <c r="B110" t="s">
        <v>57</v>
      </c>
      <c r="C110" t="s">
        <v>94</v>
      </c>
      <c r="D110">
        <v>6.6</v>
      </c>
      <c r="E110">
        <f>Tableau3[[#This Row],[Potential (PJ)]]/3.6</f>
        <v>1.8333333333333333</v>
      </c>
      <c r="F110">
        <v>7.6086363636363634</v>
      </c>
      <c r="G110">
        <f>Tableau3[[#This Row],[Cost (€/GJ)]]*3.6</f>
        <v>27.391090909090909</v>
      </c>
      <c r="H110">
        <v>15.5</v>
      </c>
      <c r="I110">
        <f>Tableau3[[#This Row],[GHG (kgCO2eq/GJ)]]*3.6</f>
        <v>55.800000000000004</v>
      </c>
      <c r="J110" t="s">
        <v>104</v>
      </c>
      <c r="K110" t="s">
        <v>109</v>
      </c>
    </row>
    <row r="111" spans="1:11" x14ac:dyDescent="0.3">
      <c r="A111" t="s">
        <v>11</v>
      </c>
      <c r="B111" t="s">
        <v>49</v>
      </c>
      <c r="C111" t="s">
        <v>71</v>
      </c>
      <c r="D111">
        <v>74.47775</v>
      </c>
      <c r="E111">
        <f>Tableau3[[#This Row],[Potential (PJ)]]/3.6</f>
        <v>20.688263888888887</v>
      </c>
      <c r="F111">
        <v>2.8348316604623531</v>
      </c>
      <c r="G111">
        <f>Tableau3[[#This Row],[Cost (€/GJ)]]*3.6</f>
        <v>10.205393977664471</v>
      </c>
      <c r="H111">
        <v>3.86607608129234</v>
      </c>
      <c r="I111">
        <f>Tableau3[[#This Row],[GHG (kgCO2eq/GJ)]]*3.6</f>
        <v>13.917873892652425</v>
      </c>
      <c r="J111" t="s">
        <v>104</v>
      </c>
      <c r="K111" t="s">
        <v>108</v>
      </c>
    </row>
    <row r="112" spans="1:11" x14ac:dyDescent="0.3">
      <c r="A112" t="s">
        <v>11</v>
      </c>
      <c r="B112" t="s">
        <v>49</v>
      </c>
      <c r="C112" t="s">
        <v>72</v>
      </c>
      <c r="D112">
        <v>10.4</v>
      </c>
      <c r="E112">
        <f>Tableau3[[#This Row],[Potential (PJ)]]/3.6</f>
        <v>2.8888888888888888</v>
      </c>
      <c r="F112">
        <v>3.8782692307692308</v>
      </c>
      <c r="G112">
        <f>Tableau3[[#This Row],[Cost (€/GJ)]]*3.6</f>
        <v>13.961769230769232</v>
      </c>
      <c r="H112">
        <v>3.86607608129234</v>
      </c>
      <c r="I112">
        <f>Tableau3[[#This Row],[GHG (kgCO2eq/GJ)]]*3.6</f>
        <v>13.917873892652425</v>
      </c>
      <c r="J112" t="s">
        <v>104</v>
      </c>
      <c r="K112" t="s">
        <v>108</v>
      </c>
    </row>
    <row r="113" spans="1:11" x14ac:dyDescent="0.3">
      <c r="A113" t="s">
        <v>11</v>
      </c>
      <c r="B113" t="s">
        <v>58</v>
      </c>
      <c r="C113" t="s">
        <v>95</v>
      </c>
      <c r="D113">
        <v>4.7828999999999997</v>
      </c>
      <c r="E113">
        <f>Tableau3[[#This Row],[Potential (PJ)]]/3.6</f>
        <v>1.3285833333333332</v>
      </c>
      <c r="F113">
        <v>3.3079999999999998</v>
      </c>
      <c r="G113">
        <f>Tableau3[[#This Row],[Cost (€/GJ)]]*3.6</f>
        <v>11.908799999999999</v>
      </c>
      <c r="H113">
        <v>2.9521711768407801</v>
      </c>
      <c r="I113">
        <f>Tableau3[[#This Row],[GHG (kgCO2eq/GJ)]]*3.6</f>
        <v>10.627816236626808</v>
      </c>
      <c r="J113" t="s">
        <v>104</v>
      </c>
      <c r="K113" t="s">
        <v>108</v>
      </c>
    </row>
    <row r="114" spans="1:11" x14ac:dyDescent="0.3">
      <c r="A114" t="s">
        <v>11</v>
      </c>
      <c r="B114" t="s">
        <v>50</v>
      </c>
      <c r="C114" t="s">
        <v>73</v>
      </c>
      <c r="D114">
        <v>0.1</v>
      </c>
      <c r="E114">
        <f>Tableau3[[#This Row],[Potential (PJ)]]/3.6</f>
        <v>2.777777777777778E-2</v>
      </c>
      <c r="F114">
        <v>5.101</v>
      </c>
      <c r="G114">
        <f>Tableau3[[#This Row],[Cost (€/GJ)]]*3.6</f>
        <v>18.363600000000002</v>
      </c>
      <c r="H114">
        <v>20.723404255319149</v>
      </c>
      <c r="I114">
        <f>Tableau3[[#This Row],[GHG (kgCO2eq/GJ)]]*3.6</f>
        <v>74.604255319148933</v>
      </c>
      <c r="J114" t="s">
        <v>105</v>
      </c>
      <c r="K114" t="s">
        <v>108</v>
      </c>
    </row>
    <row r="115" spans="1:11" x14ac:dyDescent="0.3">
      <c r="A115" t="s">
        <v>11</v>
      </c>
      <c r="B115" t="s">
        <v>50</v>
      </c>
      <c r="C115" t="s">
        <v>74</v>
      </c>
      <c r="D115">
        <v>5.4</v>
      </c>
      <c r="E115">
        <f>Tableau3[[#This Row],[Potential (PJ)]]/3.6</f>
        <v>1.5</v>
      </c>
      <c r="F115">
        <v>3.3223703703703702</v>
      </c>
      <c r="G115">
        <f>Tableau3[[#This Row],[Cost (€/GJ)]]*3.6</f>
        <v>11.960533333333332</v>
      </c>
      <c r="H115">
        <v>2.0635593220338988</v>
      </c>
      <c r="I115">
        <f>Tableau3[[#This Row],[GHG (kgCO2eq/GJ)]]*3.6</f>
        <v>7.4288135593220357</v>
      </c>
      <c r="J115" t="s">
        <v>105</v>
      </c>
      <c r="K115" t="s">
        <v>108</v>
      </c>
    </row>
    <row r="116" spans="1:11" x14ac:dyDescent="0.3">
      <c r="A116" t="s">
        <v>11</v>
      </c>
      <c r="B116" t="s">
        <v>59</v>
      </c>
      <c r="C116" t="s">
        <v>96</v>
      </c>
      <c r="D116">
        <v>0.2102</v>
      </c>
      <c r="E116">
        <f>Tableau3[[#This Row],[Potential (PJ)]]/3.6</f>
        <v>5.8388888888888886E-2</v>
      </c>
      <c r="F116">
        <v>19.167000000000002</v>
      </c>
      <c r="G116">
        <f>Tableau3[[#This Row],[Cost (€/GJ)]]*3.6</f>
        <v>69.001200000000011</v>
      </c>
      <c r="H116">
        <v>15.2</v>
      </c>
      <c r="I116">
        <f>Tableau3[[#This Row],[GHG (kgCO2eq/GJ)]]*3.6</f>
        <v>54.72</v>
      </c>
      <c r="J116" t="s">
        <v>107</v>
      </c>
      <c r="K116" t="s">
        <v>109</v>
      </c>
    </row>
    <row r="117" spans="1:11" x14ac:dyDescent="0.3">
      <c r="A117" t="s">
        <v>11</v>
      </c>
      <c r="B117" t="s">
        <v>59</v>
      </c>
      <c r="C117" t="s">
        <v>97</v>
      </c>
      <c r="D117">
        <v>5.5411000000000001</v>
      </c>
      <c r="E117">
        <f>Tableau3[[#This Row],[Potential (PJ)]]/3.6</f>
        <v>1.5391944444444445</v>
      </c>
      <c r="F117">
        <v>13.4020618556701</v>
      </c>
      <c r="G117">
        <f>Tableau3[[#This Row],[Cost (€/GJ)]]*3.6</f>
        <v>48.247422680412363</v>
      </c>
      <c r="H117">
        <v>15.2</v>
      </c>
      <c r="I117">
        <f>Tableau3[[#This Row],[GHG (kgCO2eq/GJ)]]*3.6</f>
        <v>54.72</v>
      </c>
      <c r="J117" t="s">
        <v>107</v>
      </c>
      <c r="K117" t="s">
        <v>109</v>
      </c>
    </row>
    <row r="118" spans="1:11" x14ac:dyDescent="0.3">
      <c r="A118" t="s">
        <v>11</v>
      </c>
      <c r="B118" t="s">
        <v>51</v>
      </c>
      <c r="C118" t="s">
        <v>75</v>
      </c>
      <c r="D118">
        <v>2.5202580000000001</v>
      </c>
      <c r="E118">
        <f>Tableau3[[#This Row],[Potential (PJ)]]/3.6</f>
        <v>0.70007166666666665</v>
      </c>
      <c r="F118">
        <v>5.61157953439136E-5</v>
      </c>
      <c r="G118">
        <f>Tableau3[[#This Row],[Cost (€/GJ)]]*3.6</f>
        <v>2.0201686323808896E-4</v>
      </c>
      <c r="H118">
        <v>11.74</v>
      </c>
      <c r="I118">
        <f>Tableau3[[#This Row],[GHG (kgCO2eq/GJ)]]*3.6</f>
        <v>42.264000000000003</v>
      </c>
      <c r="J118" t="s">
        <v>104</v>
      </c>
      <c r="K118" t="s">
        <v>108</v>
      </c>
    </row>
    <row r="119" spans="1:11" x14ac:dyDescent="0.3">
      <c r="A119" t="s">
        <v>11</v>
      </c>
      <c r="B119" t="s">
        <v>60</v>
      </c>
      <c r="C119" t="s">
        <v>98</v>
      </c>
      <c r="D119">
        <v>3.7305100000000002</v>
      </c>
      <c r="E119">
        <f>Tableau3[[#This Row],[Potential (PJ)]]/3.6</f>
        <v>1.0362527777777779</v>
      </c>
      <c r="F119">
        <v>15.789473684210529</v>
      </c>
      <c r="G119">
        <f>Tableau3[[#This Row],[Cost (€/GJ)]]*3.6</f>
        <v>56.842105263157904</v>
      </c>
      <c r="H119">
        <v>1.5</v>
      </c>
      <c r="I119">
        <f>Tableau3[[#This Row],[GHG (kgCO2eq/GJ)]]*3.6</f>
        <v>5.4</v>
      </c>
      <c r="J119" t="s">
        <v>107</v>
      </c>
      <c r="K119" t="s">
        <v>109</v>
      </c>
    </row>
    <row r="120" spans="1:11" x14ac:dyDescent="0.3">
      <c r="A120" t="s">
        <v>11</v>
      </c>
      <c r="B120" t="s">
        <v>53</v>
      </c>
      <c r="C120" t="s">
        <v>77</v>
      </c>
      <c r="D120">
        <v>3.2</v>
      </c>
      <c r="E120">
        <f>Tableau3[[#This Row],[Potential (PJ)]]/3.6</f>
        <v>0.88888888888888895</v>
      </c>
      <c r="F120">
        <v>3.8784062499999998</v>
      </c>
      <c r="G120">
        <f>Tableau3[[#This Row],[Cost (€/GJ)]]*3.6</f>
        <v>13.9622625</v>
      </c>
      <c r="H120">
        <v>3.86607608129234</v>
      </c>
      <c r="I120">
        <f>Tableau3[[#This Row],[GHG (kgCO2eq/GJ)]]*3.6</f>
        <v>13.917873892652425</v>
      </c>
      <c r="J120" t="s">
        <v>104</v>
      </c>
      <c r="K120" t="s">
        <v>108</v>
      </c>
    </row>
    <row r="121" spans="1:11" x14ac:dyDescent="0.3">
      <c r="A121" t="s">
        <v>11</v>
      </c>
      <c r="B121" t="s">
        <v>61</v>
      </c>
      <c r="C121" t="s">
        <v>99</v>
      </c>
      <c r="D121">
        <v>2.5</v>
      </c>
      <c r="E121">
        <f>Tableau3[[#This Row],[Potential (PJ)]]/3.6</f>
        <v>0.69444444444444442</v>
      </c>
      <c r="F121">
        <v>1.7036</v>
      </c>
      <c r="G121">
        <f>Tableau3[[#This Row],[Cost (€/GJ)]]*3.6</f>
        <v>6.1329599999999997</v>
      </c>
      <c r="H121">
        <v>2.9245635910224439</v>
      </c>
      <c r="I121">
        <f>Tableau3[[#This Row],[GHG (kgCO2eq/GJ)]]*3.6</f>
        <v>10.528428927680798</v>
      </c>
      <c r="J121" t="s">
        <v>104</v>
      </c>
      <c r="K121" t="s">
        <v>108</v>
      </c>
    </row>
    <row r="122" spans="1:11" x14ac:dyDescent="0.3">
      <c r="A122" t="s">
        <v>11</v>
      </c>
      <c r="B122" t="s">
        <v>62</v>
      </c>
      <c r="C122" t="s">
        <v>100</v>
      </c>
      <c r="D122">
        <v>0.5</v>
      </c>
      <c r="E122">
        <f>Tableau3[[#This Row],[Potential (PJ)]]/3.6</f>
        <v>0.1388888888888889</v>
      </c>
      <c r="F122">
        <v>0.4</v>
      </c>
      <c r="G122">
        <f>Tableau3[[#This Row],[Cost (€/GJ)]]*3.6</f>
        <v>1.4400000000000002</v>
      </c>
      <c r="H122">
        <v>2.6764106050305911</v>
      </c>
      <c r="I122">
        <f>Tableau3[[#This Row],[GHG (kgCO2eq/GJ)]]*3.6</f>
        <v>9.6350781781101276</v>
      </c>
      <c r="J122" t="s">
        <v>104</v>
      </c>
      <c r="K122" t="s">
        <v>108</v>
      </c>
    </row>
    <row r="123" spans="1:11" x14ac:dyDescent="0.3">
      <c r="A123" t="s">
        <v>11</v>
      </c>
      <c r="B123" t="s">
        <v>54</v>
      </c>
      <c r="C123" t="s">
        <v>78</v>
      </c>
      <c r="D123">
        <v>23.5</v>
      </c>
      <c r="E123">
        <f>Tableau3[[#This Row],[Potential (PJ)]]/3.6</f>
        <v>6.5277777777777777</v>
      </c>
      <c r="F123">
        <v>3.8086297872340431</v>
      </c>
      <c r="G123">
        <f>Tableau3[[#This Row],[Cost (€/GJ)]]*3.6</f>
        <v>13.711067234042556</v>
      </c>
      <c r="H123">
        <v>3.86607608129234</v>
      </c>
      <c r="I123">
        <f>Tableau3[[#This Row],[GHG (kgCO2eq/GJ)]]*3.6</f>
        <v>13.917873892652425</v>
      </c>
      <c r="J123" t="s">
        <v>104</v>
      </c>
      <c r="K123" t="s">
        <v>108</v>
      </c>
    </row>
    <row r="124" spans="1:11" x14ac:dyDescent="0.3">
      <c r="A124" t="s">
        <v>12</v>
      </c>
      <c r="B124" t="s">
        <v>49</v>
      </c>
      <c r="C124" t="s">
        <v>71</v>
      </c>
      <c r="D124">
        <v>51.634149999999998</v>
      </c>
      <c r="E124">
        <f>Tableau3[[#This Row],[Potential (PJ)]]/3.6</f>
        <v>14.342819444444444</v>
      </c>
      <c r="F124">
        <v>0</v>
      </c>
      <c r="G124">
        <f>Tableau3[[#This Row],[Cost (€/GJ)]]*3.6</f>
        <v>0</v>
      </c>
      <c r="H124">
        <v>3.86607608129234</v>
      </c>
      <c r="I124">
        <f>Tableau3[[#This Row],[GHG (kgCO2eq/GJ)]]*3.6</f>
        <v>13.917873892652425</v>
      </c>
      <c r="J124" t="s">
        <v>104</v>
      </c>
      <c r="K124" t="s">
        <v>108</v>
      </c>
    </row>
    <row r="125" spans="1:11" x14ac:dyDescent="0.3">
      <c r="A125" t="s">
        <v>12</v>
      </c>
      <c r="B125" t="s">
        <v>49</v>
      </c>
      <c r="C125" t="s">
        <v>72</v>
      </c>
      <c r="D125">
        <v>4.2</v>
      </c>
      <c r="E125">
        <f>Tableau3[[#This Row],[Potential (PJ)]]/3.6</f>
        <v>1.1666666666666667</v>
      </c>
      <c r="F125">
        <v>0</v>
      </c>
      <c r="G125">
        <f>Tableau3[[#This Row],[Cost (€/GJ)]]*3.6</f>
        <v>0</v>
      </c>
      <c r="H125">
        <v>3.86607608129234</v>
      </c>
      <c r="I125">
        <f>Tableau3[[#This Row],[GHG (kgCO2eq/GJ)]]*3.6</f>
        <v>13.917873892652425</v>
      </c>
      <c r="J125" t="s">
        <v>104</v>
      </c>
      <c r="K125" t="s">
        <v>108</v>
      </c>
    </row>
    <row r="126" spans="1:11" x14ac:dyDescent="0.3">
      <c r="A126" t="s">
        <v>12</v>
      </c>
      <c r="B126" t="s">
        <v>51</v>
      </c>
      <c r="C126" t="s">
        <v>75</v>
      </c>
      <c r="D126">
        <v>20.18919</v>
      </c>
      <c r="E126">
        <f>Tableau3[[#This Row],[Potential (PJ)]]/3.6</f>
        <v>5.608108333333333</v>
      </c>
      <c r="F126">
        <v>0.18374550615216301</v>
      </c>
      <c r="G126">
        <f>Tableau3[[#This Row],[Cost (€/GJ)]]*3.6</f>
        <v>0.66148382214778689</v>
      </c>
      <c r="H126">
        <v>11.74</v>
      </c>
      <c r="I126">
        <f>Tableau3[[#This Row],[GHG (kgCO2eq/GJ)]]*3.6</f>
        <v>42.264000000000003</v>
      </c>
      <c r="J126" t="s">
        <v>104</v>
      </c>
      <c r="K126" t="s">
        <v>108</v>
      </c>
    </row>
    <row r="127" spans="1:11" x14ac:dyDescent="0.3">
      <c r="A127" t="s">
        <v>12</v>
      </c>
      <c r="B127" t="s">
        <v>53</v>
      </c>
      <c r="C127" t="s">
        <v>77</v>
      </c>
      <c r="D127">
        <v>2.5</v>
      </c>
      <c r="E127">
        <f>Tableau3[[#This Row],[Potential (PJ)]]/3.6</f>
        <v>0.69444444444444442</v>
      </c>
      <c r="F127">
        <v>0</v>
      </c>
      <c r="G127">
        <f>Tableau3[[#This Row],[Cost (€/GJ)]]*3.6</f>
        <v>0</v>
      </c>
      <c r="H127">
        <v>3.86607608129234</v>
      </c>
      <c r="I127">
        <f>Tableau3[[#This Row],[GHG (kgCO2eq/GJ)]]*3.6</f>
        <v>13.917873892652425</v>
      </c>
      <c r="J127" t="s">
        <v>104</v>
      </c>
      <c r="K127" t="s">
        <v>108</v>
      </c>
    </row>
    <row r="128" spans="1:11" x14ac:dyDescent="0.3">
      <c r="A128" t="s">
        <v>12</v>
      </c>
      <c r="B128" t="s">
        <v>54</v>
      </c>
      <c r="C128" t="s">
        <v>78</v>
      </c>
      <c r="D128">
        <v>31.5</v>
      </c>
      <c r="E128">
        <f>Tableau3[[#This Row],[Potential (PJ)]]/3.6</f>
        <v>8.75</v>
      </c>
      <c r="F128">
        <v>0</v>
      </c>
      <c r="G128">
        <f>Tableau3[[#This Row],[Cost (€/GJ)]]*3.6</f>
        <v>0</v>
      </c>
      <c r="H128">
        <v>3.86607608129234</v>
      </c>
      <c r="I128">
        <f>Tableau3[[#This Row],[GHG (kgCO2eq/GJ)]]*3.6</f>
        <v>13.917873892652425</v>
      </c>
      <c r="J128" t="s">
        <v>104</v>
      </c>
      <c r="K128" t="s">
        <v>108</v>
      </c>
    </row>
    <row r="129" spans="1:11" x14ac:dyDescent="0.3">
      <c r="A129" t="s">
        <v>13</v>
      </c>
      <c r="B129" t="s">
        <v>46</v>
      </c>
      <c r="C129" t="s">
        <v>63</v>
      </c>
      <c r="D129">
        <v>2.92E-2</v>
      </c>
      <c r="E129">
        <f>Tableau3[[#This Row],[Potential (PJ)]]/3.6</f>
        <v>8.1111111111111106E-3</v>
      </c>
      <c r="F129">
        <v>2.9286474973375931</v>
      </c>
      <c r="G129">
        <f>Tableau3[[#This Row],[Cost (€/GJ)]]*3.6</f>
        <v>10.543130990415335</v>
      </c>
      <c r="H129">
        <v>3.950479233226837</v>
      </c>
      <c r="I129">
        <f>Tableau3[[#This Row],[GHG (kgCO2eq/GJ)]]*3.6</f>
        <v>14.221725239616614</v>
      </c>
      <c r="J129" t="s">
        <v>104</v>
      </c>
      <c r="K129" t="s">
        <v>108</v>
      </c>
    </row>
    <row r="130" spans="1:11" x14ac:dyDescent="0.3">
      <c r="A130" t="s">
        <v>13</v>
      </c>
      <c r="B130" t="s">
        <v>46</v>
      </c>
      <c r="C130" t="s">
        <v>64</v>
      </c>
      <c r="D130">
        <v>1.175E-2</v>
      </c>
      <c r="E130">
        <f>Tableau3[[#This Row],[Potential (PJ)]]/3.6</f>
        <v>3.2638888888888887E-3</v>
      </c>
      <c r="F130">
        <v>7.15</v>
      </c>
      <c r="G130">
        <f>Tableau3[[#This Row],[Cost (€/GJ)]]*3.6</f>
        <v>25.740000000000002</v>
      </c>
      <c r="H130">
        <v>2.9521711768407801</v>
      </c>
      <c r="I130">
        <f>Tableau3[[#This Row],[GHG (kgCO2eq/GJ)]]*3.6</f>
        <v>10.627816236626808</v>
      </c>
      <c r="J130" t="s">
        <v>104</v>
      </c>
      <c r="K130" t="s">
        <v>108</v>
      </c>
    </row>
    <row r="131" spans="1:11" x14ac:dyDescent="0.3">
      <c r="A131" t="s">
        <v>13</v>
      </c>
      <c r="B131" t="s">
        <v>46</v>
      </c>
      <c r="C131" t="s">
        <v>65</v>
      </c>
      <c r="D131">
        <v>0.1</v>
      </c>
      <c r="E131">
        <f>Tableau3[[#This Row],[Potential (PJ)]]/3.6</f>
        <v>2.777777777777778E-2</v>
      </c>
      <c r="F131">
        <v>5.7569999999999997</v>
      </c>
      <c r="G131">
        <f>Tableau3[[#This Row],[Cost (€/GJ)]]*3.6</f>
        <v>20.725200000000001</v>
      </c>
      <c r="H131">
        <v>2.9521711768407801</v>
      </c>
      <c r="I131">
        <f>Tableau3[[#This Row],[GHG (kgCO2eq/GJ)]]*3.6</f>
        <v>10.627816236626808</v>
      </c>
      <c r="J131" t="s">
        <v>104</v>
      </c>
      <c r="K131" t="s">
        <v>108</v>
      </c>
    </row>
    <row r="132" spans="1:11" x14ac:dyDescent="0.3">
      <c r="A132" t="s">
        <v>13</v>
      </c>
      <c r="B132" t="s">
        <v>46</v>
      </c>
      <c r="C132" t="s">
        <v>102</v>
      </c>
      <c r="D132">
        <v>0.1</v>
      </c>
      <c r="E132">
        <f>Tableau3[[#This Row],[Potential (PJ)]]/3.6</f>
        <v>2.777777777777778E-2</v>
      </c>
      <c r="F132">
        <v>5.0270000000000001</v>
      </c>
      <c r="G132">
        <f>Tableau3[[#This Row],[Cost (€/GJ)]]*3.6</f>
        <v>18.097200000000001</v>
      </c>
      <c r="H132">
        <v>2.9521711768407801</v>
      </c>
      <c r="I132">
        <f>Tableau3[[#This Row],[GHG (kgCO2eq/GJ)]]*3.6</f>
        <v>10.627816236626808</v>
      </c>
      <c r="J132" t="s">
        <v>104</v>
      </c>
      <c r="K132" t="s">
        <v>108</v>
      </c>
    </row>
    <row r="133" spans="1:11" x14ac:dyDescent="0.3">
      <c r="A133" t="s">
        <v>13</v>
      </c>
      <c r="B133" t="s">
        <v>46</v>
      </c>
      <c r="C133" t="s">
        <v>80</v>
      </c>
      <c r="D133">
        <v>0.10376000000000001</v>
      </c>
      <c r="E133">
        <f>Tableau3[[#This Row],[Potential (PJ)]]/3.6</f>
        <v>2.8822222222222221E-2</v>
      </c>
      <c r="F133">
        <v>1.2157788267026299</v>
      </c>
      <c r="G133">
        <f>Tableau3[[#This Row],[Cost (€/GJ)]]*3.6</f>
        <v>4.376803776129468</v>
      </c>
      <c r="H133">
        <v>28.139870918023309</v>
      </c>
      <c r="I133">
        <f>Tableau3[[#This Row],[GHG (kgCO2eq/GJ)]]*3.6</f>
        <v>101.30353530488391</v>
      </c>
      <c r="J133" t="s">
        <v>105</v>
      </c>
      <c r="K133" t="s">
        <v>108</v>
      </c>
    </row>
    <row r="134" spans="1:11" x14ac:dyDescent="0.3">
      <c r="A134" t="s">
        <v>13</v>
      </c>
      <c r="B134" t="s">
        <v>46</v>
      </c>
      <c r="C134" t="s">
        <v>81</v>
      </c>
      <c r="D134">
        <v>1.2800000000000001E-3</v>
      </c>
      <c r="E134">
        <f>Tableau3[[#This Row],[Potential (PJ)]]/3.6</f>
        <v>3.5555555555555557E-4</v>
      </c>
      <c r="F134">
        <v>3.252643948296122</v>
      </c>
      <c r="G134">
        <f>Tableau3[[#This Row],[Cost (€/GJ)]]*3.6</f>
        <v>11.709518213866039</v>
      </c>
      <c r="H134">
        <v>8.9647473560517046</v>
      </c>
      <c r="I134">
        <f>Tableau3[[#This Row],[GHG (kgCO2eq/GJ)]]*3.6</f>
        <v>32.273090481786134</v>
      </c>
      <c r="J134" t="s">
        <v>105</v>
      </c>
      <c r="K134" t="s">
        <v>108</v>
      </c>
    </row>
    <row r="135" spans="1:11" x14ac:dyDescent="0.3">
      <c r="A135" t="s">
        <v>13</v>
      </c>
      <c r="B135" t="s">
        <v>46</v>
      </c>
      <c r="C135" t="s">
        <v>67</v>
      </c>
      <c r="D135">
        <v>0.1</v>
      </c>
      <c r="E135">
        <f>Tableau3[[#This Row],[Potential (PJ)]]/3.6</f>
        <v>2.777777777777778E-2</v>
      </c>
      <c r="F135">
        <v>8.1489999999999991</v>
      </c>
      <c r="G135">
        <f>Tableau3[[#This Row],[Cost (€/GJ)]]*3.6</f>
        <v>29.336399999999998</v>
      </c>
      <c r="H135">
        <v>2.9521711768407801</v>
      </c>
      <c r="I135">
        <f>Tableau3[[#This Row],[GHG (kgCO2eq/GJ)]]*3.6</f>
        <v>10.627816236626808</v>
      </c>
      <c r="J135" t="s">
        <v>104</v>
      </c>
      <c r="K135" t="s">
        <v>108</v>
      </c>
    </row>
    <row r="136" spans="1:11" x14ac:dyDescent="0.3">
      <c r="A136" t="s">
        <v>13</v>
      </c>
      <c r="B136" t="s">
        <v>47</v>
      </c>
      <c r="C136" t="s">
        <v>68</v>
      </c>
      <c r="D136">
        <v>0.6</v>
      </c>
      <c r="E136">
        <f>Tableau3[[#This Row],[Potential (PJ)]]/3.6</f>
        <v>0.16666666666666666</v>
      </c>
      <c r="F136">
        <v>5.51</v>
      </c>
      <c r="G136">
        <f>Tableau3[[#This Row],[Cost (€/GJ)]]*3.6</f>
        <v>19.835999999999999</v>
      </c>
      <c r="H136">
        <v>13.8</v>
      </c>
      <c r="I136">
        <f>Tableau3[[#This Row],[GHG (kgCO2eq/GJ)]]*3.6</f>
        <v>49.680000000000007</v>
      </c>
      <c r="J136" t="s">
        <v>104</v>
      </c>
      <c r="K136" t="s">
        <v>109</v>
      </c>
    </row>
    <row r="137" spans="1:11" x14ac:dyDescent="0.3">
      <c r="A137" t="s">
        <v>13</v>
      </c>
      <c r="B137" t="s">
        <v>48</v>
      </c>
      <c r="C137" t="s">
        <v>70</v>
      </c>
      <c r="D137">
        <v>0.3</v>
      </c>
      <c r="E137">
        <f>Tableau3[[#This Row],[Potential (PJ)]]/3.6</f>
        <v>8.3333333333333329E-2</v>
      </c>
      <c r="F137">
        <v>13.013</v>
      </c>
      <c r="G137">
        <f>Tableau3[[#This Row],[Cost (€/GJ)]]*3.6</f>
        <v>46.846800000000002</v>
      </c>
      <c r="H137">
        <v>0</v>
      </c>
      <c r="I137">
        <f>Tableau3[[#This Row],[GHG (kgCO2eq/GJ)]]*3.6</f>
        <v>0</v>
      </c>
      <c r="J137" t="s">
        <v>104</v>
      </c>
      <c r="K137" t="s">
        <v>109</v>
      </c>
    </row>
    <row r="138" spans="1:11" x14ac:dyDescent="0.3">
      <c r="A138" t="s">
        <v>13</v>
      </c>
      <c r="B138" t="s">
        <v>50</v>
      </c>
      <c r="C138" t="s">
        <v>73</v>
      </c>
      <c r="D138">
        <v>0.6</v>
      </c>
      <c r="E138">
        <f>Tableau3[[#This Row],[Potential (PJ)]]/3.6</f>
        <v>0.16666666666666666</v>
      </c>
      <c r="F138">
        <v>5.37</v>
      </c>
      <c r="G138">
        <f>Tableau3[[#This Row],[Cost (€/GJ)]]*3.6</f>
        <v>19.332000000000001</v>
      </c>
      <c r="H138">
        <v>20.723404255319149</v>
      </c>
      <c r="I138">
        <f>Tableau3[[#This Row],[GHG (kgCO2eq/GJ)]]*3.6</f>
        <v>74.604255319148933</v>
      </c>
      <c r="J138" t="s">
        <v>105</v>
      </c>
      <c r="K138" t="s">
        <v>108</v>
      </c>
    </row>
    <row r="139" spans="1:11" x14ac:dyDescent="0.3">
      <c r="A139" t="s">
        <v>13</v>
      </c>
      <c r="B139" t="s">
        <v>50</v>
      </c>
      <c r="C139" t="s">
        <v>74</v>
      </c>
      <c r="D139">
        <v>3.4</v>
      </c>
      <c r="E139">
        <f>Tableau3[[#This Row],[Potential (PJ)]]/3.6</f>
        <v>0.94444444444444442</v>
      </c>
      <c r="F139">
        <v>4.0579999999999998</v>
      </c>
      <c r="G139">
        <f>Tableau3[[#This Row],[Cost (€/GJ)]]*3.6</f>
        <v>14.6088</v>
      </c>
      <c r="H139">
        <v>2.0635593220338988</v>
      </c>
      <c r="I139">
        <f>Tableau3[[#This Row],[GHG (kgCO2eq/GJ)]]*3.6</f>
        <v>7.4288135593220357</v>
      </c>
      <c r="J139" t="s">
        <v>105</v>
      </c>
      <c r="K139" t="s">
        <v>108</v>
      </c>
    </row>
    <row r="140" spans="1:11" x14ac:dyDescent="0.3">
      <c r="A140" t="s">
        <v>13</v>
      </c>
      <c r="B140" t="s">
        <v>51</v>
      </c>
      <c r="C140" t="s">
        <v>75</v>
      </c>
      <c r="D140">
        <v>1.479293</v>
      </c>
      <c r="E140">
        <f>Tableau3[[#This Row],[Potential (PJ)]]/3.6</f>
        <v>0.4109147222222222</v>
      </c>
      <c r="F140">
        <v>6.1605493783340303E-3</v>
      </c>
      <c r="G140">
        <f>Tableau3[[#This Row],[Cost (€/GJ)]]*3.6</f>
        <v>2.2177977762002511E-2</v>
      </c>
      <c r="H140">
        <v>11.74</v>
      </c>
      <c r="I140">
        <f>Tableau3[[#This Row],[GHG (kgCO2eq/GJ)]]*3.6</f>
        <v>42.264000000000003</v>
      </c>
      <c r="J140" t="s">
        <v>104</v>
      </c>
      <c r="K140" t="s">
        <v>108</v>
      </c>
    </row>
    <row r="141" spans="1:11" x14ac:dyDescent="0.3">
      <c r="A141" t="s">
        <v>13</v>
      </c>
      <c r="B141" t="s">
        <v>52</v>
      </c>
      <c r="C141" t="s">
        <v>76</v>
      </c>
      <c r="D141">
        <v>1E-3</v>
      </c>
      <c r="E141">
        <f>Tableau3[[#This Row],[Potential (PJ)]]/3.6</f>
        <v>2.7777777777777778E-4</v>
      </c>
      <c r="F141">
        <v>7.5037500000000001</v>
      </c>
      <c r="G141">
        <f>Tableau3[[#This Row],[Cost (€/GJ)]]*3.6</f>
        <v>27.013500000000001</v>
      </c>
      <c r="H141">
        <v>12.68872359754714</v>
      </c>
      <c r="I141">
        <f>Tableau3[[#This Row],[GHG (kgCO2eq/GJ)]]*3.6</f>
        <v>45.679404951169708</v>
      </c>
      <c r="J141" t="s">
        <v>105</v>
      </c>
      <c r="K141" t="s">
        <v>108</v>
      </c>
    </row>
    <row r="142" spans="1:11" x14ac:dyDescent="0.3">
      <c r="A142" t="s">
        <v>14</v>
      </c>
      <c r="B142" t="s">
        <v>46</v>
      </c>
      <c r="C142" t="s">
        <v>64</v>
      </c>
      <c r="D142">
        <v>0.11401</v>
      </c>
      <c r="E142">
        <f>Tableau3[[#This Row],[Potential (PJ)]]/3.6</f>
        <v>3.1669444444444445E-2</v>
      </c>
      <c r="F142">
        <v>5.7473107622138402</v>
      </c>
      <c r="G142">
        <f>Tableau3[[#This Row],[Cost (€/GJ)]]*3.6</f>
        <v>20.690318743969826</v>
      </c>
      <c r="H142">
        <v>2.9521711768407801</v>
      </c>
      <c r="I142">
        <f>Tableau3[[#This Row],[GHG (kgCO2eq/GJ)]]*3.6</f>
        <v>10.627816236626808</v>
      </c>
      <c r="J142" t="s">
        <v>104</v>
      </c>
      <c r="K142" t="s">
        <v>108</v>
      </c>
    </row>
    <row r="143" spans="1:11" x14ac:dyDescent="0.3">
      <c r="A143" t="s">
        <v>14</v>
      </c>
      <c r="B143" t="s">
        <v>46</v>
      </c>
      <c r="C143" t="s">
        <v>79</v>
      </c>
      <c r="D143">
        <v>29.5</v>
      </c>
      <c r="E143">
        <f>Tableau3[[#This Row],[Potential (PJ)]]/3.6</f>
        <v>8.1944444444444446</v>
      </c>
      <c r="F143">
        <v>4.7757864406779653</v>
      </c>
      <c r="G143">
        <f>Tableau3[[#This Row],[Cost (€/GJ)]]*3.6</f>
        <v>17.192831186440674</v>
      </c>
      <c r="H143">
        <v>6.8428961748633883</v>
      </c>
      <c r="I143">
        <f>Tableau3[[#This Row],[GHG (kgCO2eq/GJ)]]*3.6</f>
        <v>24.634426229508197</v>
      </c>
      <c r="J143" t="s">
        <v>104</v>
      </c>
      <c r="K143" t="s">
        <v>108</v>
      </c>
    </row>
    <row r="144" spans="1:11" x14ac:dyDescent="0.3">
      <c r="A144" t="s">
        <v>14</v>
      </c>
      <c r="B144" t="s">
        <v>46</v>
      </c>
      <c r="C144" t="s">
        <v>80</v>
      </c>
      <c r="D144">
        <v>0.36912</v>
      </c>
      <c r="E144">
        <f>Tableau3[[#This Row],[Potential (PJ)]]/3.6</f>
        <v>0.10253333333333334</v>
      </c>
      <c r="F144">
        <v>0.48482805124747141</v>
      </c>
      <c r="G144">
        <f>Tableau3[[#This Row],[Cost (€/GJ)]]*3.6</f>
        <v>1.7453809844908972</v>
      </c>
      <c r="H144">
        <v>28.139870918023309</v>
      </c>
      <c r="I144">
        <f>Tableau3[[#This Row],[GHG (kgCO2eq/GJ)]]*3.6</f>
        <v>101.30353530488391</v>
      </c>
      <c r="J144" t="s">
        <v>105</v>
      </c>
      <c r="K144" t="s">
        <v>108</v>
      </c>
    </row>
    <row r="145" spans="1:11" x14ac:dyDescent="0.3">
      <c r="A145" t="s">
        <v>14</v>
      </c>
      <c r="B145" t="s">
        <v>46</v>
      </c>
      <c r="C145" t="s">
        <v>81</v>
      </c>
      <c r="D145">
        <v>0.88139000000000001</v>
      </c>
      <c r="E145">
        <f>Tableau3[[#This Row],[Potential (PJ)]]/3.6</f>
        <v>0.24483055555555555</v>
      </c>
      <c r="F145">
        <v>1.2338425381903639</v>
      </c>
      <c r="G145">
        <f>Tableau3[[#This Row],[Cost (€/GJ)]]*3.6</f>
        <v>4.4418331374853102</v>
      </c>
      <c r="H145">
        <v>8.9647473560517046</v>
      </c>
      <c r="I145">
        <f>Tableau3[[#This Row],[GHG (kgCO2eq/GJ)]]*3.6</f>
        <v>32.273090481786134</v>
      </c>
      <c r="J145" t="s">
        <v>105</v>
      </c>
      <c r="K145" t="s">
        <v>108</v>
      </c>
    </row>
    <row r="146" spans="1:11" x14ac:dyDescent="0.3">
      <c r="A146" t="s">
        <v>14</v>
      </c>
      <c r="B146" t="s">
        <v>46</v>
      </c>
      <c r="C146" t="s">
        <v>66</v>
      </c>
      <c r="D146">
        <v>2.7</v>
      </c>
      <c r="E146">
        <f>Tableau3[[#This Row],[Potential (PJ)]]/3.6</f>
        <v>0.75</v>
      </c>
      <c r="F146">
        <v>4.9334814814814818</v>
      </c>
      <c r="G146">
        <f>Tableau3[[#This Row],[Cost (€/GJ)]]*3.6</f>
        <v>17.760533333333335</v>
      </c>
      <c r="H146">
        <v>6.8428961748633883</v>
      </c>
      <c r="I146">
        <f>Tableau3[[#This Row],[GHG (kgCO2eq/GJ)]]*3.6</f>
        <v>24.634426229508197</v>
      </c>
      <c r="J146" t="s">
        <v>104</v>
      </c>
      <c r="K146" t="s">
        <v>108</v>
      </c>
    </row>
    <row r="147" spans="1:11" x14ac:dyDescent="0.3">
      <c r="A147" t="s">
        <v>14</v>
      </c>
      <c r="B147" t="s">
        <v>46</v>
      </c>
      <c r="C147" t="s">
        <v>82</v>
      </c>
      <c r="D147">
        <v>3</v>
      </c>
      <c r="E147">
        <f>Tableau3[[#This Row],[Potential (PJ)]]/3.6</f>
        <v>0.83333333333333326</v>
      </c>
      <c r="F147">
        <v>2.973533333333334</v>
      </c>
      <c r="G147">
        <f>Tableau3[[#This Row],[Cost (€/GJ)]]*3.6</f>
        <v>10.704720000000004</v>
      </c>
      <c r="H147">
        <v>6.8428961748633883</v>
      </c>
      <c r="I147">
        <f>Tableau3[[#This Row],[GHG (kgCO2eq/GJ)]]*3.6</f>
        <v>24.634426229508197</v>
      </c>
      <c r="J147" t="s">
        <v>104</v>
      </c>
      <c r="K147" t="s">
        <v>108</v>
      </c>
    </row>
    <row r="148" spans="1:11" x14ac:dyDescent="0.3">
      <c r="A148" t="s">
        <v>14</v>
      </c>
      <c r="B148" t="s">
        <v>46</v>
      </c>
      <c r="C148" t="s">
        <v>84</v>
      </c>
      <c r="D148">
        <v>0.5</v>
      </c>
      <c r="E148">
        <f>Tableau3[[#This Row],[Potential (PJ)]]/3.6</f>
        <v>0.1388888888888889</v>
      </c>
      <c r="F148">
        <v>2.4651999999999998</v>
      </c>
      <c r="G148">
        <f>Tableau3[[#This Row],[Cost (€/GJ)]]*3.6</f>
        <v>8.8747199999999999</v>
      </c>
      <c r="H148">
        <v>28.139870918023309</v>
      </c>
      <c r="I148">
        <f>Tableau3[[#This Row],[GHG (kgCO2eq/GJ)]]*3.6</f>
        <v>101.30353530488391</v>
      </c>
      <c r="J148" t="s">
        <v>105</v>
      </c>
      <c r="K148" t="s">
        <v>108</v>
      </c>
    </row>
    <row r="149" spans="1:11" x14ac:dyDescent="0.3">
      <c r="A149" t="s">
        <v>14</v>
      </c>
      <c r="B149" t="s">
        <v>46</v>
      </c>
      <c r="C149" t="s">
        <v>85</v>
      </c>
      <c r="D149">
        <v>0.2</v>
      </c>
      <c r="E149">
        <f>Tableau3[[#This Row],[Potential (PJ)]]/3.6</f>
        <v>5.5555555555555559E-2</v>
      </c>
      <c r="F149">
        <v>3.8889999999999998</v>
      </c>
      <c r="G149">
        <f>Tableau3[[#This Row],[Cost (€/GJ)]]*3.6</f>
        <v>14.000399999999999</v>
      </c>
      <c r="H149">
        <v>2.9521711768407801</v>
      </c>
      <c r="I149">
        <f>Tableau3[[#This Row],[GHG (kgCO2eq/GJ)]]*3.6</f>
        <v>10.627816236626808</v>
      </c>
      <c r="J149" t="s">
        <v>104</v>
      </c>
      <c r="K149" t="s">
        <v>108</v>
      </c>
    </row>
    <row r="150" spans="1:11" x14ac:dyDescent="0.3">
      <c r="A150" t="s">
        <v>14</v>
      </c>
      <c r="B150" t="s">
        <v>55</v>
      </c>
      <c r="C150" t="s">
        <v>86</v>
      </c>
      <c r="D150">
        <v>0.41870000000000002</v>
      </c>
      <c r="E150">
        <f>Tableau3[[#This Row],[Potential (PJ)]]/3.6</f>
        <v>0.11630555555555555</v>
      </c>
      <c r="F150">
        <v>10.548</v>
      </c>
      <c r="G150">
        <f>Tableau3[[#This Row],[Cost (€/GJ)]]*3.6</f>
        <v>37.972799999999999</v>
      </c>
      <c r="H150">
        <v>11.9</v>
      </c>
      <c r="I150">
        <f>Tableau3[[#This Row],[GHG (kgCO2eq/GJ)]]*3.6</f>
        <v>42.84</v>
      </c>
      <c r="J150" t="s">
        <v>106</v>
      </c>
      <c r="K150" t="s">
        <v>109</v>
      </c>
    </row>
    <row r="151" spans="1:11" x14ac:dyDescent="0.3">
      <c r="A151" t="s">
        <v>14</v>
      </c>
      <c r="B151" t="s">
        <v>55</v>
      </c>
      <c r="C151" t="s">
        <v>88</v>
      </c>
      <c r="D151">
        <v>1.7263999999999999</v>
      </c>
      <c r="E151">
        <f>Tableau3[[#This Row],[Potential (PJ)]]/3.6</f>
        <v>0.47955555555555551</v>
      </c>
      <c r="F151">
        <v>10.798999999999999</v>
      </c>
      <c r="G151">
        <f>Tableau3[[#This Row],[Cost (€/GJ)]]*3.6</f>
        <v>38.876399999999997</v>
      </c>
      <c r="H151">
        <v>11.9</v>
      </c>
      <c r="I151">
        <f>Tableau3[[#This Row],[GHG (kgCO2eq/GJ)]]*3.6</f>
        <v>42.84</v>
      </c>
      <c r="J151" t="s">
        <v>106</v>
      </c>
      <c r="K151" t="s">
        <v>109</v>
      </c>
    </row>
    <row r="152" spans="1:11" x14ac:dyDescent="0.3">
      <c r="A152" t="s">
        <v>14</v>
      </c>
      <c r="B152" t="s">
        <v>55</v>
      </c>
      <c r="C152" t="s">
        <v>89</v>
      </c>
      <c r="D152">
        <v>0.1186</v>
      </c>
      <c r="E152">
        <f>Tableau3[[#This Row],[Potential (PJ)]]/3.6</f>
        <v>3.2944444444444443E-2</v>
      </c>
      <c r="F152">
        <v>0</v>
      </c>
      <c r="G152">
        <f>Tableau3[[#This Row],[Cost (€/GJ)]]*3.6</f>
        <v>0</v>
      </c>
      <c r="H152">
        <v>11.9</v>
      </c>
      <c r="I152">
        <f>Tableau3[[#This Row],[GHG (kgCO2eq/GJ)]]*3.6</f>
        <v>42.84</v>
      </c>
      <c r="J152" t="s">
        <v>106</v>
      </c>
      <c r="K152" t="s">
        <v>109</v>
      </c>
    </row>
    <row r="153" spans="1:11" x14ac:dyDescent="0.3">
      <c r="A153" t="s">
        <v>14</v>
      </c>
      <c r="B153" t="s">
        <v>55</v>
      </c>
      <c r="C153" t="s">
        <v>90</v>
      </c>
      <c r="D153">
        <v>5.7999999999999996E-3</v>
      </c>
      <c r="E153">
        <f>Tableau3[[#This Row],[Potential (PJ)]]/3.6</f>
        <v>1.6111111111111109E-3</v>
      </c>
      <c r="F153">
        <v>9.3460000000000019</v>
      </c>
      <c r="G153">
        <f>Tableau3[[#This Row],[Cost (€/GJ)]]*3.6</f>
        <v>33.645600000000009</v>
      </c>
      <c r="H153">
        <v>11.9</v>
      </c>
      <c r="I153">
        <f>Tableau3[[#This Row],[GHG (kgCO2eq/GJ)]]*3.6</f>
        <v>42.84</v>
      </c>
      <c r="J153" t="s">
        <v>106</v>
      </c>
      <c r="K153" t="s">
        <v>109</v>
      </c>
    </row>
    <row r="154" spans="1:11" x14ac:dyDescent="0.3">
      <c r="A154" t="s">
        <v>14</v>
      </c>
      <c r="B154" t="s">
        <v>55</v>
      </c>
      <c r="C154" t="s">
        <v>91</v>
      </c>
      <c r="D154">
        <v>0.13</v>
      </c>
      <c r="E154">
        <f>Tableau3[[#This Row],[Potential (PJ)]]/3.6</f>
        <v>3.6111111111111115E-2</v>
      </c>
      <c r="F154">
        <v>10.103999999999999</v>
      </c>
      <c r="G154">
        <f>Tableau3[[#This Row],[Cost (€/GJ)]]*3.6</f>
        <v>36.374400000000001</v>
      </c>
      <c r="H154">
        <v>11.9</v>
      </c>
      <c r="I154">
        <f>Tableau3[[#This Row],[GHG (kgCO2eq/GJ)]]*3.6</f>
        <v>42.84</v>
      </c>
      <c r="J154" t="s">
        <v>106</v>
      </c>
      <c r="K154" t="s">
        <v>109</v>
      </c>
    </row>
    <row r="155" spans="1:11" x14ac:dyDescent="0.3">
      <c r="A155" t="s">
        <v>14</v>
      </c>
      <c r="B155" t="s">
        <v>55</v>
      </c>
      <c r="C155" t="s">
        <v>92</v>
      </c>
      <c r="D155">
        <v>0.91498000000000002</v>
      </c>
      <c r="E155">
        <f>Tableau3[[#This Row],[Potential (PJ)]]/3.6</f>
        <v>0.25416111111111112</v>
      </c>
      <c r="F155">
        <v>9.7859999999999996</v>
      </c>
      <c r="G155">
        <f>Tableau3[[#This Row],[Cost (€/GJ)]]*3.6</f>
        <v>35.229599999999998</v>
      </c>
      <c r="H155">
        <v>11.9</v>
      </c>
      <c r="I155">
        <f>Tableau3[[#This Row],[GHG (kgCO2eq/GJ)]]*3.6</f>
        <v>42.84</v>
      </c>
      <c r="J155" t="s">
        <v>106</v>
      </c>
      <c r="K155" t="s">
        <v>109</v>
      </c>
    </row>
    <row r="156" spans="1:11" x14ac:dyDescent="0.3">
      <c r="A156" t="s">
        <v>14</v>
      </c>
      <c r="B156" t="s">
        <v>56</v>
      </c>
      <c r="C156" t="s">
        <v>93</v>
      </c>
      <c r="D156">
        <v>14.6416</v>
      </c>
      <c r="E156">
        <f>Tableau3[[#This Row],[Potential (PJ)]]/3.6</f>
        <v>4.0671111111111111</v>
      </c>
      <c r="F156">
        <v>2.9493975903614462</v>
      </c>
      <c r="G156">
        <f>Tableau3[[#This Row],[Cost (€/GJ)]]*3.6</f>
        <v>10.617831325301207</v>
      </c>
      <c r="H156">
        <v>20.3</v>
      </c>
      <c r="I156">
        <f>Tableau3[[#This Row],[GHG (kgCO2eq/GJ)]]*3.6</f>
        <v>73.08</v>
      </c>
      <c r="J156" t="s">
        <v>106</v>
      </c>
      <c r="K156" t="s">
        <v>109</v>
      </c>
    </row>
    <row r="157" spans="1:11" x14ac:dyDescent="0.3">
      <c r="A157" t="s">
        <v>14</v>
      </c>
      <c r="B157" t="s">
        <v>47</v>
      </c>
      <c r="C157" t="s">
        <v>68</v>
      </c>
      <c r="D157">
        <v>9.6</v>
      </c>
      <c r="E157">
        <f>Tableau3[[#This Row],[Potential (PJ)]]/3.6</f>
        <v>2.6666666666666665</v>
      </c>
      <c r="F157">
        <v>3.4316458333333331</v>
      </c>
      <c r="G157">
        <f>Tableau3[[#This Row],[Cost (€/GJ)]]*3.6</f>
        <v>12.353924999999998</v>
      </c>
      <c r="H157">
        <v>18.5</v>
      </c>
      <c r="I157">
        <f>Tableau3[[#This Row],[GHG (kgCO2eq/GJ)]]*3.6</f>
        <v>66.600000000000009</v>
      </c>
      <c r="J157" t="s">
        <v>104</v>
      </c>
      <c r="K157" t="s">
        <v>109</v>
      </c>
    </row>
    <row r="158" spans="1:11" x14ac:dyDescent="0.3">
      <c r="A158" t="s">
        <v>14</v>
      </c>
      <c r="B158" t="s">
        <v>47</v>
      </c>
      <c r="C158" t="s">
        <v>69</v>
      </c>
      <c r="D158">
        <v>12.8</v>
      </c>
      <c r="E158">
        <f>Tableau3[[#This Row],[Potential (PJ)]]/3.6</f>
        <v>3.5555555555555558</v>
      </c>
      <c r="F158">
        <v>3.0228906250000001</v>
      </c>
      <c r="G158">
        <f>Tableau3[[#This Row],[Cost (€/GJ)]]*3.6</f>
        <v>10.882406250000001</v>
      </c>
      <c r="H158">
        <v>18.5</v>
      </c>
      <c r="I158">
        <f>Tableau3[[#This Row],[GHG (kgCO2eq/GJ)]]*3.6</f>
        <v>66.600000000000009</v>
      </c>
      <c r="J158" t="s">
        <v>104</v>
      </c>
      <c r="K158" t="s">
        <v>109</v>
      </c>
    </row>
    <row r="159" spans="1:11" x14ac:dyDescent="0.3">
      <c r="A159" t="s">
        <v>14</v>
      </c>
      <c r="B159" t="s">
        <v>57</v>
      </c>
      <c r="C159" t="s">
        <v>94</v>
      </c>
      <c r="D159">
        <v>4</v>
      </c>
      <c r="E159">
        <f>Tableau3[[#This Row],[Potential (PJ)]]/3.6</f>
        <v>1.1111111111111112</v>
      </c>
      <c r="F159">
        <v>7.6265999999999998</v>
      </c>
      <c r="G159">
        <f>Tableau3[[#This Row],[Cost (€/GJ)]]*3.6</f>
        <v>27.455760000000001</v>
      </c>
      <c r="H159">
        <v>14.4</v>
      </c>
      <c r="I159">
        <f>Tableau3[[#This Row],[GHG (kgCO2eq/GJ)]]*3.6</f>
        <v>51.84</v>
      </c>
      <c r="J159" t="s">
        <v>104</v>
      </c>
      <c r="K159" t="s">
        <v>109</v>
      </c>
    </row>
    <row r="160" spans="1:11" x14ac:dyDescent="0.3">
      <c r="A160" t="s">
        <v>14</v>
      </c>
      <c r="B160" t="s">
        <v>49</v>
      </c>
      <c r="C160" t="s">
        <v>71</v>
      </c>
      <c r="D160">
        <v>66.466920000000002</v>
      </c>
      <c r="E160">
        <f>Tableau3[[#This Row],[Potential (PJ)]]/3.6</f>
        <v>18.463033333333332</v>
      </c>
      <c r="F160">
        <v>5.4816902820229956</v>
      </c>
      <c r="G160">
        <f>Tableau3[[#This Row],[Cost (€/GJ)]]*3.6</f>
        <v>19.734085015282783</v>
      </c>
      <c r="H160">
        <v>3.86607608129234</v>
      </c>
      <c r="I160">
        <f>Tableau3[[#This Row],[GHG (kgCO2eq/GJ)]]*3.6</f>
        <v>13.917873892652425</v>
      </c>
      <c r="J160" t="s">
        <v>104</v>
      </c>
      <c r="K160" t="s">
        <v>108</v>
      </c>
    </row>
    <row r="161" spans="1:11" x14ac:dyDescent="0.3">
      <c r="A161" t="s">
        <v>14</v>
      </c>
      <c r="B161" t="s">
        <v>49</v>
      </c>
      <c r="C161" t="s">
        <v>72</v>
      </c>
      <c r="D161">
        <v>4.5999999999999996</v>
      </c>
      <c r="E161">
        <f>Tableau3[[#This Row],[Potential (PJ)]]/3.6</f>
        <v>1.2777777777777777</v>
      </c>
      <c r="F161">
        <v>4.3965652173913048</v>
      </c>
      <c r="G161">
        <f>Tableau3[[#This Row],[Cost (€/GJ)]]*3.6</f>
        <v>15.827634782608698</v>
      </c>
      <c r="H161">
        <v>3.86607608129234</v>
      </c>
      <c r="I161">
        <f>Tableau3[[#This Row],[GHG (kgCO2eq/GJ)]]*3.6</f>
        <v>13.917873892652425</v>
      </c>
      <c r="J161" t="s">
        <v>104</v>
      </c>
      <c r="K161" t="s">
        <v>108</v>
      </c>
    </row>
    <row r="162" spans="1:11" x14ac:dyDescent="0.3">
      <c r="A162" t="s">
        <v>14</v>
      </c>
      <c r="B162" t="s">
        <v>58</v>
      </c>
      <c r="C162" t="s">
        <v>95</v>
      </c>
      <c r="D162">
        <v>10.23626</v>
      </c>
      <c r="E162">
        <f>Tableau3[[#This Row],[Potential (PJ)]]/3.6</f>
        <v>2.8434055555555555</v>
      </c>
      <c r="F162">
        <v>3.3079999999999998</v>
      </c>
      <c r="G162">
        <f>Tableau3[[#This Row],[Cost (€/GJ)]]*3.6</f>
        <v>11.908799999999999</v>
      </c>
      <c r="H162">
        <v>2.9521711768407801</v>
      </c>
      <c r="I162">
        <f>Tableau3[[#This Row],[GHG (kgCO2eq/GJ)]]*3.6</f>
        <v>10.627816236626808</v>
      </c>
      <c r="J162" t="s">
        <v>104</v>
      </c>
      <c r="K162" t="s">
        <v>108</v>
      </c>
    </row>
    <row r="163" spans="1:11" x14ac:dyDescent="0.3">
      <c r="A163" t="s">
        <v>14</v>
      </c>
      <c r="B163" t="s">
        <v>50</v>
      </c>
      <c r="C163" t="s">
        <v>73</v>
      </c>
      <c r="D163">
        <v>4</v>
      </c>
      <c r="E163">
        <f>Tableau3[[#This Row],[Potential (PJ)]]/3.6</f>
        <v>1.1111111111111112</v>
      </c>
      <c r="F163">
        <v>5.095275</v>
      </c>
      <c r="G163">
        <f>Tableau3[[#This Row],[Cost (€/GJ)]]*3.6</f>
        <v>18.34299</v>
      </c>
      <c r="H163">
        <v>20.723404255319149</v>
      </c>
      <c r="I163">
        <f>Tableau3[[#This Row],[GHG (kgCO2eq/GJ)]]*3.6</f>
        <v>74.604255319148933</v>
      </c>
      <c r="J163" t="s">
        <v>105</v>
      </c>
      <c r="K163" t="s">
        <v>108</v>
      </c>
    </row>
    <row r="164" spans="1:11" x14ac:dyDescent="0.3">
      <c r="A164" t="s">
        <v>14</v>
      </c>
      <c r="B164" t="s">
        <v>50</v>
      </c>
      <c r="C164" t="s">
        <v>74</v>
      </c>
      <c r="D164">
        <v>45.3</v>
      </c>
      <c r="E164">
        <f>Tableau3[[#This Row],[Potential (PJ)]]/3.6</f>
        <v>12.583333333333332</v>
      </c>
      <c r="F164">
        <v>3.6196622516556292</v>
      </c>
      <c r="G164">
        <f>Tableau3[[#This Row],[Cost (€/GJ)]]*3.6</f>
        <v>13.030784105960265</v>
      </c>
      <c r="H164">
        <v>2.0635593220338988</v>
      </c>
      <c r="I164">
        <f>Tableau3[[#This Row],[GHG (kgCO2eq/GJ)]]*3.6</f>
        <v>7.4288135593220357</v>
      </c>
      <c r="J164" t="s">
        <v>105</v>
      </c>
      <c r="K164" t="s">
        <v>108</v>
      </c>
    </row>
    <row r="165" spans="1:11" x14ac:dyDescent="0.3">
      <c r="A165" t="s">
        <v>14</v>
      </c>
      <c r="B165" t="s">
        <v>59</v>
      </c>
      <c r="C165" t="s">
        <v>96</v>
      </c>
      <c r="D165">
        <v>0.43809999999999999</v>
      </c>
      <c r="E165">
        <f>Tableau3[[#This Row],[Potential (PJ)]]/3.6</f>
        <v>0.12169444444444444</v>
      </c>
      <c r="F165">
        <v>18.337</v>
      </c>
      <c r="G165">
        <f>Tableau3[[#This Row],[Cost (€/GJ)]]*3.6</f>
        <v>66.013199999999998</v>
      </c>
      <c r="H165">
        <v>5.5</v>
      </c>
      <c r="I165">
        <f>Tableau3[[#This Row],[GHG (kgCO2eq/GJ)]]*3.6</f>
        <v>19.8</v>
      </c>
      <c r="J165" t="s">
        <v>107</v>
      </c>
      <c r="K165" t="s">
        <v>109</v>
      </c>
    </row>
    <row r="166" spans="1:11" x14ac:dyDescent="0.3">
      <c r="A166" t="s">
        <v>14</v>
      </c>
      <c r="B166" t="s">
        <v>59</v>
      </c>
      <c r="C166" t="s">
        <v>97</v>
      </c>
      <c r="D166">
        <v>0.2029</v>
      </c>
      <c r="E166">
        <f>Tableau3[[#This Row],[Potential (PJ)]]/3.6</f>
        <v>5.6361111111111112E-2</v>
      </c>
      <c r="F166">
        <v>14.81280520889853</v>
      </c>
      <c r="G166">
        <f>Tableau3[[#This Row],[Cost (€/GJ)]]*3.6</f>
        <v>53.32609875203471</v>
      </c>
      <c r="H166">
        <v>5.5</v>
      </c>
      <c r="I166">
        <f>Tableau3[[#This Row],[GHG (kgCO2eq/GJ)]]*3.6</f>
        <v>19.8</v>
      </c>
      <c r="J166" t="s">
        <v>107</v>
      </c>
      <c r="K166" t="s">
        <v>109</v>
      </c>
    </row>
    <row r="167" spans="1:11" x14ac:dyDescent="0.3">
      <c r="A167" t="s">
        <v>14</v>
      </c>
      <c r="B167" t="s">
        <v>51</v>
      </c>
      <c r="C167" t="s">
        <v>75</v>
      </c>
      <c r="D167">
        <v>2.5947369999999998</v>
      </c>
      <c r="E167">
        <f>Tableau3[[#This Row],[Potential (PJ)]]/3.6</f>
        <v>0.72076027777777774</v>
      </c>
      <c r="F167">
        <v>3.1034481417860799E-4</v>
      </c>
      <c r="G167">
        <f>Tableau3[[#This Row],[Cost (€/GJ)]]*3.6</f>
        <v>1.1172413310429887E-3</v>
      </c>
      <c r="H167">
        <v>11.74</v>
      </c>
      <c r="I167">
        <f>Tableau3[[#This Row],[GHG (kgCO2eq/GJ)]]*3.6</f>
        <v>42.264000000000003</v>
      </c>
      <c r="J167" t="s">
        <v>104</v>
      </c>
      <c r="K167" t="s">
        <v>108</v>
      </c>
    </row>
    <row r="168" spans="1:11" x14ac:dyDescent="0.3">
      <c r="A168" t="s">
        <v>14</v>
      </c>
      <c r="B168" t="s">
        <v>60</v>
      </c>
      <c r="C168" t="s">
        <v>98</v>
      </c>
      <c r="D168">
        <v>6.1114100000000002</v>
      </c>
      <c r="E168">
        <f>Tableau3[[#This Row],[Potential (PJ)]]/3.6</f>
        <v>1.697613888888889</v>
      </c>
      <c r="F168">
        <v>16.380236305048339</v>
      </c>
      <c r="G168">
        <f>Tableau3[[#This Row],[Cost (€/GJ)]]*3.6</f>
        <v>58.968850698174023</v>
      </c>
      <c r="H168">
        <v>27.8</v>
      </c>
      <c r="I168">
        <f>Tableau3[[#This Row],[GHG (kgCO2eq/GJ)]]*3.6</f>
        <v>100.08</v>
      </c>
      <c r="J168" t="s">
        <v>107</v>
      </c>
      <c r="K168" t="s">
        <v>109</v>
      </c>
    </row>
    <row r="169" spans="1:11" x14ac:dyDescent="0.3">
      <c r="A169" t="s">
        <v>14</v>
      </c>
      <c r="B169" t="s">
        <v>52</v>
      </c>
      <c r="C169" t="s">
        <v>76</v>
      </c>
      <c r="D169">
        <v>0.309</v>
      </c>
      <c r="E169">
        <f>Tableau3[[#This Row],[Potential (PJ)]]/3.6</f>
        <v>8.5833333333333331E-2</v>
      </c>
      <c r="F169">
        <v>7.5037500000000001</v>
      </c>
      <c r="G169">
        <f>Tableau3[[#This Row],[Cost (€/GJ)]]*3.6</f>
        <v>27.013500000000001</v>
      </c>
      <c r="H169">
        <v>12.68872359754714</v>
      </c>
      <c r="I169">
        <f>Tableau3[[#This Row],[GHG (kgCO2eq/GJ)]]*3.6</f>
        <v>45.679404951169708</v>
      </c>
      <c r="J169" t="s">
        <v>105</v>
      </c>
      <c r="K169" t="s">
        <v>108</v>
      </c>
    </row>
    <row r="170" spans="1:11" x14ac:dyDescent="0.3">
      <c r="A170" t="s">
        <v>14</v>
      </c>
      <c r="B170" t="s">
        <v>53</v>
      </c>
      <c r="C170" t="s">
        <v>77</v>
      </c>
      <c r="D170">
        <v>4.4000000000000004</v>
      </c>
      <c r="E170">
        <f>Tableau3[[#This Row],[Potential (PJ)]]/3.6</f>
        <v>1.2222222222222223</v>
      </c>
      <c r="F170">
        <v>4.3965227272727274</v>
      </c>
      <c r="G170">
        <f>Tableau3[[#This Row],[Cost (€/GJ)]]*3.6</f>
        <v>15.82748181818182</v>
      </c>
      <c r="H170">
        <v>3.86607608129234</v>
      </c>
      <c r="I170">
        <f>Tableau3[[#This Row],[GHG (kgCO2eq/GJ)]]*3.6</f>
        <v>13.917873892652425</v>
      </c>
      <c r="J170" t="s">
        <v>104</v>
      </c>
      <c r="K170" t="s">
        <v>108</v>
      </c>
    </row>
    <row r="171" spans="1:11" x14ac:dyDescent="0.3">
      <c r="A171" t="s">
        <v>14</v>
      </c>
      <c r="B171" t="s">
        <v>61</v>
      </c>
      <c r="C171" t="s">
        <v>99</v>
      </c>
      <c r="D171">
        <v>20.2</v>
      </c>
      <c r="E171">
        <f>Tableau3[[#This Row],[Potential (PJ)]]/3.6</f>
        <v>5.6111111111111107</v>
      </c>
      <c r="F171">
        <v>1.8474653465346531</v>
      </c>
      <c r="G171">
        <f>Tableau3[[#This Row],[Cost (€/GJ)]]*3.6</f>
        <v>6.650875247524751</v>
      </c>
      <c r="H171">
        <v>2.9245635910224439</v>
      </c>
      <c r="I171">
        <f>Tableau3[[#This Row],[GHG (kgCO2eq/GJ)]]*3.6</f>
        <v>10.528428927680798</v>
      </c>
      <c r="J171" t="s">
        <v>104</v>
      </c>
      <c r="K171" t="s">
        <v>108</v>
      </c>
    </row>
    <row r="172" spans="1:11" x14ac:dyDescent="0.3">
      <c r="A172" t="s">
        <v>14</v>
      </c>
      <c r="B172" t="s">
        <v>62</v>
      </c>
      <c r="C172" t="s">
        <v>100</v>
      </c>
      <c r="D172">
        <v>7.1</v>
      </c>
      <c r="E172">
        <f>Tableau3[[#This Row],[Potential (PJ)]]/3.6</f>
        <v>1.9722222222222221</v>
      </c>
      <c r="F172">
        <v>0.53380281690140852</v>
      </c>
      <c r="G172">
        <f>Tableau3[[#This Row],[Cost (€/GJ)]]*3.6</f>
        <v>1.9216901408450706</v>
      </c>
      <c r="H172">
        <v>2.6764106050305911</v>
      </c>
      <c r="I172">
        <f>Tableau3[[#This Row],[GHG (kgCO2eq/GJ)]]*3.6</f>
        <v>9.6350781781101276</v>
      </c>
      <c r="J172" t="s">
        <v>104</v>
      </c>
      <c r="K172" t="s">
        <v>108</v>
      </c>
    </row>
    <row r="173" spans="1:11" x14ac:dyDescent="0.3">
      <c r="A173" t="s">
        <v>14</v>
      </c>
      <c r="B173" t="s">
        <v>54</v>
      </c>
      <c r="C173" t="s">
        <v>78</v>
      </c>
      <c r="D173">
        <v>64.900000000000006</v>
      </c>
      <c r="E173">
        <f>Tableau3[[#This Row],[Potential (PJ)]]/3.6</f>
        <v>18.027777777777779</v>
      </c>
      <c r="F173">
        <v>9.2584637904468394</v>
      </c>
      <c r="G173">
        <f>Tableau3[[#This Row],[Cost (€/GJ)]]*3.6</f>
        <v>33.330469645608623</v>
      </c>
      <c r="H173">
        <v>3.86607608129234</v>
      </c>
      <c r="I173">
        <f>Tableau3[[#This Row],[GHG (kgCO2eq/GJ)]]*3.6</f>
        <v>13.917873892652425</v>
      </c>
      <c r="J173" t="s">
        <v>104</v>
      </c>
      <c r="K173" t="s">
        <v>108</v>
      </c>
    </row>
    <row r="174" spans="1:11" x14ac:dyDescent="0.3">
      <c r="A174" t="s">
        <v>15</v>
      </c>
      <c r="B174" t="s">
        <v>46</v>
      </c>
      <c r="C174" t="s">
        <v>64</v>
      </c>
      <c r="D174">
        <v>0.25435999999999998</v>
      </c>
      <c r="E174">
        <f>Tableau3[[#This Row],[Potential (PJ)]]/3.6</f>
        <v>7.0655555555555541E-2</v>
      </c>
      <c r="F174">
        <v>5.2371034360748538</v>
      </c>
      <c r="G174">
        <f>Tableau3[[#This Row],[Cost (€/GJ)]]*3.6</f>
        <v>18.853572369869475</v>
      </c>
      <c r="H174">
        <v>2.9521711768407801</v>
      </c>
      <c r="I174">
        <f>Tableau3[[#This Row],[GHG (kgCO2eq/GJ)]]*3.6</f>
        <v>10.627816236626808</v>
      </c>
      <c r="J174" t="s">
        <v>104</v>
      </c>
      <c r="K174" t="s">
        <v>108</v>
      </c>
    </row>
    <row r="175" spans="1:11" x14ac:dyDescent="0.3">
      <c r="A175" t="s">
        <v>15</v>
      </c>
      <c r="B175" t="s">
        <v>46</v>
      </c>
      <c r="C175" t="s">
        <v>79</v>
      </c>
      <c r="D175">
        <v>104.4</v>
      </c>
      <c r="E175">
        <f>Tableau3[[#This Row],[Potential (PJ)]]/3.6</f>
        <v>29</v>
      </c>
      <c r="F175">
        <v>6.2129454022988497</v>
      </c>
      <c r="G175">
        <f>Tableau3[[#This Row],[Cost (€/GJ)]]*3.6</f>
        <v>22.36660344827586</v>
      </c>
      <c r="H175">
        <v>6.8428961748633883</v>
      </c>
      <c r="I175">
        <f>Tableau3[[#This Row],[GHG (kgCO2eq/GJ)]]*3.6</f>
        <v>24.634426229508197</v>
      </c>
      <c r="J175" t="s">
        <v>104</v>
      </c>
      <c r="K175" t="s">
        <v>108</v>
      </c>
    </row>
    <row r="176" spans="1:11" x14ac:dyDescent="0.3">
      <c r="A176" t="s">
        <v>15</v>
      </c>
      <c r="B176" t="s">
        <v>46</v>
      </c>
      <c r="C176" t="s">
        <v>65</v>
      </c>
      <c r="D176">
        <v>0.1</v>
      </c>
      <c r="E176">
        <f>Tableau3[[#This Row],[Potential (PJ)]]/3.6</f>
        <v>2.777777777777778E-2</v>
      </c>
      <c r="F176">
        <v>7.0430000000000001</v>
      </c>
      <c r="G176">
        <f>Tableau3[[#This Row],[Cost (€/GJ)]]*3.6</f>
        <v>25.354800000000001</v>
      </c>
      <c r="H176">
        <v>2.9521711768407801</v>
      </c>
      <c r="I176">
        <f>Tableau3[[#This Row],[GHG (kgCO2eq/GJ)]]*3.6</f>
        <v>10.627816236626808</v>
      </c>
      <c r="J176" t="s">
        <v>104</v>
      </c>
      <c r="K176" t="s">
        <v>108</v>
      </c>
    </row>
    <row r="177" spans="1:11" x14ac:dyDescent="0.3">
      <c r="A177" t="s">
        <v>15</v>
      </c>
      <c r="B177" t="s">
        <v>46</v>
      </c>
      <c r="C177" t="s">
        <v>80</v>
      </c>
      <c r="D177">
        <v>27.203690000000002</v>
      </c>
      <c r="E177">
        <f>Tableau3[[#This Row],[Potential (PJ)]]/3.6</f>
        <v>7.5565805555555556</v>
      </c>
      <c r="F177">
        <v>1.21105866486851</v>
      </c>
      <c r="G177">
        <f>Tableau3[[#This Row],[Cost (€/GJ)]]*3.6</f>
        <v>4.3598111935266362</v>
      </c>
      <c r="H177">
        <v>28.139870918023309</v>
      </c>
      <c r="I177">
        <f>Tableau3[[#This Row],[GHG (kgCO2eq/GJ)]]*3.6</f>
        <v>101.30353530488391</v>
      </c>
      <c r="J177" t="s">
        <v>105</v>
      </c>
      <c r="K177" t="s">
        <v>108</v>
      </c>
    </row>
    <row r="178" spans="1:11" x14ac:dyDescent="0.3">
      <c r="A178" t="s">
        <v>15</v>
      </c>
      <c r="B178" t="s">
        <v>46</v>
      </c>
      <c r="C178" t="s">
        <v>81</v>
      </c>
      <c r="D178">
        <v>57.534190000000002</v>
      </c>
      <c r="E178">
        <f>Tableau3[[#This Row],[Potential (PJ)]]/3.6</f>
        <v>15.981719444444444</v>
      </c>
      <c r="F178">
        <v>1.7549941245593419</v>
      </c>
      <c r="G178">
        <f>Tableau3[[#This Row],[Cost (€/GJ)]]*3.6</f>
        <v>6.317978848413631</v>
      </c>
      <c r="H178">
        <v>8.9647473560517046</v>
      </c>
      <c r="I178">
        <f>Tableau3[[#This Row],[GHG (kgCO2eq/GJ)]]*3.6</f>
        <v>32.273090481786134</v>
      </c>
      <c r="J178" t="s">
        <v>105</v>
      </c>
      <c r="K178" t="s">
        <v>108</v>
      </c>
    </row>
    <row r="179" spans="1:11" x14ac:dyDescent="0.3">
      <c r="A179" t="s">
        <v>15</v>
      </c>
      <c r="B179" t="s">
        <v>46</v>
      </c>
      <c r="C179" t="s">
        <v>66</v>
      </c>
      <c r="D179">
        <v>9.3000000000000007</v>
      </c>
      <c r="E179">
        <f>Tableau3[[#This Row],[Potential (PJ)]]/3.6</f>
        <v>2.5833333333333335</v>
      </c>
      <c r="F179">
        <v>6.418268817204301</v>
      </c>
      <c r="G179">
        <f>Tableau3[[#This Row],[Cost (€/GJ)]]*3.6</f>
        <v>23.105767741935484</v>
      </c>
      <c r="H179">
        <v>6.8428961748633883</v>
      </c>
      <c r="I179">
        <f>Tableau3[[#This Row],[GHG (kgCO2eq/GJ)]]*3.6</f>
        <v>24.634426229508197</v>
      </c>
      <c r="J179" t="s">
        <v>104</v>
      </c>
      <c r="K179" t="s">
        <v>108</v>
      </c>
    </row>
    <row r="180" spans="1:11" x14ac:dyDescent="0.3">
      <c r="A180" t="s">
        <v>15</v>
      </c>
      <c r="B180" t="s">
        <v>46</v>
      </c>
      <c r="C180" t="s">
        <v>82</v>
      </c>
      <c r="D180">
        <v>10.9</v>
      </c>
      <c r="E180">
        <f>Tableau3[[#This Row],[Potential (PJ)]]/3.6</f>
        <v>3.0277777777777777</v>
      </c>
      <c r="F180">
        <v>3.86656880733945</v>
      </c>
      <c r="G180">
        <f>Tableau3[[#This Row],[Cost (€/GJ)]]*3.6</f>
        <v>13.919647706422021</v>
      </c>
      <c r="H180">
        <v>6.8428961748633883</v>
      </c>
      <c r="I180">
        <f>Tableau3[[#This Row],[GHG (kgCO2eq/GJ)]]*3.6</f>
        <v>24.634426229508197</v>
      </c>
      <c r="J180" t="s">
        <v>104</v>
      </c>
      <c r="K180" t="s">
        <v>108</v>
      </c>
    </row>
    <row r="181" spans="1:11" x14ac:dyDescent="0.3">
      <c r="A181" t="s">
        <v>15</v>
      </c>
      <c r="B181" t="s">
        <v>46</v>
      </c>
      <c r="C181" t="s">
        <v>84</v>
      </c>
      <c r="D181">
        <v>1.5</v>
      </c>
      <c r="E181">
        <f>Tableau3[[#This Row],[Potential (PJ)]]/3.6</f>
        <v>0.41666666666666663</v>
      </c>
      <c r="F181">
        <v>3.2128666666666672</v>
      </c>
      <c r="G181">
        <f>Tableau3[[#This Row],[Cost (€/GJ)]]*3.6</f>
        <v>11.566320000000003</v>
      </c>
      <c r="H181">
        <v>28.139870918023309</v>
      </c>
      <c r="I181">
        <f>Tableau3[[#This Row],[GHG (kgCO2eq/GJ)]]*3.6</f>
        <v>101.30353530488391</v>
      </c>
      <c r="J181" t="s">
        <v>105</v>
      </c>
      <c r="K181" t="s">
        <v>108</v>
      </c>
    </row>
    <row r="182" spans="1:11" x14ac:dyDescent="0.3">
      <c r="A182" t="s">
        <v>15</v>
      </c>
      <c r="B182" t="s">
        <v>46</v>
      </c>
      <c r="C182" t="s">
        <v>85</v>
      </c>
      <c r="D182">
        <v>0.60000000000000009</v>
      </c>
      <c r="E182">
        <f>Tableau3[[#This Row],[Potential (PJ)]]/3.6</f>
        <v>0.16666666666666669</v>
      </c>
      <c r="F182">
        <v>4.7954999999999997</v>
      </c>
      <c r="G182">
        <f>Tableau3[[#This Row],[Cost (€/GJ)]]*3.6</f>
        <v>17.2638</v>
      </c>
      <c r="H182">
        <v>2.9521711768407801</v>
      </c>
      <c r="I182">
        <f>Tableau3[[#This Row],[GHG (kgCO2eq/GJ)]]*3.6</f>
        <v>10.627816236626808</v>
      </c>
      <c r="J182" t="s">
        <v>104</v>
      </c>
      <c r="K182" t="s">
        <v>108</v>
      </c>
    </row>
    <row r="183" spans="1:11" x14ac:dyDescent="0.3">
      <c r="A183" t="s">
        <v>15</v>
      </c>
      <c r="B183" t="s">
        <v>55</v>
      </c>
      <c r="C183" t="s">
        <v>86</v>
      </c>
      <c r="D183">
        <v>0.13639999999999999</v>
      </c>
      <c r="E183">
        <f>Tableau3[[#This Row],[Potential (PJ)]]/3.6</f>
        <v>3.7888888888888889E-2</v>
      </c>
      <c r="F183">
        <v>11.824000000000011</v>
      </c>
      <c r="G183">
        <f>Tableau3[[#This Row],[Cost (€/GJ)]]*3.6</f>
        <v>42.566400000000037</v>
      </c>
      <c r="H183">
        <v>7.7</v>
      </c>
      <c r="I183">
        <f>Tableau3[[#This Row],[GHG (kgCO2eq/GJ)]]*3.6</f>
        <v>27.720000000000002</v>
      </c>
      <c r="J183" t="s">
        <v>106</v>
      </c>
      <c r="K183" t="s">
        <v>109</v>
      </c>
    </row>
    <row r="184" spans="1:11" x14ac:dyDescent="0.3">
      <c r="A184" t="s">
        <v>15</v>
      </c>
      <c r="B184" t="s">
        <v>55</v>
      </c>
      <c r="C184" t="s">
        <v>89</v>
      </c>
      <c r="D184">
        <v>2.98E-2</v>
      </c>
      <c r="E184">
        <f>Tableau3[[#This Row],[Potential (PJ)]]/3.6</f>
        <v>8.277777777777778E-3</v>
      </c>
      <c r="F184">
        <v>0</v>
      </c>
      <c r="G184">
        <f>Tableau3[[#This Row],[Cost (€/GJ)]]*3.6</f>
        <v>0</v>
      </c>
      <c r="H184">
        <v>7.7</v>
      </c>
      <c r="I184">
        <f>Tableau3[[#This Row],[GHG (kgCO2eq/GJ)]]*3.6</f>
        <v>27.720000000000002</v>
      </c>
      <c r="J184" t="s">
        <v>106</v>
      </c>
      <c r="K184" t="s">
        <v>109</v>
      </c>
    </row>
    <row r="185" spans="1:11" x14ac:dyDescent="0.3">
      <c r="A185" t="s">
        <v>15</v>
      </c>
      <c r="B185" t="s">
        <v>55</v>
      </c>
      <c r="C185" t="s">
        <v>91</v>
      </c>
      <c r="D185">
        <v>0.4264</v>
      </c>
      <c r="E185">
        <f>Tableau3[[#This Row],[Potential (PJ)]]/3.6</f>
        <v>0.11844444444444444</v>
      </c>
      <c r="F185">
        <v>11.48199999999999</v>
      </c>
      <c r="G185">
        <f>Tableau3[[#This Row],[Cost (€/GJ)]]*3.6</f>
        <v>41.335199999999965</v>
      </c>
      <c r="H185">
        <v>7.7</v>
      </c>
      <c r="I185">
        <f>Tableau3[[#This Row],[GHG (kgCO2eq/GJ)]]*3.6</f>
        <v>27.720000000000002</v>
      </c>
      <c r="J185" t="s">
        <v>106</v>
      </c>
      <c r="K185" t="s">
        <v>109</v>
      </c>
    </row>
    <row r="186" spans="1:11" x14ac:dyDescent="0.3">
      <c r="A186" t="s">
        <v>15</v>
      </c>
      <c r="B186" t="s">
        <v>55</v>
      </c>
      <c r="C186" t="s">
        <v>92</v>
      </c>
      <c r="D186">
        <v>1.925</v>
      </c>
      <c r="E186">
        <f>Tableau3[[#This Row],[Potential (PJ)]]/3.6</f>
        <v>0.53472222222222221</v>
      </c>
      <c r="F186">
        <v>12.74599999999999</v>
      </c>
      <c r="G186">
        <f>Tableau3[[#This Row],[Cost (€/GJ)]]*3.6</f>
        <v>45.885599999999961</v>
      </c>
      <c r="H186">
        <v>7.7</v>
      </c>
      <c r="I186">
        <f>Tableau3[[#This Row],[GHG (kgCO2eq/GJ)]]*3.6</f>
        <v>27.720000000000002</v>
      </c>
      <c r="J186" t="s">
        <v>106</v>
      </c>
      <c r="K186" t="s">
        <v>109</v>
      </c>
    </row>
    <row r="187" spans="1:11" x14ac:dyDescent="0.3">
      <c r="A187" t="s">
        <v>15</v>
      </c>
      <c r="B187" t="s">
        <v>56</v>
      </c>
      <c r="C187" t="s">
        <v>93</v>
      </c>
      <c r="D187">
        <v>48.939900000000002</v>
      </c>
      <c r="E187">
        <f>Tableau3[[#This Row],[Potential (PJ)]]/3.6</f>
        <v>13.594416666666667</v>
      </c>
      <c r="F187">
        <v>2.939759036144578</v>
      </c>
      <c r="G187">
        <f>Tableau3[[#This Row],[Cost (€/GJ)]]*3.6</f>
        <v>10.583132530120482</v>
      </c>
      <c r="H187">
        <v>22.3</v>
      </c>
      <c r="I187">
        <f>Tableau3[[#This Row],[GHG (kgCO2eq/GJ)]]*3.6</f>
        <v>80.28</v>
      </c>
      <c r="J187" t="s">
        <v>106</v>
      </c>
      <c r="K187" t="s">
        <v>109</v>
      </c>
    </row>
    <row r="188" spans="1:11" x14ac:dyDescent="0.3">
      <c r="A188" t="s">
        <v>15</v>
      </c>
      <c r="B188" t="s">
        <v>47</v>
      </c>
      <c r="C188" t="s">
        <v>68</v>
      </c>
      <c r="D188">
        <v>28.9</v>
      </c>
      <c r="E188">
        <f>Tableau3[[#This Row],[Potential (PJ)]]/3.6</f>
        <v>8.0277777777777768</v>
      </c>
      <c r="F188">
        <v>6.5024878892733566</v>
      </c>
      <c r="G188">
        <f>Tableau3[[#This Row],[Cost (€/GJ)]]*3.6</f>
        <v>23.408956401384085</v>
      </c>
      <c r="H188">
        <v>25.4</v>
      </c>
      <c r="I188">
        <f>Tableau3[[#This Row],[GHG (kgCO2eq/GJ)]]*3.6</f>
        <v>91.44</v>
      </c>
      <c r="J188" t="s">
        <v>104</v>
      </c>
      <c r="K188" t="s">
        <v>109</v>
      </c>
    </row>
    <row r="189" spans="1:11" x14ac:dyDescent="0.3">
      <c r="A189" t="s">
        <v>15</v>
      </c>
      <c r="B189" t="s">
        <v>47</v>
      </c>
      <c r="C189" t="s">
        <v>69</v>
      </c>
      <c r="D189">
        <v>51.3</v>
      </c>
      <c r="E189">
        <f>Tableau3[[#This Row],[Potential (PJ)]]/3.6</f>
        <v>14.249999999999998</v>
      </c>
      <c r="F189">
        <v>5.6711890838206633</v>
      </c>
      <c r="G189">
        <f>Tableau3[[#This Row],[Cost (€/GJ)]]*3.6</f>
        <v>20.416280701754388</v>
      </c>
      <c r="H189">
        <v>25.4</v>
      </c>
      <c r="I189">
        <f>Tableau3[[#This Row],[GHG (kgCO2eq/GJ)]]*3.6</f>
        <v>91.44</v>
      </c>
      <c r="J189" t="s">
        <v>104</v>
      </c>
      <c r="K189" t="s">
        <v>109</v>
      </c>
    </row>
    <row r="190" spans="1:11" x14ac:dyDescent="0.3">
      <c r="A190" t="s">
        <v>15</v>
      </c>
      <c r="B190" t="s">
        <v>57</v>
      </c>
      <c r="C190" t="s">
        <v>94</v>
      </c>
      <c r="D190">
        <v>9.9</v>
      </c>
      <c r="E190">
        <f>Tableau3[[#This Row],[Potential (PJ)]]/3.6</f>
        <v>2.75</v>
      </c>
      <c r="F190">
        <v>11.77420202020202</v>
      </c>
      <c r="G190">
        <f>Tableau3[[#This Row],[Cost (€/GJ)]]*3.6</f>
        <v>42.387127272727277</v>
      </c>
      <c r="H190">
        <v>23.7</v>
      </c>
      <c r="I190">
        <f>Tableau3[[#This Row],[GHG (kgCO2eq/GJ)]]*3.6</f>
        <v>85.32</v>
      </c>
      <c r="J190" t="s">
        <v>104</v>
      </c>
      <c r="K190" t="s">
        <v>109</v>
      </c>
    </row>
    <row r="191" spans="1:11" x14ac:dyDescent="0.3">
      <c r="A191" t="s">
        <v>15</v>
      </c>
      <c r="B191" t="s">
        <v>49</v>
      </c>
      <c r="C191" t="s">
        <v>71</v>
      </c>
      <c r="D191">
        <v>371.95209</v>
      </c>
      <c r="E191">
        <f>Tableau3[[#This Row],[Potential (PJ)]]/3.6</f>
        <v>103.320025</v>
      </c>
      <c r="F191">
        <v>5.8229246903546086</v>
      </c>
      <c r="G191">
        <f>Tableau3[[#This Row],[Cost (€/GJ)]]*3.6</f>
        <v>20.962528885276591</v>
      </c>
      <c r="H191">
        <v>3.86607608129234</v>
      </c>
      <c r="I191">
        <f>Tableau3[[#This Row],[GHG (kgCO2eq/GJ)]]*3.6</f>
        <v>13.917873892652425</v>
      </c>
      <c r="J191" t="s">
        <v>104</v>
      </c>
      <c r="K191" t="s">
        <v>108</v>
      </c>
    </row>
    <row r="192" spans="1:11" x14ac:dyDescent="0.3">
      <c r="A192" t="s">
        <v>15</v>
      </c>
      <c r="B192" t="s">
        <v>49</v>
      </c>
      <c r="C192" t="s">
        <v>72</v>
      </c>
      <c r="D192">
        <v>23.4</v>
      </c>
      <c r="E192">
        <f>Tableau3[[#This Row],[Potential (PJ)]]/3.6</f>
        <v>6.4999999999999991</v>
      </c>
      <c r="F192">
        <v>4.6666495726495727</v>
      </c>
      <c r="G192">
        <f>Tableau3[[#This Row],[Cost (€/GJ)]]*3.6</f>
        <v>16.799938461538463</v>
      </c>
      <c r="H192">
        <v>3.86607608129234</v>
      </c>
      <c r="I192">
        <f>Tableau3[[#This Row],[GHG (kgCO2eq/GJ)]]*3.6</f>
        <v>13.917873892652425</v>
      </c>
      <c r="J192" t="s">
        <v>104</v>
      </c>
      <c r="K192" t="s">
        <v>108</v>
      </c>
    </row>
    <row r="193" spans="1:11" x14ac:dyDescent="0.3">
      <c r="A193" t="s">
        <v>15</v>
      </c>
      <c r="B193" t="s">
        <v>58</v>
      </c>
      <c r="C193" t="s">
        <v>95</v>
      </c>
      <c r="D193">
        <v>18.789909999999999</v>
      </c>
      <c r="E193">
        <f>Tableau3[[#This Row],[Potential (PJ)]]/3.6</f>
        <v>5.2194194444444442</v>
      </c>
      <c r="F193">
        <v>3.1372876543847199</v>
      </c>
      <c r="G193">
        <f>Tableau3[[#This Row],[Cost (€/GJ)]]*3.6</f>
        <v>11.294235555784992</v>
      </c>
      <c r="H193">
        <v>2.9521711768407801</v>
      </c>
      <c r="I193">
        <f>Tableau3[[#This Row],[GHG (kgCO2eq/GJ)]]*3.6</f>
        <v>10.627816236626808</v>
      </c>
      <c r="J193" t="s">
        <v>104</v>
      </c>
      <c r="K193" t="s">
        <v>108</v>
      </c>
    </row>
    <row r="194" spans="1:11" x14ac:dyDescent="0.3">
      <c r="A194" t="s">
        <v>15</v>
      </c>
      <c r="B194" t="s">
        <v>50</v>
      </c>
      <c r="C194" t="s">
        <v>73</v>
      </c>
      <c r="D194">
        <v>51.7</v>
      </c>
      <c r="E194">
        <f>Tableau3[[#This Row],[Potential (PJ)]]/3.6</f>
        <v>14.361111111111111</v>
      </c>
      <c r="F194">
        <v>5.6658916827852996</v>
      </c>
      <c r="G194">
        <f>Tableau3[[#This Row],[Cost (€/GJ)]]*3.6</f>
        <v>20.397210058027078</v>
      </c>
      <c r="H194">
        <v>20.723404255319149</v>
      </c>
      <c r="I194">
        <f>Tableau3[[#This Row],[GHG (kgCO2eq/GJ)]]*3.6</f>
        <v>74.604255319148933</v>
      </c>
      <c r="J194" t="s">
        <v>105</v>
      </c>
      <c r="K194" t="s">
        <v>108</v>
      </c>
    </row>
    <row r="195" spans="1:11" x14ac:dyDescent="0.3">
      <c r="A195" t="s">
        <v>15</v>
      </c>
      <c r="B195" t="s">
        <v>50</v>
      </c>
      <c r="C195" t="s">
        <v>74</v>
      </c>
      <c r="D195">
        <v>50.6</v>
      </c>
      <c r="E195">
        <f>Tableau3[[#This Row],[Potential (PJ)]]/3.6</f>
        <v>14.055555555555555</v>
      </c>
      <c r="F195">
        <v>6.1163280632411068</v>
      </c>
      <c r="G195">
        <f>Tableau3[[#This Row],[Cost (€/GJ)]]*3.6</f>
        <v>22.018781027667984</v>
      </c>
      <c r="H195">
        <v>2.0635593220338988</v>
      </c>
      <c r="I195">
        <f>Tableau3[[#This Row],[GHG (kgCO2eq/GJ)]]*3.6</f>
        <v>7.4288135593220357</v>
      </c>
      <c r="J195" t="s">
        <v>105</v>
      </c>
      <c r="K195" t="s">
        <v>108</v>
      </c>
    </row>
    <row r="196" spans="1:11" x14ac:dyDescent="0.3">
      <c r="A196" t="s">
        <v>15</v>
      </c>
      <c r="B196" t="s">
        <v>51</v>
      </c>
      <c r="C196" t="s">
        <v>75</v>
      </c>
      <c r="D196">
        <v>104.9422</v>
      </c>
      <c r="E196">
        <f>Tableau3[[#This Row],[Potential (PJ)]]/3.6</f>
        <v>29.150611111111111</v>
      </c>
      <c r="F196">
        <v>7.4649804875309603E-2</v>
      </c>
      <c r="G196">
        <f>Tableau3[[#This Row],[Cost (€/GJ)]]*3.6</f>
        <v>0.26873929755111459</v>
      </c>
      <c r="H196">
        <v>11.74</v>
      </c>
      <c r="I196">
        <f>Tableau3[[#This Row],[GHG (kgCO2eq/GJ)]]*3.6</f>
        <v>42.264000000000003</v>
      </c>
      <c r="J196" t="s">
        <v>104</v>
      </c>
      <c r="K196" t="s">
        <v>108</v>
      </c>
    </row>
    <row r="197" spans="1:11" x14ac:dyDescent="0.3">
      <c r="A197" t="s">
        <v>15</v>
      </c>
      <c r="B197" t="s">
        <v>60</v>
      </c>
      <c r="C197" t="s">
        <v>98</v>
      </c>
      <c r="D197">
        <v>73.611180000000004</v>
      </c>
      <c r="E197">
        <f>Tableau3[[#This Row],[Potential (PJ)]]/3.6</f>
        <v>20.44755</v>
      </c>
      <c r="F197">
        <v>18.259935553168631</v>
      </c>
      <c r="G197">
        <f>Tableau3[[#This Row],[Cost (€/GJ)]]*3.6</f>
        <v>65.735767991407073</v>
      </c>
      <c r="H197">
        <v>19.399999999999999</v>
      </c>
      <c r="I197">
        <f>Tableau3[[#This Row],[GHG (kgCO2eq/GJ)]]*3.6</f>
        <v>69.84</v>
      </c>
      <c r="J197" t="s">
        <v>107</v>
      </c>
      <c r="K197" t="s">
        <v>109</v>
      </c>
    </row>
    <row r="198" spans="1:11" x14ac:dyDescent="0.3">
      <c r="A198" t="s">
        <v>15</v>
      </c>
      <c r="B198" t="s">
        <v>52</v>
      </c>
      <c r="C198" t="s">
        <v>76</v>
      </c>
      <c r="D198">
        <v>7.01</v>
      </c>
      <c r="E198">
        <f>Tableau3[[#This Row],[Potential (PJ)]]/3.6</f>
        <v>1.9472222222222222</v>
      </c>
      <c r="F198">
        <v>7.5037500000000001</v>
      </c>
      <c r="G198">
        <f>Tableau3[[#This Row],[Cost (€/GJ)]]*3.6</f>
        <v>27.013500000000001</v>
      </c>
      <c r="H198">
        <v>12.68872359754714</v>
      </c>
      <c r="I198">
        <f>Tableau3[[#This Row],[GHG (kgCO2eq/GJ)]]*3.6</f>
        <v>45.679404951169708</v>
      </c>
      <c r="J198" t="s">
        <v>105</v>
      </c>
      <c r="K198" t="s">
        <v>108</v>
      </c>
    </row>
    <row r="199" spans="1:11" x14ac:dyDescent="0.3">
      <c r="A199" t="s">
        <v>15</v>
      </c>
      <c r="B199" t="s">
        <v>53</v>
      </c>
      <c r="C199" t="s">
        <v>77</v>
      </c>
      <c r="D199">
        <v>17.899999999999999</v>
      </c>
      <c r="E199">
        <f>Tableau3[[#This Row],[Potential (PJ)]]/3.6</f>
        <v>4.9722222222222214</v>
      </c>
      <c r="F199">
        <v>4.6666648044692751</v>
      </c>
      <c r="G199">
        <f>Tableau3[[#This Row],[Cost (€/GJ)]]*3.6</f>
        <v>16.79999329608939</v>
      </c>
      <c r="H199">
        <v>3.86607608129234</v>
      </c>
      <c r="I199">
        <f>Tableau3[[#This Row],[GHG (kgCO2eq/GJ)]]*3.6</f>
        <v>13.917873892652425</v>
      </c>
      <c r="J199" t="s">
        <v>104</v>
      </c>
      <c r="K199" t="s">
        <v>108</v>
      </c>
    </row>
    <row r="200" spans="1:11" x14ac:dyDescent="0.3">
      <c r="A200" t="s">
        <v>15</v>
      </c>
      <c r="B200" t="s">
        <v>61</v>
      </c>
      <c r="C200" t="s">
        <v>99</v>
      </c>
      <c r="D200">
        <v>58.400000000000013</v>
      </c>
      <c r="E200">
        <f>Tableau3[[#This Row],[Potential (PJ)]]/3.6</f>
        <v>16.222222222222225</v>
      </c>
      <c r="F200">
        <v>2.3519041095890412</v>
      </c>
      <c r="G200">
        <f>Tableau3[[#This Row],[Cost (€/GJ)]]*3.6</f>
        <v>8.4668547945205486</v>
      </c>
      <c r="H200">
        <v>2.9245635910224439</v>
      </c>
      <c r="I200">
        <f>Tableau3[[#This Row],[GHG (kgCO2eq/GJ)]]*3.6</f>
        <v>10.528428927680798</v>
      </c>
      <c r="J200" t="s">
        <v>104</v>
      </c>
      <c r="K200" t="s">
        <v>108</v>
      </c>
    </row>
    <row r="201" spans="1:11" x14ac:dyDescent="0.3">
      <c r="A201" t="s">
        <v>15</v>
      </c>
      <c r="B201" t="s">
        <v>62</v>
      </c>
      <c r="C201" t="s">
        <v>100</v>
      </c>
      <c r="D201">
        <v>16.2</v>
      </c>
      <c r="E201">
        <f>Tableau3[[#This Row],[Potential (PJ)]]/3.6</f>
        <v>4.5</v>
      </c>
      <c r="F201">
        <v>9.4444444444444456E-2</v>
      </c>
      <c r="G201">
        <f>Tableau3[[#This Row],[Cost (€/GJ)]]*3.6</f>
        <v>0.34</v>
      </c>
      <c r="H201">
        <v>2.6764106050305911</v>
      </c>
      <c r="I201">
        <f>Tableau3[[#This Row],[GHG (kgCO2eq/GJ)]]*3.6</f>
        <v>9.6350781781101276</v>
      </c>
      <c r="J201" t="s">
        <v>104</v>
      </c>
      <c r="K201" t="s">
        <v>108</v>
      </c>
    </row>
    <row r="202" spans="1:11" x14ac:dyDescent="0.3">
      <c r="A202" t="s">
        <v>15</v>
      </c>
      <c r="B202" t="s">
        <v>54</v>
      </c>
      <c r="C202" t="s">
        <v>78</v>
      </c>
      <c r="D202">
        <v>281.60000000000002</v>
      </c>
      <c r="E202">
        <f>Tableau3[[#This Row],[Potential (PJ)]]/3.6</f>
        <v>78.222222222222229</v>
      </c>
      <c r="F202">
        <v>9.1940330255681815</v>
      </c>
      <c r="G202">
        <f>Tableau3[[#This Row],[Cost (€/GJ)]]*3.6</f>
        <v>33.098518892045455</v>
      </c>
      <c r="H202">
        <v>3.86607608129234</v>
      </c>
      <c r="I202">
        <f>Tableau3[[#This Row],[GHG (kgCO2eq/GJ)]]*3.6</f>
        <v>13.917873892652425</v>
      </c>
      <c r="J202" t="s">
        <v>104</v>
      </c>
      <c r="K202" t="s">
        <v>108</v>
      </c>
    </row>
    <row r="203" spans="1:11" x14ac:dyDescent="0.3">
      <c r="A203" t="s">
        <v>16</v>
      </c>
      <c r="B203" t="s">
        <v>46</v>
      </c>
      <c r="C203" t="s">
        <v>64</v>
      </c>
      <c r="D203">
        <v>1.187E-2</v>
      </c>
      <c r="E203">
        <f>Tableau3[[#This Row],[Potential (PJ)]]/3.6</f>
        <v>3.2972222222222222E-3</v>
      </c>
      <c r="F203">
        <v>6.9407657961246843</v>
      </c>
      <c r="G203">
        <f>Tableau3[[#This Row],[Cost (€/GJ)]]*3.6</f>
        <v>24.986756866048864</v>
      </c>
      <c r="H203">
        <v>2.9521711768407801</v>
      </c>
      <c r="I203">
        <f>Tableau3[[#This Row],[GHG (kgCO2eq/GJ)]]*3.6</f>
        <v>10.627816236626808</v>
      </c>
      <c r="J203" t="s">
        <v>104</v>
      </c>
      <c r="K203" t="s">
        <v>108</v>
      </c>
    </row>
    <row r="204" spans="1:11" x14ac:dyDescent="0.3">
      <c r="A204" t="s">
        <v>16</v>
      </c>
      <c r="B204" t="s">
        <v>46</v>
      </c>
      <c r="C204" t="s">
        <v>79</v>
      </c>
      <c r="D204">
        <v>24.4</v>
      </c>
      <c r="E204">
        <f>Tableau3[[#This Row],[Potential (PJ)]]/3.6</f>
        <v>6.7777777777777768</v>
      </c>
      <c r="F204">
        <v>5.1309549180327876</v>
      </c>
      <c r="G204">
        <f>Tableau3[[#This Row],[Cost (€/GJ)]]*3.6</f>
        <v>18.471437704918035</v>
      </c>
      <c r="H204">
        <v>6.8428961748633883</v>
      </c>
      <c r="I204">
        <f>Tableau3[[#This Row],[GHG (kgCO2eq/GJ)]]*3.6</f>
        <v>24.634426229508197</v>
      </c>
      <c r="J204" t="s">
        <v>104</v>
      </c>
      <c r="K204" t="s">
        <v>108</v>
      </c>
    </row>
    <row r="205" spans="1:11" x14ac:dyDescent="0.3">
      <c r="A205" t="s">
        <v>16</v>
      </c>
      <c r="B205" t="s">
        <v>46</v>
      </c>
      <c r="C205" t="s">
        <v>80</v>
      </c>
      <c r="D205">
        <v>0.17885000000000001</v>
      </c>
      <c r="E205">
        <f>Tableau3[[#This Row],[Potential (PJ)]]/3.6</f>
        <v>4.9680555555555554E-2</v>
      </c>
      <c r="F205">
        <v>0.58125421443020897</v>
      </c>
      <c r="G205">
        <f>Tableau3[[#This Row],[Cost (€/GJ)]]*3.6</f>
        <v>2.0925151719487523</v>
      </c>
      <c r="H205">
        <v>28.139870918023309</v>
      </c>
      <c r="I205">
        <f>Tableau3[[#This Row],[GHG (kgCO2eq/GJ)]]*3.6</f>
        <v>101.30353530488391</v>
      </c>
      <c r="J205" t="s">
        <v>105</v>
      </c>
      <c r="K205" t="s">
        <v>108</v>
      </c>
    </row>
    <row r="206" spans="1:11" x14ac:dyDescent="0.3">
      <c r="A206" t="s">
        <v>16</v>
      </c>
      <c r="B206" t="s">
        <v>46</v>
      </c>
      <c r="C206" t="s">
        <v>81</v>
      </c>
      <c r="D206">
        <v>1.13174</v>
      </c>
      <c r="E206">
        <f>Tableau3[[#This Row],[Potential (PJ)]]/3.6</f>
        <v>0.31437222222222222</v>
      </c>
      <c r="F206">
        <v>1.7121034077555819</v>
      </c>
      <c r="G206">
        <f>Tableau3[[#This Row],[Cost (€/GJ)]]*3.6</f>
        <v>6.1635722679200953</v>
      </c>
      <c r="H206">
        <v>8.9647473560517046</v>
      </c>
      <c r="I206">
        <f>Tableau3[[#This Row],[GHG (kgCO2eq/GJ)]]*3.6</f>
        <v>32.273090481786134</v>
      </c>
      <c r="J206" t="s">
        <v>105</v>
      </c>
      <c r="K206" t="s">
        <v>108</v>
      </c>
    </row>
    <row r="207" spans="1:11" x14ac:dyDescent="0.3">
      <c r="A207" t="s">
        <v>16</v>
      </c>
      <c r="B207" t="s">
        <v>46</v>
      </c>
      <c r="C207" t="s">
        <v>82</v>
      </c>
      <c r="D207">
        <v>1.2</v>
      </c>
      <c r="E207">
        <f>Tableau3[[#This Row],[Potential (PJ)]]/3.6</f>
        <v>0.33333333333333331</v>
      </c>
      <c r="F207">
        <v>3.2805</v>
      </c>
      <c r="G207">
        <f>Tableau3[[#This Row],[Cost (€/GJ)]]*3.6</f>
        <v>11.809800000000001</v>
      </c>
      <c r="H207">
        <v>6.8428961748633883</v>
      </c>
      <c r="I207">
        <f>Tableau3[[#This Row],[GHG (kgCO2eq/GJ)]]*3.6</f>
        <v>24.634426229508197</v>
      </c>
      <c r="J207" t="s">
        <v>104</v>
      </c>
      <c r="K207" t="s">
        <v>108</v>
      </c>
    </row>
    <row r="208" spans="1:11" x14ac:dyDescent="0.3">
      <c r="A208" t="s">
        <v>16</v>
      </c>
      <c r="B208" t="s">
        <v>46</v>
      </c>
      <c r="C208" t="s">
        <v>84</v>
      </c>
      <c r="D208">
        <v>0.4</v>
      </c>
      <c r="E208">
        <f>Tableau3[[#This Row],[Potential (PJ)]]/3.6</f>
        <v>0.11111111111111112</v>
      </c>
      <c r="F208">
        <v>3.2742499999999999</v>
      </c>
      <c r="G208">
        <f>Tableau3[[#This Row],[Cost (€/GJ)]]*3.6</f>
        <v>11.7873</v>
      </c>
      <c r="H208">
        <v>28.139870918023309</v>
      </c>
      <c r="I208">
        <f>Tableau3[[#This Row],[GHG (kgCO2eq/GJ)]]*3.6</f>
        <v>101.30353530488391</v>
      </c>
      <c r="J208" t="s">
        <v>105</v>
      </c>
      <c r="K208" t="s">
        <v>108</v>
      </c>
    </row>
    <row r="209" spans="1:11" x14ac:dyDescent="0.3">
      <c r="A209" t="s">
        <v>16</v>
      </c>
      <c r="B209" t="s">
        <v>55</v>
      </c>
      <c r="C209" t="s">
        <v>86</v>
      </c>
      <c r="D209">
        <v>0.5071</v>
      </c>
      <c r="E209">
        <f>Tableau3[[#This Row],[Potential (PJ)]]/3.6</f>
        <v>0.1408611111111111</v>
      </c>
      <c r="F209">
        <v>12.321999999999999</v>
      </c>
      <c r="G209">
        <f>Tableau3[[#This Row],[Cost (€/GJ)]]*3.6</f>
        <v>44.359200000000001</v>
      </c>
      <c r="H209">
        <v>20.7</v>
      </c>
      <c r="I209">
        <f>Tableau3[[#This Row],[GHG (kgCO2eq/GJ)]]*3.6</f>
        <v>74.52</v>
      </c>
      <c r="J209" t="s">
        <v>106</v>
      </c>
      <c r="K209" t="s">
        <v>109</v>
      </c>
    </row>
    <row r="210" spans="1:11" x14ac:dyDescent="0.3">
      <c r="A210" t="s">
        <v>16</v>
      </c>
      <c r="B210" t="s">
        <v>55</v>
      </c>
      <c r="C210" t="s">
        <v>91</v>
      </c>
      <c r="D210">
        <v>0.43559999999999999</v>
      </c>
      <c r="E210">
        <f>Tableau3[[#This Row],[Potential (PJ)]]/3.6</f>
        <v>0.121</v>
      </c>
      <c r="F210">
        <v>11.154999999999999</v>
      </c>
      <c r="G210">
        <f>Tableau3[[#This Row],[Cost (€/GJ)]]*3.6</f>
        <v>40.158000000000001</v>
      </c>
      <c r="H210">
        <v>20.7</v>
      </c>
      <c r="I210">
        <f>Tableau3[[#This Row],[GHG (kgCO2eq/GJ)]]*3.6</f>
        <v>74.52</v>
      </c>
      <c r="J210" t="s">
        <v>106</v>
      </c>
      <c r="K210" t="s">
        <v>109</v>
      </c>
    </row>
    <row r="211" spans="1:11" x14ac:dyDescent="0.3">
      <c r="A211" t="s">
        <v>16</v>
      </c>
      <c r="B211" t="s">
        <v>55</v>
      </c>
      <c r="C211" t="s">
        <v>92</v>
      </c>
      <c r="D211">
        <v>0.66549999999999998</v>
      </c>
      <c r="E211">
        <f>Tableau3[[#This Row],[Potential (PJ)]]/3.6</f>
        <v>0.18486111111111111</v>
      </c>
      <c r="F211">
        <v>12.113</v>
      </c>
      <c r="G211">
        <f>Tableau3[[#This Row],[Cost (€/GJ)]]*3.6</f>
        <v>43.6068</v>
      </c>
      <c r="H211">
        <v>20.7</v>
      </c>
      <c r="I211">
        <f>Tableau3[[#This Row],[GHG (kgCO2eq/GJ)]]*3.6</f>
        <v>74.52</v>
      </c>
      <c r="J211" t="s">
        <v>106</v>
      </c>
      <c r="K211" t="s">
        <v>109</v>
      </c>
    </row>
    <row r="212" spans="1:11" x14ac:dyDescent="0.3">
      <c r="A212" t="s">
        <v>16</v>
      </c>
      <c r="B212" t="s">
        <v>56</v>
      </c>
      <c r="C212" t="s">
        <v>93</v>
      </c>
      <c r="D212">
        <v>0.6714</v>
      </c>
      <c r="E212">
        <f>Tableau3[[#This Row],[Potential (PJ)]]/3.6</f>
        <v>0.1865</v>
      </c>
      <c r="F212">
        <v>4.3084337349397588</v>
      </c>
      <c r="G212">
        <f>Tableau3[[#This Row],[Cost (€/GJ)]]*3.6</f>
        <v>15.510361445783133</v>
      </c>
      <c r="H212">
        <v>29.8</v>
      </c>
      <c r="I212">
        <f>Tableau3[[#This Row],[GHG (kgCO2eq/GJ)]]*3.6</f>
        <v>107.28</v>
      </c>
      <c r="J212" t="s">
        <v>106</v>
      </c>
      <c r="K212" t="s">
        <v>109</v>
      </c>
    </row>
    <row r="213" spans="1:11" x14ac:dyDescent="0.3">
      <c r="A213" t="s">
        <v>16</v>
      </c>
      <c r="B213" t="s">
        <v>49</v>
      </c>
      <c r="C213" t="s">
        <v>71</v>
      </c>
      <c r="D213">
        <v>15.284549999999999</v>
      </c>
      <c r="E213">
        <f>Tableau3[[#This Row],[Potential (PJ)]]/3.6</f>
        <v>4.245708333333333</v>
      </c>
      <c r="F213">
        <v>4.9772734951307047</v>
      </c>
      <c r="G213">
        <f>Tableau3[[#This Row],[Cost (€/GJ)]]*3.6</f>
        <v>17.918184582470538</v>
      </c>
      <c r="H213">
        <v>3.86607608129234</v>
      </c>
      <c r="I213">
        <f>Tableau3[[#This Row],[GHG (kgCO2eq/GJ)]]*3.6</f>
        <v>13.917873892652425</v>
      </c>
      <c r="J213" t="s">
        <v>104</v>
      </c>
      <c r="K213" t="s">
        <v>108</v>
      </c>
    </row>
    <row r="214" spans="1:11" x14ac:dyDescent="0.3">
      <c r="A214" t="s">
        <v>16</v>
      </c>
      <c r="B214" t="s">
        <v>49</v>
      </c>
      <c r="C214" t="s">
        <v>72</v>
      </c>
      <c r="D214">
        <v>4</v>
      </c>
      <c r="E214">
        <f>Tableau3[[#This Row],[Potential (PJ)]]/3.6</f>
        <v>1.1111111111111112</v>
      </c>
      <c r="F214">
        <v>4.0006250000000003</v>
      </c>
      <c r="G214">
        <f>Tableau3[[#This Row],[Cost (€/GJ)]]*3.6</f>
        <v>14.402250000000002</v>
      </c>
      <c r="H214">
        <v>3.86607608129234</v>
      </c>
      <c r="I214">
        <f>Tableau3[[#This Row],[GHG (kgCO2eq/GJ)]]*3.6</f>
        <v>13.917873892652425</v>
      </c>
      <c r="J214" t="s">
        <v>104</v>
      </c>
      <c r="K214" t="s">
        <v>108</v>
      </c>
    </row>
    <row r="215" spans="1:11" x14ac:dyDescent="0.3">
      <c r="A215" t="s">
        <v>16</v>
      </c>
      <c r="B215" t="s">
        <v>58</v>
      </c>
      <c r="C215" t="s">
        <v>95</v>
      </c>
      <c r="D215">
        <v>2.7330700000000001</v>
      </c>
      <c r="E215">
        <f>Tableau3[[#This Row],[Potential (PJ)]]/3.6</f>
        <v>0.75918611111111112</v>
      </c>
      <c r="F215">
        <v>3.4329999999999989</v>
      </c>
      <c r="G215">
        <f>Tableau3[[#This Row],[Cost (€/GJ)]]*3.6</f>
        <v>12.358799999999997</v>
      </c>
      <c r="H215">
        <v>2.9521711768407801</v>
      </c>
      <c r="I215">
        <f>Tableau3[[#This Row],[GHG (kgCO2eq/GJ)]]*3.6</f>
        <v>10.627816236626808</v>
      </c>
      <c r="J215" t="s">
        <v>104</v>
      </c>
      <c r="K215" t="s">
        <v>108</v>
      </c>
    </row>
    <row r="216" spans="1:11" x14ac:dyDescent="0.3">
      <c r="A216" t="s">
        <v>16</v>
      </c>
      <c r="B216" t="s">
        <v>50</v>
      </c>
      <c r="C216" t="s">
        <v>73</v>
      </c>
      <c r="D216">
        <v>17.5</v>
      </c>
      <c r="E216">
        <f>Tableau3[[#This Row],[Potential (PJ)]]/3.6</f>
        <v>4.8611111111111107</v>
      </c>
      <c r="F216">
        <v>6.6303142857142863</v>
      </c>
      <c r="G216">
        <f>Tableau3[[#This Row],[Cost (€/GJ)]]*3.6</f>
        <v>23.869131428571432</v>
      </c>
      <c r="H216">
        <v>20.723404255319149</v>
      </c>
      <c r="I216">
        <f>Tableau3[[#This Row],[GHG (kgCO2eq/GJ)]]*3.6</f>
        <v>74.604255319148933</v>
      </c>
      <c r="J216" t="s">
        <v>105</v>
      </c>
      <c r="K216" t="s">
        <v>108</v>
      </c>
    </row>
    <row r="217" spans="1:11" x14ac:dyDescent="0.3">
      <c r="A217" t="s">
        <v>16</v>
      </c>
      <c r="B217" t="s">
        <v>50</v>
      </c>
      <c r="C217" t="s">
        <v>74</v>
      </c>
      <c r="D217">
        <v>25.9</v>
      </c>
      <c r="E217">
        <f>Tableau3[[#This Row],[Potential (PJ)]]/3.6</f>
        <v>7.1944444444444438</v>
      </c>
      <c r="F217">
        <v>7.248857142857144</v>
      </c>
      <c r="G217">
        <f>Tableau3[[#This Row],[Cost (€/GJ)]]*3.6</f>
        <v>26.095885714285718</v>
      </c>
      <c r="H217">
        <v>2.0635593220338988</v>
      </c>
      <c r="I217">
        <f>Tableau3[[#This Row],[GHG (kgCO2eq/GJ)]]*3.6</f>
        <v>7.4288135593220357</v>
      </c>
      <c r="J217" t="s">
        <v>105</v>
      </c>
      <c r="K217" t="s">
        <v>108</v>
      </c>
    </row>
    <row r="218" spans="1:11" x14ac:dyDescent="0.3">
      <c r="A218" t="s">
        <v>16</v>
      </c>
      <c r="B218" t="s">
        <v>51</v>
      </c>
      <c r="C218" t="s">
        <v>75</v>
      </c>
      <c r="D218">
        <v>19.401319999999998</v>
      </c>
      <c r="E218">
        <f>Tableau3[[#This Row],[Potential (PJ)]]/3.6</f>
        <v>5.3892555555555548</v>
      </c>
      <c r="F218">
        <v>4.04169188314787E-3</v>
      </c>
      <c r="G218">
        <f>Tableau3[[#This Row],[Cost (€/GJ)]]*3.6</f>
        <v>1.4550090779332333E-2</v>
      </c>
      <c r="H218">
        <v>11.74</v>
      </c>
      <c r="I218">
        <f>Tableau3[[#This Row],[GHG (kgCO2eq/GJ)]]*3.6</f>
        <v>42.264000000000003</v>
      </c>
      <c r="J218" t="s">
        <v>104</v>
      </c>
      <c r="K218" t="s">
        <v>108</v>
      </c>
    </row>
    <row r="219" spans="1:11" x14ac:dyDescent="0.3">
      <c r="A219" t="s">
        <v>16</v>
      </c>
      <c r="B219" t="s">
        <v>60</v>
      </c>
      <c r="C219" t="s">
        <v>98</v>
      </c>
      <c r="D219">
        <v>2.90537</v>
      </c>
      <c r="E219">
        <f>Tableau3[[#This Row],[Potential (PJ)]]/3.6</f>
        <v>0.80704722222222225</v>
      </c>
      <c r="F219">
        <v>18.421052631578949</v>
      </c>
      <c r="G219">
        <f>Tableau3[[#This Row],[Cost (€/GJ)]]*3.6</f>
        <v>66.31578947368422</v>
      </c>
      <c r="H219">
        <v>32.6</v>
      </c>
      <c r="I219">
        <f>Tableau3[[#This Row],[GHG (kgCO2eq/GJ)]]*3.6</f>
        <v>117.36000000000001</v>
      </c>
      <c r="J219" t="s">
        <v>107</v>
      </c>
      <c r="K219" t="s">
        <v>109</v>
      </c>
    </row>
    <row r="220" spans="1:11" x14ac:dyDescent="0.3">
      <c r="A220" t="s">
        <v>16</v>
      </c>
      <c r="B220" t="s">
        <v>52</v>
      </c>
      <c r="C220" t="s">
        <v>76</v>
      </c>
      <c r="D220">
        <v>0.17899999999999999</v>
      </c>
      <c r="E220">
        <f>Tableau3[[#This Row],[Potential (PJ)]]/3.6</f>
        <v>4.9722222222222216E-2</v>
      </c>
      <c r="F220">
        <v>7.5037500000000001</v>
      </c>
      <c r="G220">
        <f>Tableau3[[#This Row],[Cost (€/GJ)]]*3.6</f>
        <v>27.013500000000001</v>
      </c>
      <c r="H220">
        <v>12.68872359754714</v>
      </c>
      <c r="I220">
        <f>Tableau3[[#This Row],[GHG (kgCO2eq/GJ)]]*3.6</f>
        <v>45.679404951169708</v>
      </c>
      <c r="J220" t="s">
        <v>105</v>
      </c>
      <c r="K220" t="s">
        <v>108</v>
      </c>
    </row>
    <row r="221" spans="1:11" x14ac:dyDescent="0.3">
      <c r="A221" t="s">
        <v>16</v>
      </c>
      <c r="B221" t="s">
        <v>53</v>
      </c>
      <c r="C221" t="s">
        <v>77</v>
      </c>
      <c r="D221">
        <v>2</v>
      </c>
      <c r="E221">
        <f>Tableau3[[#This Row],[Potential (PJ)]]/3.6</f>
        <v>0.55555555555555558</v>
      </c>
      <c r="F221">
        <v>4.0003000000000002</v>
      </c>
      <c r="G221">
        <f>Tableau3[[#This Row],[Cost (€/GJ)]]*3.6</f>
        <v>14.40108</v>
      </c>
      <c r="H221">
        <v>3.86607608129234</v>
      </c>
      <c r="I221">
        <f>Tableau3[[#This Row],[GHG (kgCO2eq/GJ)]]*3.6</f>
        <v>13.917873892652425</v>
      </c>
      <c r="J221" t="s">
        <v>104</v>
      </c>
      <c r="K221" t="s">
        <v>108</v>
      </c>
    </row>
    <row r="222" spans="1:11" x14ac:dyDescent="0.3">
      <c r="A222" t="s">
        <v>16</v>
      </c>
      <c r="B222" t="s">
        <v>61</v>
      </c>
      <c r="C222" t="s">
        <v>99</v>
      </c>
      <c r="D222">
        <v>0.8</v>
      </c>
      <c r="E222">
        <f>Tableau3[[#This Row],[Potential (PJ)]]/3.6</f>
        <v>0.22222222222222224</v>
      </c>
      <c r="F222">
        <v>2.3443749999999999</v>
      </c>
      <c r="G222">
        <f>Tableau3[[#This Row],[Cost (€/GJ)]]*3.6</f>
        <v>8.4397500000000001</v>
      </c>
      <c r="H222">
        <v>2.9245635910224439</v>
      </c>
      <c r="I222">
        <f>Tableau3[[#This Row],[GHG (kgCO2eq/GJ)]]*3.6</f>
        <v>10.528428927680798</v>
      </c>
      <c r="J222" t="s">
        <v>104</v>
      </c>
      <c r="K222" t="s">
        <v>108</v>
      </c>
    </row>
    <row r="223" spans="1:11" x14ac:dyDescent="0.3">
      <c r="A223" t="s">
        <v>16</v>
      </c>
      <c r="B223" t="s">
        <v>62</v>
      </c>
      <c r="C223" t="s">
        <v>100</v>
      </c>
      <c r="D223">
        <v>0.2</v>
      </c>
      <c r="E223">
        <f>Tableau3[[#This Row],[Potential (PJ)]]/3.6</f>
        <v>5.5555555555555559E-2</v>
      </c>
      <c r="F223">
        <v>0.70000000000000007</v>
      </c>
      <c r="G223">
        <f>Tableau3[[#This Row],[Cost (€/GJ)]]*3.6</f>
        <v>2.5200000000000005</v>
      </c>
      <c r="H223">
        <v>2.6764106050305911</v>
      </c>
      <c r="I223">
        <f>Tableau3[[#This Row],[GHG (kgCO2eq/GJ)]]*3.6</f>
        <v>9.6350781781101276</v>
      </c>
      <c r="J223" t="s">
        <v>104</v>
      </c>
      <c r="K223" t="s">
        <v>108</v>
      </c>
    </row>
    <row r="224" spans="1:11" x14ac:dyDescent="0.3">
      <c r="A224" t="s">
        <v>16</v>
      </c>
      <c r="B224" t="s">
        <v>54</v>
      </c>
      <c r="C224" t="s">
        <v>78</v>
      </c>
      <c r="D224">
        <v>8</v>
      </c>
      <c r="E224">
        <f>Tableau3[[#This Row],[Potential (PJ)]]/3.6</f>
        <v>2.2222222222222223</v>
      </c>
      <c r="F224">
        <v>7.7063625</v>
      </c>
      <c r="G224">
        <f>Tableau3[[#This Row],[Cost (€/GJ)]]*3.6</f>
        <v>27.742905</v>
      </c>
      <c r="H224">
        <v>3.86607608129234</v>
      </c>
      <c r="I224">
        <f>Tableau3[[#This Row],[GHG (kgCO2eq/GJ)]]*3.6</f>
        <v>13.917873892652425</v>
      </c>
      <c r="J224" t="s">
        <v>104</v>
      </c>
      <c r="K224" t="s">
        <v>108</v>
      </c>
    </row>
    <row r="225" spans="1:11" x14ac:dyDescent="0.3">
      <c r="A225" t="s">
        <v>17</v>
      </c>
      <c r="B225" t="s">
        <v>46</v>
      </c>
      <c r="C225" t="s">
        <v>64</v>
      </c>
      <c r="D225">
        <v>1.1610000000000001E-2</v>
      </c>
      <c r="E225">
        <f>Tableau3[[#This Row],[Potential (PJ)]]/3.6</f>
        <v>3.225E-3</v>
      </c>
      <c r="F225">
        <v>6.1560000000000006</v>
      </c>
      <c r="G225">
        <f>Tableau3[[#This Row],[Cost (€/GJ)]]*3.6</f>
        <v>22.161600000000004</v>
      </c>
      <c r="H225">
        <v>2.9521711768407801</v>
      </c>
      <c r="I225">
        <f>Tableau3[[#This Row],[GHG (kgCO2eq/GJ)]]*3.6</f>
        <v>10.627816236626808</v>
      </c>
      <c r="J225" t="s">
        <v>104</v>
      </c>
      <c r="K225" t="s">
        <v>108</v>
      </c>
    </row>
    <row r="226" spans="1:11" x14ac:dyDescent="0.3">
      <c r="A226" t="s">
        <v>17</v>
      </c>
      <c r="B226" t="s">
        <v>46</v>
      </c>
      <c r="C226" t="s">
        <v>79</v>
      </c>
      <c r="D226">
        <v>2.8</v>
      </c>
      <c r="E226">
        <f>Tableau3[[#This Row],[Potential (PJ)]]/3.6</f>
        <v>0.77777777777777768</v>
      </c>
      <c r="F226">
        <v>3.020999999999999</v>
      </c>
      <c r="G226">
        <f>Tableau3[[#This Row],[Cost (€/GJ)]]*3.6</f>
        <v>10.875599999999997</v>
      </c>
      <c r="H226">
        <v>6.8428961748633883</v>
      </c>
      <c r="I226">
        <f>Tableau3[[#This Row],[GHG (kgCO2eq/GJ)]]*3.6</f>
        <v>24.634426229508197</v>
      </c>
      <c r="J226" t="s">
        <v>104</v>
      </c>
      <c r="K226" t="s">
        <v>108</v>
      </c>
    </row>
    <row r="227" spans="1:11" x14ac:dyDescent="0.3">
      <c r="A227" t="s">
        <v>17</v>
      </c>
      <c r="B227" t="s">
        <v>46</v>
      </c>
      <c r="C227" t="s">
        <v>80</v>
      </c>
      <c r="D227">
        <v>3.058E-2</v>
      </c>
      <c r="E227">
        <f>Tableau3[[#This Row],[Potential (PJ)]]/3.6</f>
        <v>8.4944444444444434E-3</v>
      </c>
      <c r="F227">
        <v>0.28186109238031021</v>
      </c>
      <c r="G227">
        <f>Tableau3[[#This Row],[Cost (€/GJ)]]*3.6</f>
        <v>1.0146999325691168</v>
      </c>
      <c r="H227">
        <v>28.139870918023309</v>
      </c>
      <c r="I227">
        <f>Tableau3[[#This Row],[GHG (kgCO2eq/GJ)]]*3.6</f>
        <v>101.30353530488391</v>
      </c>
      <c r="J227" t="s">
        <v>105</v>
      </c>
      <c r="K227" t="s">
        <v>108</v>
      </c>
    </row>
    <row r="228" spans="1:11" x14ac:dyDescent="0.3">
      <c r="A228" t="s">
        <v>17</v>
      </c>
      <c r="B228" t="s">
        <v>46</v>
      </c>
      <c r="C228" t="s">
        <v>81</v>
      </c>
      <c r="D228">
        <v>0.25056</v>
      </c>
      <c r="E228">
        <f>Tableau3[[#This Row],[Potential (PJ)]]/3.6</f>
        <v>6.9599999999999995E-2</v>
      </c>
      <c r="F228">
        <v>2.0681551116333732</v>
      </c>
      <c r="G228">
        <f>Tableau3[[#This Row],[Cost (€/GJ)]]*3.6</f>
        <v>7.445358401880144</v>
      </c>
      <c r="H228">
        <v>8.9647473560517046</v>
      </c>
      <c r="I228">
        <f>Tableau3[[#This Row],[GHG (kgCO2eq/GJ)]]*3.6</f>
        <v>32.273090481786134</v>
      </c>
      <c r="J228" t="s">
        <v>105</v>
      </c>
      <c r="K228" t="s">
        <v>108</v>
      </c>
    </row>
    <row r="229" spans="1:11" x14ac:dyDescent="0.3">
      <c r="A229" t="s">
        <v>17</v>
      </c>
      <c r="B229" t="s">
        <v>46</v>
      </c>
      <c r="C229" t="s">
        <v>82</v>
      </c>
      <c r="D229">
        <v>0.5</v>
      </c>
      <c r="E229">
        <f>Tableau3[[#This Row],[Potential (PJ)]]/3.6</f>
        <v>0.1388888888888889</v>
      </c>
      <c r="F229">
        <v>1.9279999999999999</v>
      </c>
      <c r="G229">
        <f>Tableau3[[#This Row],[Cost (€/GJ)]]*3.6</f>
        <v>6.9408000000000003</v>
      </c>
      <c r="H229">
        <v>6.8428961748633883</v>
      </c>
      <c r="I229">
        <f>Tableau3[[#This Row],[GHG (kgCO2eq/GJ)]]*3.6</f>
        <v>24.634426229508197</v>
      </c>
      <c r="J229" t="s">
        <v>104</v>
      </c>
      <c r="K229" t="s">
        <v>108</v>
      </c>
    </row>
    <row r="230" spans="1:11" x14ac:dyDescent="0.3">
      <c r="A230" t="s">
        <v>17</v>
      </c>
      <c r="B230" t="s">
        <v>55</v>
      </c>
      <c r="C230" t="s">
        <v>86</v>
      </c>
      <c r="D230">
        <v>0.1321</v>
      </c>
      <c r="E230">
        <f>Tableau3[[#This Row],[Potential (PJ)]]/3.6</f>
        <v>3.6694444444444439E-2</v>
      </c>
      <c r="F230">
        <v>8.9179999999999993</v>
      </c>
      <c r="G230">
        <f>Tableau3[[#This Row],[Cost (€/GJ)]]*3.6</f>
        <v>32.104799999999997</v>
      </c>
      <c r="H230">
        <v>27.4</v>
      </c>
      <c r="I230">
        <f>Tableau3[[#This Row],[GHG (kgCO2eq/GJ)]]*3.6</f>
        <v>98.64</v>
      </c>
      <c r="J230" t="s">
        <v>106</v>
      </c>
      <c r="K230" t="s">
        <v>109</v>
      </c>
    </row>
    <row r="231" spans="1:11" x14ac:dyDescent="0.3">
      <c r="A231" t="s">
        <v>17</v>
      </c>
      <c r="B231" t="s">
        <v>55</v>
      </c>
      <c r="C231" t="s">
        <v>89</v>
      </c>
      <c r="D231">
        <v>3.8999999999999998E-3</v>
      </c>
      <c r="E231">
        <f>Tableau3[[#This Row],[Potential (PJ)]]/3.6</f>
        <v>1.0833333333333333E-3</v>
      </c>
      <c r="F231">
        <v>0</v>
      </c>
      <c r="G231">
        <f>Tableau3[[#This Row],[Cost (€/GJ)]]*3.6</f>
        <v>0</v>
      </c>
      <c r="H231">
        <v>27.4</v>
      </c>
      <c r="I231">
        <f>Tableau3[[#This Row],[GHG (kgCO2eq/GJ)]]*3.6</f>
        <v>98.64</v>
      </c>
      <c r="J231" t="s">
        <v>106</v>
      </c>
      <c r="K231" t="s">
        <v>109</v>
      </c>
    </row>
    <row r="232" spans="1:11" x14ac:dyDescent="0.3">
      <c r="A232" t="s">
        <v>17</v>
      </c>
      <c r="B232" t="s">
        <v>55</v>
      </c>
      <c r="C232" t="s">
        <v>91</v>
      </c>
      <c r="D232">
        <v>9.2200000000000004E-2</v>
      </c>
      <c r="E232">
        <f>Tableau3[[#This Row],[Potential (PJ)]]/3.6</f>
        <v>2.5611111111111112E-2</v>
      </c>
      <c r="F232">
        <v>10.147</v>
      </c>
      <c r="G232">
        <f>Tableau3[[#This Row],[Cost (€/GJ)]]*3.6</f>
        <v>36.529200000000003</v>
      </c>
      <c r="H232">
        <v>27.4</v>
      </c>
      <c r="I232">
        <f>Tableau3[[#This Row],[GHG (kgCO2eq/GJ)]]*3.6</f>
        <v>98.64</v>
      </c>
      <c r="J232" t="s">
        <v>106</v>
      </c>
      <c r="K232" t="s">
        <v>109</v>
      </c>
    </row>
    <row r="233" spans="1:11" x14ac:dyDescent="0.3">
      <c r="A233" t="s">
        <v>17</v>
      </c>
      <c r="B233" t="s">
        <v>55</v>
      </c>
      <c r="C233" t="s">
        <v>92</v>
      </c>
      <c r="D233">
        <v>0.13063</v>
      </c>
      <c r="E233">
        <f>Tableau3[[#This Row],[Potential (PJ)]]/3.6</f>
        <v>3.6286111111111109E-2</v>
      </c>
      <c r="F233">
        <v>10.837999999999999</v>
      </c>
      <c r="G233">
        <f>Tableau3[[#This Row],[Cost (€/GJ)]]*3.6</f>
        <v>39.016799999999996</v>
      </c>
      <c r="H233">
        <v>27.4</v>
      </c>
      <c r="I233">
        <f>Tableau3[[#This Row],[GHG (kgCO2eq/GJ)]]*3.6</f>
        <v>98.64</v>
      </c>
      <c r="J233" t="s">
        <v>106</v>
      </c>
      <c r="K233" t="s">
        <v>109</v>
      </c>
    </row>
    <row r="234" spans="1:11" x14ac:dyDescent="0.3">
      <c r="A234" t="s">
        <v>17</v>
      </c>
      <c r="B234" t="s">
        <v>47</v>
      </c>
      <c r="C234" t="s">
        <v>101</v>
      </c>
      <c r="D234">
        <v>5.8</v>
      </c>
      <c r="E234">
        <f>Tableau3[[#This Row],[Potential (PJ)]]/3.6</f>
        <v>1.6111111111111109</v>
      </c>
      <c r="F234">
        <v>2.979000000000001</v>
      </c>
      <c r="G234">
        <f>Tableau3[[#This Row],[Cost (€/GJ)]]*3.6</f>
        <v>10.724400000000005</v>
      </c>
      <c r="H234">
        <v>43.8</v>
      </c>
      <c r="I234">
        <f>Tableau3[[#This Row],[GHG (kgCO2eq/GJ)]]*3.6</f>
        <v>157.68</v>
      </c>
      <c r="J234" t="s">
        <v>104</v>
      </c>
      <c r="K234" t="s">
        <v>109</v>
      </c>
    </row>
    <row r="235" spans="1:11" x14ac:dyDescent="0.3">
      <c r="A235" t="s">
        <v>17</v>
      </c>
      <c r="B235" t="s">
        <v>57</v>
      </c>
      <c r="C235" t="s">
        <v>94</v>
      </c>
      <c r="D235">
        <v>3</v>
      </c>
      <c r="E235">
        <f>Tableau3[[#This Row],[Potential (PJ)]]/3.6</f>
        <v>0.83333333333333326</v>
      </c>
      <c r="F235">
        <v>7.8890000000000002</v>
      </c>
      <c r="G235">
        <f>Tableau3[[#This Row],[Cost (€/GJ)]]*3.6</f>
        <v>28.400400000000001</v>
      </c>
      <c r="H235">
        <v>19.8</v>
      </c>
      <c r="I235">
        <f>Tableau3[[#This Row],[GHG (kgCO2eq/GJ)]]*3.6</f>
        <v>71.28</v>
      </c>
      <c r="J235" t="s">
        <v>104</v>
      </c>
      <c r="K235" t="s">
        <v>109</v>
      </c>
    </row>
    <row r="236" spans="1:11" x14ac:dyDescent="0.3">
      <c r="A236" t="s">
        <v>17</v>
      </c>
      <c r="B236" t="s">
        <v>49</v>
      </c>
      <c r="C236" t="s">
        <v>71</v>
      </c>
      <c r="D236">
        <v>37.016300000000001</v>
      </c>
      <c r="E236">
        <f>Tableau3[[#This Row],[Potential (PJ)]]/3.6</f>
        <v>10.282305555555556</v>
      </c>
      <c r="F236">
        <v>2.9529999999999998</v>
      </c>
      <c r="G236">
        <f>Tableau3[[#This Row],[Cost (€/GJ)]]*3.6</f>
        <v>10.630799999999999</v>
      </c>
      <c r="H236">
        <v>3.86607608129234</v>
      </c>
      <c r="I236">
        <f>Tableau3[[#This Row],[GHG (kgCO2eq/GJ)]]*3.6</f>
        <v>13.917873892652425</v>
      </c>
      <c r="J236" t="s">
        <v>104</v>
      </c>
      <c r="K236" t="s">
        <v>108</v>
      </c>
    </row>
    <row r="237" spans="1:11" x14ac:dyDescent="0.3">
      <c r="A237" t="s">
        <v>17</v>
      </c>
      <c r="B237" t="s">
        <v>49</v>
      </c>
      <c r="C237" t="s">
        <v>72</v>
      </c>
      <c r="D237">
        <v>4.4000000000000004</v>
      </c>
      <c r="E237">
        <f>Tableau3[[#This Row],[Potential (PJ)]]/3.6</f>
        <v>1.2222222222222223</v>
      </c>
      <c r="F237">
        <v>4.0030000000000001</v>
      </c>
      <c r="G237">
        <f>Tableau3[[#This Row],[Cost (€/GJ)]]*3.6</f>
        <v>14.4108</v>
      </c>
      <c r="H237">
        <v>3.86607608129234</v>
      </c>
      <c r="I237">
        <f>Tableau3[[#This Row],[GHG (kgCO2eq/GJ)]]*3.6</f>
        <v>13.917873892652425</v>
      </c>
      <c r="J237" t="s">
        <v>104</v>
      </c>
      <c r="K237" t="s">
        <v>108</v>
      </c>
    </row>
    <row r="238" spans="1:11" x14ac:dyDescent="0.3">
      <c r="A238" t="s">
        <v>17</v>
      </c>
      <c r="B238" t="s">
        <v>58</v>
      </c>
      <c r="C238" t="s">
        <v>95</v>
      </c>
      <c r="D238">
        <v>4.8699399999999997</v>
      </c>
      <c r="E238">
        <f>Tableau3[[#This Row],[Potential (PJ)]]/3.6</f>
        <v>1.3527611111111111</v>
      </c>
      <c r="F238">
        <v>3.4329999999999998</v>
      </c>
      <c r="G238">
        <f>Tableau3[[#This Row],[Cost (€/GJ)]]*3.6</f>
        <v>12.3588</v>
      </c>
      <c r="H238">
        <v>2.9521711768407801</v>
      </c>
      <c r="I238">
        <f>Tableau3[[#This Row],[GHG (kgCO2eq/GJ)]]*3.6</f>
        <v>10.627816236626808</v>
      </c>
      <c r="J238" t="s">
        <v>104</v>
      </c>
      <c r="K238" t="s">
        <v>108</v>
      </c>
    </row>
    <row r="239" spans="1:11" x14ac:dyDescent="0.3">
      <c r="A239" t="s">
        <v>17</v>
      </c>
      <c r="B239" t="s">
        <v>50</v>
      </c>
      <c r="C239" t="s">
        <v>73</v>
      </c>
      <c r="D239">
        <v>0.9</v>
      </c>
      <c r="E239">
        <f>Tableau3[[#This Row],[Potential (PJ)]]/3.6</f>
        <v>0.25</v>
      </c>
      <c r="F239">
        <v>5.0869999999999997</v>
      </c>
      <c r="G239">
        <f>Tableau3[[#This Row],[Cost (€/GJ)]]*3.6</f>
        <v>18.313199999999998</v>
      </c>
      <c r="H239">
        <v>20.723404255319149</v>
      </c>
      <c r="I239">
        <f>Tableau3[[#This Row],[GHG (kgCO2eq/GJ)]]*3.6</f>
        <v>74.604255319148933</v>
      </c>
      <c r="J239" t="s">
        <v>105</v>
      </c>
      <c r="K239" t="s">
        <v>108</v>
      </c>
    </row>
    <row r="240" spans="1:11" x14ac:dyDescent="0.3">
      <c r="A240" t="s">
        <v>17</v>
      </c>
      <c r="B240" t="s">
        <v>50</v>
      </c>
      <c r="C240" t="s">
        <v>74</v>
      </c>
      <c r="D240">
        <v>7.2</v>
      </c>
      <c r="E240">
        <f>Tableau3[[#This Row],[Potential (PJ)]]/3.6</f>
        <v>2</v>
      </c>
      <c r="F240">
        <v>3.625</v>
      </c>
      <c r="G240">
        <f>Tableau3[[#This Row],[Cost (€/GJ)]]*3.6</f>
        <v>13.05</v>
      </c>
      <c r="H240">
        <v>2.0635593220338988</v>
      </c>
      <c r="I240">
        <f>Tableau3[[#This Row],[GHG (kgCO2eq/GJ)]]*3.6</f>
        <v>7.4288135593220357</v>
      </c>
      <c r="J240" t="s">
        <v>105</v>
      </c>
      <c r="K240" t="s">
        <v>108</v>
      </c>
    </row>
    <row r="241" spans="1:11" x14ac:dyDescent="0.3">
      <c r="A241" t="s">
        <v>17</v>
      </c>
      <c r="B241" t="s">
        <v>51</v>
      </c>
      <c r="C241" t="s">
        <v>75</v>
      </c>
      <c r="D241">
        <v>2.157429</v>
      </c>
      <c r="E241">
        <f>Tableau3[[#This Row],[Potential (PJ)]]/3.6</f>
        <v>0.5992858333333333</v>
      </c>
      <c r="F241">
        <v>5.6062942203958096E-3</v>
      </c>
      <c r="G241">
        <f>Tableau3[[#This Row],[Cost (€/GJ)]]*3.6</f>
        <v>2.0182659193424914E-2</v>
      </c>
      <c r="H241">
        <v>11.74</v>
      </c>
      <c r="I241">
        <f>Tableau3[[#This Row],[GHG (kgCO2eq/GJ)]]*3.6</f>
        <v>42.264000000000003</v>
      </c>
      <c r="J241" t="s">
        <v>104</v>
      </c>
      <c r="K241" t="s">
        <v>108</v>
      </c>
    </row>
    <row r="242" spans="1:11" x14ac:dyDescent="0.3">
      <c r="A242" t="s">
        <v>17</v>
      </c>
      <c r="B242" t="s">
        <v>60</v>
      </c>
      <c r="C242" t="s">
        <v>98</v>
      </c>
      <c r="D242">
        <v>1.53975</v>
      </c>
      <c r="E242">
        <f>Tableau3[[#This Row],[Potential (PJ)]]/3.6</f>
        <v>0.4277083333333333</v>
      </c>
      <c r="F242">
        <v>18.045112781954892</v>
      </c>
      <c r="G242">
        <f>Tableau3[[#This Row],[Cost (€/GJ)]]*3.6</f>
        <v>64.962406015037615</v>
      </c>
      <c r="H242">
        <v>41.8</v>
      </c>
      <c r="I242">
        <f>Tableau3[[#This Row],[GHG (kgCO2eq/GJ)]]*3.6</f>
        <v>150.47999999999999</v>
      </c>
      <c r="J242" t="s">
        <v>107</v>
      </c>
      <c r="K242" t="s">
        <v>109</v>
      </c>
    </row>
    <row r="243" spans="1:11" x14ac:dyDescent="0.3">
      <c r="A243" t="s">
        <v>17</v>
      </c>
      <c r="B243" t="s">
        <v>53</v>
      </c>
      <c r="C243" t="s">
        <v>77</v>
      </c>
      <c r="D243">
        <v>4.2</v>
      </c>
      <c r="E243">
        <f>Tableau3[[#This Row],[Potential (PJ)]]/3.6</f>
        <v>1.1666666666666667</v>
      </c>
      <c r="F243">
        <v>4.0030000000000001</v>
      </c>
      <c r="G243">
        <f>Tableau3[[#This Row],[Cost (€/GJ)]]*3.6</f>
        <v>14.4108</v>
      </c>
      <c r="H243">
        <v>3.86607608129234</v>
      </c>
      <c r="I243">
        <f>Tableau3[[#This Row],[GHG (kgCO2eq/GJ)]]*3.6</f>
        <v>13.917873892652425</v>
      </c>
      <c r="J243" t="s">
        <v>104</v>
      </c>
      <c r="K243" t="s">
        <v>108</v>
      </c>
    </row>
    <row r="244" spans="1:11" x14ac:dyDescent="0.3">
      <c r="A244" t="s">
        <v>17</v>
      </c>
      <c r="B244" t="s">
        <v>61</v>
      </c>
      <c r="C244" t="s">
        <v>99</v>
      </c>
      <c r="D244">
        <v>3</v>
      </c>
      <c r="E244">
        <f>Tableau3[[#This Row],[Potential (PJ)]]/3.6</f>
        <v>0.83333333333333326</v>
      </c>
      <c r="F244">
        <v>1.8120000000000001</v>
      </c>
      <c r="G244">
        <f>Tableau3[[#This Row],[Cost (€/GJ)]]*3.6</f>
        <v>6.5232000000000001</v>
      </c>
      <c r="H244">
        <v>2.9245635910224439</v>
      </c>
      <c r="I244">
        <f>Tableau3[[#This Row],[GHG (kgCO2eq/GJ)]]*3.6</f>
        <v>10.528428927680798</v>
      </c>
      <c r="J244" t="s">
        <v>104</v>
      </c>
      <c r="K244" t="s">
        <v>108</v>
      </c>
    </row>
    <row r="245" spans="1:11" x14ac:dyDescent="0.3">
      <c r="A245" t="s">
        <v>17</v>
      </c>
      <c r="B245" t="s">
        <v>62</v>
      </c>
      <c r="C245" t="s">
        <v>100</v>
      </c>
      <c r="D245">
        <v>1.3</v>
      </c>
      <c r="E245">
        <f>Tableau3[[#This Row],[Potential (PJ)]]/3.6</f>
        <v>0.3611111111111111</v>
      </c>
      <c r="F245">
        <v>1.8</v>
      </c>
      <c r="G245">
        <f>Tableau3[[#This Row],[Cost (€/GJ)]]*3.6</f>
        <v>6.48</v>
      </c>
      <c r="H245">
        <v>2.6764106050305911</v>
      </c>
      <c r="I245">
        <f>Tableau3[[#This Row],[GHG (kgCO2eq/GJ)]]*3.6</f>
        <v>9.6350781781101276</v>
      </c>
      <c r="J245" t="s">
        <v>104</v>
      </c>
      <c r="K245" t="s">
        <v>108</v>
      </c>
    </row>
    <row r="246" spans="1:11" x14ac:dyDescent="0.3">
      <c r="A246" t="s">
        <v>17</v>
      </c>
      <c r="B246" t="s">
        <v>54</v>
      </c>
      <c r="C246" t="s">
        <v>78</v>
      </c>
      <c r="D246">
        <v>35.299999999999997</v>
      </c>
      <c r="E246">
        <f>Tableau3[[#This Row],[Potential (PJ)]]/3.6</f>
        <v>9.8055555555555554</v>
      </c>
      <c r="F246">
        <v>3.9550000000000001</v>
      </c>
      <c r="G246">
        <f>Tableau3[[#This Row],[Cost (€/GJ)]]*3.6</f>
        <v>14.238000000000001</v>
      </c>
      <c r="H246">
        <v>3.86607608129234</v>
      </c>
      <c r="I246">
        <f>Tableau3[[#This Row],[GHG (kgCO2eq/GJ)]]*3.6</f>
        <v>13.917873892652425</v>
      </c>
      <c r="J246" t="s">
        <v>104</v>
      </c>
      <c r="K246" t="s">
        <v>108</v>
      </c>
    </row>
    <row r="247" spans="1:11" x14ac:dyDescent="0.3">
      <c r="A247" t="s">
        <v>18</v>
      </c>
      <c r="B247" t="s">
        <v>46</v>
      </c>
      <c r="C247" t="s">
        <v>63</v>
      </c>
      <c r="D247">
        <v>2.2599</v>
      </c>
      <c r="E247">
        <f>Tableau3[[#This Row],[Potential (PJ)]]/3.6</f>
        <v>0.62775000000000003</v>
      </c>
      <c r="F247">
        <v>2.9286474973375931</v>
      </c>
      <c r="G247">
        <f>Tableau3[[#This Row],[Cost (€/GJ)]]*3.6</f>
        <v>10.543130990415335</v>
      </c>
      <c r="H247">
        <v>3.950479233226837</v>
      </c>
      <c r="I247">
        <f>Tableau3[[#This Row],[GHG (kgCO2eq/GJ)]]*3.6</f>
        <v>14.221725239616614</v>
      </c>
      <c r="J247" t="s">
        <v>104</v>
      </c>
      <c r="K247" t="s">
        <v>108</v>
      </c>
    </row>
    <row r="248" spans="1:11" x14ac:dyDescent="0.3">
      <c r="A248" t="s">
        <v>18</v>
      </c>
      <c r="B248" t="s">
        <v>46</v>
      </c>
      <c r="C248" t="s">
        <v>64</v>
      </c>
      <c r="D248">
        <v>0.46328999999999998</v>
      </c>
      <c r="E248">
        <f>Tableau3[[#This Row],[Potential (PJ)]]/3.6</f>
        <v>0.12869166666666665</v>
      </c>
      <c r="F248">
        <v>5.6642746659759551</v>
      </c>
      <c r="G248">
        <f>Tableau3[[#This Row],[Cost (€/GJ)]]*3.6</f>
        <v>20.391388797513439</v>
      </c>
      <c r="H248">
        <v>2.9521711768407801</v>
      </c>
      <c r="I248">
        <f>Tableau3[[#This Row],[GHG (kgCO2eq/GJ)]]*3.6</f>
        <v>10.627816236626808</v>
      </c>
      <c r="J248" t="s">
        <v>104</v>
      </c>
      <c r="K248" t="s">
        <v>108</v>
      </c>
    </row>
    <row r="249" spans="1:11" x14ac:dyDescent="0.3">
      <c r="A249" t="s">
        <v>18</v>
      </c>
      <c r="B249" t="s">
        <v>46</v>
      </c>
      <c r="C249" t="s">
        <v>79</v>
      </c>
      <c r="D249">
        <v>4.0999999999999996</v>
      </c>
      <c r="E249">
        <f>Tableau3[[#This Row],[Potential (PJ)]]/3.6</f>
        <v>1.1388888888888888</v>
      </c>
      <c r="F249">
        <v>4.057317073170732</v>
      </c>
      <c r="G249">
        <f>Tableau3[[#This Row],[Cost (€/GJ)]]*3.6</f>
        <v>14.606341463414635</v>
      </c>
      <c r="H249">
        <v>6.8428961748633883</v>
      </c>
      <c r="I249">
        <f>Tableau3[[#This Row],[GHG (kgCO2eq/GJ)]]*3.6</f>
        <v>24.634426229508197</v>
      </c>
      <c r="J249" t="s">
        <v>104</v>
      </c>
      <c r="K249" t="s">
        <v>108</v>
      </c>
    </row>
    <row r="250" spans="1:11" x14ac:dyDescent="0.3">
      <c r="A250" t="s">
        <v>18</v>
      </c>
      <c r="B250" t="s">
        <v>46</v>
      </c>
      <c r="C250" t="s">
        <v>65</v>
      </c>
      <c r="D250">
        <v>0.5</v>
      </c>
      <c r="E250">
        <f>Tableau3[[#This Row],[Potential (PJ)]]/3.6</f>
        <v>0.1388888888888889</v>
      </c>
      <c r="F250">
        <v>5.7793999999999999</v>
      </c>
      <c r="G250">
        <f>Tableau3[[#This Row],[Cost (€/GJ)]]*3.6</f>
        <v>20.80584</v>
      </c>
      <c r="H250">
        <v>2.9521711768407801</v>
      </c>
      <c r="I250">
        <f>Tableau3[[#This Row],[GHG (kgCO2eq/GJ)]]*3.6</f>
        <v>10.627816236626808</v>
      </c>
      <c r="J250" t="s">
        <v>104</v>
      </c>
      <c r="K250" t="s">
        <v>108</v>
      </c>
    </row>
    <row r="251" spans="1:11" x14ac:dyDescent="0.3">
      <c r="A251" t="s">
        <v>18</v>
      </c>
      <c r="B251" t="s">
        <v>46</v>
      </c>
      <c r="C251" t="s">
        <v>102</v>
      </c>
      <c r="D251">
        <v>0.4</v>
      </c>
      <c r="E251">
        <f>Tableau3[[#This Row],[Potential (PJ)]]/3.6</f>
        <v>0.11111111111111112</v>
      </c>
      <c r="F251">
        <v>5.0519999999999996</v>
      </c>
      <c r="G251">
        <f>Tableau3[[#This Row],[Cost (€/GJ)]]*3.6</f>
        <v>18.187200000000001</v>
      </c>
      <c r="H251">
        <v>2.9521711768407801</v>
      </c>
      <c r="I251">
        <f>Tableau3[[#This Row],[GHG (kgCO2eq/GJ)]]*3.6</f>
        <v>10.627816236626808</v>
      </c>
      <c r="J251" t="s">
        <v>104</v>
      </c>
      <c r="K251" t="s">
        <v>108</v>
      </c>
    </row>
    <row r="252" spans="1:11" x14ac:dyDescent="0.3">
      <c r="A252" t="s">
        <v>18</v>
      </c>
      <c r="B252" t="s">
        <v>46</v>
      </c>
      <c r="C252" t="s">
        <v>80</v>
      </c>
      <c r="D252">
        <v>0.32128000000000001</v>
      </c>
      <c r="E252">
        <f>Tableau3[[#This Row],[Potential (PJ)]]/3.6</f>
        <v>8.9244444444444446E-2</v>
      </c>
      <c r="F252">
        <v>1.2016183412002699</v>
      </c>
      <c r="G252">
        <f>Tableau3[[#This Row],[Cost (€/GJ)]]*3.6</f>
        <v>4.3258260283209715</v>
      </c>
      <c r="H252">
        <v>28.139870918023309</v>
      </c>
      <c r="I252">
        <f>Tableau3[[#This Row],[GHG (kgCO2eq/GJ)]]*3.6</f>
        <v>101.30353530488391</v>
      </c>
      <c r="J252" t="s">
        <v>105</v>
      </c>
      <c r="K252" t="s">
        <v>108</v>
      </c>
    </row>
    <row r="253" spans="1:11" x14ac:dyDescent="0.3">
      <c r="A253" t="s">
        <v>18</v>
      </c>
      <c r="B253" t="s">
        <v>46</v>
      </c>
      <c r="C253" t="s">
        <v>81</v>
      </c>
      <c r="D253">
        <v>0.10154000000000001</v>
      </c>
      <c r="E253">
        <f>Tableau3[[#This Row],[Potential (PJ)]]/3.6</f>
        <v>2.8205555555555557E-2</v>
      </c>
      <c r="F253">
        <v>2.6686251468860172</v>
      </c>
      <c r="G253">
        <f>Tableau3[[#This Row],[Cost (€/GJ)]]*3.6</f>
        <v>9.6070505287896619</v>
      </c>
      <c r="H253">
        <v>8.9647473560517046</v>
      </c>
      <c r="I253">
        <f>Tableau3[[#This Row],[GHG (kgCO2eq/GJ)]]*3.6</f>
        <v>32.273090481786134</v>
      </c>
      <c r="J253" t="s">
        <v>105</v>
      </c>
      <c r="K253" t="s">
        <v>108</v>
      </c>
    </row>
    <row r="254" spans="1:11" x14ac:dyDescent="0.3">
      <c r="A254" t="s">
        <v>18</v>
      </c>
      <c r="B254" t="s">
        <v>46</v>
      </c>
      <c r="C254" t="s">
        <v>66</v>
      </c>
      <c r="D254">
        <v>3.6</v>
      </c>
      <c r="E254">
        <f>Tableau3[[#This Row],[Potential (PJ)]]/3.6</f>
        <v>1</v>
      </c>
      <c r="F254">
        <v>4.1883333333333326</v>
      </c>
      <c r="G254">
        <f>Tableau3[[#This Row],[Cost (€/GJ)]]*3.6</f>
        <v>15.077999999999998</v>
      </c>
      <c r="H254">
        <v>6.8428961748633883</v>
      </c>
      <c r="I254">
        <f>Tableau3[[#This Row],[GHG (kgCO2eq/GJ)]]*3.6</f>
        <v>24.634426229508197</v>
      </c>
      <c r="J254" t="s">
        <v>104</v>
      </c>
      <c r="K254" t="s">
        <v>108</v>
      </c>
    </row>
    <row r="255" spans="1:11" x14ac:dyDescent="0.3">
      <c r="A255" t="s">
        <v>18</v>
      </c>
      <c r="B255" t="s">
        <v>46</v>
      </c>
      <c r="C255" t="s">
        <v>67</v>
      </c>
      <c r="D255">
        <v>5.0999999999999996</v>
      </c>
      <c r="E255">
        <f>Tableau3[[#This Row],[Potential (PJ)]]/3.6</f>
        <v>1.4166666666666665</v>
      </c>
      <c r="F255">
        <v>8.083803921568629</v>
      </c>
      <c r="G255">
        <f>Tableau3[[#This Row],[Cost (€/GJ)]]*3.6</f>
        <v>29.101694117647064</v>
      </c>
      <c r="H255">
        <v>2.9521711768407801</v>
      </c>
      <c r="I255">
        <f>Tableau3[[#This Row],[GHG (kgCO2eq/GJ)]]*3.6</f>
        <v>10.627816236626808</v>
      </c>
      <c r="J255" t="s">
        <v>104</v>
      </c>
      <c r="K255" t="s">
        <v>108</v>
      </c>
    </row>
    <row r="256" spans="1:11" x14ac:dyDescent="0.3">
      <c r="A256" t="s">
        <v>18</v>
      </c>
      <c r="B256" t="s">
        <v>46</v>
      </c>
      <c r="C256" t="s">
        <v>82</v>
      </c>
      <c r="D256">
        <v>0.5</v>
      </c>
      <c r="E256">
        <f>Tableau3[[#This Row],[Potential (PJ)]]/3.6</f>
        <v>0.1388888888888889</v>
      </c>
      <c r="F256">
        <v>2.5655999999999999</v>
      </c>
      <c r="G256">
        <f>Tableau3[[#This Row],[Cost (€/GJ)]]*3.6</f>
        <v>9.2361599999999999</v>
      </c>
      <c r="H256">
        <v>6.8428961748633883</v>
      </c>
      <c r="I256">
        <f>Tableau3[[#This Row],[GHG (kgCO2eq/GJ)]]*3.6</f>
        <v>24.634426229508197</v>
      </c>
      <c r="J256" t="s">
        <v>104</v>
      </c>
      <c r="K256" t="s">
        <v>108</v>
      </c>
    </row>
    <row r="257" spans="1:11" x14ac:dyDescent="0.3">
      <c r="A257" t="s">
        <v>18</v>
      </c>
      <c r="B257" t="s">
        <v>46</v>
      </c>
      <c r="C257" t="s">
        <v>83</v>
      </c>
      <c r="D257">
        <v>0.75970999999999989</v>
      </c>
      <c r="E257">
        <f>Tableau3[[#This Row],[Potential (PJ)]]/3.6</f>
        <v>0.21103055555555553</v>
      </c>
      <c r="F257">
        <v>3.883211106869727</v>
      </c>
      <c r="G257">
        <f>Tableau3[[#This Row],[Cost (€/GJ)]]*3.6</f>
        <v>13.979559984731017</v>
      </c>
      <c r="H257">
        <v>6.8428961748633883</v>
      </c>
      <c r="I257">
        <f>Tableau3[[#This Row],[GHG (kgCO2eq/GJ)]]*3.6</f>
        <v>24.634426229508197</v>
      </c>
      <c r="J257" t="s">
        <v>104</v>
      </c>
      <c r="K257" t="s">
        <v>108</v>
      </c>
    </row>
    <row r="258" spans="1:11" x14ac:dyDescent="0.3">
      <c r="A258" t="s">
        <v>18</v>
      </c>
      <c r="B258" t="s">
        <v>46</v>
      </c>
      <c r="C258" t="s">
        <v>84</v>
      </c>
      <c r="D258">
        <v>0.3</v>
      </c>
      <c r="E258">
        <f>Tableau3[[#This Row],[Potential (PJ)]]/3.6</f>
        <v>8.3333333333333329E-2</v>
      </c>
      <c r="F258">
        <v>2.4086666666666661</v>
      </c>
      <c r="G258">
        <f>Tableau3[[#This Row],[Cost (€/GJ)]]*3.6</f>
        <v>8.6711999999999989</v>
      </c>
      <c r="H258">
        <v>28.139870918023309</v>
      </c>
      <c r="I258">
        <f>Tableau3[[#This Row],[GHG (kgCO2eq/GJ)]]*3.6</f>
        <v>101.30353530488391</v>
      </c>
      <c r="J258" t="s">
        <v>105</v>
      </c>
      <c r="K258" t="s">
        <v>108</v>
      </c>
    </row>
    <row r="259" spans="1:11" x14ac:dyDescent="0.3">
      <c r="A259" t="s">
        <v>18</v>
      </c>
      <c r="B259" t="s">
        <v>46</v>
      </c>
      <c r="C259" t="s">
        <v>85</v>
      </c>
      <c r="D259">
        <v>0.5</v>
      </c>
      <c r="E259">
        <f>Tableau3[[#This Row],[Potential (PJ)]]/3.6</f>
        <v>0.1388888888888889</v>
      </c>
      <c r="F259">
        <v>4.2939999999999996</v>
      </c>
      <c r="G259">
        <f>Tableau3[[#This Row],[Cost (€/GJ)]]*3.6</f>
        <v>15.458399999999999</v>
      </c>
      <c r="H259">
        <v>2.9521711768407801</v>
      </c>
      <c r="I259">
        <f>Tableau3[[#This Row],[GHG (kgCO2eq/GJ)]]*3.6</f>
        <v>10.627816236626808</v>
      </c>
      <c r="J259" t="s">
        <v>104</v>
      </c>
      <c r="K259" t="s">
        <v>108</v>
      </c>
    </row>
    <row r="260" spans="1:11" x14ac:dyDescent="0.3">
      <c r="A260" t="s">
        <v>18</v>
      </c>
      <c r="B260" t="s">
        <v>55</v>
      </c>
      <c r="C260" t="s">
        <v>86</v>
      </c>
      <c r="D260">
        <v>0.92080000000000006</v>
      </c>
      <c r="E260">
        <f>Tableau3[[#This Row],[Potential (PJ)]]/3.6</f>
        <v>0.25577777777777777</v>
      </c>
      <c r="F260">
        <v>14.109</v>
      </c>
      <c r="G260">
        <f>Tableau3[[#This Row],[Cost (€/GJ)]]*3.6</f>
        <v>50.792400000000001</v>
      </c>
      <c r="I260">
        <f>Tableau3[[#This Row],[GHG (kgCO2eq/GJ)]]*3.6</f>
        <v>0</v>
      </c>
      <c r="J260" t="s">
        <v>106</v>
      </c>
      <c r="K260" t="s">
        <v>109</v>
      </c>
    </row>
    <row r="261" spans="1:11" x14ac:dyDescent="0.3">
      <c r="A261" t="s">
        <v>18</v>
      </c>
      <c r="B261" t="s">
        <v>55</v>
      </c>
      <c r="C261" t="s">
        <v>87</v>
      </c>
      <c r="D261">
        <v>3.4325999999999999</v>
      </c>
      <c r="E261">
        <f>Tableau3[[#This Row],[Potential (PJ)]]/3.6</f>
        <v>0.9534999999999999</v>
      </c>
      <c r="F261">
        <v>19.335000000000001</v>
      </c>
      <c r="G261">
        <f>Tableau3[[#This Row],[Cost (€/GJ)]]*3.6</f>
        <v>69.606000000000009</v>
      </c>
      <c r="I261">
        <f>Tableau3[[#This Row],[GHG (kgCO2eq/GJ)]]*3.6</f>
        <v>0</v>
      </c>
      <c r="J261" t="s">
        <v>106</v>
      </c>
      <c r="K261" t="s">
        <v>109</v>
      </c>
    </row>
    <row r="262" spans="1:11" x14ac:dyDescent="0.3">
      <c r="A262" t="s">
        <v>18</v>
      </c>
      <c r="B262" t="s">
        <v>55</v>
      </c>
      <c r="C262" t="s">
        <v>88</v>
      </c>
      <c r="D262">
        <v>1.3866000000000001</v>
      </c>
      <c r="E262">
        <f>Tableau3[[#This Row],[Potential (PJ)]]/3.6</f>
        <v>0.38516666666666666</v>
      </c>
      <c r="F262">
        <v>16.361999999999998</v>
      </c>
      <c r="G262">
        <f>Tableau3[[#This Row],[Cost (€/GJ)]]*3.6</f>
        <v>58.903199999999998</v>
      </c>
      <c r="I262">
        <f>Tableau3[[#This Row],[GHG (kgCO2eq/GJ)]]*3.6</f>
        <v>0</v>
      </c>
      <c r="J262" t="s">
        <v>106</v>
      </c>
      <c r="K262" t="s">
        <v>109</v>
      </c>
    </row>
    <row r="263" spans="1:11" x14ac:dyDescent="0.3">
      <c r="A263" t="s">
        <v>18</v>
      </c>
      <c r="B263" t="s">
        <v>55</v>
      </c>
      <c r="C263" t="s">
        <v>91</v>
      </c>
      <c r="D263">
        <v>1.8E-3</v>
      </c>
      <c r="E263">
        <f>Tableau3[[#This Row],[Potential (PJ)]]/3.6</f>
        <v>5.0000000000000001E-4</v>
      </c>
      <c r="F263">
        <v>13.2</v>
      </c>
      <c r="G263">
        <f>Tableau3[[#This Row],[Cost (€/GJ)]]*3.6</f>
        <v>47.519999999999996</v>
      </c>
      <c r="I263">
        <f>Tableau3[[#This Row],[GHG (kgCO2eq/GJ)]]*3.6</f>
        <v>0</v>
      </c>
      <c r="J263" t="s">
        <v>106</v>
      </c>
      <c r="K263" t="s">
        <v>109</v>
      </c>
    </row>
    <row r="264" spans="1:11" x14ac:dyDescent="0.3">
      <c r="A264" t="s">
        <v>18</v>
      </c>
      <c r="B264" t="s">
        <v>56</v>
      </c>
      <c r="C264" t="s">
        <v>93</v>
      </c>
      <c r="D264">
        <v>14.722899999999999</v>
      </c>
      <c r="E264">
        <f>Tableau3[[#This Row],[Potential (PJ)]]/3.6</f>
        <v>4.0896944444444445</v>
      </c>
      <c r="F264">
        <v>2.939759036144578</v>
      </c>
      <c r="G264">
        <f>Tableau3[[#This Row],[Cost (€/GJ)]]*3.6</f>
        <v>10.583132530120482</v>
      </c>
      <c r="I264">
        <f>Tableau3[[#This Row],[GHG (kgCO2eq/GJ)]]*3.6</f>
        <v>0</v>
      </c>
      <c r="J264" t="s">
        <v>106</v>
      </c>
      <c r="K264" t="s">
        <v>109</v>
      </c>
    </row>
    <row r="265" spans="1:11" x14ac:dyDescent="0.3">
      <c r="A265" t="s">
        <v>18</v>
      </c>
      <c r="B265" t="s">
        <v>47</v>
      </c>
      <c r="C265" t="s">
        <v>68</v>
      </c>
      <c r="D265">
        <v>11.4</v>
      </c>
      <c r="E265">
        <f>Tableau3[[#This Row],[Potential (PJ)]]/3.6</f>
        <v>3.1666666666666665</v>
      </c>
      <c r="F265">
        <v>6.3350964912280698</v>
      </c>
      <c r="G265">
        <f>Tableau3[[#This Row],[Cost (€/GJ)]]*3.6</f>
        <v>22.806347368421051</v>
      </c>
      <c r="I265">
        <f>Tableau3[[#This Row],[GHG (kgCO2eq/GJ)]]*3.6</f>
        <v>0</v>
      </c>
      <c r="J265" t="s">
        <v>104</v>
      </c>
      <c r="K265" t="s">
        <v>109</v>
      </c>
    </row>
    <row r="266" spans="1:11" x14ac:dyDescent="0.3">
      <c r="A266" t="s">
        <v>18</v>
      </c>
      <c r="B266" t="s">
        <v>47</v>
      </c>
      <c r="C266" t="s">
        <v>69</v>
      </c>
      <c r="D266">
        <v>5</v>
      </c>
      <c r="E266">
        <f>Tableau3[[#This Row],[Potential (PJ)]]/3.6</f>
        <v>1.3888888888888888</v>
      </c>
      <c r="F266">
        <v>10.04354</v>
      </c>
      <c r="G266">
        <f>Tableau3[[#This Row],[Cost (€/GJ)]]*3.6</f>
        <v>36.156744000000003</v>
      </c>
      <c r="I266">
        <f>Tableau3[[#This Row],[GHG (kgCO2eq/GJ)]]*3.6</f>
        <v>0</v>
      </c>
      <c r="J266" t="s">
        <v>104</v>
      </c>
      <c r="K266" t="s">
        <v>109</v>
      </c>
    </row>
    <row r="267" spans="1:11" x14ac:dyDescent="0.3">
      <c r="A267" t="s">
        <v>18</v>
      </c>
      <c r="B267" t="s">
        <v>48</v>
      </c>
      <c r="C267" t="s">
        <v>70</v>
      </c>
      <c r="D267">
        <v>3.3</v>
      </c>
      <c r="E267">
        <f>Tableau3[[#This Row],[Potential (PJ)]]/3.6</f>
        <v>0.91666666666666663</v>
      </c>
      <c r="F267">
        <v>16.97818181818182</v>
      </c>
      <c r="G267">
        <f>Tableau3[[#This Row],[Cost (€/GJ)]]*3.6</f>
        <v>61.121454545454554</v>
      </c>
      <c r="I267">
        <f>Tableau3[[#This Row],[GHG (kgCO2eq/GJ)]]*3.6</f>
        <v>0</v>
      </c>
      <c r="J267" t="s">
        <v>104</v>
      </c>
      <c r="K267" t="s">
        <v>109</v>
      </c>
    </row>
    <row r="268" spans="1:11" x14ac:dyDescent="0.3">
      <c r="A268" t="s">
        <v>18</v>
      </c>
      <c r="B268" t="s">
        <v>49</v>
      </c>
      <c r="C268" t="s">
        <v>71</v>
      </c>
      <c r="D268">
        <v>7.3425200000000004</v>
      </c>
      <c r="E268">
        <f>Tableau3[[#This Row],[Potential (PJ)]]/3.6</f>
        <v>2.0395888888888889</v>
      </c>
      <c r="F268">
        <v>5.3241218668794907</v>
      </c>
      <c r="G268">
        <f>Tableau3[[#This Row],[Cost (€/GJ)]]*3.6</f>
        <v>19.166838720766169</v>
      </c>
      <c r="H268">
        <v>3.86607608129234</v>
      </c>
      <c r="I268">
        <f>Tableau3[[#This Row],[GHG (kgCO2eq/GJ)]]*3.6</f>
        <v>13.917873892652425</v>
      </c>
      <c r="J268" t="s">
        <v>104</v>
      </c>
      <c r="K268" t="s">
        <v>108</v>
      </c>
    </row>
    <row r="269" spans="1:11" x14ac:dyDescent="0.3">
      <c r="A269" t="s">
        <v>18</v>
      </c>
      <c r="B269" t="s">
        <v>49</v>
      </c>
      <c r="C269" t="s">
        <v>72</v>
      </c>
      <c r="D269">
        <v>1.7</v>
      </c>
      <c r="E269">
        <f>Tableau3[[#This Row],[Potential (PJ)]]/3.6</f>
        <v>0.47222222222222221</v>
      </c>
      <c r="F269">
        <v>4.2687647058823526</v>
      </c>
      <c r="G269">
        <f>Tableau3[[#This Row],[Cost (€/GJ)]]*3.6</f>
        <v>15.36755294117647</v>
      </c>
      <c r="H269">
        <v>3.86607608129234</v>
      </c>
      <c r="I269">
        <f>Tableau3[[#This Row],[GHG (kgCO2eq/GJ)]]*3.6</f>
        <v>13.917873892652425</v>
      </c>
      <c r="J269" t="s">
        <v>104</v>
      </c>
      <c r="K269" t="s">
        <v>108</v>
      </c>
    </row>
    <row r="270" spans="1:11" x14ac:dyDescent="0.3">
      <c r="A270" t="s">
        <v>18</v>
      </c>
      <c r="B270" t="s">
        <v>58</v>
      </c>
      <c r="C270" t="s">
        <v>95</v>
      </c>
      <c r="D270">
        <v>5.8078000000000003</v>
      </c>
      <c r="E270">
        <f>Tableau3[[#This Row],[Potential (PJ)]]/3.6</f>
        <v>1.6132777777777778</v>
      </c>
      <c r="F270">
        <v>3.495031393987396</v>
      </c>
      <c r="G270">
        <f>Tableau3[[#This Row],[Cost (€/GJ)]]*3.6</f>
        <v>12.582113018354626</v>
      </c>
      <c r="H270">
        <v>2.9521711768407801</v>
      </c>
      <c r="I270">
        <f>Tableau3[[#This Row],[GHG (kgCO2eq/GJ)]]*3.6</f>
        <v>10.627816236626808</v>
      </c>
      <c r="J270" t="s">
        <v>104</v>
      </c>
      <c r="K270" t="s">
        <v>108</v>
      </c>
    </row>
    <row r="271" spans="1:11" x14ac:dyDescent="0.3">
      <c r="A271" t="s">
        <v>18</v>
      </c>
      <c r="B271" t="s">
        <v>50</v>
      </c>
      <c r="C271" t="s">
        <v>73</v>
      </c>
      <c r="D271">
        <v>0.70000000000000007</v>
      </c>
      <c r="E271">
        <f>Tableau3[[#This Row],[Potential (PJ)]]/3.6</f>
        <v>0.19444444444444445</v>
      </c>
      <c r="F271">
        <v>5.3448571428571423</v>
      </c>
      <c r="G271">
        <f>Tableau3[[#This Row],[Cost (€/GJ)]]*3.6</f>
        <v>19.241485714285712</v>
      </c>
      <c r="H271">
        <v>20.723404255319149</v>
      </c>
      <c r="I271">
        <f>Tableau3[[#This Row],[GHG (kgCO2eq/GJ)]]*3.6</f>
        <v>74.604255319148933</v>
      </c>
      <c r="J271" t="s">
        <v>105</v>
      </c>
      <c r="K271" t="s">
        <v>108</v>
      </c>
    </row>
    <row r="272" spans="1:11" x14ac:dyDescent="0.3">
      <c r="A272" t="s">
        <v>18</v>
      </c>
      <c r="B272" t="s">
        <v>50</v>
      </c>
      <c r="C272" t="s">
        <v>74</v>
      </c>
      <c r="D272">
        <v>6.3</v>
      </c>
      <c r="E272">
        <f>Tableau3[[#This Row],[Potential (PJ)]]/3.6</f>
        <v>1.75</v>
      </c>
      <c r="F272">
        <v>4.1219682539682543</v>
      </c>
      <c r="G272">
        <f>Tableau3[[#This Row],[Cost (€/GJ)]]*3.6</f>
        <v>14.839085714285716</v>
      </c>
      <c r="H272">
        <v>2.0635593220338988</v>
      </c>
      <c r="I272">
        <f>Tableau3[[#This Row],[GHG (kgCO2eq/GJ)]]*3.6</f>
        <v>7.4288135593220357</v>
      </c>
      <c r="J272" t="s">
        <v>105</v>
      </c>
      <c r="K272" t="s">
        <v>108</v>
      </c>
    </row>
    <row r="273" spans="1:11" x14ac:dyDescent="0.3">
      <c r="A273" t="s">
        <v>18</v>
      </c>
      <c r="B273" t="s">
        <v>59</v>
      </c>
      <c r="C273" t="s">
        <v>96</v>
      </c>
      <c r="D273">
        <v>0.23580000000000001</v>
      </c>
      <c r="E273">
        <f>Tableau3[[#This Row],[Potential (PJ)]]/3.6</f>
        <v>6.5500000000000003E-2</v>
      </c>
      <c r="F273">
        <v>17.279</v>
      </c>
      <c r="G273">
        <f>Tableau3[[#This Row],[Cost (€/GJ)]]*3.6</f>
        <v>62.2044</v>
      </c>
      <c r="I273">
        <f>Tableau3[[#This Row],[GHG (kgCO2eq/GJ)]]*3.6</f>
        <v>0</v>
      </c>
      <c r="J273" t="s">
        <v>107</v>
      </c>
      <c r="K273" t="s">
        <v>109</v>
      </c>
    </row>
    <row r="274" spans="1:11" x14ac:dyDescent="0.3">
      <c r="A274" t="s">
        <v>18</v>
      </c>
      <c r="B274" t="s">
        <v>59</v>
      </c>
      <c r="C274" t="s">
        <v>97</v>
      </c>
      <c r="D274">
        <v>0.34429999999999999</v>
      </c>
      <c r="E274">
        <f>Tableau3[[#This Row],[Potential (PJ)]]/3.6</f>
        <v>9.5638888888888884E-2</v>
      </c>
      <c r="F274">
        <v>19.96744438415627</v>
      </c>
      <c r="G274">
        <f>Tableau3[[#This Row],[Cost (€/GJ)]]*3.6</f>
        <v>71.882799782962579</v>
      </c>
      <c r="I274">
        <f>Tableau3[[#This Row],[GHG (kgCO2eq/GJ)]]*3.6</f>
        <v>0</v>
      </c>
      <c r="J274" t="s">
        <v>107</v>
      </c>
      <c r="K274" t="s">
        <v>109</v>
      </c>
    </row>
    <row r="275" spans="1:11" x14ac:dyDescent="0.3">
      <c r="A275" t="s">
        <v>18</v>
      </c>
      <c r="B275" t="s">
        <v>51</v>
      </c>
      <c r="C275" t="s">
        <v>75</v>
      </c>
      <c r="D275">
        <v>2.3129919999999999</v>
      </c>
      <c r="E275">
        <f>Tableau3[[#This Row],[Potential (PJ)]]/3.6</f>
        <v>0.64249777777777772</v>
      </c>
      <c r="F275">
        <v>9.3881235149403899E-2</v>
      </c>
      <c r="G275">
        <f>Tableau3[[#This Row],[Cost (€/GJ)]]*3.6</f>
        <v>0.33797244653785402</v>
      </c>
      <c r="H275">
        <v>11.74</v>
      </c>
      <c r="I275">
        <f>Tableau3[[#This Row],[GHG (kgCO2eq/GJ)]]*3.6</f>
        <v>42.264000000000003</v>
      </c>
      <c r="J275" t="s">
        <v>104</v>
      </c>
      <c r="K275" t="s">
        <v>108</v>
      </c>
    </row>
    <row r="276" spans="1:11" x14ac:dyDescent="0.3">
      <c r="A276" t="s">
        <v>18</v>
      </c>
      <c r="B276" t="s">
        <v>52</v>
      </c>
      <c r="C276" t="s">
        <v>76</v>
      </c>
      <c r="D276">
        <v>0.39300000000000002</v>
      </c>
      <c r="E276">
        <f>Tableau3[[#This Row],[Potential (PJ)]]/3.6</f>
        <v>0.10916666666666666</v>
      </c>
      <c r="F276">
        <v>0</v>
      </c>
      <c r="G276">
        <f>Tableau3[[#This Row],[Cost (€/GJ)]]*3.6</f>
        <v>0</v>
      </c>
      <c r="H276">
        <v>12.68872359754714</v>
      </c>
      <c r="I276">
        <f>Tableau3[[#This Row],[GHG (kgCO2eq/GJ)]]*3.6</f>
        <v>45.679404951169708</v>
      </c>
      <c r="J276" t="s">
        <v>105</v>
      </c>
      <c r="K276" t="s">
        <v>108</v>
      </c>
    </row>
    <row r="277" spans="1:11" x14ac:dyDescent="0.3">
      <c r="A277" t="s">
        <v>18</v>
      </c>
      <c r="B277" t="s">
        <v>53</v>
      </c>
      <c r="C277" t="s">
        <v>77</v>
      </c>
      <c r="D277">
        <v>2.4</v>
      </c>
      <c r="E277">
        <f>Tableau3[[#This Row],[Potential (PJ)]]/3.6</f>
        <v>0.66666666666666663</v>
      </c>
      <c r="F277">
        <v>4.2692083333333333</v>
      </c>
      <c r="G277">
        <f>Tableau3[[#This Row],[Cost (€/GJ)]]*3.6</f>
        <v>15.369149999999999</v>
      </c>
      <c r="H277">
        <v>3.86607608129234</v>
      </c>
      <c r="I277">
        <f>Tableau3[[#This Row],[GHG (kgCO2eq/GJ)]]*3.6</f>
        <v>13.917873892652425</v>
      </c>
      <c r="J277" t="s">
        <v>104</v>
      </c>
      <c r="K277" t="s">
        <v>108</v>
      </c>
    </row>
    <row r="278" spans="1:11" x14ac:dyDescent="0.3">
      <c r="A278" t="s">
        <v>18</v>
      </c>
      <c r="B278" t="s">
        <v>61</v>
      </c>
      <c r="C278" t="s">
        <v>99</v>
      </c>
      <c r="D278">
        <v>1.4</v>
      </c>
      <c r="E278">
        <f>Tableau3[[#This Row],[Potential (PJ)]]/3.6</f>
        <v>0.38888888888888884</v>
      </c>
      <c r="F278">
        <v>2.0257142857142849</v>
      </c>
      <c r="G278">
        <f>Tableau3[[#This Row],[Cost (€/GJ)]]*3.6</f>
        <v>7.292571428571426</v>
      </c>
      <c r="H278">
        <v>2.9245635910224439</v>
      </c>
      <c r="I278">
        <f>Tableau3[[#This Row],[GHG (kgCO2eq/GJ)]]*3.6</f>
        <v>10.528428927680798</v>
      </c>
      <c r="J278" t="s">
        <v>104</v>
      </c>
      <c r="K278" t="s">
        <v>108</v>
      </c>
    </row>
    <row r="279" spans="1:11" x14ac:dyDescent="0.3">
      <c r="A279" t="s">
        <v>18</v>
      </c>
      <c r="B279" t="s">
        <v>54</v>
      </c>
      <c r="C279" t="s">
        <v>78</v>
      </c>
      <c r="D279">
        <v>10.6</v>
      </c>
      <c r="E279">
        <f>Tableau3[[#This Row],[Potential (PJ)]]/3.6</f>
        <v>2.9444444444444442</v>
      </c>
      <c r="F279">
        <v>8.9306603773584907</v>
      </c>
      <c r="G279">
        <f>Tableau3[[#This Row],[Cost (€/GJ)]]*3.6</f>
        <v>32.150377358490566</v>
      </c>
      <c r="H279">
        <v>3.86607608129234</v>
      </c>
      <c r="I279">
        <f>Tableau3[[#This Row],[GHG (kgCO2eq/GJ)]]*3.6</f>
        <v>13.917873892652425</v>
      </c>
      <c r="J279" t="s">
        <v>104</v>
      </c>
      <c r="K279" t="s">
        <v>108</v>
      </c>
    </row>
    <row r="280" spans="1:11" x14ac:dyDescent="0.3">
      <c r="A280" t="s">
        <v>19</v>
      </c>
      <c r="B280" t="s">
        <v>46</v>
      </c>
      <c r="C280" t="s">
        <v>63</v>
      </c>
      <c r="D280">
        <v>6.0467000000000004</v>
      </c>
      <c r="E280">
        <f>Tableau3[[#This Row],[Potential (PJ)]]/3.6</f>
        <v>1.6796388888888889</v>
      </c>
      <c r="F280">
        <v>2.9286474973375931</v>
      </c>
      <c r="G280">
        <f>Tableau3[[#This Row],[Cost (€/GJ)]]*3.6</f>
        <v>10.543130990415335</v>
      </c>
      <c r="H280">
        <v>3.950479233226837</v>
      </c>
      <c r="I280">
        <f>Tableau3[[#This Row],[GHG (kgCO2eq/GJ)]]*3.6</f>
        <v>14.221725239616614</v>
      </c>
      <c r="J280" t="s">
        <v>104</v>
      </c>
      <c r="K280" t="s">
        <v>108</v>
      </c>
    </row>
    <row r="281" spans="1:11" x14ac:dyDescent="0.3">
      <c r="A281" t="s">
        <v>19</v>
      </c>
      <c r="B281" t="s">
        <v>46</v>
      </c>
      <c r="C281" t="s">
        <v>64</v>
      </c>
      <c r="D281">
        <v>0.78149999999999997</v>
      </c>
      <c r="E281">
        <f>Tableau3[[#This Row],[Potential (PJ)]]/3.6</f>
        <v>0.21708333333333332</v>
      </c>
      <c r="F281">
        <v>6.5775847728726813</v>
      </c>
      <c r="G281">
        <f>Tableau3[[#This Row],[Cost (€/GJ)]]*3.6</f>
        <v>23.679305182341654</v>
      </c>
      <c r="H281">
        <v>2.9521711768407801</v>
      </c>
      <c r="I281">
        <f>Tableau3[[#This Row],[GHG (kgCO2eq/GJ)]]*3.6</f>
        <v>10.627816236626808</v>
      </c>
      <c r="J281" t="s">
        <v>104</v>
      </c>
      <c r="K281" t="s">
        <v>108</v>
      </c>
    </row>
    <row r="282" spans="1:11" x14ac:dyDescent="0.3">
      <c r="A282" t="s">
        <v>19</v>
      </c>
      <c r="B282" t="s">
        <v>46</v>
      </c>
      <c r="C282" t="s">
        <v>79</v>
      </c>
      <c r="D282">
        <v>38.700000000000003</v>
      </c>
      <c r="E282">
        <f>Tableau3[[#This Row],[Potential (PJ)]]/3.6</f>
        <v>10.75</v>
      </c>
      <c r="F282">
        <v>2.7265090439276478</v>
      </c>
      <c r="G282">
        <f>Tableau3[[#This Row],[Cost (€/GJ)]]*3.6</f>
        <v>9.8154325581395323</v>
      </c>
      <c r="H282">
        <v>6.8428961748633883</v>
      </c>
      <c r="I282">
        <f>Tableau3[[#This Row],[GHG (kgCO2eq/GJ)]]*3.6</f>
        <v>24.634426229508197</v>
      </c>
      <c r="J282" t="s">
        <v>104</v>
      </c>
      <c r="K282" t="s">
        <v>108</v>
      </c>
    </row>
    <row r="283" spans="1:11" x14ac:dyDescent="0.3">
      <c r="A283" t="s">
        <v>19</v>
      </c>
      <c r="B283" t="s">
        <v>46</v>
      </c>
      <c r="C283" t="s">
        <v>65</v>
      </c>
      <c r="D283">
        <v>6</v>
      </c>
      <c r="E283">
        <f>Tableau3[[#This Row],[Potential (PJ)]]/3.6</f>
        <v>1.6666666666666665</v>
      </c>
      <c r="F283">
        <v>6.3805499999999986</v>
      </c>
      <c r="G283">
        <f>Tableau3[[#This Row],[Cost (€/GJ)]]*3.6</f>
        <v>22.969979999999996</v>
      </c>
      <c r="H283">
        <v>2.9521711768407801</v>
      </c>
      <c r="I283">
        <f>Tableau3[[#This Row],[GHG (kgCO2eq/GJ)]]*3.6</f>
        <v>10.627816236626808</v>
      </c>
      <c r="J283" t="s">
        <v>104</v>
      </c>
      <c r="K283" t="s">
        <v>108</v>
      </c>
    </row>
    <row r="284" spans="1:11" x14ac:dyDescent="0.3">
      <c r="A284" t="s">
        <v>19</v>
      </c>
      <c r="B284" t="s">
        <v>46</v>
      </c>
      <c r="C284" t="s">
        <v>102</v>
      </c>
      <c r="D284">
        <v>2.8</v>
      </c>
      <c r="E284">
        <f>Tableau3[[#This Row],[Potential (PJ)]]/3.6</f>
        <v>0.77777777777777768</v>
      </c>
      <c r="F284">
        <v>5.4518571428571434</v>
      </c>
      <c r="G284">
        <f>Tableau3[[#This Row],[Cost (€/GJ)]]*3.6</f>
        <v>19.626685714285717</v>
      </c>
      <c r="H284">
        <v>2.9521711768407801</v>
      </c>
      <c r="I284">
        <f>Tableau3[[#This Row],[GHG (kgCO2eq/GJ)]]*3.6</f>
        <v>10.627816236626808</v>
      </c>
      <c r="J284" t="s">
        <v>104</v>
      </c>
      <c r="K284" t="s">
        <v>108</v>
      </c>
    </row>
    <row r="285" spans="1:11" x14ac:dyDescent="0.3">
      <c r="A285" t="s">
        <v>19</v>
      </c>
      <c r="B285" t="s">
        <v>46</v>
      </c>
      <c r="C285" t="s">
        <v>80</v>
      </c>
      <c r="D285">
        <v>2.5103399999999998</v>
      </c>
      <c r="E285">
        <f>Tableau3[[#This Row],[Potential (PJ)]]/3.6</f>
        <v>0.69731666666666658</v>
      </c>
      <c r="F285">
        <v>0.53674983142279165</v>
      </c>
      <c r="G285">
        <f>Tableau3[[#This Row],[Cost (€/GJ)]]*3.6</f>
        <v>1.93229939312205</v>
      </c>
      <c r="H285">
        <v>28.139870918023309</v>
      </c>
      <c r="I285">
        <f>Tableau3[[#This Row],[GHG (kgCO2eq/GJ)]]*3.6</f>
        <v>101.30353530488391</v>
      </c>
      <c r="J285" t="s">
        <v>105</v>
      </c>
      <c r="K285" t="s">
        <v>108</v>
      </c>
    </row>
    <row r="286" spans="1:11" x14ac:dyDescent="0.3">
      <c r="A286" t="s">
        <v>19</v>
      </c>
      <c r="B286" t="s">
        <v>46</v>
      </c>
      <c r="C286" t="s">
        <v>81</v>
      </c>
      <c r="D286">
        <v>0.57340000000000002</v>
      </c>
      <c r="E286">
        <f>Tableau3[[#This Row],[Potential (PJ)]]/3.6</f>
        <v>0.15927777777777777</v>
      </c>
      <c r="F286">
        <v>1.0987074030552291</v>
      </c>
      <c r="G286">
        <f>Tableau3[[#This Row],[Cost (€/GJ)]]*3.6</f>
        <v>3.9553466509988247</v>
      </c>
      <c r="H286">
        <v>8.9647473560517046</v>
      </c>
      <c r="I286">
        <f>Tableau3[[#This Row],[GHG (kgCO2eq/GJ)]]*3.6</f>
        <v>32.273090481786134</v>
      </c>
      <c r="J286" t="s">
        <v>105</v>
      </c>
      <c r="K286" t="s">
        <v>108</v>
      </c>
    </row>
    <row r="287" spans="1:11" x14ac:dyDescent="0.3">
      <c r="A287" t="s">
        <v>19</v>
      </c>
      <c r="B287" t="s">
        <v>46</v>
      </c>
      <c r="C287" t="s">
        <v>66</v>
      </c>
      <c r="D287">
        <v>4.5999999999999996</v>
      </c>
      <c r="E287">
        <f>Tableau3[[#This Row],[Potential (PJ)]]/3.6</f>
        <v>1.2777777777777777</v>
      </c>
      <c r="F287">
        <v>2.810260869565218</v>
      </c>
      <c r="G287">
        <f>Tableau3[[#This Row],[Cost (€/GJ)]]*3.6</f>
        <v>10.116939130434785</v>
      </c>
      <c r="H287">
        <v>6.8428961748633883</v>
      </c>
      <c r="I287">
        <f>Tableau3[[#This Row],[GHG (kgCO2eq/GJ)]]*3.6</f>
        <v>24.634426229508197</v>
      </c>
      <c r="J287" t="s">
        <v>104</v>
      </c>
      <c r="K287" t="s">
        <v>108</v>
      </c>
    </row>
    <row r="288" spans="1:11" x14ac:dyDescent="0.3">
      <c r="A288" t="s">
        <v>19</v>
      </c>
      <c r="B288" t="s">
        <v>46</v>
      </c>
      <c r="C288" t="s">
        <v>67</v>
      </c>
      <c r="D288">
        <v>13</v>
      </c>
      <c r="E288">
        <f>Tableau3[[#This Row],[Potential (PJ)]]/3.6</f>
        <v>3.6111111111111112</v>
      </c>
      <c r="F288">
        <v>9.4311692307692301</v>
      </c>
      <c r="G288">
        <f>Tableau3[[#This Row],[Cost (€/GJ)]]*3.6</f>
        <v>33.952209230769228</v>
      </c>
      <c r="H288">
        <v>2.9521711768407801</v>
      </c>
      <c r="I288">
        <f>Tableau3[[#This Row],[GHG (kgCO2eq/GJ)]]*3.6</f>
        <v>10.627816236626808</v>
      </c>
      <c r="J288" t="s">
        <v>104</v>
      </c>
      <c r="K288" t="s">
        <v>108</v>
      </c>
    </row>
    <row r="289" spans="1:11" x14ac:dyDescent="0.3">
      <c r="A289" t="s">
        <v>19</v>
      </c>
      <c r="B289" t="s">
        <v>46</v>
      </c>
      <c r="C289" t="s">
        <v>82</v>
      </c>
      <c r="D289">
        <v>5</v>
      </c>
      <c r="E289">
        <f>Tableau3[[#This Row],[Potential (PJ)]]/3.6</f>
        <v>1.3888888888888888</v>
      </c>
      <c r="F289">
        <v>1.7821199999999999</v>
      </c>
      <c r="G289">
        <f>Tableau3[[#This Row],[Cost (€/GJ)]]*3.6</f>
        <v>6.4156319999999996</v>
      </c>
      <c r="H289">
        <v>6.8428961748633883</v>
      </c>
      <c r="I289">
        <f>Tableau3[[#This Row],[GHG (kgCO2eq/GJ)]]*3.6</f>
        <v>24.634426229508197</v>
      </c>
      <c r="J289" t="s">
        <v>104</v>
      </c>
      <c r="K289" t="s">
        <v>108</v>
      </c>
    </row>
    <row r="290" spans="1:11" x14ac:dyDescent="0.3">
      <c r="A290" t="s">
        <v>19</v>
      </c>
      <c r="B290" t="s">
        <v>46</v>
      </c>
      <c r="C290" t="s">
        <v>83</v>
      </c>
      <c r="D290">
        <v>2.5337000000000001</v>
      </c>
      <c r="E290">
        <f>Tableau3[[#This Row],[Potential (PJ)]]/3.6</f>
        <v>0.70380555555555557</v>
      </c>
      <c r="F290">
        <v>2.6192875557485098</v>
      </c>
      <c r="G290">
        <f>Tableau3[[#This Row],[Cost (€/GJ)]]*3.6</f>
        <v>9.4294352006946358</v>
      </c>
      <c r="H290">
        <v>6.8428961748633883</v>
      </c>
      <c r="I290">
        <f>Tableau3[[#This Row],[GHG (kgCO2eq/GJ)]]*3.6</f>
        <v>24.634426229508197</v>
      </c>
      <c r="J290" t="s">
        <v>104</v>
      </c>
      <c r="K290" t="s">
        <v>108</v>
      </c>
    </row>
    <row r="291" spans="1:11" x14ac:dyDescent="0.3">
      <c r="A291" t="s">
        <v>19</v>
      </c>
      <c r="B291" t="s">
        <v>46</v>
      </c>
      <c r="C291" t="s">
        <v>84</v>
      </c>
      <c r="D291">
        <v>1</v>
      </c>
      <c r="E291">
        <f>Tableau3[[#This Row],[Potential (PJ)]]/3.6</f>
        <v>0.27777777777777779</v>
      </c>
      <c r="F291">
        <v>2.0184000000000002</v>
      </c>
      <c r="G291">
        <f>Tableau3[[#This Row],[Cost (€/GJ)]]*3.6</f>
        <v>7.2662400000000007</v>
      </c>
      <c r="H291">
        <v>28.139870918023309</v>
      </c>
      <c r="I291">
        <f>Tableau3[[#This Row],[GHG (kgCO2eq/GJ)]]*3.6</f>
        <v>101.30353530488391</v>
      </c>
      <c r="J291" t="s">
        <v>105</v>
      </c>
      <c r="K291" t="s">
        <v>108</v>
      </c>
    </row>
    <row r="292" spans="1:11" x14ac:dyDescent="0.3">
      <c r="A292" t="s">
        <v>19</v>
      </c>
      <c r="B292" t="s">
        <v>46</v>
      </c>
      <c r="C292" t="s">
        <v>85</v>
      </c>
      <c r="D292">
        <v>7.1</v>
      </c>
      <c r="E292">
        <f>Tableau3[[#This Row],[Potential (PJ)]]/3.6</f>
        <v>1.9722222222222221</v>
      </c>
      <c r="F292">
        <v>4.5374507042253533</v>
      </c>
      <c r="G292">
        <f>Tableau3[[#This Row],[Cost (€/GJ)]]*3.6</f>
        <v>16.334822535211273</v>
      </c>
      <c r="H292">
        <v>2.9521711768407801</v>
      </c>
      <c r="I292">
        <f>Tableau3[[#This Row],[GHG (kgCO2eq/GJ)]]*3.6</f>
        <v>10.627816236626808</v>
      </c>
      <c r="J292" t="s">
        <v>104</v>
      </c>
      <c r="K292" t="s">
        <v>108</v>
      </c>
    </row>
    <row r="293" spans="1:11" x14ac:dyDescent="0.3">
      <c r="A293" t="s">
        <v>19</v>
      </c>
      <c r="B293" t="s">
        <v>55</v>
      </c>
      <c r="C293" t="s">
        <v>86</v>
      </c>
      <c r="D293">
        <v>13.4686</v>
      </c>
      <c r="E293">
        <f>Tableau3[[#This Row],[Potential (PJ)]]/3.6</f>
        <v>3.7412777777777779</v>
      </c>
      <c r="F293">
        <v>12.451000000000001</v>
      </c>
      <c r="G293">
        <f>Tableau3[[#This Row],[Cost (€/GJ)]]*3.6</f>
        <v>44.823600000000006</v>
      </c>
      <c r="H293">
        <v>11.3</v>
      </c>
      <c r="I293">
        <f>Tableau3[[#This Row],[GHG (kgCO2eq/GJ)]]*3.6</f>
        <v>40.680000000000007</v>
      </c>
      <c r="J293" t="s">
        <v>106</v>
      </c>
      <c r="K293" t="s">
        <v>109</v>
      </c>
    </row>
    <row r="294" spans="1:11" x14ac:dyDescent="0.3">
      <c r="A294" t="s">
        <v>19</v>
      </c>
      <c r="B294" t="s">
        <v>55</v>
      </c>
      <c r="C294" t="s">
        <v>87</v>
      </c>
      <c r="D294">
        <v>1.5038</v>
      </c>
      <c r="E294">
        <f>Tableau3[[#This Row],[Potential (PJ)]]/3.6</f>
        <v>0.41772222222222222</v>
      </c>
      <c r="F294">
        <v>14.749000000000001</v>
      </c>
      <c r="G294">
        <f>Tableau3[[#This Row],[Cost (€/GJ)]]*3.6</f>
        <v>53.096400000000003</v>
      </c>
      <c r="H294">
        <v>11.3</v>
      </c>
      <c r="I294">
        <f>Tableau3[[#This Row],[GHG (kgCO2eq/GJ)]]*3.6</f>
        <v>40.680000000000007</v>
      </c>
      <c r="J294" t="s">
        <v>106</v>
      </c>
      <c r="K294" t="s">
        <v>109</v>
      </c>
    </row>
    <row r="295" spans="1:11" x14ac:dyDescent="0.3">
      <c r="A295" t="s">
        <v>19</v>
      </c>
      <c r="B295" t="s">
        <v>55</v>
      </c>
      <c r="C295" t="s">
        <v>88</v>
      </c>
      <c r="D295">
        <v>3.5546000000000002</v>
      </c>
      <c r="E295">
        <f>Tableau3[[#This Row],[Potential (PJ)]]/3.6</f>
        <v>0.98738888888888887</v>
      </c>
      <c r="F295">
        <v>14.413999999999991</v>
      </c>
      <c r="G295">
        <f>Tableau3[[#This Row],[Cost (€/GJ)]]*3.6</f>
        <v>51.890399999999971</v>
      </c>
      <c r="H295">
        <v>11.3</v>
      </c>
      <c r="I295">
        <f>Tableau3[[#This Row],[GHG (kgCO2eq/GJ)]]*3.6</f>
        <v>40.680000000000007</v>
      </c>
      <c r="J295" t="s">
        <v>106</v>
      </c>
      <c r="K295" t="s">
        <v>109</v>
      </c>
    </row>
    <row r="296" spans="1:11" x14ac:dyDescent="0.3">
      <c r="A296" t="s">
        <v>19</v>
      </c>
      <c r="B296" t="s">
        <v>55</v>
      </c>
      <c r="C296" t="s">
        <v>89</v>
      </c>
      <c r="D296">
        <v>3.1576</v>
      </c>
      <c r="E296">
        <f>Tableau3[[#This Row],[Potential (PJ)]]/3.6</f>
        <v>0.87711111111111106</v>
      </c>
      <c r="F296">
        <v>0</v>
      </c>
      <c r="G296">
        <f>Tableau3[[#This Row],[Cost (€/GJ)]]*3.6</f>
        <v>0</v>
      </c>
      <c r="H296">
        <v>11.3</v>
      </c>
      <c r="I296">
        <f>Tableau3[[#This Row],[GHG (kgCO2eq/GJ)]]*3.6</f>
        <v>40.680000000000007</v>
      </c>
      <c r="J296" t="s">
        <v>106</v>
      </c>
      <c r="K296" t="s">
        <v>109</v>
      </c>
    </row>
    <row r="297" spans="1:11" x14ac:dyDescent="0.3">
      <c r="A297" t="s">
        <v>19</v>
      </c>
      <c r="B297" t="s">
        <v>55</v>
      </c>
      <c r="C297" t="s">
        <v>90</v>
      </c>
      <c r="D297">
        <v>0.105</v>
      </c>
      <c r="E297">
        <f>Tableau3[[#This Row],[Potential (PJ)]]/3.6</f>
        <v>2.9166666666666664E-2</v>
      </c>
      <c r="F297">
        <v>15.036</v>
      </c>
      <c r="G297">
        <f>Tableau3[[#This Row],[Cost (€/GJ)]]*3.6</f>
        <v>54.129599999999996</v>
      </c>
      <c r="H297">
        <v>11.3</v>
      </c>
      <c r="I297">
        <f>Tableau3[[#This Row],[GHG (kgCO2eq/GJ)]]*3.6</f>
        <v>40.680000000000007</v>
      </c>
      <c r="J297" t="s">
        <v>106</v>
      </c>
      <c r="K297" t="s">
        <v>109</v>
      </c>
    </row>
    <row r="298" spans="1:11" x14ac:dyDescent="0.3">
      <c r="A298" t="s">
        <v>19</v>
      </c>
      <c r="B298" t="s">
        <v>55</v>
      </c>
      <c r="C298" t="s">
        <v>91</v>
      </c>
      <c r="D298">
        <v>3.1450999999999998</v>
      </c>
      <c r="E298">
        <f>Tableau3[[#This Row],[Potential (PJ)]]/3.6</f>
        <v>0.87363888888888885</v>
      </c>
      <c r="F298">
        <v>13.113</v>
      </c>
      <c r="G298">
        <f>Tableau3[[#This Row],[Cost (€/GJ)]]*3.6</f>
        <v>47.206800000000001</v>
      </c>
      <c r="H298">
        <v>11.3</v>
      </c>
      <c r="I298">
        <f>Tableau3[[#This Row],[GHG (kgCO2eq/GJ)]]*3.6</f>
        <v>40.680000000000007</v>
      </c>
      <c r="J298" t="s">
        <v>106</v>
      </c>
      <c r="K298" t="s">
        <v>109</v>
      </c>
    </row>
    <row r="299" spans="1:11" x14ac:dyDescent="0.3">
      <c r="A299" t="s">
        <v>19</v>
      </c>
      <c r="B299" t="s">
        <v>55</v>
      </c>
      <c r="C299" t="s">
        <v>92</v>
      </c>
      <c r="D299">
        <v>0.93060999999999994</v>
      </c>
      <c r="E299">
        <f>Tableau3[[#This Row],[Potential (PJ)]]/3.6</f>
        <v>0.25850277777777775</v>
      </c>
      <c r="F299">
        <v>14.749000000000001</v>
      </c>
      <c r="G299">
        <f>Tableau3[[#This Row],[Cost (€/GJ)]]*3.6</f>
        <v>53.096400000000003</v>
      </c>
      <c r="H299">
        <v>11.3</v>
      </c>
      <c r="I299">
        <f>Tableau3[[#This Row],[GHG (kgCO2eq/GJ)]]*3.6</f>
        <v>40.680000000000007</v>
      </c>
      <c r="J299" t="s">
        <v>106</v>
      </c>
      <c r="K299" t="s">
        <v>109</v>
      </c>
    </row>
    <row r="300" spans="1:11" x14ac:dyDescent="0.3">
      <c r="A300" t="s">
        <v>19</v>
      </c>
      <c r="B300" t="s">
        <v>56</v>
      </c>
      <c r="C300" t="s">
        <v>93</v>
      </c>
      <c r="D300">
        <v>106.0793</v>
      </c>
      <c r="E300">
        <f>Tableau3[[#This Row],[Potential (PJ)]]/3.6</f>
        <v>29.466472222222222</v>
      </c>
      <c r="F300">
        <v>2.939759036144578</v>
      </c>
      <c r="G300">
        <f>Tableau3[[#This Row],[Cost (€/GJ)]]*3.6</f>
        <v>10.583132530120482</v>
      </c>
      <c r="H300">
        <v>23.6</v>
      </c>
      <c r="I300">
        <f>Tableau3[[#This Row],[GHG (kgCO2eq/GJ)]]*3.6</f>
        <v>84.960000000000008</v>
      </c>
      <c r="J300" t="s">
        <v>106</v>
      </c>
      <c r="K300" t="s">
        <v>109</v>
      </c>
    </row>
    <row r="301" spans="1:11" x14ac:dyDescent="0.3">
      <c r="A301" t="s">
        <v>19</v>
      </c>
      <c r="B301" t="s">
        <v>47</v>
      </c>
      <c r="C301" t="s">
        <v>68</v>
      </c>
      <c r="D301">
        <v>154.5</v>
      </c>
      <c r="E301">
        <f>Tableau3[[#This Row],[Potential (PJ)]]/3.6</f>
        <v>42.916666666666664</v>
      </c>
      <c r="F301">
        <v>6.2148252427184456</v>
      </c>
      <c r="G301">
        <f>Tableau3[[#This Row],[Cost (€/GJ)]]*3.6</f>
        <v>22.373370873786406</v>
      </c>
      <c r="H301">
        <v>14.9</v>
      </c>
      <c r="I301">
        <f>Tableau3[[#This Row],[GHG (kgCO2eq/GJ)]]*3.6</f>
        <v>53.64</v>
      </c>
      <c r="J301" t="s">
        <v>104</v>
      </c>
      <c r="K301" t="s">
        <v>109</v>
      </c>
    </row>
    <row r="302" spans="1:11" x14ac:dyDescent="0.3">
      <c r="A302" t="s">
        <v>19</v>
      </c>
      <c r="B302" t="s">
        <v>47</v>
      </c>
      <c r="C302" t="s">
        <v>69</v>
      </c>
      <c r="D302">
        <v>54.2</v>
      </c>
      <c r="E302">
        <f>Tableau3[[#This Row],[Potential (PJ)]]/3.6</f>
        <v>15.055555555555555</v>
      </c>
      <c r="F302">
        <v>10.58018819188192</v>
      </c>
      <c r="G302">
        <f>Tableau3[[#This Row],[Cost (€/GJ)]]*3.6</f>
        <v>38.088677490774913</v>
      </c>
      <c r="H302">
        <v>14.9</v>
      </c>
      <c r="I302">
        <f>Tableau3[[#This Row],[GHG (kgCO2eq/GJ)]]*3.6</f>
        <v>53.64</v>
      </c>
      <c r="J302" t="s">
        <v>104</v>
      </c>
      <c r="K302" t="s">
        <v>109</v>
      </c>
    </row>
    <row r="303" spans="1:11" x14ac:dyDescent="0.3">
      <c r="A303" t="s">
        <v>19</v>
      </c>
      <c r="B303" t="s">
        <v>48</v>
      </c>
      <c r="C303" t="s">
        <v>70</v>
      </c>
      <c r="D303">
        <v>40.5</v>
      </c>
      <c r="E303">
        <f>Tableau3[[#This Row],[Potential (PJ)]]/3.6</f>
        <v>11.25</v>
      </c>
      <c r="F303">
        <v>16.769409876543211</v>
      </c>
      <c r="G303">
        <f>Tableau3[[#This Row],[Cost (€/GJ)]]*3.6</f>
        <v>60.369875555555559</v>
      </c>
      <c r="H303">
        <v>16.8</v>
      </c>
      <c r="I303">
        <f>Tableau3[[#This Row],[GHG (kgCO2eq/GJ)]]*3.6</f>
        <v>60.480000000000004</v>
      </c>
      <c r="J303" t="s">
        <v>104</v>
      </c>
      <c r="K303" t="s">
        <v>109</v>
      </c>
    </row>
    <row r="304" spans="1:11" x14ac:dyDescent="0.3">
      <c r="A304" t="s">
        <v>19</v>
      </c>
      <c r="B304" t="s">
        <v>49</v>
      </c>
      <c r="C304" t="s">
        <v>71</v>
      </c>
      <c r="D304">
        <v>128.98053999999999</v>
      </c>
      <c r="E304">
        <f>Tableau3[[#This Row],[Potential (PJ)]]/3.6</f>
        <v>35.827927777777774</v>
      </c>
      <c r="F304">
        <v>6.1037021716609354</v>
      </c>
      <c r="G304">
        <f>Tableau3[[#This Row],[Cost (€/GJ)]]*3.6</f>
        <v>21.973327817979367</v>
      </c>
      <c r="H304">
        <v>3.86607608129234</v>
      </c>
      <c r="I304">
        <f>Tableau3[[#This Row],[GHG (kgCO2eq/GJ)]]*3.6</f>
        <v>13.917873892652425</v>
      </c>
      <c r="J304" t="s">
        <v>104</v>
      </c>
      <c r="K304" t="s">
        <v>108</v>
      </c>
    </row>
    <row r="305" spans="1:11" x14ac:dyDescent="0.3">
      <c r="A305" t="s">
        <v>19</v>
      </c>
      <c r="B305" t="s">
        <v>49</v>
      </c>
      <c r="C305" t="s">
        <v>72</v>
      </c>
      <c r="D305">
        <v>15.4</v>
      </c>
      <c r="E305">
        <f>Tableau3[[#This Row],[Potential (PJ)]]/3.6</f>
        <v>4.2777777777777777</v>
      </c>
      <c r="F305">
        <v>4.8959999999999999</v>
      </c>
      <c r="G305">
        <f>Tableau3[[#This Row],[Cost (€/GJ)]]*3.6</f>
        <v>17.625599999999999</v>
      </c>
      <c r="H305">
        <v>3.86607608129234</v>
      </c>
      <c r="I305">
        <f>Tableau3[[#This Row],[GHG (kgCO2eq/GJ)]]*3.6</f>
        <v>13.917873892652425</v>
      </c>
      <c r="J305" t="s">
        <v>104</v>
      </c>
      <c r="K305" t="s">
        <v>108</v>
      </c>
    </row>
    <row r="306" spans="1:11" x14ac:dyDescent="0.3">
      <c r="A306" t="s">
        <v>19</v>
      </c>
      <c r="B306" t="s">
        <v>58</v>
      </c>
      <c r="C306" t="s">
        <v>95</v>
      </c>
      <c r="D306">
        <v>24.256080000000001</v>
      </c>
      <c r="E306">
        <f>Tableau3[[#This Row],[Potential (PJ)]]/3.6</f>
        <v>6.7378</v>
      </c>
      <c r="F306">
        <v>3.145</v>
      </c>
      <c r="G306">
        <f>Tableau3[[#This Row],[Cost (€/GJ)]]*3.6</f>
        <v>11.322000000000001</v>
      </c>
      <c r="H306">
        <v>2.9521711768407801</v>
      </c>
      <c r="I306">
        <f>Tableau3[[#This Row],[GHG (kgCO2eq/GJ)]]*3.6</f>
        <v>10.627816236626808</v>
      </c>
      <c r="J306" t="s">
        <v>104</v>
      </c>
      <c r="K306" t="s">
        <v>108</v>
      </c>
    </row>
    <row r="307" spans="1:11" x14ac:dyDescent="0.3">
      <c r="A307" t="s">
        <v>19</v>
      </c>
      <c r="B307" t="s">
        <v>50</v>
      </c>
      <c r="C307" t="s">
        <v>73</v>
      </c>
      <c r="D307">
        <v>26.7</v>
      </c>
      <c r="E307">
        <f>Tableau3[[#This Row],[Potential (PJ)]]/3.6</f>
        <v>7.4166666666666661</v>
      </c>
      <c r="F307">
        <v>5.4884606741573032</v>
      </c>
      <c r="G307">
        <f>Tableau3[[#This Row],[Cost (€/GJ)]]*3.6</f>
        <v>19.758458426966293</v>
      </c>
      <c r="H307">
        <v>20.723404255319149</v>
      </c>
      <c r="I307">
        <f>Tableau3[[#This Row],[GHG (kgCO2eq/GJ)]]*3.6</f>
        <v>74.604255319148933</v>
      </c>
      <c r="J307" t="s">
        <v>105</v>
      </c>
      <c r="K307" t="s">
        <v>108</v>
      </c>
    </row>
    <row r="308" spans="1:11" x14ac:dyDescent="0.3">
      <c r="A308" t="s">
        <v>19</v>
      </c>
      <c r="B308" t="s">
        <v>50</v>
      </c>
      <c r="C308" t="s">
        <v>74</v>
      </c>
      <c r="D308">
        <v>73</v>
      </c>
      <c r="E308">
        <f>Tableau3[[#This Row],[Potential (PJ)]]/3.6</f>
        <v>20.277777777777779</v>
      </c>
      <c r="F308">
        <v>4.2152397260273977</v>
      </c>
      <c r="G308">
        <f>Tableau3[[#This Row],[Cost (€/GJ)]]*3.6</f>
        <v>15.174863013698632</v>
      </c>
      <c r="H308">
        <v>2.0635593220338988</v>
      </c>
      <c r="I308">
        <f>Tableau3[[#This Row],[GHG (kgCO2eq/GJ)]]*3.6</f>
        <v>7.4288135593220357</v>
      </c>
      <c r="J308" t="s">
        <v>105</v>
      </c>
      <c r="K308" t="s">
        <v>108</v>
      </c>
    </row>
    <row r="309" spans="1:11" x14ac:dyDescent="0.3">
      <c r="A309" t="s">
        <v>19</v>
      </c>
      <c r="B309" t="s">
        <v>59</v>
      </c>
      <c r="C309" t="s">
        <v>96</v>
      </c>
      <c r="D309">
        <v>1.7427999999999999</v>
      </c>
      <c r="E309">
        <f>Tableau3[[#This Row],[Potential (PJ)]]/3.6</f>
        <v>0.48411111111111105</v>
      </c>
      <c r="F309">
        <v>17.309999999999999</v>
      </c>
      <c r="G309">
        <f>Tableau3[[#This Row],[Cost (€/GJ)]]*3.6</f>
        <v>62.315999999999995</v>
      </c>
      <c r="H309">
        <v>33.700000000000003</v>
      </c>
      <c r="I309">
        <f>Tableau3[[#This Row],[GHG (kgCO2eq/GJ)]]*3.6</f>
        <v>121.32000000000001</v>
      </c>
      <c r="J309" t="s">
        <v>107</v>
      </c>
      <c r="K309" t="s">
        <v>109</v>
      </c>
    </row>
    <row r="310" spans="1:11" x14ac:dyDescent="0.3">
      <c r="A310" t="s">
        <v>19</v>
      </c>
      <c r="B310" t="s">
        <v>59</v>
      </c>
      <c r="C310" t="s">
        <v>97</v>
      </c>
      <c r="D310">
        <v>7.5465</v>
      </c>
      <c r="E310">
        <f>Tableau3[[#This Row],[Potential (PJ)]]/3.6</f>
        <v>2.0962499999999999</v>
      </c>
      <c r="F310">
        <v>20.835594139989151</v>
      </c>
      <c r="G310">
        <f>Tableau3[[#This Row],[Cost (€/GJ)]]*3.6</f>
        <v>75.008138903960941</v>
      </c>
      <c r="H310">
        <v>33.700000000000003</v>
      </c>
      <c r="I310">
        <f>Tableau3[[#This Row],[GHG (kgCO2eq/GJ)]]*3.6</f>
        <v>121.32000000000001</v>
      </c>
      <c r="J310" t="s">
        <v>107</v>
      </c>
      <c r="K310" t="s">
        <v>109</v>
      </c>
    </row>
    <row r="311" spans="1:11" x14ac:dyDescent="0.3">
      <c r="A311" t="s">
        <v>19</v>
      </c>
      <c r="B311" t="s">
        <v>51</v>
      </c>
      <c r="C311" t="s">
        <v>75</v>
      </c>
      <c r="D311">
        <v>22.8796</v>
      </c>
      <c r="E311">
        <f>Tableau3[[#This Row],[Potential (PJ)]]/3.6</f>
        <v>6.3554444444444442</v>
      </c>
      <c r="F311">
        <v>2.3357936992981999E-4</v>
      </c>
      <c r="G311">
        <f>Tableau3[[#This Row],[Cost (€/GJ)]]*3.6</f>
        <v>8.4088573174735204E-4</v>
      </c>
      <c r="H311">
        <v>11.74</v>
      </c>
      <c r="I311">
        <f>Tableau3[[#This Row],[GHG (kgCO2eq/GJ)]]*3.6</f>
        <v>42.264000000000003</v>
      </c>
      <c r="J311" t="s">
        <v>104</v>
      </c>
      <c r="K311" t="s">
        <v>108</v>
      </c>
    </row>
    <row r="312" spans="1:11" x14ac:dyDescent="0.3">
      <c r="A312" t="s">
        <v>19</v>
      </c>
      <c r="B312" t="s">
        <v>60</v>
      </c>
      <c r="C312" t="s">
        <v>98</v>
      </c>
      <c r="D312">
        <v>1.5189600000000001</v>
      </c>
      <c r="E312">
        <f>Tableau3[[#This Row],[Potential (PJ)]]/3.6</f>
        <v>0.42193333333333333</v>
      </c>
      <c r="F312">
        <v>25.563909774436091</v>
      </c>
      <c r="G312">
        <f>Tableau3[[#This Row],[Cost (€/GJ)]]*3.6</f>
        <v>92.030075187969928</v>
      </c>
      <c r="H312">
        <v>19.899999999999999</v>
      </c>
      <c r="I312">
        <f>Tableau3[[#This Row],[GHG (kgCO2eq/GJ)]]*3.6</f>
        <v>71.64</v>
      </c>
      <c r="J312" t="s">
        <v>107</v>
      </c>
      <c r="K312" t="s">
        <v>109</v>
      </c>
    </row>
    <row r="313" spans="1:11" x14ac:dyDescent="0.3">
      <c r="A313" t="s">
        <v>19</v>
      </c>
      <c r="B313" t="s">
        <v>52</v>
      </c>
      <c r="C313" t="s">
        <v>76</v>
      </c>
      <c r="D313">
        <v>0.88</v>
      </c>
      <c r="E313">
        <f>Tableau3[[#This Row],[Potential (PJ)]]/3.6</f>
        <v>0.24444444444444444</v>
      </c>
      <c r="F313">
        <v>7.5037500000000001</v>
      </c>
      <c r="G313">
        <f>Tableau3[[#This Row],[Cost (€/GJ)]]*3.6</f>
        <v>27.013500000000001</v>
      </c>
      <c r="H313">
        <v>12.68872359754714</v>
      </c>
      <c r="I313">
        <f>Tableau3[[#This Row],[GHG (kgCO2eq/GJ)]]*3.6</f>
        <v>45.679404951169708</v>
      </c>
      <c r="J313" t="s">
        <v>105</v>
      </c>
      <c r="K313" t="s">
        <v>108</v>
      </c>
    </row>
    <row r="314" spans="1:11" x14ac:dyDescent="0.3">
      <c r="A314" t="s">
        <v>19</v>
      </c>
      <c r="B314" t="s">
        <v>53</v>
      </c>
      <c r="C314" t="s">
        <v>77</v>
      </c>
      <c r="D314">
        <v>8.1999999999999993</v>
      </c>
      <c r="E314">
        <f>Tableau3[[#This Row],[Potential (PJ)]]/3.6</f>
        <v>2.2777777777777777</v>
      </c>
      <c r="F314">
        <v>4.8959146341463411</v>
      </c>
      <c r="G314">
        <f>Tableau3[[#This Row],[Cost (€/GJ)]]*3.6</f>
        <v>17.62529268292683</v>
      </c>
      <c r="H314">
        <v>3.86607608129234</v>
      </c>
      <c r="I314">
        <f>Tableau3[[#This Row],[GHG (kgCO2eq/GJ)]]*3.6</f>
        <v>13.917873892652425</v>
      </c>
      <c r="J314" t="s">
        <v>104</v>
      </c>
      <c r="K314" t="s">
        <v>108</v>
      </c>
    </row>
    <row r="315" spans="1:11" x14ac:dyDescent="0.3">
      <c r="A315" t="s">
        <v>19</v>
      </c>
      <c r="B315" t="s">
        <v>61</v>
      </c>
      <c r="C315" t="s">
        <v>99</v>
      </c>
      <c r="D315">
        <v>14</v>
      </c>
      <c r="E315">
        <f>Tableau3[[#This Row],[Potential (PJ)]]/3.6</f>
        <v>3.8888888888888888</v>
      </c>
      <c r="F315">
        <v>2.5040428571428568</v>
      </c>
      <c r="G315">
        <f>Tableau3[[#This Row],[Cost (€/GJ)]]*3.6</f>
        <v>9.0145542857142846</v>
      </c>
      <c r="H315">
        <v>2.9245635910224439</v>
      </c>
      <c r="I315">
        <f>Tableau3[[#This Row],[GHG (kgCO2eq/GJ)]]*3.6</f>
        <v>10.528428927680798</v>
      </c>
      <c r="J315" t="s">
        <v>104</v>
      </c>
      <c r="K315" t="s">
        <v>108</v>
      </c>
    </row>
    <row r="316" spans="1:11" x14ac:dyDescent="0.3">
      <c r="A316" t="s">
        <v>19</v>
      </c>
      <c r="B316" t="s">
        <v>62</v>
      </c>
      <c r="C316" t="s">
        <v>100</v>
      </c>
      <c r="D316">
        <v>2.8</v>
      </c>
      <c r="E316">
        <f>Tableau3[[#This Row],[Potential (PJ)]]/3.6</f>
        <v>0.77777777777777768</v>
      </c>
      <c r="F316">
        <v>0.2821428571428572</v>
      </c>
      <c r="G316">
        <f>Tableau3[[#This Row],[Cost (€/GJ)]]*3.6</f>
        <v>1.015714285714286</v>
      </c>
      <c r="H316">
        <v>2.6764106050305911</v>
      </c>
      <c r="I316">
        <f>Tableau3[[#This Row],[GHG (kgCO2eq/GJ)]]*3.6</f>
        <v>9.6350781781101276</v>
      </c>
      <c r="J316" t="s">
        <v>104</v>
      </c>
      <c r="K316" t="s">
        <v>108</v>
      </c>
    </row>
    <row r="317" spans="1:11" x14ac:dyDescent="0.3">
      <c r="A317" t="s">
        <v>19</v>
      </c>
      <c r="B317" t="s">
        <v>54</v>
      </c>
      <c r="C317" t="s">
        <v>78</v>
      </c>
      <c r="D317">
        <v>66.8</v>
      </c>
      <c r="E317">
        <f>Tableau3[[#This Row],[Potential (PJ)]]/3.6</f>
        <v>18.555555555555554</v>
      </c>
      <c r="F317">
        <v>10.27123652694611</v>
      </c>
      <c r="G317">
        <f>Tableau3[[#This Row],[Cost (€/GJ)]]*3.6</f>
        <v>36.976451497005996</v>
      </c>
      <c r="H317">
        <v>3.86607608129234</v>
      </c>
      <c r="I317">
        <f>Tableau3[[#This Row],[GHG (kgCO2eq/GJ)]]*3.6</f>
        <v>13.917873892652425</v>
      </c>
      <c r="J317" t="s">
        <v>104</v>
      </c>
      <c r="K317" t="s">
        <v>108</v>
      </c>
    </row>
    <row r="318" spans="1:11" x14ac:dyDescent="0.3">
      <c r="A318" t="s">
        <v>20</v>
      </c>
      <c r="B318" t="s">
        <v>46</v>
      </c>
      <c r="C318" t="s">
        <v>64</v>
      </c>
      <c r="D318">
        <v>9.3100000000000006E-3</v>
      </c>
      <c r="E318">
        <f>Tableau3[[#This Row],[Potential (PJ)]]/3.6</f>
        <v>2.5861111111111111E-3</v>
      </c>
      <c r="F318">
        <v>5.8035392051557464</v>
      </c>
      <c r="G318">
        <f>Tableau3[[#This Row],[Cost (€/GJ)]]*3.6</f>
        <v>20.892741138560687</v>
      </c>
      <c r="H318">
        <v>2.9521711768407801</v>
      </c>
      <c r="I318">
        <f>Tableau3[[#This Row],[GHG (kgCO2eq/GJ)]]*3.6</f>
        <v>10.627816236626808</v>
      </c>
      <c r="J318" t="s">
        <v>104</v>
      </c>
      <c r="K318" t="s">
        <v>108</v>
      </c>
    </row>
    <row r="319" spans="1:11" x14ac:dyDescent="0.3">
      <c r="A319" t="s">
        <v>20</v>
      </c>
      <c r="B319" t="s">
        <v>46</v>
      </c>
      <c r="C319" t="s">
        <v>79</v>
      </c>
      <c r="D319">
        <v>16.5</v>
      </c>
      <c r="E319">
        <f>Tableau3[[#This Row],[Potential (PJ)]]/3.6</f>
        <v>4.583333333333333</v>
      </c>
      <c r="F319">
        <v>5.0163454545454549</v>
      </c>
      <c r="G319">
        <f>Tableau3[[#This Row],[Cost (€/GJ)]]*3.6</f>
        <v>18.058843636363637</v>
      </c>
      <c r="H319">
        <v>6.8428961748633883</v>
      </c>
      <c r="I319">
        <f>Tableau3[[#This Row],[GHG (kgCO2eq/GJ)]]*3.6</f>
        <v>24.634426229508197</v>
      </c>
      <c r="J319" t="s">
        <v>104</v>
      </c>
      <c r="K319" t="s">
        <v>108</v>
      </c>
    </row>
    <row r="320" spans="1:11" x14ac:dyDescent="0.3">
      <c r="A320" t="s">
        <v>20</v>
      </c>
      <c r="B320" t="s">
        <v>46</v>
      </c>
      <c r="C320" t="s">
        <v>82</v>
      </c>
      <c r="D320">
        <v>0.2</v>
      </c>
      <c r="E320">
        <f>Tableau3[[#This Row],[Potential (PJ)]]/3.6</f>
        <v>5.5555555555555559E-2</v>
      </c>
      <c r="F320">
        <v>3.1659999999999999</v>
      </c>
      <c r="G320">
        <f>Tableau3[[#This Row],[Cost (€/GJ)]]*3.6</f>
        <v>11.397600000000001</v>
      </c>
      <c r="H320">
        <v>6.8428961748633883</v>
      </c>
      <c r="I320">
        <f>Tableau3[[#This Row],[GHG (kgCO2eq/GJ)]]*3.6</f>
        <v>24.634426229508197</v>
      </c>
      <c r="J320" t="s">
        <v>104</v>
      </c>
      <c r="K320" t="s">
        <v>108</v>
      </c>
    </row>
    <row r="321" spans="1:11" x14ac:dyDescent="0.3">
      <c r="A321" t="s">
        <v>20</v>
      </c>
      <c r="B321" t="s">
        <v>55</v>
      </c>
      <c r="C321" t="s">
        <v>86</v>
      </c>
      <c r="D321">
        <v>0.27760000000000001</v>
      </c>
      <c r="E321">
        <f>Tableau3[[#This Row],[Potential (PJ)]]/3.6</f>
        <v>7.7111111111111116E-2</v>
      </c>
      <c r="F321">
        <v>11.166</v>
      </c>
      <c r="G321">
        <f>Tableau3[[#This Row],[Cost (€/GJ)]]*3.6</f>
        <v>40.197600000000001</v>
      </c>
      <c r="H321">
        <v>40.299999999999997</v>
      </c>
      <c r="I321">
        <f>Tableau3[[#This Row],[GHG (kgCO2eq/GJ)]]*3.6</f>
        <v>145.07999999999998</v>
      </c>
      <c r="J321" t="s">
        <v>106</v>
      </c>
      <c r="K321" t="s">
        <v>109</v>
      </c>
    </row>
    <row r="322" spans="1:11" x14ac:dyDescent="0.3">
      <c r="A322" t="s">
        <v>20</v>
      </c>
      <c r="B322" t="s">
        <v>55</v>
      </c>
      <c r="C322" t="s">
        <v>89</v>
      </c>
      <c r="D322">
        <v>0.1338</v>
      </c>
      <c r="E322">
        <f>Tableau3[[#This Row],[Potential (PJ)]]/3.6</f>
        <v>3.7166666666666667E-2</v>
      </c>
      <c r="F322">
        <v>0</v>
      </c>
      <c r="G322">
        <f>Tableau3[[#This Row],[Cost (€/GJ)]]*3.6</f>
        <v>0</v>
      </c>
      <c r="H322">
        <v>40.299999999999997</v>
      </c>
      <c r="I322">
        <f>Tableau3[[#This Row],[GHG (kgCO2eq/GJ)]]*3.6</f>
        <v>145.07999999999998</v>
      </c>
      <c r="J322" t="s">
        <v>106</v>
      </c>
      <c r="K322" t="s">
        <v>109</v>
      </c>
    </row>
    <row r="323" spans="1:11" x14ac:dyDescent="0.3">
      <c r="A323" t="s">
        <v>20</v>
      </c>
      <c r="B323" t="s">
        <v>55</v>
      </c>
      <c r="C323" t="s">
        <v>91</v>
      </c>
      <c r="D323">
        <v>4.2099999999999999E-2</v>
      </c>
      <c r="E323">
        <f>Tableau3[[#This Row],[Potential (PJ)]]/3.6</f>
        <v>1.1694444444444443E-2</v>
      </c>
      <c r="F323">
        <v>13.903</v>
      </c>
      <c r="G323">
        <f>Tableau3[[#This Row],[Cost (€/GJ)]]*3.6</f>
        <v>50.050800000000002</v>
      </c>
      <c r="H323">
        <v>40.299999999999997</v>
      </c>
      <c r="I323">
        <f>Tableau3[[#This Row],[GHG (kgCO2eq/GJ)]]*3.6</f>
        <v>145.07999999999998</v>
      </c>
      <c r="J323" t="s">
        <v>106</v>
      </c>
      <c r="K323" t="s">
        <v>109</v>
      </c>
    </row>
    <row r="324" spans="1:11" x14ac:dyDescent="0.3">
      <c r="A324" t="s">
        <v>20</v>
      </c>
      <c r="B324" t="s">
        <v>55</v>
      </c>
      <c r="C324" t="s">
        <v>92</v>
      </c>
      <c r="D324">
        <v>0.25703999999999999</v>
      </c>
      <c r="E324">
        <f>Tableau3[[#This Row],[Potential (PJ)]]/3.6</f>
        <v>7.1399999999999991E-2</v>
      </c>
      <c r="F324">
        <v>11.269</v>
      </c>
      <c r="G324">
        <f>Tableau3[[#This Row],[Cost (€/GJ)]]*3.6</f>
        <v>40.568400000000004</v>
      </c>
      <c r="H324">
        <v>40.299999999999997</v>
      </c>
      <c r="I324">
        <f>Tableau3[[#This Row],[GHG (kgCO2eq/GJ)]]*3.6</f>
        <v>145.07999999999998</v>
      </c>
      <c r="J324" t="s">
        <v>106</v>
      </c>
      <c r="K324" t="s">
        <v>109</v>
      </c>
    </row>
    <row r="325" spans="1:11" x14ac:dyDescent="0.3">
      <c r="A325" t="s">
        <v>20</v>
      </c>
      <c r="B325" t="s">
        <v>47</v>
      </c>
      <c r="C325" t="s">
        <v>101</v>
      </c>
      <c r="D325">
        <v>11</v>
      </c>
      <c r="E325">
        <f>Tableau3[[#This Row],[Potential (PJ)]]/3.6</f>
        <v>3.0555555555555554</v>
      </c>
      <c r="F325">
        <v>5.3702090909090909</v>
      </c>
      <c r="G325">
        <f>Tableau3[[#This Row],[Cost (€/GJ)]]*3.6</f>
        <v>19.332752727272727</v>
      </c>
      <c r="H325">
        <v>42</v>
      </c>
      <c r="I325">
        <f>Tableau3[[#This Row],[GHG (kgCO2eq/GJ)]]*3.6</f>
        <v>151.20000000000002</v>
      </c>
      <c r="J325" t="s">
        <v>104</v>
      </c>
      <c r="K325" t="s">
        <v>109</v>
      </c>
    </row>
    <row r="326" spans="1:11" x14ac:dyDescent="0.3">
      <c r="A326" t="s">
        <v>20</v>
      </c>
      <c r="B326" t="s">
        <v>57</v>
      </c>
      <c r="C326" t="s">
        <v>94</v>
      </c>
      <c r="D326">
        <v>3.5</v>
      </c>
      <c r="E326">
        <f>Tableau3[[#This Row],[Potential (PJ)]]/3.6</f>
        <v>0.97222222222222221</v>
      </c>
      <c r="F326">
        <v>13.48605714285714</v>
      </c>
      <c r="G326">
        <f>Tableau3[[#This Row],[Cost (€/GJ)]]*3.6</f>
        <v>48.549805714285704</v>
      </c>
      <c r="H326">
        <v>24.6</v>
      </c>
      <c r="I326">
        <f>Tableau3[[#This Row],[GHG (kgCO2eq/GJ)]]*3.6</f>
        <v>88.56</v>
      </c>
      <c r="J326" t="s">
        <v>104</v>
      </c>
      <c r="K326" t="s">
        <v>109</v>
      </c>
    </row>
    <row r="327" spans="1:11" x14ac:dyDescent="0.3">
      <c r="A327" t="s">
        <v>20</v>
      </c>
      <c r="B327" t="s">
        <v>49</v>
      </c>
      <c r="C327" t="s">
        <v>71</v>
      </c>
      <c r="D327">
        <v>180.62753000000001</v>
      </c>
      <c r="E327">
        <f>Tableau3[[#This Row],[Potential (PJ)]]/3.6</f>
        <v>50.174313888888889</v>
      </c>
      <c r="F327">
        <v>6.6597373595818956</v>
      </c>
      <c r="G327">
        <f>Tableau3[[#This Row],[Cost (€/GJ)]]*3.6</f>
        <v>23.975054494494824</v>
      </c>
      <c r="H327">
        <v>3.86607608129234</v>
      </c>
      <c r="I327">
        <f>Tableau3[[#This Row],[GHG (kgCO2eq/GJ)]]*3.6</f>
        <v>13.917873892652425</v>
      </c>
      <c r="J327" t="s">
        <v>104</v>
      </c>
      <c r="K327" t="s">
        <v>108</v>
      </c>
    </row>
    <row r="328" spans="1:11" x14ac:dyDescent="0.3">
      <c r="A328" t="s">
        <v>20</v>
      </c>
      <c r="B328" t="s">
        <v>49</v>
      </c>
      <c r="C328" t="s">
        <v>72</v>
      </c>
      <c r="D328">
        <v>12</v>
      </c>
      <c r="E328">
        <f>Tableau3[[#This Row],[Potential (PJ)]]/3.6</f>
        <v>3.333333333333333</v>
      </c>
      <c r="F328">
        <v>5.3291833333333329</v>
      </c>
      <c r="G328">
        <f>Tableau3[[#This Row],[Cost (€/GJ)]]*3.6</f>
        <v>19.18506</v>
      </c>
      <c r="H328">
        <v>3.86607608129234</v>
      </c>
      <c r="I328">
        <f>Tableau3[[#This Row],[GHG (kgCO2eq/GJ)]]*3.6</f>
        <v>13.917873892652425</v>
      </c>
      <c r="J328" t="s">
        <v>104</v>
      </c>
      <c r="K328" t="s">
        <v>108</v>
      </c>
    </row>
    <row r="329" spans="1:11" x14ac:dyDescent="0.3">
      <c r="A329" t="s">
        <v>20</v>
      </c>
      <c r="B329" t="s">
        <v>58</v>
      </c>
      <c r="C329" t="s">
        <v>95</v>
      </c>
      <c r="D329">
        <v>8.1992399999999996</v>
      </c>
      <c r="E329">
        <f>Tableau3[[#This Row],[Potential (PJ)]]/3.6</f>
        <v>2.2775666666666665</v>
      </c>
      <c r="F329">
        <v>2.815292363682488</v>
      </c>
      <c r="G329">
        <f>Tableau3[[#This Row],[Cost (€/GJ)]]*3.6</f>
        <v>10.135052509256957</v>
      </c>
      <c r="H329">
        <v>2.9521711768407801</v>
      </c>
      <c r="I329">
        <f>Tableau3[[#This Row],[GHG (kgCO2eq/GJ)]]*3.6</f>
        <v>10.627816236626808</v>
      </c>
      <c r="J329" t="s">
        <v>104</v>
      </c>
      <c r="K329" t="s">
        <v>108</v>
      </c>
    </row>
    <row r="330" spans="1:11" x14ac:dyDescent="0.3">
      <c r="A330" t="s">
        <v>20</v>
      </c>
      <c r="B330" t="s">
        <v>50</v>
      </c>
      <c r="C330" t="s">
        <v>73</v>
      </c>
      <c r="D330">
        <v>1.3</v>
      </c>
      <c r="E330">
        <f>Tableau3[[#This Row],[Potential (PJ)]]/3.6</f>
        <v>0.3611111111111111</v>
      </c>
      <c r="F330">
        <v>5.6762307692307683</v>
      </c>
      <c r="G330">
        <f>Tableau3[[#This Row],[Cost (€/GJ)]]*3.6</f>
        <v>20.434430769230765</v>
      </c>
      <c r="H330">
        <v>20.723404255319149</v>
      </c>
      <c r="I330">
        <f>Tableau3[[#This Row],[GHG (kgCO2eq/GJ)]]*3.6</f>
        <v>74.604255319148933</v>
      </c>
      <c r="J330" t="s">
        <v>105</v>
      </c>
      <c r="K330" t="s">
        <v>108</v>
      </c>
    </row>
    <row r="331" spans="1:11" x14ac:dyDescent="0.3">
      <c r="A331" t="s">
        <v>20</v>
      </c>
      <c r="B331" t="s">
        <v>50</v>
      </c>
      <c r="C331" t="s">
        <v>74</v>
      </c>
      <c r="D331">
        <v>2.5</v>
      </c>
      <c r="E331">
        <f>Tableau3[[#This Row],[Potential (PJ)]]/3.6</f>
        <v>0.69444444444444442</v>
      </c>
      <c r="F331">
        <v>6.4279200000000003</v>
      </c>
      <c r="G331">
        <f>Tableau3[[#This Row],[Cost (€/GJ)]]*3.6</f>
        <v>23.140512000000001</v>
      </c>
      <c r="H331">
        <v>2.0635593220338988</v>
      </c>
      <c r="I331">
        <f>Tableau3[[#This Row],[GHG (kgCO2eq/GJ)]]*3.6</f>
        <v>7.4288135593220357</v>
      </c>
      <c r="J331" t="s">
        <v>105</v>
      </c>
      <c r="K331" t="s">
        <v>108</v>
      </c>
    </row>
    <row r="332" spans="1:11" x14ac:dyDescent="0.3">
      <c r="A332" t="s">
        <v>20</v>
      </c>
      <c r="B332" t="s">
        <v>51</v>
      </c>
      <c r="C332" t="s">
        <v>75</v>
      </c>
      <c r="D332">
        <v>9.3824690000000004</v>
      </c>
      <c r="E332">
        <f>Tableau3[[#This Row],[Potential (PJ)]]/3.6</f>
        <v>2.6062413888888889</v>
      </c>
      <c r="F332">
        <v>5.7009650964802198E-2</v>
      </c>
      <c r="G332">
        <f>Tableau3[[#This Row],[Cost (€/GJ)]]*3.6</f>
        <v>0.20523474347328791</v>
      </c>
      <c r="H332">
        <v>11.74</v>
      </c>
      <c r="I332">
        <f>Tableau3[[#This Row],[GHG (kgCO2eq/GJ)]]*3.6</f>
        <v>42.264000000000003</v>
      </c>
      <c r="J332" t="s">
        <v>104</v>
      </c>
      <c r="K332" t="s">
        <v>108</v>
      </c>
    </row>
    <row r="333" spans="1:11" x14ac:dyDescent="0.3">
      <c r="A333" t="s">
        <v>20</v>
      </c>
      <c r="B333" t="s">
        <v>60</v>
      </c>
      <c r="C333" t="s">
        <v>98</v>
      </c>
      <c r="D333">
        <v>1.0769500000000001</v>
      </c>
      <c r="E333">
        <f>Tableau3[[#This Row],[Potential (PJ)]]/3.6</f>
        <v>0.29915277777777777</v>
      </c>
      <c r="F333">
        <v>19.01181525241676</v>
      </c>
      <c r="G333">
        <f>Tableau3[[#This Row],[Cost (€/GJ)]]*3.6</f>
        <v>68.442534908700338</v>
      </c>
      <c r="H333">
        <v>98.1</v>
      </c>
      <c r="I333">
        <f>Tableau3[[#This Row],[GHG (kgCO2eq/GJ)]]*3.6</f>
        <v>353.15999999999997</v>
      </c>
      <c r="J333" t="s">
        <v>107</v>
      </c>
      <c r="K333" t="s">
        <v>109</v>
      </c>
    </row>
    <row r="334" spans="1:11" x14ac:dyDescent="0.3">
      <c r="A334" t="s">
        <v>20</v>
      </c>
      <c r="B334" t="s">
        <v>52</v>
      </c>
      <c r="C334" t="s">
        <v>76</v>
      </c>
      <c r="D334">
        <v>2.4729999999999999</v>
      </c>
      <c r="E334">
        <f>Tableau3[[#This Row],[Potential (PJ)]]/3.6</f>
        <v>0.68694444444444436</v>
      </c>
      <c r="F334">
        <v>7.5037500000000001</v>
      </c>
      <c r="G334">
        <f>Tableau3[[#This Row],[Cost (€/GJ)]]*3.6</f>
        <v>27.013500000000001</v>
      </c>
      <c r="H334">
        <v>12.68872359754714</v>
      </c>
      <c r="I334">
        <f>Tableau3[[#This Row],[GHG (kgCO2eq/GJ)]]*3.6</f>
        <v>45.679404951169708</v>
      </c>
      <c r="J334" t="s">
        <v>105</v>
      </c>
      <c r="K334" t="s">
        <v>108</v>
      </c>
    </row>
    <row r="335" spans="1:11" x14ac:dyDescent="0.3">
      <c r="A335" t="s">
        <v>20</v>
      </c>
      <c r="B335" t="s">
        <v>53</v>
      </c>
      <c r="C335" t="s">
        <v>77</v>
      </c>
      <c r="D335">
        <v>10.9</v>
      </c>
      <c r="E335">
        <f>Tableau3[[#This Row],[Potential (PJ)]]/3.6</f>
        <v>3.0277777777777777</v>
      </c>
      <c r="F335">
        <v>5.3291834862385317</v>
      </c>
      <c r="G335">
        <f>Tableau3[[#This Row],[Cost (€/GJ)]]*3.6</f>
        <v>19.185060550458715</v>
      </c>
      <c r="H335">
        <v>3.86607608129234</v>
      </c>
      <c r="I335">
        <f>Tableau3[[#This Row],[GHG (kgCO2eq/GJ)]]*3.6</f>
        <v>13.917873892652425</v>
      </c>
      <c r="J335" t="s">
        <v>104</v>
      </c>
      <c r="K335" t="s">
        <v>108</v>
      </c>
    </row>
    <row r="336" spans="1:11" x14ac:dyDescent="0.3">
      <c r="A336" t="s">
        <v>20</v>
      </c>
      <c r="B336" t="s">
        <v>61</v>
      </c>
      <c r="C336" t="s">
        <v>99</v>
      </c>
      <c r="D336">
        <v>36.5</v>
      </c>
      <c r="E336">
        <f>Tableau3[[#This Row],[Potential (PJ)]]/3.6</f>
        <v>10.138888888888889</v>
      </c>
      <c r="F336">
        <v>1.885027397260274</v>
      </c>
      <c r="G336">
        <f>Tableau3[[#This Row],[Cost (€/GJ)]]*3.6</f>
        <v>6.786098630136987</v>
      </c>
      <c r="H336">
        <v>2.9245635910224439</v>
      </c>
      <c r="I336">
        <f>Tableau3[[#This Row],[GHG (kgCO2eq/GJ)]]*3.6</f>
        <v>10.528428927680798</v>
      </c>
      <c r="J336" t="s">
        <v>104</v>
      </c>
      <c r="K336" t="s">
        <v>108</v>
      </c>
    </row>
    <row r="337" spans="1:11" x14ac:dyDescent="0.3">
      <c r="A337" t="s">
        <v>20</v>
      </c>
      <c r="B337" t="s">
        <v>62</v>
      </c>
      <c r="C337" t="s">
        <v>100</v>
      </c>
      <c r="D337">
        <v>15.4</v>
      </c>
      <c r="E337">
        <f>Tableau3[[#This Row],[Potential (PJ)]]/3.6</f>
        <v>4.2777777777777777</v>
      </c>
      <c r="F337">
        <v>0.69675324675324679</v>
      </c>
      <c r="G337">
        <f>Tableau3[[#This Row],[Cost (€/GJ)]]*3.6</f>
        <v>2.5083116883116885</v>
      </c>
      <c r="H337">
        <v>2.6764106050305911</v>
      </c>
      <c r="I337">
        <f>Tableau3[[#This Row],[GHG (kgCO2eq/GJ)]]*3.6</f>
        <v>9.6350781781101276</v>
      </c>
      <c r="J337" t="s">
        <v>104</v>
      </c>
      <c r="K337" t="s">
        <v>108</v>
      </c>
    </row>
    <row r="338" spans="1:11" x14ac:dyDescent="0.3">
      <c r="A338" t="s">
        <v>20</v>
      </c>
      <c r="B338" t="s">
        <v>54</v>
      </c>
      <c r="C338" t="s">
        <v>78</v>
      </c>
      <c r="D338">
        <v>163.80000000000001</v>
      </c>
      <c r="E338">
        <f>Tableau3[[#This Row],[Potential (PJ)]]/3.6</f>
        <v>45.5</v>
      </c>
      <c r="F338">
        <v>11.182003052503051</v>
      </c>
      <c r="G338">
        <f>Tableau3[[#This Row],[Cost (€/GJ)]]*3.6</f>
        <v>40.255210989010983</v>
      </c>
      <c r="H338">
        <v>3.86607608129234</v>
      </c>
      <c r="I338">
        <f>Tableau3[[#This Row],[GHG (kgCO2eq/GJ)]]*3.6</f>
        <v>13.917873892652425</v>
      </c>
      <c r="J338" t="s">
        <v>104</v>
      </c>
      <c r="K338" t="s">
        <v>108</v>
      </c>
    </row>
    <row r="339" spans="1:11" x14ac:dyDescent="0.3">
      <c r="A339" t="s">
        <v>21</v>
      </c>
      <c r="B339" t="s">
        <v>46</v>
      </c>
      <c r="C339" t="s">
        <v>63</v>
      </c>
      <c r="D339">
        <v>9.2999999999999999E-2</v>
      </c>
      <c r="E339">
        <f>Tableau3[[#This Row],[Potential (PJ)]]/3.6</f>
        <v>2.5833333333333333E-2</v>
      </c>
      <c r="F339">
        <v>2.9286474973375931</v>
      </c>
      <c r="G339">
        <f>Tableau3[[#This Row],[Cost (€/GJ)]]*3.6</f>
        <v>10.543130990415335</v>
      </c>
      <c r="H339">
        <v>3.950479233226837</v>
      </c>
      <c r="I339">
        <f>Tableau3[[#This Row],[GHG (kgCO2eq/GJ)]]*3.6</f>
        <v>14.221725239616614</v>
      </c>
      <c r="J339" t="s">
        <v>104</v>
      </c>
      <c r="K339" s="3" t="s">
        <v>108</v>
      </c>
    </row>
    <row r="340" spans="1:11" x14ac:dyDescent="0.3">
      <c r="A340" t="s">
        <v>21</v>
      </c>
      <c r="B340" t="s">
        <v>46</v>
      </c>
      <c r="C340" t="s">
        <v>64</v>
      </c>
      <c r="D340">
        <v>0.34860999999999998</v>
      </c>
      <c r="E340">
        <f>Tableau3[[#This Row],[Potential (PJ)]]/3.6</f>
        <v>9.6836111111111095E-2</v>
      </c>
      <c r="F340">
        <v>5.6672279624795614</v>
      </c>
      <c r="G340">
        <f>Tableau3[[#This Row],[Cost (€/GJ)]]*3.6</f>
        <v>20.402020664926422</v>
      </c>
      <c r="H340">
        <v>2.9521711768407801</v>
      </c>
      <c r="I340">
        <f>Tableau3[[#This Row],[GHG (kgCO2eq/GJ)]]*3.6</f>
        <v>10.627816236626808</v>
      </c>
      <c r="J340" t="s">
        <v>104</v>
      </c>
      <c r="K340" s="3" t="s">
        <v>108</v>
      </c>
    </row>
    <row r="341" spans="1:11" x14ac:dyDescent="0.3">
      <c r="A341" t="s">
        <v>21</v>
      </c>
      <c r="B341" t="s">
        <v>46</v>
      </c>
      <c r="C341" t="s">
        <v>79</v>
      </c>
      <c r="D341">
        <v>154.5</v>
      </c>
      <c r="E341">
        <f>Tableau3[[#This Row],[Potential (PJ)]]/3.6</f>
        <v>42.916666666666664</v>
      </c>
      <c r="F341">
        <v>2.93982718446602</v>
      </c>
      <c r="G341">
        <f>Tableau3[[#This Row],[Cost (€/GJ)]]*3.6</f>
        <v>10.583377864077672</v>
      </c>
      <c r="H341">
        <v>6.8428961748633883</v>
      </c>
      <c r="I341">
        <f>Tableau3[[#This Row],[GHG (kgCO2eq/GJ)]]*3.6</f>
        <v>24.634426229508197</v>
      </c>
      <c r="J341" t="s">
        <v>104</v>
      </c>
      <c r="K341" s="3" t="s">
        <v>108</v>
      </c>
    </row>
    <row r="342" spans="1:11" x14ac:dyDescent="0.3">
      <c r="A342" t="s">
        <v>21</v>
      </c>
      <c r="B342" t="s">
        <v>46</v>
      </c>
      <c r="C342" t="s">
        <v>65</v>
      </c>
      <c r="D342">
        <v>0.60000000000000009</v>
      </c>
      <c r="E342">
        <f>Tableau3[[#This Row],[Potential (PJ)]]/3.6</f>
        <v>0.16666666666666669</v>
      </c>
      <c r="F342">
        <v>6.9894999999999996</v>
      </c>
      <c r="G342">
        <f>Tableau3[[#This Row],[Cost (€/GJ)]]*3.6</f>
        <v>25.162199999999999</v>
      </c>
      <c r="H342">
        <v>2.9521711768407801</v>
      </c>
      <c r="I342">
        <f>Tableau3[[#This Row],[GHG (kgCO2eq/GJ)]]*3.6</f>
        <v>10.627816236626808</v>
      </c>
      <c r="J342" t="s">
        <v>104</v>
      </c>
      <c r="K342" s="3" t="s">
        <v>108</v>
      </c>
    </row>
    <row r="343" spans="1:11" x14ac:dyDescent="0.3">
      <c r="A343" t="s">
        <v>21</v>
      </c>
      <c r="B343" t="s">
        <v>46</v>
      </c>
      <c r="C343" t="s">
        <v>80</v>
      </c>
      <c r="D343">
        <v>2.7307199999999998</v>
      </c>
      <c r="E343">
        <f>Tableau3[[#This Row],[Potential (PJ)]]/3.6</f>
        <v>0.75853333333333328</v>
      </c>
      <c r="F343">
        <v>0.72016183412002699</v>
      </c>
      <c r="G343">
        <f>Tableau3[[#This Row],[Cost (€/GJ)]]*3.6</f>
        <v>2.5925826028320973</v>
      </c>
      <c r="H343">
        <v>28.139870918023309</v>
      </c>
      <c r="I343">
        <f>Tableau3[[#This Row],[GHG (kgCO2eq/GJ)]]*3.6</f>
        <v>101.30353530488391</v>
      </c>
      <c r="J343" t="s">
        <v>105</v>
      </c>
      <c r="K343" s="3" t="s">
        <v>108</v>
      </c>
    </row>
    <row r="344" spans="1:11" x14ac:dyDescent="0.3">
      <c r="A344" t="s">
        <v>21</v>
      </c>
      <c r="B344" t="s">
        <v>46</v>
      </c>
      <c r="C344" t="s">
        <v>81</v>
      </c>
      <c r="D344">
        <v>7.8512899999999997</v>
      </c>
      <c r="E344">
        <f>Tableau3[[#This Row],[Potential (PJ)]]/3.6</f>
        <v>2.1809138888888886</v>
      </c>
      <c r="F344">
        <v>0.98883666274970616</v>
      </c>
      <c r="G344">
        <f>Tableau3[[#This Row],[Cost (€/GJ)]]*3.6</f>
        <v>3.5598119858989423</v>
      </c>
      <c r="H344">
        <v>8.9647473560517046</v>
      </c>
      <c r="I344">
        <f>Tableau3[[#This Row],[GHG (kgCO2eq/GJ)]]*3.6</f>
        <v>32.273090481786134</v>
      </c>
      <c r="J344" t="s">
        <v>105</v>
      </c>
      <c r="K344" s="3" t="s">
        <v>108</v>
      </c>
    </row>
    <row r="345" spans="1:11" x14ac:dyDescent="0.3">
      <c r="A345" t="s">
        <v>21</v>
      </c>
      <c r="B345" t="s">
        <v>46</v>
      </c>
      <c r="C345" t="s">
        <v>66</v>
      </c>
      <c r="D345">
        <v>26.5</v>
      </c>
      <c r="E345">
        <f>Tableau3[[#This Row],[Potential (PJ)]]/3.6</f>
        <v>7.3611111111111107</v>
      </c>
      <c r="F345">
        <v>3.0306679245283021</v>
      </c>
      <c r="G345">
        <f>Tableau3[[#This Row],[Cost (€/GJ)]]*3.6</f>
        <v>10.910404528301887</v>
      </c>
      <c r="H345">
        <v>6.8428961748633883</v>
      </c>
      <c r="I345">
        <f>Tableau3[[#This Row],[GHG (kgCO2eq/GJ)]]*3.6</f>
        <v>24.634426229508197</v>
      </c>
      <c r="J345" t="s">
        <v>104</v>
      </c>
      <c r="K345" s="3" t="s">
        <v>108</v>
      </c>
    </row>
    <row r="346" spans="1:11" x14ac:dyDescent="0.3">
      <c r="A346" t="s">
        <v>21</v>
      </c>
      <c r="B346" t="s">
        <v>46</v>
      </c>
      <c r="C346" t="s">
        <v>67</v>
      </c>
      <c r="D346">
        <v>0.1</v>
      </c>
      <c r="E346">
        <f>Tableau3[[#This Row],[Potential (PJ)]]/3.6</f>
        <v>2.777777777777778E-2</v>
      </c>
      <c r="F346">
        <v>10.445</v>
      </c>
      <c r="G346">
        <f>Tableau3[[#This Row],[Cost (€/GJ)]]*3.6</f>
        <v>37.602000000000004</v>
      </c>
      <c r="H346">
        <v>2.9521711768407801</v>
      </c>
      <c r="I346">
        <f>Tableau3[[#This Row],[GHG (kgCO2eq/GJ)]]*3.6</f>
        <v>10.627816236626808</v>
      </c>
      <c r="J346" t="s">
        <v>104</v>
      </c>
      <c r="K346" s="3" t="s">
        <v>108</v>
      </c>
    </row>
    <row r="347" spans="1:11" x14ac:dyDescent="0.3">
      <c r="A347" t="s">
        <v>21</v>
      </c>
      <c r="B347" t="s">
        <v>46</v>
      </c>
      <c r="C347" t="s">
        <v>82</v>
      </c>
      <c r="D347">
        <v>22.9</v>
      </c>
      <c r="E347">
        <f>Tableau3[[#This Row],[Potential (PJ)]]/3.6</f>
        <v>6.3611111111111107</v>
      </c>
      <c r="F347">
        <v>1.9205109170305681</v>
      </c>
      <c r="G347">
        <f>Tableau3[[#This Row],[Cost (€/GJ)]]*3.6</f>
        <v>6.9138393013100456</v>
      </c>
      <c r="H347">
        <v>6.8428961748633883</v>
      </c>
      <c r="I347">
        <f>Tableau3[[#This Row],[GHG (kgCO2eq/GJ)]]*3.6</f>
        <v>24.634426229508197</v>
      </c>
      <c r="J347" t="s">
        <v>104</v>
      </c>
      <c r="K347" s="3" t="s">
        <v>108</v>
      </c>
    </row>
    <row r="348" spans="1:11" x14ac:dyDescent="0.3">
      <c r="A348" t="s">
        <v>21</v>
      </c>
      <c r="B348" t="s">
        <v>46</v>
      </c>
      <c r="C348" t="s">
        <v>83</v>
      </c>
      <c r="D348">
        <v>0.45226</v>
      </c>
      <c r="E348">
        <f>Tableau3[[#This Row],[Potential (PJ)]]/3.6</f>
        <v>0.12562777777777778</v>
      </c>
      <c r="F348">
        <v>2.8340889974793262</v>
      </c>
      <c r="G348">
        <f>Tableau3[[#This Row],[Cost (€/GJ)]]*3.6</f>
        <v>10.202720390925574</v>
      </c>
      <c r="H348">
        <v>6.8428961748633883</v>
      </c>
      <c r="I348">
        <f>Tableau3[[#This Row],[GHG (kgCO2eq/GJ)]]*3.6</f>
        <v>24.634426229508197</v>
      </c>
      <c r="J348" t="s">
        <v>104</v>
      </c>
      <c r="K348" s="3" t="s">
        <v>108</v>
      </c>
    </row>
    <row r="349" spans="1:11" x14ac:dyDescent="0.3">
      <c r="A349" t="s">
        <v>21</v>
      </c>
      <c r="B349" t="s">
        <v>46</v>
      </c>
      <c r="C349" t="s">
        <v>84</v>
      </c>
      <c r="D349">
        <v>2.4</v>
      </c>
      <c r="E349">
        <f>Tableau3[[#This Row],[Potential (PJ)]]/3.6</f>
        <v>0.66666666666666663</v>
      </c>
      <c r="F349">
        <v>2.1967500000000002</v>
      </c>
      <c r="G349">
        <f>Tableau3[[#This Row],[Cost (€/GJ)]]*3.6</f>
        <v>7.9083000000000006</v>
      </c>
      <c r="H349">
        <v>28.139870918023309</v>
      </c>
      <c r="I349">
        <f>Tableau3[[#This Row],[GHG (kgCO2eq/GJ)]]*3.6</f>
        <v>101.30353530488391</v>
      </c>
      <c r="J349" t="s">
        <v>105</v>
      </c>
      <c r="K349" s="3" t="s">
        <v>108</v>
      </c>
    </row>
    <row r="350" spans="1:11" x14ac:dyDescent="0.3">
      <c r="A350" t="s">
        <v>21</v>
      </c>
      <c r="B350" t="s">
        <v>46</v>
      </c>
      <c r="C350" t="s">
        <v>85</v>
      </c>
      <c r="D350">
        <v>6.2</v>
      </c>
      <c r="E350">
        <f>Tableau3[[#This Row],[Potential (PJ)]]/3.6</f>
        <v>1.7222222222222223</v>
      </c>
      <c r="F350">
        <v>4.8302580645161282</v>
      </c>
      <c r="G350">
        <f>Tableau3[[#This Row],[Cost (€/GJ)]]*3.6</f>
        <v>17.388929032258062</v>
      </c>
      <c r="H350">
        <v>2.9521711768407801</v>
      </c>
      <c r="I350">
        <f>Tableau3[[#This Row],[GHG (kgCO2eq/GJ)]]*3.6</f>
        <v>10.627816236626808</v>
      </c>
      <c r="J350" t="s">
        <v>104</v>
      </c>
      <c r="K350" s="3" t="s">
        <v>108</v>
      </c>
    </row>
    <row r="351" spans="1:11" x14ac:dyDescent="0.3">
      <c r="A351" t="s">
        <v>21</v>
      </c>
      <c r="B351" t="s">
        <v>55</v>
      </c>
      <c r="C351" t="s">
        <v>86</v>
      </c>
      <c r="D351">
        <v>3.2273000000000001</v>
      </c>
      <c r="E351">
        <f>Tableau3[[#This Row],[Potential (PJ)]]/3.6</f>
        <v>0.89647222222222223</v>
      </c>
      <c r="F351">
        <v>11.15</v>
      </c>
      <c r="G351">
        <f>Tableau3[[#This Row],[Cost (€/GJ)]]*3.6</f>
        <v>40.14</v>
      </c>
      <c r="H351">
        <v>19.100000000000001</v>
      </c>
      <c r="I351">
        <f>Tableau3[[#This Row],[GHG (kgCO2eq/GJ)]]*3.6</f>
        <v>68.760000000000005</v>
      </c>
      <c r="J351" t="s">
        <v>106</v>
      </c>
      <c r="K351" s="3" t="s">
        <v>109</v>
      </c>
    </row>
    <row r="352" spans="1:11" x14ac:dyDescent="0.3">
      <c r="A352" t="s">
        <v>21</v>
      </c>
      <c r="B352" t="s">
        <v>55</v>
      </c>
      <c r="C352" t="s">
        <v>87</v>
      </c>
      <c r="D352">
        <v>11.291600000000001</v>
      </c>
      <c r="E352">
        <f>Tableau3[[#This Row],[Potential (PJ)]]/3.6</f>
        <v>3.1365555555555558</v>
      </c>
      <c r="F352">
        <v>12.73199999999999</v>
      </c>
      <c r="G352">
        <f>Tableau3[[#This Row],[Cost (€/GJ)]]*3.6</f>
        <v>45.835199999999965</v>
      </c>
      <c r="H352">
        <v>19.100000000000001</v>
      </c>
      <c r="I352">
        <f>Tableau3[[#This Row],[GHG (kgCO2eq/GJ)]]*3.6</f>
        <v>68.760000000000005</v>
      </c>
      <c r="J352" t="s">
        <v>106</v>
      </c>
      <c r="K352" s="3" t="s">
        <v>109</v>
      </c>
    </row>
    <row r="353" spans="1:11" x14ac:dyDescent="0.3">
      <c r="A353" t="s">
        <v>21</v>
      </c>
      <c r="B353" t="s">
        <v>55</v>
      </c>
      <c r="C353" t="s">
        <v>88</v>
      </c>
      <c r="D353">
        <v>8.475200000000001</v>
      </c>
      <c r="E353">
        <f>Tableau3[[#This Row],[Potential (PJ)]]/3.6</f>
        <v>2.3542222222222224</v>
      </c>
      <c r="F353">
        <v>12.164999999999999</v>
      </c>
      <c r="G353">
        <f>Tableau3[[#This Row],[Cost (€/GJ)]]*3.6</f>
        <v>43.793999999999997</v>
      </c>
      <c r="H353">
        <v>19.100000000000001</v>
      </c>
      <c r="I353">
        <f>Tableau3[[#This Row],[GHG (kgCO2eq/GJ)]]*3.6</f>
        <v>68.760000000000005</v>
      </c>
      <c r="J353" t="s">
        <v>106</v>
      </c>
      <c r="K353" s="3" t="s">
        <v>109</v>
      </c>
    </row>
    <row r="354" spans="1:11" x14ac:dyDescent="0.3">
      <c r="A354" t="s">
        <v>21</v>
      </c>
      <c r="B354" t="s">
        <v>55</v>
      </c>
      <c r="C354" t="s">
        <v>90</v>
      </c>
      <c r="D354">
        <v>3.4799999999999998E-2</v>
      </c>
      <c r="E354">
        <f>Tableau3[[#This Row],[Potential (PJ)]]/3.6</f>
        <v>9.6666666666666654E-3</v>
      </c>
      <c r="F354">
        <v>10.86000000000001</v>
      </c>
      <c r="G354">
        <f>Tableau3[[#This Row],[Cost (€/GJ)]]*3.6</f>
        <v>39.096000000000039</v>
      </c>
      <c r="H354">
        <v>19.100000000000001</v>
      </c>
      <c r="I354">
        <f>Tableau3[[#This Row],[GHG (kgCO2eq/GJ)]]*3.6</f>
        <v>68.760000000000005</v>
      </c>
      <c r="J354" t="s">
        <v>106</v>
      </c>
      <c r="K354" s="3" t="s">
        <v>109</v>
      </c>
    </row>
    <row r="355" spans="1:11" x14ac:dyDescent="0.3">
      <c r="A355" t="s">
        <v>21</v>
      </c>
      <c r="B355" t="s">
        <v>55</v>
      </c>
      <c r="C355" t="s">
        <v>91</v>
      </c>
      <c r="D355">
        <v>9.1000000000000004E-3</v>
      </c>
      <c r="E355">
        <f>Tableau3[[#This Row],[Potential (PJ)]]/3.6</f>
        <v>2.5277777777777777E-3</v>
      </c>
      <c r="F355">
        <v>12.561999999999999</v>
      </c>
      <c r="G355">
        <f>Tableau3[[#This Row],[Cost (€/GJ)]]*3.6</f>
        <v>45.223199999999999</v>
      </c>
      <c r="H355">
        <v>19.100000000000001</v>
      </c>
      <c r="I355">
        <f>Tableau3[[#This Row],[GHG (kgCO2eq/GJ)]]*3.6</f>
        <v>68.760000000000005</v>
      </c>
      <c r="J355" t="s">
        <v>106</v>
      </c>
      <c r="K355" s="3" t="s">
        <v>109</v>
      </c>
    </row>
    <row r="356" spans="1:11" x14ac:dyDescent="0.3">
      <c r="A356" t="s">
        <v>21</v>
      </c>
      <c r="B356" t="s">
        <v>55</v>
      </c>
      <c r="C356" t="s">
        <v>92</v>
      </c>
      <c r="D356">
        <v>4.0243200000000003</v>
      </c>
      <c r="E356">
        <f>Tableau3[[#This Row],[Potential (PJ)]]/3.6</f>
        <v>1.1178666666666668</v>
      </c>
      <c r="F356">
        <v>12.73199999999999</v>
      </c>
      <c r="G356">
        <f>Tableau3[[#This Row],[Cost (€/GJ)]]*3.6</f>
        <v>45.835199999999965</v>
      </c>
      <c r="H356">
        <v>19.100000000000001</v>
      </c>
      <c r="I356">
        <f>Tableau3[[#This Row],[GHG (kgCO2eq/GJ)]]*3.6</f>
        <v>68.760000000000005</v>
      </c>
      <c r="J356" t="s">
        <v>106</v>
      </c>
      <c r="K356" s="3" t="s">
        <v>109</v>
      </c>
    </row>
    <row r="357" spans="1:11" x14ac:dyDescent="0.3">
      <c r="A357" t="s">
        <v>21</v>
      </c>
      <c r="B357" t="s">
        <v>56</v>
      </c>
      <c r="C357" t="s">
        <v>93</v>
      </c>
      <c r="D357">
        <v>228.25909999999999</v>
      </c>
      <c r="E357">
        <f>Tableau3[[#This Row],[Potential (PJ)]]/3.6</f>
        <v>63.40530555555555</v>
      </c>
      <c r="F357">
        <v>2.939759036144578</v>
      </c>
      <c r="G357">
        <f>Tableau3[[#This Row],[Cost (€/GJ)]]*3.6</f>
        <v>10.583132530120482</v>
      </c>
      <c r="H357">
        <v>25.9</v>
      </c>
      <c r="I357">
        <f>Tableau3[[#This Row],[GHG (kgCO2eq/GJ)]]*3.6</f>
        <v>93.24</v>
      </c>
      <c r="J357" t="s">
        <v>106</v>
      </c>
      <c r="K357" s="3" t="s">
        <v>109</v>
      </c>
    </row>
    <row r="358" spans="1:11" x14ac:dyDescent="0.3">
      <c r="A358" t="s">
        <v>21</v>
      </c>
      <c r="B358" t="s">
        <v>47</v>
      </c>
      <c r="C358" t="s">
        <v>68</v>
      </c>
      <c r="D358">
        <v>81.600000000000009</v>
      </c>
      <c r="E358">
        <f>Tableau3[[#This Row],[Potential (PJ)]]/3.6</f>
        <v>22.666666666666668</v>
      </c>
      <c r="F358">
        <v>5.7885906862745093</v>
      </c>
      <c r="G358">
        <f>Tableau3[[#This Row],[Cost (€/GJ)]]*3.6</f>
        <v>20.838926470588234</v>
      </c>
      <c r="H358">
        <v>18.5</v>
      </c>
      <c r="I358">
        <f>Tableau3[[#This Row],[GHG (kgCO2eq/GJ)]]*3.6</f>
        <v>66.600000000000009</v>
      </c>
      <c r="J358" t="s">
        <v>104</v>
      </c>
      <c r="K358" s="3" t="s">
        <v>109</v>
      </c>
    </row>
    <row r="359" spans="1:11" x14ac:dyDescent="0.3">
      <c r="A359" t="s">
        <v>21</v>
      </c>
      <c r="B359" t="s">
        <v>47</v>
      </c>
      <c r="C359" t="s">
        <v>69</v>
      </c>
      <c r="D359">
        <v>85.6</v>
      </c>
      <c r="E359">
        <f>Tableau3[[#This Row],[Potential (PJ)]]/3.6</f>
        <v>23.777777777777775</v>
      </c>
      <c r="F359">
        <v>5.5007943925233649</v>
      </c>
      <c r="G359">
        <f>Tableau3[[#This Row],[Cost (€/GJ)]]*3.6</f>
        <v>19.802859813084115</v>
      </c>
      <c r="H359">
        <v>18.5</v>
      </c>
      <c r="I359">
        <f>Tableau3[[#This Row],[GHG (kgCO2eq/GJ)]]*3.6</f>
        <v>66.600000000000009</v>
      </c>
      <c r="J359" t="s">
        <v>104</v>
      </c>
      <c r="K359" s="3" t="s">
        <v>109</v>
      </c>
    </row>
    <row r="360" spans="1:11" x14ac:dyDescent="0.3">
      <c r="A360" t="s">
        <v>21</v>
      </c>
      <c r="B360" t="s">
        <v>57</v>
      </c>
      <c r="C360" t="s">
        <v>94</v>
      </c>
      <c r="D360">
        <v>25.5</v>
      </c>
      <c r="E360">
        <f>Tableau3[[#This Row],[Potential (PJ)]]/3.6</f>
        <v>7.083333333333333</v>
      </c>
      <c r="F360">
        <v>10.5643568627451</v>
      </c>
      <c r="G360">
        <f>Tableau3[[#This Row],[Cost (€/GJ)]]*3.6</f>
        <v>38.031684705882363</v>
      </c>
      <c r="H360">
        <v>15</v>
      </c>
      <c r="I360">
        <f>Tableau3[[#This Row],[GHG (kgCO2eq/GJ)]]*3.6</f>
        <v>54</v>
      </c>
      <c r="J360" t="s">
        <v>104</v>
      </c>
      <c r="K360" s="3" t="s">
        <v>109</v>
      </c>
    </row>
    <row r="361" spans="1:11" x14ac:dyDescent="0.3">
      <c r="A361" t="s">
        <v>21</v>
      </c>
      <c r="B361" t="s">
        <v>48</v>
      </c>
      <c r="C361" t="s">
        <v>70</v>
      </c>
      <c r="D361">
        <v>2.7</v>
      </c>
      <c r="E361">
        <f>Tableau3[[#This Row],[Potential (PJ)]]/3.6</f>
        <v>0.75</v>
      </c>
      <c r="F361">
        <v>13.19962962962963</v>
      </c>
      <c r="G361">
        <f>Tableau3[[#This Row],[Cost (€/GJ)]]*3.6</f>
        <v>47.518666666666668</v>
      </c>
      <c r="H361">
        <v>15</v>
      </c>
      <c r="I361">
        <f>Tableau3[[#This Row],[GHG (kgCO2eq/GJ)]]*3.6</f>
        <v>54</v>
      </c>
      <c r="J361" t="s">
        <v>104</v>
      </c>
      <c r="K361" s="3" t="s">
        <v>109</v>
      </c>
    </row>
    <row r="362" spans="1:11" x14ac:dyDescent="0.3">
      <c r="A362" t="s">
        <v>21</v>
      </c>
      <c r="B362" t="s">
        <v>49</v>
      </c>
      <c r="C362" t="s">
        <v>71</v>
      </c>
      <c r="D362">
        <v>141.63987</v>
      </c>
      <c r="E362">
        <f>Tableau3[[#This Row],[Potential (PJ)]]/3.6</f>
        <v>39.344408333333334</v>
      </c>
      <c r="F362">
        <v>5.4810411999107309</v>
      </c>
      <c r="G362">
        <f>Tableau3[[#This Row],[Cost (€/GJ)]]*3.6</f>
        <v>19.731748319678633</v>
      </c>
      <c r="H362">
        <v>3.86607608129234</v>
      </c>
      <c r="I362">
        <f>Tableau3[[#This Row],[GHG (kgCO2eq/GJ)]]*3.6</f>
        <v>13.917873892652425</v>
      </c>
      <c r="J362" t="s">
        <v>104</v>
      </c>
      <c r="K362" s="3" t="s">
        <v>108</v>
      </c>
    </row>
    <row r="363" spans="1:11" x14ac:dyDescent="0.3">
      <c r="A363" t="s">
        <v>21</v>
      </c>
      <c r="B363" t="s">
        <v>49</v>
      </c>
      <c r="C363" t="s">
        <v>72</v>
      </c>
      <c r="D363">
        <v>51.9</v>
      </c>
      <c r="E363">
        <f>Tableau3[[#This Row],[Potential (PJ)]]/3.6</f>
        <v>14.416666666666666</v>
      </c>
      <c r="F363">
        <v>4.3886416184971102</v>
      </c>
      <c r="G363">
        <f>Tableau3[[#This Row],[Cost (€/GJ)]]*3.6</f>
        <v>15.799109826589596</v>
      </c>
      <c r="H363">
        <v>3.86607608129234</v>
      </c>
      <c r="I363">
        <f>Tableau3[[#This Row],[GHG (kgCO2eq/GJ)]]*3.6</f>
        <v>13.917873892652425</v>
      </c>
      <c r="J363" t="s">
        <v>104</v>
      </c>
      <c r="K363" s="3" t="s">
        <v>108</v>
      </c>
    </row>
    <row r="364" spans="1:11" x14ac:dyDescent="0.3">
      <c r="A364" t="s">
        <v>21</v>
      </c>
      <c r="B364" t="s">
        <v>58</v>
      </c>
      <c r="C364" t="s">
        <v>95</v>
      </c>
      <c r="D364">
        <v>48.5122</v>
      </c>
      <c r="E364">
        <f>Tableau3[[#This Row],[Potential (PJ)]]/3.6</f>
        <v>13.47561111111111</v>
      </c>
      <c r="F364">
        <v>3.030899208858802</v>
      </c>
      <c r="G364">
        <f>Tableau3[[#This Row],[Cost (€/GJ)]]*3.6</f>
        <v>10.911237151891688</v>
      </c>
      <c r="H364">
        <v>2.9521711768407801</v>
      </c>
      <c r="I364">
        <f>Tableau3[[#This Row],[GHG (kgCO2eq/GJ)]]*3.6</f>
        <v>10.627816236626808</v>
      </c>
      <c r="J364" t="s">
        <v>104</v>
      </c>
      <c r="K364" s="3" t="s">
        <v>108</v>
      </c>
    </row>
    <row r="365" spans="1:11" x14ac:dyDescent="0.3">
      <c r="A365" t="s">
        <v>21</v>
      </c>
      <c r="B365" t="s">
        <v>50</v>
      </c>
      <c r="C365" t="s">
        <v>73</v>
      </c>
      <c r="D365">
        <v>23.2</v>
      </c>
      <c r="E365">
        <f>Tableau3[[#This Row],[Potential (PJ)]]/3.6</f>
        <v>6.4444444444444438</v>
      </c>
      <c r="F365">
        <v>5.5667801724137922</v>
      </c>
      <c r="G365">
        <f>Tableau3[[#This Row],[Cost (€/GJ)]]*3.6</f>
        <v>20.040408620689654</v>
      </c>
      <c r="H365">
        <v>20.723404255319149</v>
      </c>
      <c r="I365">
        <f>Tableau3[[#This Row],[GHG (kgCO2eq/GJ)]]*3.6</f>
        <v>74.604255319148933</v>
      </c>
      <c r="J365" t="s">
        <v>105</v>
      </c>
      <c r="K365" s="3" t="s">
        <v>108</v>
      </c>
    </row>
    <row r="366" spans="1:11" x14ac:dyDescent="0.3">
      <c r="A366" t="s">
        <v>21</v>
      </c>
      <c r="B366" t="s">
        <v>50</v>
      </c>
      <c r="C366" t="s">
        <v>74</v>
      </c>
      <c r="D366">
        <v>235.5</v>
      </c>
      <c r="E366">
        <f>Tableau3[[#This Row],[Potential (PJ)]]/3.6</f>
        <v>65.416666666666671</v>
      </c>
      <c r="F366">
        <v>6.3717711252653926</v>
      </c>
      <c r="G366">
        <f>Tableau3[[#This Row],[Cost (€/GJ)]]*3.6</f>
        <v>22.938376050955412</v>
      </c>
      <c r="H366">
        <v>2.0635593220338988</v>
      </c>
      <c r="I366">
        <f>Tableau3[[#This Row],[GHG (kgCO2eq/GJ)]]*3.6</f>
        <v>7.4288135593220357</v>
      </c>
      <c r="J366" t="s">
        <v>105</v>
      </c>
      <c r="K366" s="3" t="s">
        <v>108</v>
      </c>
    </row>
    <row r="367" spans="1:11" x14ac:dyDescent="0.3">
      <c r="A367" t="s">
        <v>21</v>
      </c>
      <c r="B367" t="s">
        <v>59</v>
      </c>
      <c r="C367" t="s">
        <v>96</v>
      </c>
      <c r="D367">
        <v>12.4503</v>
      </c>
      <c r="E367">
        <f>Tableau3[[#This Row],[Potential (PJ)]]/3.6</f>
        <v>3.4584166666666665</v>
      </c>
      <c r="F367">
        <v>17.413</v>
      </c>
      <c r="G367">
        <f>Tableau3[[#This Row],[Cost (€/GJ)]]*3.6</f>
        <v>62.686800000000005</v>
      </c>
      <c r="H367">
        <v>20</v>
      </c>
      <c r="I367">
        <f>Tableau3[[#This Row],[GHG (kgCO2eq/GJ)]]*3.6</f>
        <v>72</v>
      </c>
      <c r="J367" t="s">
        <v>107</v>
      </c>
      <c r="K367" s="3" t="s">
        <v>109</v>
      </c>
    </row>
    <row r="368" spans="1:11" x14ac:dyDescent="0.3">
      <c r="A368" t="s">
        <v>21</v>
      </c>
      <c r="B368" t="s">
        <v>59</v>
      </c>
      <c r="C368" t="s">
        <v>97</v>
      </c>
      <c r="D368">
        <v>19.6188</v>
      </c>
      <c r="E368">
        <f>Tableau3[[#This Row],[Potential (PJ)]]/3.6</f>
        <v>5.4496666666666664</v>
      </c>
      <c r="F368">
        <v>18.393922951709168</v>
      </c>
      <c r="G368">
        <f>Tableau3[[#This Row],[Cost (€/GJ)]]*3.6</f>
        <v>66.218122626153004</v>
      </c>
      <c r="H368">
        <v>20</v>
      </c>
      <c r="I368">
        <f>Tableau3[[#This Row],[GHG (kgCO2eq/GJ)]]*3.6</f>
        <v>72</v>
      </c>
      <c r="J368" t="s">
        <v>107</v>
      </c>
      <c r="K368" s="3" t="s">
        <v>109</v>
      </c>
    </row>
    <row r="369" spans="1:11" x14ac:dyDescent="0.3">
      <c r="A369" t="s">
        <v>21</v>
      </c>
      <c r="B369" t="s">
        <v>51</v>
      </c>
      <c r="C369" t="s">
        <v>75</v>
      </c>
      <c r="D369">
        <v>68.264250000000004</v>
      </c>
      <c r="E369">
        <f>Tableau3[[#This Row],[Potential (PJ)]]/3.6</f>
        <v>18.962291666666669</v>
      </c>
      <c r="F369">
        <v>8.6239052614247594E-2</v>
      </c>
      <c r="G369">
        <f>Tableau3[[#This Row],[Cost (€/GJ)]]*3.6</f>
        <v>0.31046058941129134</v>
      </c>
      <c r="H369">
        <v>11.74</v>
      </c>
      <c r="I369">
        <f>Tableau3[[#This Row],[GHG (kgCO2eq/GJ)]]*3.6</f>
        <v>42.264000000000003</v>
      </c>
      <c r="J369" t="s">
        <v>104</v>
      </c>
      <c r="K369" s="3" t="s">
        <v>108</v>
      </c>
    </row>
    <row r="370" spans="1:11" x14ac:dyDescent="0.3">
      <c r="A370" t="s">
        <v>21</v>
      </c>
      <c r="B370" t="s">
        <v>60</v>
      </c>
      <c r="C370" t="s">
        <v>98</v>
      </c>
      <c r="D370">
        <v>79.589129999999997</v>
      </c>
      <c r="E370">
        <f>Tableau3[[#This Row],[Potential (PJ)]]/3.6</f>
        <v>22.108091666666667</v>
      </c>
      <c r="F370">
        <v>17.3469387755102</v>
      </c>
      <c r="G370">
        <f>Tableau3[[#This Row],[Cost (€/GJ)]]*3.6</f>
        <v>62.448979591836718</v>
      </c>
      <c r="H370">
        <v>26.3</v>
      </c>
      <c r="I370">
        <f>Tableau3[[#This Row],[GHG (kgCO2eq/GJ)]]*3.6</f>
        <v>94.68</v>
      </c>
      <c r="J370" t="s">
        <v>107</v>
      </c>
      <c r="K370" s="3" t="s">
        <v>109</v>
      </c>
    </row>
    <row r="371" spans="1:11" x14ac:dyDescent="0.3">
      <c r="A371" t="s">
        <v>21</v>
      </c>
      <c r="B371" t="s">
        <v>52</v>
      </c>
      <c r="C371" t="s">
        <v>76</v>
      </c>
      <c r="D371">
        <v>5.0000000000000001E-3</v>
      </c>
      <c r="E371">
        <f>Tableau3[[#This Row],[Potential (PJ)]]/3.6</f>
        <v>1.3888888888888889E-3</v>
      </c>
      <c r="F371">
        <v>7.5037500000000001</v>
      </c>
      <c r="G371">
        <f>Tableau3[[#This Row],[Cost (€/GJ)]]*3.6</f>
        <v>27.013500000000001</v>
      </c>
      <c r="H371">
        <v>12.68872359754714</v>
      </c>
      <c r="I371">
        <f>Tableau3[[#This Row],[GHG (kgCO2eq/GJ)]]*3.6</f>
        <v>45.679404951169708</v>
      </c>
      <c r="J371" t="s">
        <v>105</v>
      </c>
      <c r="K371" s="3" t="s">
        <v>108</v>
      </c>
    </row>
    <row r="372" spans="1:11" x14ac:dyDescent="0.3">
      <c r="A372" t="s">
        <v>21</v>
      </c>
      <c r="B372" t="s">
        <v>53</v>
      </c>
      <c r="C372" t="s">
        <v>77</v>
      </c>
      <c r="D372">
        <v>78.5</v>
      </c>
      <c r="E372">
        <f>Tableau3[[#This Row],[Potential (PJ)]]/3.6</f>
        <v>21.805555555555554</v>
      </c>
      <c r="F372">
        <v>4.3886471337579618</v>
      </c>
      <c r="G372">
        <f>Tableau3[[#This Row],[Cost (€/GJ)]]*3.6</f>
        <v>15.799129681528663</v>
      </c>
      <c r="H372">
        <v>3.86607608129234</v>
      </c>
      <c r="I372">
        <f>Tableau3[[#This Row],[GHG (kgCO2eq/GJ)]]*3.6</f>
        <v>13.917873892652425</v>
      </c>
      <c r="J372" t="s">
        <v>104</v>
      </c>
      <c r="K372" s="3" t="s">
        <v>108</v>
      </c>
    </row>
    <row r="373" spans="1:11" x14ac:dyDescent="0.3">
      <c r="A373" t="s">
        <v>21</v>
      </c>
      <c r="B373" t="s">
        <v>61</v>
      </c>
      <c r="C373" t="s">
        <v>99</v>
      </c>
      <c r="D373">
        <v>25.2</v>
      </c>
      <c r="E373">
        <f>Tableau3[[#This Row],[Potential (PJ)]]/3.6</f>
        <v>7</v>
      </c>
      <c r="F373">
        <v>2.2079404761904771</v>
      </c>
      <c r="G373">
        <f>Tableau3[[#This Row],[Cost (€/GJ)]]*3.6</f>
        <v>7.9485857142857173</v>
      </c>
      <c r="H373">
        <v>2.9245635910224439</v>
      </c>
      <c r="I373">
        <f>Tableau3[[#This Row],[GHG (kgCO2eq/GJ)]]*3.6</f>
        <v>10.528428927680798</v>
      </c>
      <c r="J373" t="s">
        <v>104</v>
      </c>
      <c r="K373" s="3" t="s">
        <v>108</v>
      </c>
    </row>
    <row r="374" spans="1:11" x14ac:dyDescent="0.3">
      <c r="A374" t="s">
        <v>21</v>
      </c>
      <c r="B374" t="s">
        <v>62</v>
      </c>
      <c r="C374" t="s">
        <v>100</v>
      </c>
      <c r="D374">
        <v>7.6</v>
      </c>
      <c r="E374">
        <f>Tableau3[[#This Row],[Potential (PJ)]]/3.6</f>
        <v>2.1111111111111112</v>
      </c>
      <c r="F374">
        <v>0.15657894736842101</v>
      </c>
      <c r="G374">
        <f>Tableau3[[#This Row],[Cost (€/GJ)]]*3.6</f>
        <v>0.56368421052631568</v>
      </c>
      <c r="H374">
        <v>2.6764106050305911</v>
      </c>
      <c r="I374">
        <f>Tableau3[[#This Row],[GHG (kgCO2eq/GJ)]]*3.6</f>
        <v>9.6350781781101276</v>
      </c>
      <c r="J374" t="s">
        <v>104</v>
      </c>
      <c r="K374" s="3" t="s">
        <v>108</v>
      </c>
    </row>
    <row r="375" spans="1:11" x14ac:dyDescent="0.3">
      <c r="A375" t="s">
        <v>21</v>
      </c>
      <c r="B375" t="s">
        <v>54</v>
      </c>
      <c r="C375" t="s">
        <v>78</v>
      </c>
      <c r="D375">
        <v>213.5</v>
      </c>
      <c r="E375">
        <f>Tableau3[[#This Row],[Potential (PJ)]]/3.6</f>
        <v>59.305555555555557</v>
      </c>
      <c r="F375">
        <v>9.1536121779859485</v>
      </c>
      <c r="G375">
        <f>Tableau3[[#This Row],[Cost (€/GJ)]]*3.6</f>
        <v>32.953003840749417</v>
      </c>
      <c r="H375">
        <v>3.86607608129234</v>
      </c>
      <c r="I375">
        <f>Tableau3[[#This Row],[GHG (kgCO2eq/GJ)]]*3.6</f>
        <v>13.917873892652425</v>
      </c>
      <c r="J375" t="s">
        <v>104</v>
      </c>
      <c r="K375" s="3" t="s">
        <v>108</v>
      </c>
    </row>
    <row r="376" spans="1:11" x14ac:dyDescent="0.3">
      <c r="A376" t="s">
        <v>22</v>
      </c>
      <c r="B376" t="s">
        <v>46</v>
      </c>
      <c r="C376" t="s">
        <v>103</v>
      </c>
      <c r="D376">
        <v>9.6737680000000008</v>
      </c>
      <c r="E376">
        <f>Tableau3[[#This Row],[Potential (PJ)]]/3.6</f>
        <v>2.6871577777777778</v>
      </c>
      <c r="F376">
        <v>0</v>
      </c>
      <c r="G376">
        <f>Tableau3[[#This Row],[Cost (€/GJ)]]*3.6</f>
        <v>0</v>
      </c>
      <c r="I376">
        <f>Tableau3[[#This Row],[GHG (kgCO2eq/GJ)]]*3.6</f>
        <v>0</v>
      </c>
      <c r="K376"/>
    </row>
    <row r="377" spans="1:11" x14ac:dyDescent="0.3">
      <c r="A377" t="s">
        <v>22</v>
      </c>
      <c r="B377" t="s">
        <v>46</v>
      </c>
      <c r="C377" t="s">
        <v>63</v>
      </c>
      <c r="D377">
        <v>4.7600000000000003E-2</v>
      </c>
      <c r="E377">
        <f>Tableau3[[#This Row],[Potential (PJ)]]/3.6</f>
        <v>1.3222222222222222E-2</v>
      </c>
      <c r="F377">
        <v>2.9286474973375931</v>
      </c>
      <c r="G377">
        <f>Tableau3[[#This Row],[Cost (€/GJ)]]*3.6</f>
        <v>10.543130990415335</v>
      </c>
      <c r="H377">
        <v>3.950479233226837</v>
      </c>
      <c r="I377">
        <f>Tableau3[[#This Row],[GHG (kgCO2eq/GJ)]]*3.6</f>
        <v>14.221725239616614</v>
      </c>
      <c r="J377" t="s">
        <v>104</v>
      </c>
      <c r="K377" t="s">
        <v>108</v>
      </c>
    </row>
    <row r="378" spans="1:11" x14ac:dyDescent="0.3">
      <c r="A378" t="s">
        <v>22</v>
      </c>
      <c r="B378" t="s">
        <v>46</v>
      </c>
      <c r="C378" t="s">
        <v>80</v>
      </c>
      <c r="D378">
        <v>0.53729000000000005</v>
      </c>
      <c r="E378">
        <f>Tableau3[[#This Row],[Potential (PJ)]]/3.6</f>
        <v>0.14924722222222223</v>
      </c>
      <c r="F378">
        <v>0.91773432231962238</v>
      </c>
      <c r="G378">
        <f>Tableau3[[#This Row],[Cost (€/GJ)]]*3.6</f>
        <v>3.3038435603506406</v>
      </c>
      <c r="H378">
        <v>28.139870918023309</v>
      </c>
      <c r="I378">
        <f>Tableau3[[#This Row],[GHG (kgCO2eq/GJ)]]*3.6</f>
        <v>101.30353530488391</v>
      </c>
      <c r="J378" t="s">
        <v>105</v>
      </c>
      <c r="K378" t="s">
        <v>108</v>
      </c>
    </row>
    <row r="379" spans="1:11" x14ac:dyDescent="0.3">
      <c r="A379" t="s">
        <v>22</v>
      </c>
      <c r="B379" t="s">
        <v>46</v>
      </c>
      <c r="C379" t="s">
        <v>81</v>
      </c>
      <c r="D379">
        <v>0.43811</v>
      </c>
      <c r="E379">
        <f>Tableau3[[#This Row],[Potential (PJ)]]/3.6</f>
        <v>0.12169722222222222</v>
      </c>
      <c r="F379">
        <v>3.6856639247943601</v>
      </c>
      <c r="G379">
        <f>Tableau3[[#This Row],[Cost (€/GJ)]]*3.6</f>
        <v>13.268390129259696</v>
      </c>
      <c r="H379">
        <v>8.9647473560517046</v>
      </c>
      <c r="I379">
        <f>Tableau3[[#This Row],[GHG (kgCO2eq/GJ)]]*3.6</f>
        <v>32.273090481786134</v>
      </c>
      <c r="J379" t="s">
        <v>105</v>
      </c>
      <c r="K379" t="s">
        <v>108</v>
      </c>
    </row>
    <row r="380" spans="1:11" x14ac:dyDescent="0.3">
      <c r="A380" t="s">
        <v>22</v>
      </c>
      <c r="B380" t="s">
        <v>55</v>
      </c>
      <c r="C380" t="s">
        <v>87</v>
      </c>
      <c r="D380">
        <v>25.9925</v>
      </c>
      <c r="E380">
        <f>Tableau3[[#This Row],[Potential (PJ)]]/3.6</f>
        <v>7.2201388888888882</v>
      </c>
      <c r="F380">
        <v>12.648999999999999</v>
      </c>
      <c r="G380">
        <f>Tableau3[[#This Row],[Cost (€/GJ)]]*3.6</f>
        <v>45.5364</v>
      </c>
      <c r="H380">
        <v>11.5</v>
      </c>
      <c r="I380">
        <f>Tableau3[[#This Row],[GHG (kgCO2eq/GJ)]]*3.6</f>
        <v>41.4</v>
      </c>
      <c r="J380" t="s">
        <v>106</v>
      </c>
      <c r="K380" t="s">
        <v>109</v>
      </c>
    </row>
    <row r="381" spans="1:11" x14ac:dyDescent="0.3">
      <c r="A381" t="s">
        <v>22</v>
      </c>
      <c r="B381" t="s">
        <v>55</v>
      </c>
      <c r="C381" t="s">
        <v>88</v>
      </c>
      <c r="D381">
        <v>0.47310000000000002</v>
      </c>
      <c r="E381">
        <f>Tableau3[[#This Row],[Potential (PJ)]]/3.6</f>
        <v>0.13141666666666668</v>
      </c>
      <c r="F381">
        <v>8.6709999999999994</v>
      </c>
      <c r="G381">
        <f>Tableau3[[#This Row],[Cost (€/GJ)]]*3.6</f>
        <v>31.215599999999998</v>
      </c>
      <c r="H381">
        <v>11.5</v>
      </c>
      <c r="I381">
        <f>Tableau3[[#This Row],[GHG (kgCO2eq/GJ)]]*3.6</f>
        <v>41.4</v>
      </c>
      <c r="J381" t="s">
        <v>106</v>
      </c>
      <c r="K381" t="s">
        <v>109</v>
      </c>
    </row>
    <row r="382" spans="1:11" x14ac:dyDescent="0.3">
      <c r="A382" t="s">
        <v>22</v>
      </c>
      <c r="B382" t="s">
        <v>55</v>
      </c>
      <c r="C382" t="s">
        <v>89</v>
      </c>
      <c r="D382">
        <v>8.0000000000000004E-4</v>
      </c>
      <c r="E382">
        <f>Tableau3[[#This Row],[Potential (PJ)]]/3.6</f>
        <v>2.2222222222222223E-4</v>
      </c>
      <c r="F382">
        <v>0</v>
      </c>
      <c r="G382">
        <f>Tableau3[[#This Row],[Cost (€/GJ)]]*3.6</f>
        <v>0</v>
      </c>
      <c r="H382">
        <v>11.5</v>
      </c>
      <c r="I382">
        <f>Tableau3[[#This Row],[GHG (kgCO2eq/GJ)]]*3.6</f>
        <v>41.4</v>
      </c>
      <c r="J382" t="s">
        <v>106</v>
      </c>
      <c r="K382" t="s">
        <v>109</v>
      </c>
    </row>
    <row r="383" spans="1:11" x14ac:dyDescent="0.3">
      <c r="A383" t="s">
        <v>22</v>
      </c>
      <c r="B383" t="s">
        <v>55</v>
      </c>
      <c r="C383" t="s">
        <v>92</v>
      </c>
      <c r="D383">
        <v>4.9500000000000002E-2</v>
      </c>
      <c r="E383">
        <f>Tableau3[[#This Row],[Potential (PJ)]]/3.6</f>
        <v>1.375E-2</v>
      </c>
      <c r="F383">
        <v>12.648999999999999</v>
      </c>
      <c r="G383">
        <f>Tableau3[[#This Row],[Cost (€/GJ)]]*3.6</f>
        <v>45.5364</v>
      </c>
      <c r="H383">
        <v>11.5</v>
      </c>
      <c r="I383">
        <f>Tableau3[[#This Row],[GHG (kgCO2eq/GJ)]]*3.6</f>
        <v>41.4</v>
      </c>
      <c r="J383" t="s">
        <v>106</v>
      </c>
      <c r="K383" t="s">
        <v>109</v>
      </c>
    </row>
    <row r="384" spans="1:11" x14ac:dyDescent="0.3">
      <c r="A384" t="s">
        <v>22</v>
      </c>
      <c r="B384" t="s">
        <v>49</v>
      </c>
      <c r="C384" t="s">
        <v>71</v>
      </c>
      <c r="D384">
        <v>18.45262</v>
      </c>
      <c r="E384">
        <f>Tableau3[[#This Row],[Potential (PJ)]]/3.6</f>
        <v>5.1257277777777777</v>
      </c>
      <c r="F384">
        <v>2.9470000000000001</v>
      </c>
      <c r="G384">
        <f>Tableau3[[#This Row],[Cost (€/GJ)]]*3.6</f>
        <v>10.609200000000001</v>
      </c>
      <c r="H384">
        <v>3.86607608129234</v>
      </c>
      <c r="I384">
        <f>Tableau3[[#This Row],[GHG (kgCO2eq/GJ)]]*3.6</f>
        <v>13.917873892652425</v>
      </c>
      <c r="J384" t="s">
        <v>104</v>
      </c>
      <c r="K384" t="s">
        <v>108</v>
      </c>
    </row>
    <row r="385" spans="1:11" x14ac:dyDescent="0.3">
      <c r="A385" t="s">
        <v>22</v>
      </c>
      <c r="B385" t="s">
        <v>49</v>
      </c>
      <c r="C385" t="s">
        <v>72</v>
      </c>
      <c r="D385">
        <v>3.4</v>
      </c>
      <c r="E385">
        <f>Tableau3[[#This Row],[Potential (PJ)]]/3.6</f>
        <v>0.94444444444444442</v>
      </c>
      <c r="F385">
        <v>2.0110000000000001</v>
      </c>
      <c r="G385">
        <f>Tableau3[[#This Row],[Cost (€/GJ)]]*3.6</f>
        <v>7.2396000000000003</v>
      </c>
      <c r="H385">
        <v>3.86607608129234</v>
      </c>
      <c r="I385">
        <f>Tableau3[[#This Row],[GHG (kgCO2eq/GJ)]]*3.6</f>
        <v>13.917873892652425</v>
      </c>
      <c r="J385" t="s">
        <v>104</v>
      </c>
      <c r="K385" t="s">
        <v>108</v>
      </c>
    </row>
    <row r="386" spans="1:11" x14ac:dyDescent="0.3">
      <c r="A386" t="s">
        <v>22</v>
      </c>
      <c r="B386" t="s">
        <v>58</v>
      </c>
      <c r="C386" t="s">
        <v>103</v>
      </c>
      <c r="D386">
        <v>1.8063020000000001</v>
      </c>
      <c r="E386">
        <f>Tableau3[[#This Row],[Potential (PJ)]]/3.6</f>
        <v>0.50175055555555559</v>
      </c>
      <c r="F386">
        <v>0</v>
      </c>
      <c r="G386">
        <f>Tableau3[[#This Row],[Cost (€/GJ)]]*3.6</f>
        <v>0</v>
      </c>
      <c r="I386">
        <f>Tableau3[[#This Row],[GHG (kgCO2eq/GJ)]]*3.6</f>
        <v>0</v>
      </c>
      <c r="K386"/>
    </row>
    <row r="387" spans="1:11" x14ac:dyDescent="0.3">
      <c r="A387" t="s">
        <v>22</v>
      </c>
      <c r="B387" t="s">
        <v>50</v>
      </c>
      <c r="C387" t="s">
        <v>103</v>
      </c>
      <c r="D387">
        <v>3.2519339999999999</v>
      </c>
      <c r="E387">
        <f>Tableau3[[#This Row],[Potential (PJ)]]/3.6</f>
        <v>0.90331499999999998</v>
      </c>
      <c r="F387">
        <v>0</v>
      </c>
      <c r="G387">
        <f>Tableau3[[#This Row],[Cost (€/GJ)]]*3.6</f>
        <v>0</v>
      </c>
      <c r="I387">
        <f>Tableau3[[#This Row],[GHG (kgCO2eq/GJ)]]*3.6</f>
        <v>0</v>
      </c>
      <c r="K387"/>
    </row>
    <row r="388" spans="1:11" x14ac:dyDescent="0.3">
      <c r="A388" t="s">
        <v>22</v>
      </c>
      <c r="B388" t="s">
        <v>51</v>
      </c>
      <c r="C388" t="s">
        <v>75</v>
      </c>
      <c r="D388">
        <v>6.0519000000000003E-2</v>
      </c>
      <c r="E388">
        <f>Tableau3[[#This Row],[Potential (PJ)]]/3.6</f>
        <v>1.6810833333333334E-2</v>
      </c>
      <c r="F388">
        <v>3.5791574813733198E-2</v>
      </c>
      <c r="G388">
        <f>Tableau3[[#This Row],[Cost (€/GJ)]]*3.6</f>
        <v>0.12884966932943953</v>
      </c>
      <c r="H388">
        <v>11.74</v>
      </c>
      <c r="I388">
        <f>Tableau3[[#This Row],[GHG (kgCO2eq/GJ)]]*3.6</f>
        <v>42.264000000000003</v>
      </c>
      <c r="J388" t="s">
        <v>104</v>
      </c>
      <c r="K388" t="s">
        <v>108</v>
      </c>
    </row>
    <row r="389" spans="1:11" x14ac:dyDescent="0.3">
      <c r="A389" t="s">
        <v>22</v>
      </c>
      <c r="B389" t="s">
        <v>52</v>
      </c>
      <c r="C389" t="s">
        <v>76</v>
      </c>
      <c r="D389">
        <v>2.5000000000000001E-2</v>
      </c>
      <c r="E389">
        <f>Tableau3[[#This Row],[Potential (PJ)]]/3.6</f>
        <v>6.9444444444444449E-3</v>
      </c>
      <c r="F389">
        <v>7.5037500000000001</v>
      </c>
      <c r="G389">
        <f>Tableau3[[#This Row],[Cost (€/GJ)]]*3.6</f>
        <v>27.013500000000001</v>
      </c>
      <c r="H389">
        <v>12.68872359754714</v>
      </c>
      <c r="I389">
        <f>Tableau3[[#This Row],[GHG (kgCO2eq/GJ)]]*3.6</f>
        <v>45.679404951169708</v>
      </c>
      <c r="J389" t="s">
        <v>105</v>
      </c>
      <c r="K389" t="s">
        <v>108</v>
      </c>
    </row>
    <row r="390" spans="1:11" x14ac:dyDescent="0.3">
      <c r="A390" t="s">
        <v>22</v>
      </c>
      <c r="B390" t="s">
        <v>53</v>
      </c>
      <c r="C390" t="s">
        <v>77</v>
      </c>
      <c r="D390">
        <v>3.7</v>
      </c>
      <c r="E390">
        <f>Tableau3[[#This Row],[Potential (PJ)]]/3.6</f>
        <v>1.0277777777777779</v>
      </c>
      <c r="F390">
        <v>2.0110000000000001</v>
      </c>
      <c r="G390">
        <f>Tableau3[[#This Row],[Cost (€/GJ)]]*3.6</f>
        <v>7.2396000000000003</v>
      </c>
      <c r="H390">
        <v>3.86607608129234</v>
      </c>
      <c r="I390">
        <f>Tableau3[[#This Row],[GHG (kgCO2eq/GJ)]]*3.6</f>
        <v>13.917873892652425</v>
      </c>
      <c r="J390" t="s">
        <v>104</v>
      </c>
      <c r="K390" t="s">
        <v>108</v>
      </c>
    </row>
    <row r="391" spans="1:11" x14ac:dyDescent="0.3">
      <c r="A391" t="s">
        <v>22</v>
      </c>
      <c r="B391" t="s">
        <v>61</v>
      </c>
      <c r="C391" t="s">
        <v>103</v>
      </c>
      <c r="D391">
        <v>0.488037</v>
      </c>
      <c r="E391">
        <f>Tableau3[[#This Row],[Potential (PJ)]]/3.6</f>
        <v>0.13556583333333333</v>
      </c>
      <c r="F391">
        <v>0</v>
      </c>
      <c r="G391">
        <f>Tableau3[[#This Row],[Cost (€/GJ)]]*3.6</f>
        <v>0</v>
      </c>
      <c r="I391">
        <f>Tableau3[[#This Row],[GHG (kgCO2eq/GJ)]]*3.6</f>
        <v>0</v>
      </c>
      <c r="K391"/>
    </row>
    <row r="392" spans="1:11" x14ac:dyDescent="0.3">
      <c r="A392" t="s">
        <v>22</v>
      </c>
      <c r="B392" t="s">
        <v>62</v>
      </c>
      <c r="C392" t="s">
        <v>103</v>
      </c>
      <c r="D392">
        <v>0.152253</v>
      </c>
      <c r="E392">
        <f>Tableau3[[#This Row],[Potential (PJ)]]/3.6</f>
        <v>4.2292499999999997E-2</v>
      </c>
      <c r="F392">
        <v>0</v>
      </c>
      <c r="G392">
        <f>Tableau3[[#This Row],[Cost (€/GJ)]]*3.6</f>
        <v>0</v>
      </c>
      <c r="I392">
        <f>Tableau3[[#This Row],[GHG (kgCO2eq/GJ)]]*3.6</f>
        <v>0</v>
      </c>
      <c r="K392"/>
    </row>
    <row r="393" spans="1:11" x14ac:dyDescent="0.3">
      <c r="A393" t="s">
        <v>22</v>
      </c>
      <c r="B393" t="s">
        <v>54</v>
      </c>
      <c r="C393" t="s">
        <v>78</v>
      </c>
      <c r="D393">
        <v>20.3</v>
      </c>
      <c r="E393">
        <f>Tableau3[[#This Row],[Potential (PJ)]]/3.6</f>
        <v>5.6388888888888893</v>
      </c>
      <c r="F393">
        <v>3.6789999999999998</v>
      </c>
      <c r="G393">
        <f>Tableau3[[#This Row],[Cost (€/GJ)]]*3.6</f>
        <v>13.244399999999999</v>
      </c>
      <c r="H393">
        <v>3.86607608129234</v>
      </c>
      <c r="I393">
        <f>Tableau3[[#This Row],[GHG (kgCO2eq/GJ)]]*3.6</f>
        <v>13.917873892652425</v>
      </c>
      <c r="J393" t="s">
        <v>104</v>
      </c>
      <c r="K393" t="s">
        <v>108</v>
      </c>
    </row>
    <row r="394" spans="1:11" x14ac:dyDescent="0.3">
      <c r="A394" t="s">
        <v>23</v>
      </c>
      <c r="B394" t="s">
        <v>46</v>
      </c>
      <c r="C394" t="s">
        <v>64</v>
      </c>
      <c r="D394">
        <v>0.43168000000000001</v>
      </c>
      <c r="E394">
        <f>Tableau3[[#This Row],[Potential (PJ)]]/3.6</f>
        <v>0.11991111111111111</v>
      </c>
      <c r="F394">
        <v>6.1235181384358777</v>
      </c>
      <c r="G394">
        <f>Tableau3[[#This Row],[Cost (€/GJ)]]*3.6</f>
        <v>22.044665298369161</v>
      </c>
      <c r="H394">
        <v>2.9521711768407801</v>
      </c>
      <c r="I394">
        <f>Tableau3[[#This Row],[GHG (kgCO2eq/GJ)]]*3.6</f>
        <v>10.627816236626808</v>
      </c>
      <c r="J394" t="s">
        <v>104</v>
      </c>
      <c r="K394" t="s">
        <v>108</v>
      </c>
    </row>
    <row r="395" spans="1:11" x14ac:dyDescent="0.3">
      <c r="A395" t="s">
        <v>23</v>
      </c>
      <c r="B395" t="s">
        <v>46</v>
      </c>
      <c r="C395" t="s">
        <v>79</v>
      </c>
      <c r="D395">
        <v>24</v>
      </c>
      <c r="E395">
        <f>Tableau3[[#This Row],[Potential (PJ)]]/3.6</f>
        <v>6.6666666666666661</v>
      </c>
      <c r="F395">
        <v>3.881391666666667</v>
      </c>
      <c r="G395">
        <f>Tableau3[[#This Row],[Cost (€/GJ)]]*3.6</f>
        <v>13.973010000000002</v>
      </c>
      <c r="H395">
        <v>6.8428961748633883</v>
      </c>
      <c r="I395">
        <f>Tableau3[[#This Row],[GHG (kgCO2eq/GJ)]]*3.6</f>
        <v>24.634426229508197</v>
      </c>
      <c r="J395" t="s">
        <v>104</v>
      </c>
      <c r="K395" t="s">
        <v>108</v>
      </c>
    </row>
    <row r="396" spans="1:11" x14ac:dyDescent="0.3">
      <c r="A396" t="s">
        <v>23</v>
      </c>
      <c r="B396" t="s">
        <v>46</v>
      </c>
      <c r="C396" t="s">
        <v>65</v>
      </c>
      <c r="D396">
        <v>0.2</v>
      </c>
      <c r="E396">
        <f>Tableau3[[#This Row],[Potential (PJ)]]/3.6</f>
        <v>5.5555555555555559E-2</v>
      </c>
      <c r="F396">
        <v>4.4464999999999986</v>
      </c>
      <c r="G396">
        <f>Tableau3[[#This Row],[Cost (€/GJ)]]*3.6</f>
        <v>16.007399999999997</v>
      </c>
      <c r="H396">
        <v>2.9521711768407801</v>
      </c>
      <c r="I396">
        <f>Tableau3[[#This Row],[GHG (kgCO2eq/GJ)]]*3.6</f>
        <v>10.627816236626808</v>
      </c>
      <c r="J396" t="s">
        <v>104</v>
      </c>
      <c r="K396" t="s">
        <v>108</v>
      </c>
    </row>
    <row r="397" spans="1:11" x14ac:dyDescent="0.3">
      <c r="A397" t="s">
        <v>23</v>
      </c>
      <c r="B397" t="s">
        <v>46</v>
      </c>
      <c r="C397" t="s">
        <v>80</v>
      </c>
      <c r="D397">
        <v>0.69879999999999998</v>
      </c>
      <c r="E397">
        <f>Tableau3[[#This Row],[Potential (PJ)]]/3.6</f>
        <v>0.1941111111111111</v>
      </c>
      <c r="F397">
        <v>0.26432906271072149</v>
      </c>
      <c r="G397">
        <f>Tableau3[[#This Row],[Cost (€/GJ)]]*3.6</f>
        <v>0.95158462575859737</v>
      </c>
      <c r="H397">
        <v>28.139870918023309</v>
      </c>
      <c r="I397">
        <f>Tableau3[[#This Row],[GHG (kgCO2eq/GJ)]]*3.6</f>
        <v>101.30353530488391</v>
      </c>
      <c r="J397" t="s">
        <v>105</v>
      </c>
      <c r="K397" t="s">
        <v>108</v>
      </c>
    </row>
    <row r="398" spans="1:11" x14ac:dyDescent="0.3">
      <c r="A398" t="s">
        <v>23</v>
      </c>
      <c r="B398" t="s">
        <v>46</v>
      </c>
      <c r="C398" t="s">
        <v>81</v>
      </c>
      <c r="D398">
        <v>0.37370999999999999</v>
      </c>
      <c r="E398">
        <f>Tableau3[[#This Row],[Potential (PJ)]]/3.6</f>
        <v>0.10380833333333332</v>
      </c>
      <c r="F398">
        <v>1.533490011750881</v>
      </c>
      <c r="G398">
        <f>Tableau3[[#This Row],[Cost (€/GJ)]]*3.6</f>
        <v>5.5205640423031719</v>
      </c>
      <c r="H398">
        <v>8.9647473560517046</v>
      </c>
      <c r="I398">
        <f>Tableau3[[#This Row],[GHG (kgCO2eq/GJ)]]*3.6</f>
        <v>32.273090481786134</v>
      </c>
      <c r="J398" t="s">
        <v>105</v>
      </c>
      <c r="K398" t="s">
        <v>108</v>
      </c>
    </row>
    <row r="399" spans="1:11" x14ac:dyDescent="0.3">
      <c r="A399" t="s">
        <v>23</v>
      </c>
      <c r="B399" t="s">
        <v>46</v>
      </c>
      <c r="C399" t="s">
        <v>66</v>
      </c>
      <c r="D399">
        <v>16.399999999999999</v>
      </c>
      <c r="E399">
        <f>Tableau3[[#This Row],[Potential (PJ)]]/3.6</f>
        <v>4.5555555555555554</v>
      </c>
      <c r="F399">
        <v>4.007579268292683</v>
      </c>
      <c r="G399">
        <f>Tableau3[[#This Row],[Cost (€/GJ)]]*3.6</f>
        <v>14.42728536585366</v>
      </c>
      <c r="H399">
        <v>6.8428961748633883</v>
      </c>
      <c r="I399">
        <f>Tableau3[[#This Row],[GHG (kgCO2eq/GJ)]]*3.6</f>
        <v>24.634426229508197</v>
      </c>
      <c r="J399" t="s">
        <v>104</v>
      </c>
      <c r="K399" t="s">
        <v>108</v>
      </c>
    </row>
    <row r="400" spans="1:11" x14ac:dyDescent="0.3">
      <c r="A400" t="s">
        <v>23</v>
      </c>
      <c r="B400" t="s">
        <v>46</v>
      </c>
      <c r="C400" t="s">
        <v>82</v>
      </c>
      <c r="D400">
        <v>7.2</v>
      </c>
      <c r="E400">
        <f>Tableau3[[#This Row],[Potential (PJ)]]/3.6</f>
        <v>2</v>
      </c>
      <c r="F400">
        <v>2.438819444444444</v>
      </c>
      <c r="G400">
        <f>Tableau3[[#This Row],[Cost (€/GJ)]]*3.6</f>
        <v>8.7797499999999982</v>
      </c>
      <c r="H400">
        <v>6.8428961748633883</v>
      </c>
      <c r="I400">
        <f>Tableau3[[#This Row],[GHG (kgCO2eq/GJ)]]*3.6</f>
        <v>24.634426229508197</v>
      </c>
      <c r="J400" t="s">
        <v>104</v>
      </c>
      <c r="K400" t="s">
        <v>108</v>
      </c>
    </row>
    <row r="401" spans="1:11" x14ac:dyDescent="0.3">
      <c r="A401" t="s">
        <v>23</v>
      </c>
      <c r="B401" t="s">
        <v>46</v>
      </c>
      <c r="C401" t="s">
        <v>83</v>
      </c>
      <c r="D401">
        <v>3.4689999999999999E-2</v>
      </c>
      <c r="E401">
        <f>Tableau3[[#This Row],[Potential (PJ)]]/3.6</f>
        <v>9.6361111111111109E-3</v>
      </c>
      <c r="F401">
        <v>0</v>
      </c>
      <c r="G401">
        <f>Tableau3[[#This Row],[Cost (€/GJ)]]*3.6</f>
        <v>0</v>
      </c>
      <c r="H401">
        <v>6.8428961748633883</v>
      </c>
      <c r="I401">
        <f>Tableau3[[#This Row],[GHG (kgCO2eq/GJ)]]*3.6</f>
        <v>24.634426229508197</v>
      </c>
      <c r="J401" t="s">
        <v>104</v>
      </c>
      <c r="K401" t="s">
        <v>108</v>
      </c>
    </row>
    <row r="402" spans="1:11" x14ac:dyDescent="0.3">
      <c r="A402" t="s">
        <v>23</v>
      </c>
      <c r="B402" t="s">
        <v>46</v>
      </c>
      <c r="C402" t="s">
        <v>85</v>
      </c>
      <c r="D402">
        <v>0.4</v>
      </c>
      <c r="E402">
        <f>Tableau3[[#This Row],[Potential (PJ)]]/3.6</f>
        <v>0.11111111111111112</v>
      </c>
      <c r="F402">
        <v>3.7327499999999998</v>
      </c>
      <c r="G402">
        <f>Tableau3[[#This Row],[Cost (€/GJ)]]*3.6</f>
        <v>13.437899999999999</v>
      </c>
      <c r="H402">
        <v>2.9521711768407801</v>
      </c>
      <c r="I402">
        <f>Tableau3[[#This Row],[GHG (kgCO2eq/GJ)]]*3.6</f>
        <v>10.627816236626808</v>
      </c>
      <c r="J402" t="s">
        <v>104</v>
      </c>
      <c r="K402" t="s">
        <v>108</v>
      </c>
    </row>
    <row r="403" spans="1:11" x14ac:dyDescent="0.3">
      <c r="A403" t="s">
        <v>23</v>
      </c>
      <c r="B403" t="s">
        <v>55</v>
      </c>
      <c r="C403" t="s">
        <v>86</v>
      </c>
      <c r="D403">
        <v>0.83260000000000001</v>
      </c>
      <c r="E403">
        <f>Tableau3[[#This Row],[Potential (PJ)]]/3.6</f>
        <v>0.23127777777777778</v>
      </c>
      <c r="F403">
        <v>10.669</v>
      </c>
      <c r="G403">
        <f>Tableau3[[#This Row],[Cost (€/GJ)]]*3.6</f>
        <v>38.4084</v>
      </c>
      <c r="H403">
        <v>22.1</v>
      </c>
      <c r="I403">
        <f>Tableau3[[#This Row],[GHG (kgCO2eq/GJ)]]*3.6</f>
        <v>79.56</v>
      </c>
      <c r="J403" t="s">
        <v>106</v>
      </c>
      <c r="K403" t="s">
        <v>109</v>
      </c>
    </row>
    <row r="404" spans="1:11" x14ac:dyDescent="0.3">
      <c r="A404" t="s">
        <v>23</v>
      </c>
      <c r="B404" t="s">
        <v>55</v>
      </c>
      <c r="C404" t="s">
        <v>87</v>
      </c>
      <c r="D404">
        <v>0.443</v>
      </c>
      <c r="E404">
        <f>Tableau3[[#This Row],[Potential (PJ)]]/3.6</f>
        <v>0.12305555555555556</v>
      </c>
      <c r="F404">
        <v>11.878</v>
      </c>
      <c r="G404">
        <f>Tableau3[[#This Row],[Cost (€/GJ)]]*3.6</f>
        <v>42.760800000000003</v>
      </c>
      <c r="H404">
        <v>22.1</v>
      </c>
      <c r="I404">
        <f>Tableau3[[#This Row],[GHG (kgCO2eq/GJ)]]*3.6</f>
        <v>79.56</v>
      </c>
      <c r="J404" t="s">
        <v>106</v>
      </c>
      <c r="K404" t="s">
        <v>109</v>
      </c>
    </row>
    <row r="405" spans="1:11" x14ac:dyDescent="0.3">
      <c r="A405" t="s">
        <v>23</v>
      </c>
      <c r="B405" t="s">
        <v>55</v>
      </c>
      <c r="C405" t="s">
        <v>88</v>
      </c>
      <c r="D405">
        <v>12.5617</v>
      </c>
      <c r="E405">
        <f>Tableau3[[#This Row],[Potential (PJ)]]/3.6</f>
        <v>3.4893611111111111</v>
      </c>
      <c r="F405">
        <v>10.557</v>
      </c>
      <c r="G405">
        <f>Tableau3[[#This Row],[Cost (€/GJ)]]*3.6</f>
        <v>38.005200000000002</v>
      </c>
      <c r="H405">
        <v>22.1</v>
      </c>
      <c r="I405">
        <f>Tableau3[[#This Row],[GHG (kgCO2eq/GJ)]]*3.6</f>
        <v>79.56</v>
      </c>
      <c r="J405" t="s">
        <v>106</v>
      </c>
      <c r="K405" t="s">
        <v>109</v>
      </c>
    </row>
    <row r="406" spans="1:11" x14ac:dyDescent="0.3">
      <c r="A406" t="s">
        <v>23</v>
      </c>
      <c r="B406" t="s">
        <v>55</v>
      </c>
      <c r="C406" t="s">
        <v>90</v>
      </c>
      <c r="D406">
        <v>0.2727</v>
      </c>
      <c r="E406">
        <f>Tableau3[[#This Row],[Potential (PJ)]]/3.6</f>
        <v>7.5749999999999998E-2</v>
      </c>
      <c r="F406">
        <v>11.625999999999999</v>
      </c>
      <c r="G406">
        <f>Tableau3[[#This Row],[Cost (€/GJ)]]*3.6</f>
        <v>41.8536</v>
      </c>
      <c r="H406">
        <v>22.1</v>
      </c>
      <c r="I406">
        <f>Tableau3[[#This Row],[GHG (kgCO2eq/GJ)]]*3.6</f>
        <v>79.56</v>
      </c>
      <c r="J406" t="s">
        <v>106</v>
      </c>
      <c r="K406" t="s">
        <v>109</v>
      </c>
    </row>
    <row r="407" spans="1:11" x14ac:dyDescent="0.3">
      <c r="A407" t="s">
        <v>23</v>
      </c>
      <c r="B407" t="s">
        <v>55</v>
      </c>
      <c r="C407" t="s">
        <v>92</v>
      </c>
      <c r="D407">
        <v>0.99047000000000007</v>
      </c>
      <c r="E407">
        <f>Tableau3[[#This Row],[Potential (PJ)]]/3.6</f>
        <v>0.27513055555555554</v>
      </c>
      <c r="F407">
        <v>11.878</v>
      </c>
      <c r="G407">
        <f>Tableau3[[#This Row],[Cost (€/GJ)]]*3.6</f>
        <v>42.760800000000003</v>
      </c>
      <c r="H407">
        <v>22.1</v>
      </c>
      <c r="I407">
        <f>Tableau3[[#This Row],[GHG (kgCO2eq/GJ)]]*3.6</f>
        <v>79.56</v>
      </c>
      <c r="J407" t="s">
        <v>106</v>
      </c>
      <c r="K407" t="s">
        <v>109</v>
      </c>
    </row>
    <row r="408" spans="1:11" x14ac:dyDescent="0.3">
      <c r="A408" t="s">
        <v>23</v>
      </c>
      <c r="B408" t="s">
        <v>56</v>
      </c>
      <c r="C408" t="s">
        <v>93</v>
      </c>
      <c r="D408">
        <v>4.2585999999999986</v>
      </c>
      <c r="E408">
        <f>Tableau3[[#This Row],[Potential (PJ)]]/3.6</f>
        <v>1.1829444444444441</v>
      </c>
      <c r="F408">
        <v>2.9493975903614462</v>
      </c>
      <c r="G408">
        <f>Tableau3[[#This Row],[Cost (€/GJ)]]*3.6</f>
        <v>10.617831325301207</v>
      </c>
      <c r="H408">
        <v>26.1</v>
      </c>
      <c r="I408">
        <f>Tableau3[[#This Row],[GHG (kgCO2eq/GJ)]]*3.6</f>
        <v>93.960000000000008</v>
      </c>
      <c r="J408" t="s">
        <v>106</v>
      </c>
      <c r="K408" t="s">
        <v>109</v>
      </c>
    </row>
    <row r="409" spans="1:11" x14ac:dyDescent="0.3">
      <c r="A409" t="s">
        <v>23</v>
      </c>
      <c r="B409" t="s">
        <v>47</v>
      </c>
      <c r="C409" t="s">
        <v>68</v>
      </c>
      <c r="D409">
        <v>45.5</v>
      </c>
      <c r="E409">
        <f>Tableau3[[#This Row],[Potential (PJ)]]/3.6</f>
        <v>12.638888888888889</v>
      </c>
      <c r="F409">
        <v>3.039973626373627</v>
      </c>
      <c r="G409">
        <f>Tableau3[[#This Row],[Cost (€/GJ)]]*3.6</f>
        <v>10.943905054945057</v>
      </c>
      <c r="H409">
        <v>41.3</v>
      </c>
      <c r="I409">
        <f>Tableau3[[#This Row],[GHG (kgCO2eq/GJ)]]*3.6</f>
        <v>148.68</v>
      </c>
      <c r="J409" t="s">
        <v>104</v>
      </c>
      <c r="K409" t="s">
        <v>109</v>
      </c>
    </row>
    <row r="410" spans="1:11" x14ac:dyDescent="0.3">
      <c r="A410" t="s">
        <v>23</v>
      </c>
      <c r="B410" t="s">
        <v>47</v>
      </c>
      <c r="C410" t="s">
        <v>69</v>
      </c>
      <c r="D410">
        <v>41.8</v>
      </c>
      <c r="E410">
        <f>Tableau3[[#This Row],[Potential (PJ)]]/3.6</f>
        <v>11.611111111111111</v>
      </c>
      <c r="F410">
        <v>2.821791866028708</v>
      </c>
      <c r="G410">
        <f>Tableau3[[#This Row],[Cost (€/GJ)]]*3.6</f>
        <v>10.158450717703349</v>
      </c>
      <c r="H410">
        <v>41.3</v>
      </c>
      <c r="I410">
        <f>Tableau3[[#This Row],[GHG (kgCO2eq/GJ)]]*3.6</f>
        <v>148.68</v>
      </c>
      <c r="J410" t="s">
        <v>104</v>
      </c>
      <c r="K410" t="s">
        <v>109</v>
      </c>
    </row>
    <row r="411" spans="1:11" x14ac:dyDescent="0.3">
      <c r="A411" t="s">
        <v>23</v>
      </c>
      <c r="B411" t="s">
        <v>57</v>
      </c>
      <c r="C411" t="s">
        <v>94</v>
      </c>
      <c r="D411">
        <v>15.3</v>
      </c>
      <c r="E411">
        <f>Tableau3[[#This Row],[Potential (PJ)]]/3.6</f>
        <v>4.25</v>
      </c>
      <c r="F411">
        <v>7.5135490196078427</v>
      </c>
      <c r="G411">
        <f>Tableau3[[#This Row],[Cost (€/GJ)]]*3.6</f>
        <v>27.048776470588233</v>
      </c>
      <c r="H411">
        <v>46.8</v>
      </c>
      <c r="I411">
        <f>Tableau3[[#This Row],[GHG (kgCO2eq/GJ)]]*3.6</f>
        <v>168.48</v>
      </c>
      <c r="J411" t="s">
        <v>104</v>
      </c>
      <c r="K411" t="s">
        <v>109</v>
      </c>
    </row>
    <row r="412" spans="1:11" x14ac:dyDescent="0.3">
      <c r="A412" t="s">
        <v>23</v>
      </c>
      <c r="B412" t="s">
        <v>49</v>
      </c>
      <c r="C412" t="s">
        <v>71</v>
      </c>
      <c r="D412">
        <v>45.162640000000003</v>
      </c>
      <c r="E412">
        <f>Tableau3[[#This Row],[Potential (PJ)]]/3.6</f>
        <v>12.545177777777779</v>
      </c>
      <c r="F412">
        <v>2.4741501854187451</v>
      </c>
      <c r="G412">
        <f>Tableau3[[#This Row],[Cost (€/GJ)]]*3.6</f>
        <v>8.9069406675074827</v>
      </c>
      <c r="H412">
        <v>3.86607608129234</v>
      </c>
      <c r="I412">
        <f>Tableau3[[#This Row],[GHG (kgCO2eq/GJ)]]*3.6</f>
        <v>13.917873892652425</v>
      </c>
      <c r="J412" t="s">
        <v>104</v>
      </c>
      <c r="K412" t="s">
        <v>108</v>
      </c>
    </row>
    <row r="413" spans="1:11" x14ac:dyDescent="0.3">
      <c r="A413" t="s">
        <v>23</v>
      </c>
      <c r="B413" t="s">
        <v>49</v>
      </c>
      <c r="C413" t="s">
        <v>72</v>
      </c>
      <c r="D413">
        <v>10.6</v>
      </c>
      <c r="E413">
        <f>Tableau3[[#This Row],[Potential (PJ)]]/3.6</f>
        <v>2.9444444444444442</v>
      </c>
      <c r="F413">
        <v>3.3385660377358501</v>
      </c>
      <c r="G413">
        <f>Tableau3[[#This Row],[Cost (€/GJ)]]*3.6</f>
        <v>12.018837735849061</v>
      </c>
      <c r="H413">
        <v>3.86607608129234</v>
      </c>
      <c r="I413">
        <f>Tableau3[[#This Row],[GHG (kgCO2eq/GJ)]]*3.6</f>
        <v>13.917873892652425</v>
      </c>
      <c r="J413" t="s">
        <v>104</v>
      </c>
      <c r="K413" t="s">
        <v>108</v>
      </c>
    </row>
    <row r="414" spans="1:11" x14ac:dyDescent="0.3">
      <c r="A414" t="s">
        <v>23</v>
      </c>
      <c r="B414" t="s">
        <v>58</v>
      </c>
      <c r="C414" t="s">
        <v>95</v>
      </c>
      <c r="D414">
        <v>5.4661499999999998</v>
      </c>
      <c r="E414">
        <f>Tableau3[[#This Row],[Potential (PJ)]]/3.6</f>
        <v>1.5183749999999998</v>
      </c>
      <c r="F414">
        <v>3.1332165820550109</v>
      </c>
      <c r="G414">
        <f>Tableau3[[#This Row],[Cost (€/GJ)]]*3.6</f>
        <v>11.27957969539804</v>
      </c>
      <c r="H414">
        <v>2.9521711768407801</v>
      </c>
      <c r="I414">
        <f>Tableau3[[#This Row],[GHG (kgCO2eq/GJ)]]*3.6</f>
        <v>10.627816236626808</v>
      </c>
      <c r="J414" t="s">
        <v>104</v>
      </c>
      <c r="K414" t="s">
        <v>108</v>
      </c>
    </row>
    <row r="415" spans="1:11" x14ac:dyDescent="0.3">
      <c r="A415" t="s">
        <v>23</v>
      </c>
      <c r="B415" t="s">
        <v>50</v>
      </c>
      <c r="C415" t="s">
        <v>73</v>
      </c>
      <c r="D415">
        <v>1.7</v>
      </c>
      <c r="E415">
        <f>Tableau3[[#This Row],[Potential (PJ)]]/3.6</f>
        <v>0.47222222222222221</v>
      </c>
      <c r="F415">
        <v>5.1371176470588233</v>
      </c>
      <c r="G415">
        <f>Tableau3[[#This Row],[Cost (€/GJ)]]*3.6</f>
        <v>18.493623529411764</v>
      </c>
      <c r="H415">
        <v>20.723404255319149</v>
      </c>
      <c r="I415">
        <f>Tableau3[[#This Row],[GHG (kgCO2eq/GJ)]]*3.6</f>
        <v>74.604255319148933</v>
      </c>
      <c r="J415" t="s">
        <v>105</v>
      </c>
      <c r="K415" t="s">
        <v>108</v>
      </c>
    </row>
    <row r="416" spans="1:11" x14ac:dyDescent="0.3">
      <c r="A416" t="s">
        <v>23</v>
      </c>
      <c r="B416" t="s">
        <v>50</v>
      </c>
      <c r="C416" t="s">
        <v>74</v>
      </c>
      <c r="D416">
        <v>60.9</v>
      </c>
      <c r="E416">
        <f>Tableau3[[#This Row],[Potential (PJ)]]/3.6</f>
        <v>16.916666666666664</v>
      </c>
      <c r="F416">
        <v>3.5094646962233171</v>
      </c>
      <c r="G416">
        <f>Tableau3[[#This Row],[Cost (€/GJ)]]*3.6</f>
        <v>12.634072906403942</v>
      </c>
      <c r="H416">
        <v>2.0635593220338988</v>
      </c>
      <c r="I416">
        <f>Tableau3[[#This Row],[GHG (kgCO2eq/GJ)]]*3.6</f>
        <v>7.4288135593220357</v>
      </c>
      <c r="J416" t="s">
        <v>105</v>
      </c>
      <c r="K416" t="s">
        <v>108</v>
      </c>
    </row>
    <row r="417" spans="1:11" x14ac:dyDescent="0.3">
      <c r="A417" t="s">
        <v>23</v>
      </c>
      <c r="B417" t="s">
        <v>59</v>
      </c>
      <c r="C417" t="s">
        <v>96</v>
      </c>
      <c r="D417">
        <v>1.2579</v>
      </c>
      <c r="E417">
        <f>Tableau3[[#This Row],[Potential (PJ)]]/3.6</f>
        <v>0.34941666666666665</v>
      </c>
      <c r="F417">
        <v>18.27</v>
      </c>
      <c r="G417">
        <f>Tableau3[[#This Row],[Cost (€/GJ)]]*3.6</f>
        <v>65.772000000000006</v>
      </c>
      <c r="H417">
        <v>28.2</v>
      </c>
      <c r="I417">
        <f>Tableau3[[#This Row],[GHG (kgCO2eq/GJ)]]*3.6</f>
        <v>101.52</v>
      </c>
      <c r="J417" t="s">
        <v>107</v>
      </c>
      <c r="K417" t="s">
        <v>109</v>
      </c>
    </row>
    <row r="418" spans="1:11" x14ac:dyDescent="0.3">
      <c r="A418" t="s">
        <v>23</v>
      </c>
      <c r="B418" t="s">
        <v>59</v>
      </c>
      <c r="C418" t="s">
        <v>97</v>
      </c>
      <c r="D418">
        <v>6.2286999999999999</v>
      </c>
      <c r="E418">
        <f>Tableau3[[#This Row],[Potential (PJ)]]/3.6</f>
        <v>1.7301944444444444</v>
      </c>
      <c r="F418">
        <v>18.55670103092784</v>
      </c>
      <c r="G418">
        <f>Tableau3[[#This Row],[Cost (€/GJ)]]*3.6</f>
        <v>66.804123711340225</v>
      </c>
      <c r="H418">
        <v>28.2</v>
      </c>
      <c r="I418">
        <f>Tableau3[[#This Row],[GHG (kgCO2eq/GJ)]]*3.6</f>
        <v>101.52</v>
      </c>
      <c r="J418" t="s">
        <v>107</v>
      </c>
      <c r="K418" t="s">
        <v>109</v>
      </c>
    </row>
    <row r="419" spans="1:11" x14ac:dyDescent="0.3">
      <c r="A419" t="s">
        <v>23</v>
      </c>
      <c r="B419" t="s">
        <v>51</v>
      </c>
      <c r="C419" t="s">
        <v>75</v>
      </c>
      <c r="D419">
        <v>7.1558710000000003</v>
      </c>
      <c r="E419">
        <f>Tableau3[[#This Row],[Potential (PJ)]]/3.6</f>
        <v>1.9877419444444444</v>
      </c>
      <c r="F419">
        <v>4.1933314191247798E-3</v>
      </c>
      <c r="G419">
        <f>Tableau3[[#This Row],[Cost (€/GJ)]]*3.6</f>
        <v>1.5095993108849208E-2</v>
      </c>
      <c r="H419">
        <v>11.74</v>
      </c>
      <c r="I419">
        <f>Tableau3[[#This Row],[GHG (kgCO2eq/GJ)]]*3.6</f>
        <v>42.264000000000003</v>
      </c>
      <c r="J419" t="s">
        <v>104</v>
      </c>
      <c r="K419" t="s">
        <v>108</v>
      </c>
    </row>
    <row r="420" spans="1:11" x14ac:dyDescent="0.3">
      <c r="A420" t="s">
        <v>23</v>
      </c>
      <c r="B420" t="s">
        <v>60</v>
      </c>
      <c r="C420" t="s">
        <v>98</v>
      </c>
      <c r="D420">
        <v>2.5007100000000002</v>
      </c>
      <c r="E420">
        <f>Tableau3[[#This Row],[Potential (PJ)]]/3.6</f>
        <v>0.69464166666666671</v>
      </c>
      <c r="F420">
        <v>18.582169709989259</v>
      </c>
      <c r="G420">
        <f>Tableau3[[#This Row],[Cost (€/GJ)]]*3.6</f>
        <v>66.895810955961338</v>
      </c>
      <c r="H420">
        <v>47.4</v>
      </c>
      <c r="I420">
        <f>Tableau3[[#This Row],[GHG (kgCO2eq/GJ)]]*3.6</f>
        <v>170.64</v>
      </c>
      <c r="J420" t="s">
        <v>107</v>
      </c>
      <c r="K420" t="s">
        <v>109</v>
      </c>
    </row>
    <row r="421" spans="1:11" x14ac:dyDescent="0.3">
      <c r="A421" t="s">
        <v>23</v>
      </c>
      <c r="B421" t="s">
        <v>52</v>
      </c>
      <c r="C421" t="s">
        <v>76</v>
      </c>
      <c r="D421">
        <v>0.192</v>
      </c>
      <c r="E421">
        <f>Tableau3[[#This Row],[Potential (PJ)]]/3.6</f>
        <v>5.333333333333333E-2</v>
      </c>
      <c r="F421">
        <v>7.5037500000000001</v>
      </c>
      <c r="G421">
        <f>Tableau3[[#This Row],[Cost (€/GJ)]]*3.6</f>
        <v>27.013500000000001</v>
      </c>
      <c r="H421">
        <v>12.68872359754714</v>
      </c>
      <c r="I421">
        <f>Tableau3[[#This Row],[GHG (kgCO2eq/GJ)]]*3.6</f>
        <v>45.679404951169708</v>
      </c>
      <c r="J421" t="s">
        <v>105</v>
      </c>
      <c r="K421" t="s">
        <v>108</v>
      </c>
    </row>
    <row r="422" spans="1:11" x14ac:dyDescent="0.3">
      <c r="A422" t="s">
        <v>23</v>
      </c>
      <c r="B422" t="s">
        <v>53</v>
      </c>
      <c r="C422" t="s">
        <v>77</v>
      </c>
      <c r="D422">
        <v>7.4</v>
      </c>
      <c r="E422">
        <f>Tableau3[[#This Row],[Potential (PJ)]]/3.6</f>
        <v>2.0555555555555558</v>
      </c>
      <c r="F422">
        <v>3.338594594594595</v>
      </c>
      <c r="G422">
        <f>Tableau3[[#This Row],[Cost (€/GJ)]]*3.6</f>
        <v>12.018940540540543</v>
      </c>
      <c r="H422">
        <v>3.86607608129234</v>
      </c>
      <c r="I422">
        <f>Tableau3[[#This Row],[GHG (kgCO2eq/GJ)]]*3.6</f>
        <v>13.917873892652425</v>
      </c>
      <c r="J422" t="s">
        <v>104</v>
      </c>
      <c r="K422" t="s">
        <v>108</v>
      </c>
    </row>
    <row r="423" spans="1:11" x14ac:dyDescent="0.3">
      <c r="A423" t="s">
        <v>23</v>
      </c>
      <c r="B423" t="s">
        <v>61</v>
      </c>
      <c r="C423" t="s">
        <v>99</v>
      </c>
      <c r="D423">
        <v>1.6</v>
      </c>
      <c r="E423">
        <f>Tableau3[[#This Row],[Potential (PJ)]]/3.6</f>
        <v>0.44444444444444448</v>
      </c>
      <c r="F423">
        <v>2.2838124999999998</v>
      </c>
      <c r="G423">
        <f>Tableau3[[#This Row],[Cost (€/GJ)]]*3.6</f>
        <v>8.2217249999999993</v>
      </c>
      <c r="H423">
        <v>2.9245635910224439</v>
      </c>
      <c r="I423">
        <f>Tableau3[[#This Row],[GHG (kgCO2eq/GJ)]]*3.6</f>
        <v>10.528428927680798</v>
      </c>
      <c r="J423" t="s">
        <v>104</v>
      </c>
      <c r="K423" t="s">
        <v>108</v>
      </c>
    </row>
    <row r="424" spans="1:11" x14ac:dyDescent="0.3">
      <c r="A424" t="s">
        <v>23</v>
      </c>
      <c r="B424" t="s">
        <v>62</v>
      </c>
      <c r="C424" t="s">
        <v>100</v>
      </c>
      <c r="D424">
        <v>0.3</v>
      </c>
      <c r="E424">
        <f>Tableau3[[#This Row],[Potential (PJ)]]/3.6</f>
        <v>8.3333333333333329E-2</v>
      </c>
      <c r="F424">
        <v>0.46666666666666662</v>
      </c>
      <c r="G424">
        <f>Tableau3[[#This Row],[Cost (€/GJ)]]*3.6</f>
        <v>1.68</v>
      </c>
      <c r="H424">
        <v>2.6764106050305911</v>
      </c>
      <c r="I424">
        <f>Tableau3[[#This Row],[GHG (kgCO2eq/GJ)]]*3.6</f>
        <v>9.6350781781101276</v>
      </c>
      <c r="J424" t="s">
        <v>104</v>
      </c>
      <c r="K424" t="s">
        <v>108</v>
      </c>
    </row>
    <row r="425" spans="1:11" x14ac:dyDescent="0.3">
      <c r="A425" t="s">
        <v>23</v>
      </c>
      <c r="B425" t="s">
        <v>54</v>
      </c>
      <c r="C425" t="s">
        <v>78</v>
      </c>
      <c r="D425">
        <v>31.4</v>
      </c>
      <c r="E425">
        <f>Tableau3[[#This Row],[Potential (PJ)]]/3.6</f>
        <v>8.7222222222222214</v>
      </c>
      <c r="F425">
        <v>3.2975955414012739</v>
      </c>
      <c r="G425">
        <f>Tableau3[[#This Row],[Cost (€/GJ)]]*3.6</f>
        <v>11.871343949044586</v>
      </c>
      <c r="H425">
        <v>3.86607608129234</v>
      </c>
      <c r="I425">
        <f>Tableau3[[#This Row],[GHG (kgCO2eq/GJ)]]*3.6</f>
        <v>13.917873892652425</v>
      </c>
      <c r="J425" t="s">
        <v>104</v>
      </c>
      <c r="K425" t="s">
        <v>108</v>
      </c>
    </row>
    <row r="426" spans="1:11" x14ac:dyDescent="0.3">
      <c r="A426" t="s">
        <v>24</v>
      </c>
      <c r="B426" t="s">
        <v>46</v>
      </c>
      <c r="C426" t="s">
        <v>64</v>
      </c>
      <c r="D426">
        <v>2.4399999999999999E-3</v>
      </c>
      <c r="E426">
        <f>Tableau3[[#This Row],[Potential (PJ)]]/3.6</f>
        <v>6.7777777777777769E-4</v>
      </c>
      <c r="F426">
        <v>5.3397008196721307</v>
      </c>
      <c r="G426">
        <f>Tableau3[[#This Row],[Cost (€/GJ)]]*3.6</f>
        <v>19.222922950819672</v>
      </c>
      <c r="H426">
        <v>2.9521711768407801</v>
      </c>
      <c r="I426">
        <f>Tableau3[[#This Row],[GHG (kgCO2eq/GJ)]]*3.6</f>
        <v>10.627816236626808</v>
      </c>
      <c r="J426" t="s">
        <v>104</v>
      </c>
      <c r="K426" t="s">
        <v>108</v>
      </c>
    </row>
    <row r="427" spans="1:11" x14ac:dyDescent="0.3">
      <c r="A427" t="s">
        <v>24</v>
      </c>
      <c r="B427" t="s">
        <v>46</v>
      </c>
      <c r="C427" t="s">
        <v>80</v>
      </c>
      <c r="D427">
        <v>6.7780000000000007E-2</v>
      </c>
      <c r="E427">
        <f>Tableau3[[#This Row],[Potential (PJ)]]/3.6</f>
        <v>1.882777777777778E-2</v>
      </c>
      <c r="F427">
        <v>0.33378287255563049</v>
      </c>
      <c r="G427">
        <f>Tableau3[[#This Row],[Cost (€/GJ)]]*3.6</f>
        <v>1.2016183412002699</v>
      </c>
      <c r="H427">
        <v>28.139870918023309</v>
      </c>
      <c r="I427">
        <f>Tableau3[[#This Row],[GHG (kgCO2eq/GJ)]]*3.6</f>
        <v>101.30353530488391</v>
      </c>
      <c r="J427" t="s">
        <v>105</v>
      </c>
      <c r="K427" t="s">
        <v>108</v>
      </c>
    </row>
    <row r="428" spans="1:11" x14ac:dyDescent="0.3">
      <c r="A428" t="s">
        <v>24</v>
      </c>
      <c r="B428" t="s">
        <v>46</v>
      </c>
      <c r="C428" t="s">
        <v>81</v>
      </c>
      <c r="D428">
        <v>9.9629999999999996E-2</v>
      </c>
      <c r="E428">
        <f>Tableau3[[#This Row],[Potential (PJ)]]/3.6</f>
        <v>2.7674999999999998E-2</v>
      </c>
      <c r="F428">
        <v>2.6022326674500591</v>
      </c>
      <c r="G428">
        <f>Tableau3[[#This Row],[Cost (€/GJ)]]*3.6</f>
        <v>9.3680376028202126</v>
      </c>
      <c r="H428">
        <v>8.9647473560517046</v>
      </c>
      <c r="I428">
        <f>Tableau3[[#This Row],[GHG (kgCO2eq/GJ)]]*3.6</f>
        <v>32.273090481786134</v>
      </c>
      <c r="J428" t="s">
        <v>105</v>
      </c>
      <c r="K428" t="s">
        <v>108</v>
      </c>
    </row>
    <row r="429" spans="1:11" x14ac:dyDescent="0.3">
      <c r="A429" t="s">
        <v>24</v>
      </c>
      <c r="B429" t="s">
        <v>46</v>
      </c>
      <c r="C429" t="s">
        <v>82</v>
      </c>
      <c r="D429">
        <v>0.1</v>
      </c>
      <c r="E429">
        <f>Tableau3[[#This Row],[Potential (PJ)]]/3.6</f>
        <v>2.777777777777778E-2</v>
      </c>
      <c r="F429">
        <v>1.3779999999999999</v>
      </c>
      <c r="G429">
        <f>Tableau3[[#This Row],[Cost (€/GJ)]]*3.6</f>
        <v>4.9607999999999999</v>
      </c>
      <c r="H429">
        <v>6.8428961748633883</v>
      </c>
      <c r="I429">
        <f>Tableau3[[#This Row],[GHG (kgCO2eq/GJ)]]*3.6</f>
        <v>24.634426229508197</v>
      </c>
      <c r="J429" t="s">
        <v>104</v>
      </c>
      <c r="K429" t="s">
        <v>108</v>
      </c>
    </row>
    <row r="430" spans="1:11" x14ac:dyDescent="0.3">
      <c r="A430" t="s">
        <v>24</v>
      </c>
      <c r="B430" t="s">
        <v>55</v>
      </c>
      <c r="C430" t="s">
        <v>86</v>
      </c>
      <c r="D430">
        <v>6.5099999999999991E-2</v>
      </c>
      <c r="E430">
        <f>Tableau3[[#This Row],[Potential (PJ)]]/3.6</f>
        <v>1.808333333333333E-2</v>
      </c>
      <c r="F430">
        <v>10.17</v>
      </c>
      <c r="G430">
        <f>Tableau3[[#This Row],[Cost (€/GJ)]]*3.6</f>
        <v>36.612000000000002</v>
      </c>
      <c r="H430">
        <v>10.199999999999999</v>
      </c>
      <c r="I430">
        <f>Tableau3[[#This Row],[GHG (kgCO2eq/GJ)]]*3.6</f>
        <v>36.72</v>
      </c>
      <c r="J430" t="s">
        <v>106</v>
      </c>
      <c r="K430" t="s">
        <v>109</v>
      </c>
    </row>
    <row r="431" spans="1:11" x14ac:dyDescent="0.3">
      <c r="A431" t="s">
        <v>24</v>
      </c>
      <c r="B431" t="s">
        <v>55</v>
      </c>
      <c r="C431" t="s">
        <v>89</v>
      </c>
      <c r="D431">
        <v>7.6899999999999996E-2</v>
      </c>
      <c r="E431">
        <f>Tableau3[[#This Row],[Potential (PJ)]]/3.6</f>
        <v>2.1361111111111108E-2</v>
      </c>
      <c r="F431">
        <v>0</v>
      </c>
      <c r="G431">
        <f>Tableau3[[#This Row],[Cost (€/GJ)]]*3.6</f>
        <v>0</v>
      </c>
      <c r="H431">
        <v>10.199999999999999</v>
      </c>
      <c r="I431">
        <f>Tableau3[[#This Row],[GHG (kgCO2eq/GJ)]]*3.6</f>
        <v>36.72</v>
      </c>
      <c r="J431" t="s">
        <v>106</v>
      </c>
      <c r="K431" t="s">
        <v>109</v>
      </c>
    </row>
    <row r="432" spans="1:11" x14ac:dyDescent="0.3">
      <c r="A432" t="s">
        <v>24</v>
      </c>
      <c r="B432" t="s">
        <v>55</v>
      </c>
      <c r="C432" t="s">
        <v>92</v>
      </c>
      <c r="D432">
        <v>9.0179999999999996E-2</v>
      </c>
      <c r="E432">
        <f>Tableau3[[#This Row],[Potential (PJ)]]/3.6</f>
        <v>2.5049999999999999E-2</v>
      </c>
      <c r="F432">
        <v>9.58</v>
      </c>
      <c r="G432">
        <f>Tableau3[[#This Row],[Cost (€/GJ)]]*3.6</f>
        <v>34.488</v>
      </c>
      <c r="H432">
        <v>10.199999999999999</v>
      </c>
      <c r="I432">
        <f>Tableau3[[#This Row],[GHG (kgCO2eq/GJ)]]*3.6</f>
        <v>36.72</v>
      </c>
      <c r="J432" t="s">
        <v>106</v>
      </c>
      <c r="K432" t="s">
        <v>109</v>
      </c>
    </row>
    <row r="433" spans="1:11" x14ac:dyDescent="0.3">
      <c r="A433" t="s">
        <v>24</v>
      </c>
      <c r="B433" t="s">
        <v>47</v>
      </c>
      <c r="C433" t="s">
        <v>101</v>
      </c>
      <c r="D433">
        <v>12.3</v>
      </c>
      <c r="E433">
        <f>Tableau3[[#This Row],[Potential (PJ)]]/3.6</f>
        <v>3.416666666666667</v>
      </c>
      <c r="F433">
        <v>4.9283089430894309</v>
      </c>
      <c r="G433">
        <f>Tableau3[[#This Row],[Cost (€/GJ)]]*3.6</f>
        <v>17.741912195121952</v>
      </c>
      <c r="H433">
        <v>61.2</v>
      </c>
      <c r="I433">
        <f>Tableau3[[#This Row],[GHG (kgCO2eq/GJ)]]*3.6</f>
        <v>220.32000000000002</v>
      </c>
      <c r="J433" t="s">
        <v>104</v>
      </c>
      <c r="K433" t="s">
        <v>109</v>
      </c>
    </row>
    <row r="434" spans="1:11" x14ac:dyDescent="0.3">
      <c r="A434" t="s">
        <v>24</v>
      </c>
      <c r="B434" t="s">
        <v>57</v>
      </c>
      <c r="C434" t="s">
        <v>94</v>
      </c>
      <c r="D434">
        <v>6.6</v>
      </c>
      <c r="E434">
        <f>Tableau3[[#This Row],[Potential (PJ)]]/3.6</f>
        <v>1.8333333333333333</v>
      </c>
      <c r="F434">
        <v>9.9307878787878785</v>
      </c>
      <c r="G434">
        <f>Tableau3[[#This Row],[Cost (€/GJ)]]*3.6</f>
        <v>35.750836363636367</v>
      </c>
      <c r="H434">
        <v>24.6</v>
      </c>
      <c r="I434">
        <f>Tableau3[[#This Row],[GHG (kgCO2eq/GJ)]]*3.6</f>
        <v>88.56</v>
      </c>
      <c r="J434" t="s">
        <v>104</v>
      </c>
      <c r="K434" t="s">
        <v>109</v>
      </c>
    </row>
    <row r="435" spans="1:11" x14ac:dyDescent="0.3">
      <c r="A435" t="s">
        <v>24</v>
      </c>
      <c r="B435" t="s">
        <v>49</v>
      </c>
      <c r="C435" t="s">
        <v>71</v>
      </c>
      <c r="D435">
        <v>9.9635400000000001</v>
      </c>
      <c r="E435">
        <f>Tableau3[[#This Row],[Potential (PJ)]]/3.6</f>
        <v>2.7676500000000002</v>
      </c>
      <c r="F435">
        <v>5.3170000000000002</v>
      </c>
      <c r="G435">
        <f>Tableau3[[#This Row],[Cost (€/GJ)]]*3.6</f>
        <v>19.141200000000001</v>
      </c>
      <c r="H435">
        <v>3.86607608129234</v>
      </c>
      <c r="I435">
        <f>Tableau3[[#This Row],[GHG (kgCO2eq/GJ)]]*3.6</f>
        <v>13.917873892652425</v>
      </c>
      <c r="J435" t="s">
        <v>104</v>
      </c>
      <c r="K435" t="s">
        <v>108</v>
      </c>
    </row>
    <row r="436" spans="1:11" x14ac:dyDescent="0.3">
      <c r="A436" t="s">
        <v>24</v>
      </c>
      <c r="B436" t="s">
        <v>49</v>
      </c>
      <c r="C436" t="s">
        <v>72</v>
      </c>
      <c r="D436">
        <v>0.4</v>
      </c>
      <c r="E436">
        <f>Tableau3[[#This Row],[Potential (PJ)]]/3.6</f>
        <v>0.11111111111111112</v>
      </c>
      <c r="F436">
        <v>4.2574999999999994</v>
      </c>
      <c r="G436">
        <f>Tableau3[[#This Row],[Cost (€/GJ)]]*3.6</f>
        <v>15.326999999999998</v>
      </c>
      <c r="H436">
        <v>3.86607608129234</v>
      </c>
      <c r="I436">
        <f>Tableau3[[#This Row],[GHG (kgCO2eq/GJ)]]*3.6</f>
        <v>13.917873892652425</v>
      </c>
      <c r="J436" t="s">
        <v>104</v>
      </c>
      <c r="K436" t="s">
        <v>108</v>
      </c>
    </row>
    <row r="437" spans="1:11" x14ac:dyDescent="0.3">
      <c r="A437" t="s">
        <v>24</v>
      </c>
      <c r="B437" t="s">
        <v>58</v>
      </c>
      <c r="C437" t="s">
        <v>95</v>
      </c>
      <c r="D437">
        <v>4.0996199999999998</v>
      </c>
      <c r="E437">
        <f>Tableau3[[#This Row],[Potential (PJ)]]/3.6</f>
        <v>1.1387833333333333</v>
      </c>
      <c r="F437">
        <v>3.2015915670232848</v>
      </c>
      <c r="G437">
        <f>Tableau3[[#This Row],[Cost (€/GJ)]]*3.6</f>
        <v>11.525729641283826</v>
      </c>
      <c r="H437">
        <v>2.9521711768407801</v>
      </c>
      <c r="I437">
        <f>Tableau3[[#This Row],[GHG (kgCO2eq/GJ)]]*3.6</f>
        <v>10.627816236626808</v>
      </c>
      <c r="J437" t="s">
        <v>104</v>
      </c>
      <c r="K437" t="s">
        <v>108</v>
      </c>
    </row>
    <row r="438" spans="1:11" x14ac:dyDescent="0.3">
      <c r="A438" t="s">
        <v>24</v>
      </c>
      <c r="B438" t="s">
        <v>50</v>
      </c>
      <c r="C438" t="s">
        <v>73</v>
      </c>
      <c r="D438">
        <v>6.7</v>
      </c>
      <c r="E438">
        <f>Tableau3[[#This Row],[Potential (PJ)]]/3.6</f>
        <v>1.8611111111111112</v>
      </c>
      <c r="F438">
        <v>5.6319999999999988</v>
      </c>
      <c r="G438">
        <f>Tableau3[[#This Row],[Cost (€/GJ)]]*3.6</f>
        <v>20.275199999999995</v>
      </c>
      <c r="H438">
        <v>20.723404255319149</v>
      </c>
      <c r="I438">
        <f>Tableau3[[#This Row],[GHG (kgCO2eq/GJ)]]*3.6</f>
        <v>74.604255319148933</v>
      </c>
      <c r="J438" t="s">
        <v>105</v>
      </c>
      <c r="K438" t="s">
        <v>108</v>
      </c>
    </row>
    <row r="439" spans="1:11" x14ac:dyDescent="0.3">
      <c r="A439" t="s">
        <v>24</v>
      </c>
      <c r="B439" t="s">
        <v>50</v>
      </c>
      <c r="C439" t="s">
        <v>74</v>
      </c>
      <c r="D439">
        <v>11.4</v>
      </c>
      <c r="E439">
        <f>Tableau3[[#This Row],[Potential (PJ)]]/3.6</f>
        <v>3.1666666666666665</v>
      </c>
      <c r="F439">
        <v>6.1883333333333326</v>
      </c>
      <c r="G439">
        <f>Tableau3[[#This Row],[Cost (€/GJ)]]*3.6</f>
        <v>22.277999999999999</v>
      </c>
      <c r="H439">
        <v>2.0635593220338988</v>
      </c>
      <c r="I439">
        <f>Tableau3[[#This Row],[GHG (kgCO2eq/GJ)]]*3.6</f>
        <v>7.4288135593220357</v>
      </c>
      <c r="J439" t="s">
        <v>105</v>
      </c>
      <c r="K439" t="s">
        <v>108</v>
      </c>
    </row>
    <row r="440" spans="1:11" x14ac:dyDescent="0.3">
      <c r="A440" t="s">
        <v>24</v>
      </c>
      <c r="B440" t="s">
        <v>51</v>
      </c>
      <c r="C440" t="s">
        <v>75</v>
      </c>
      <c r="D440">
        <v>1.1959880000000001</v>
      </c>
      <c r="E440">
        <f>Tableau3[[#This Row],[Potential (PJ)]]/3.6</f>
        <v>0.3322188888888889</v>
      </c>
      <c r="F440">
        <v>4.3944648656512098E-2</v>
      </c>
      <c r="G440">
        <f>Tableau3[[#This Row],[Cost (€/GJ)]]*3.6</f>
        <v>0.15820073516344355</v>
      </c>
      <c r="H440">
        <v>11.74</v>
      </c>
      <c r="I440">
        <f>Tableau3[[#This Row],[GHG (kgCO2eq/GJ)]]*3.6</f>
        <v>42.264000000000003</v>
      </c>
      <c r="J440" t="s">
        <v>104</v>
      </c>
      <c r="K440" t="s">
        <v>108</v>
      </c>
    </row>
    <row r="441" spans="1:11" x14ac:dyDescent="0.3">
      <c r="A441" t="s">
        <v>24</v>
      </c>
      <c r="B441" t="s">
        <v>60</v>
      </c>
      <c r="C441" t="s">
        <v>98</v>
      </c>
      <c r="D441">
        <v>0.92274999999999996</v>
      </c>
      <c r="E441">
        <f>Tableau3[[#This Row],[Potential (PJ)]]/3.6</f>
        <v>0.25631944444444443</v>
      </c>
      <c r="F441">
        <v>26.262083780880769</v>
      </c>
      <c r="G441">
        <f>Tableau3[[#This Row],[Cost (€/GJ)]]*3.6</f>
        <v>94.543501611170768</v>
      </c>
      <c r="H441">
        <v>33.200000000000003</v>
      </c>
      <c r="I441">
        <f>Tableau3[[#This Row],[GHG (kgCO2eq/GJ)]]*3.6</f>
        <v>119.52000000000001</v>
      </c>
      <c r="J441" t="s">
        <v>107</v>
      </c>
      <c r="K441" t="s">
        <v>109</v>
      </c>
    </row>
    <row r="442" spans="1:11" x14ac:dyDescent="0.3">
      <c r="A442" t="s">
        <v>24</v>
      </c>
      <c r="B442" t="s">
        <v>52</v>
      </c>
      <c r="C442" t="s">
        <v>76</v>
      </c>
      <c r="D442">
        <v>1E-3</v>
      </c>
      <c r="E442">
        <f>Tableau3[[#This Row],[Potential (PJ)]]/3.6</f>
        <v>2.7777777777777778E-4</v>
      </c>
      <c r="F442">
        <v>7.5037500000000001</v>
      </c>
      <c r="G442">
        <f>Tableau3[[#This Row],[Cost (€/GJ)]]*3.6</f>
        <v>27.013500000000001</v>
      </c>
      <c r="H442">
        <v>12.68872359754714</v>
      </c>
      <c r="I442">
        <f>Tableau3[[#This Row],[GHG (kgCO2eq/GJ)]]*3.6</f>
        <v>45.679404951169708</v>
      </c>
      <c r="J442" t="s">
        <v>105</v>
      </c>
      <c r="K442" t="s">
        <v>108</v>
      </c>
    </row>
    <row r="443" spans="1:11" x14ac:dyDescent="0.3">
      <c r="A443" t="s">
        <v>24</v>
      </c>
      <c r="B443" t="s">
        <v>53</v>
      </c>
      <c r="C443" t="s">
        <v>77</v>
      </c>
      <c r="D443">
        <v>0.5</v>
      </c>
      <c r="E443">
        <f>Tableau3[[#This Row],[Potential (PJ)]]/3.6</f>
        <v>0.1388888888888889</v>
      </c>
      <c r="F443">
        <v>4.2576000000000001</v>
      </c>
      <c r="G443">
        <f>Tableau3[[#This Row],[Cost (€/GJ)]]*3.6</f>
        <v>15.327360000000001</v>
      </c>
      <c r="H443">
        <v>3.86607608129234</v>
      </c>
      <c r="I443">
        <f>Tableau3[[#This Row],[GHG (kgCO2eq/GJ)]]*3.6</f>
        <v>13.917873892652425</v>
      </c>
      <c r="J443" t="s">
        <v>104</v>
      </c>
      <c r="K443" t="s">
        <v>108</v>
      </c>
    </row>
    <row r="444" spans="1:11" x14ac:dyDescent="0.3">
      <c r="A444" t="s">
        <v>24</v>
      </c>
      <c r="B444" t="s">
        <v>61</v>
      </c>
      <c r="C444" t="s">
        <v>99</v>
      </c>
      <c r="D444">
        <v>3.4</v>
      </c>
      <c r="E444">
        <f>Tableau3[[#This Row],[Potential (PJ)]]/3.6</f>
        <v>0.94444444444444442</v>
      </c>
      <c r="F444">
        <v>2.484</v>
      </c>
      <c r="G444">
        <f>Tableau3[[#This Row],[Cost (€/GJ)]]*3.6</f>
        <v>8.942400000000001</v>
      </c>
      <c r="H444">
        <v>2.9245635910224439</v>
      </c>
      <c r="I444">
        <f>Tableau3[[#This Row],[GHG (kgCO2eq/GJ)]]*3.6</f>
        <v>10.528428927680798</v>
      </c>
      <c r="J444" t="s">
        <v>104</v>
      </c>
      <c r="K444" t="s">
        <v>108</v>
      </c>
    </row>
    <row r="445" spans="1:11" x14ac:dyDescent="0.3">
      <c r="A445" t="s">
        <v>24</v>
      </c>
      <c r="B445" t="s">
        <v>62</v>
      </c>
      <c r="C445" t="s">
        <v>100</v>
      </c>
      <c r="D445">
        <v>1.2</v>
      </c>
      <c r="E445">
        <f>Tableau3[[#This Row],[Potential (PJ)]]/3.6</f>
        <v>0.33333333333333331</v>
      </c>
      <c r="F445">
        <v>1.291666666666667</v>
      </c>
      <c r="G445">
        <f>Tableau3[[#This Row],[Cost (€/GJ)]]*3.6</f>
        <v>4.6500000000000012</v>
      </c>
      <c r="H445">
        <v>2.6764106050305911</v>
      </c>
      <c r="I445">
        <f>Tableau3[[#This Row],[GHG (kgCO2eq/GJ)]]*3.6</f>
        <v>9.6350781781101276</v>
      </c>
      <c r="J445" t="s">
        <v>104</v>
      </c>
      <c r="K445" t="s">
        <v>108</v>
      </c>
    </row>
    <row r="446" spans="1:11" x14ac:dyDescent="0.3">
      <c r="A446" t="s">
        <v>24</v>
      </c>
      <c r="B446" t="s">
        <v>54</v>
      </c>
      <c r="C446" t="s">
        <v>78</v>
      </c>
      <c r="D446">
        <v>11.8</v>
      </c>
      <c r="E446">
        <f>Tableau3[[#This Row],[Potential (PJ)]]/3.6</f>
        <v>3.2777777777777777</v>
      </c>
      <c r="F446">
        <v>9.141</v>
      </c>
      <c r="G446">
        <f>Tableau3[[#This Row],[Cost (€/GJ)]]*3.6</f>
        <v>32.907600000000002</v>
      </c>
      <c r="H446">
        <v>3.86607608129234</v>
      </c>
      <c r="I446">
        <f>Tableau3[[#This Row],[GHG (kgCO2eq/GJ)]]*3.6</f>
        <v>13.917873892652425</v>
      </c>
      <c r="J446" t="s">
        <v>104</v>
      </c>
      <c r="K446" t="s">
        <v>108</v>
      </c>
    </row>
    <row r="447" spans="1:11" x14ac:dyDescent="0.3">
      <c r="A447" t="s">
        <v>25</v>
      </c>
      <c r="B447" t="s">
        <v>51</v>
      </c>
      <c r="C447" t="s">
        <v>75</v>
      </c>
      <c r="D447">
        <v>0.82643100000000003</v>
      </c>
      <c r="E447">
        <f>Tableau3[[#This Row],[Potential (PJ)]]/3.6</f>
        <v>0.22956416666666668</v>
      </c>
      <c r="F447">
        <v>3.2618978888454002E-3</v>
      </c>
      <c r="G447">
        <f>Tableau3[[#This Row],[Cost (€/GJ)]]*3.6</f>
        <v>1.1742832399843441E-2</v>
      </c>
      <c r="H447">
        <v>11.74</v>
      </c>
      <c r="I447">
        <f>Tableau3[[#This Row],[GHG (kgCO2eq/GJ)]]*3.6</f>
        <v>42.264000000000003</v>
      </c>
      <c r="J447" t="s">
        <v>104</v>
      </c>
      <c r="K447" t="s">
        <v>108</v>
      </c>
    </row>
    <row r="448" spans="1:11" x14ac:dyDescent="0.3">
      <c r="A448" t="s">
        <v>26</v>
      </c>
      <c r="B448" t="s">
        <v>46</v>
      </c>
      <c r="C448" t="s">
        <v>63</v>
      </c>
      <c r="D448">
        <v>2.8896999999999999</v>
      </c>
      <c r="E448">
        <f>Tableau3[[#This Row],[Potential (PJ)]]/3.6</f>
        <v>0.80269444444444438</v>
      </c>
      <c r="F448">
        <v>2.9286474973375931</v>
      </c>
      <c r="G448">
        <f>Tableau3[[#This Row],[Cost (€/GJ)]]*3.6</f>
        <v>10.543130990415335</v>
      </c>
      <c r="H448">
        <v>3.950479233226837</v>
      </c>
      <c r="I448">
        <f>Tableau3[[#This Row],[GHG (kgCO2eq/GJ)]]*3.6</f>
        <v>14.221725239616614</v>
      </c>
      <c r="J448" t="s">
        <v>104</v>
      </c>
      <c r="K448" t="s">
        <v>108</v>
      </c>
    </row>
    <row r="449" spans="1:11" x14ac:dyDescent="0.3">
      <c r="A449" t="s">
        <v>26</v>
      </c>
      <c r="B449" t="s">
        <v>46</v>
      </c>
      <c r="C449" t="s">
        <v>64</v>
      </c>
      <c r="D449">
        <v>0.94813999999999998</v>
      </c>
      <c r="E449">
        <f>Tableau3[[#This Row],[Potential (PJ)]]/3.6</f>
        <v>0.26337222222222223</v>
      </c>
      <c r="F449">
        <v>6.0182408505073086</v>
      </c>
      <c r="G449">
        <f>Tableau3[[#This Row],[Cost (€/GJ)]]*3.6</f>
        <v>21.665667061826312</v>
      </c>
      <c r="H449">
        <v>2.9521711768407801</v>
      </c>
      <c r="I449">
        <f>Tableau3[[#This Row],[GHG (kgCO2eq/GJ)]]*3.6</f>
        <v>10.627816236626808</v>
      </c>
      <c r="J449" t="s">
        <v>104</v>
      </c>
      <c r="K449" t="s">
        <v>108</v>
      </c>
    </row>
    <row r="450" spans="1:11" x14ac:dyDescent="0.3">
      <c r="A450" t="s">
        <v>26</v>
      </c>
      <c r="B450" t="s">
        <v>46</v>
      </c>
      <c r="C450" t="s">
        <v>79</v>
      </c>
      <c r="D450">
        <v>17.3</v>
      </c>
      <c r="E450">
        <f>Tableau3[[#This Row],[Potential (PJ)]]/3.6</f>
        <v>4.8055555555555554</v>
      </c>
      <c r="F450">
        <v>3.2501387283237002</v>
      </c>
      <c r="G450">
        <f>Tableau3[[#This Row],[Cost (€/GJ)]]*3.6</f>
        <v>11.70049942196532</v>
      </c>
      <c r="H450">
        <v>6.8428961748633883</v>
      </c>
      <c r="I450">
        <f>Tableau3[[#This Row],[GHG (kgCO2eq/GJ)]]*3.6</f>
        <v>24.634426229508197</v>
      </c>
      <c r="J450" t="s">
        <v>104</v>
      </c>
      <c r="K450" t="s">
        <v>108</v>
      </c>
    </row>
    <row r="451" spans="1:11" x14ac:dyDescent="0.3">
      <c r="A451" t="s">
        <v>26</v>
      </c>
      <c r="B451" t="s">
        <v>46</v>
      </c>
      <c r="C451" t="s">
        <v>65</v>
      </c>
      <c r="D451">
        <v>1.8</v>
      </c>
      <c r="E451">
        <f>Tableau3[[#This Row],[Potential (PJ)]]/3.6</f>
        <v>0.5</v>
      </c>
      <c r="F451">
        <v>7.1131111111111114</v>
      </c>
      <c r="G451">
        <f>Tableau3[[#This Row],[Cost (€/GJ)]]*3.6</f>
        <v>25.607200000000002</v>
      </c>
      <c r="H451">
        <v>2.9521711768407801</v>
      </c>
      <c r="I451">
        <f>Tableau3[[#This Row],[GHG (kgCO2eq/GJ)]]*3.6</f>
        <v>10.627816236626808</v>
      </c>
      <c r="J451" t="s">
        <v>104</v>
      </c>
      <c r="K451" t="s">
        <v>108</v>
      </c>
    </row>
    <row r="452" spans="1:11" x14ac:dyDescent="0.3">
      <c r="A452" t="s">
        <v>26</v>
      </c>
      <c r="B452" t="s">
        <v>46</v>
      </c>
      <c r="C452" t="s">
        <v>102</v>
      </c>
      <c r="D452">
        <v>1.1000000000000001</v>
      </c>
      <c r="E452">
        <f>Tableau3[[#This Row],[Potential (PJ)]]/3.6</f>
        <v>0.30555555555555558</v>
      </c>
      <c r="F452">
        <v>6.0218181818181824</v>
      </c>
      <c r="G452">
        <f>Tableau3[[#This Row],[Cost (€/GJ)]]*3.6</f>
        <v>21.678545454545457</v>
      </c>
      <c r="H452">
        <v>2.9521711768407801</v>
      </c>
      <c r="I452">
        <f>Tableau3[[#This Row],[GHG (kgCO2eq/GJ)]]*3.6</f>
        <v>10.627816236626808</v>
      </c>
      <c r="J452" t="s">
        <v>104</v>
      </c>
      <c r="K452" t="s">
        <v>108</v>
      </c>
    </row>
    <row r="453" spans="1:11" x14ac:dyDescent="0.3">
      <c r="A453" t="s">
        <v>26</v>
      </c>
      <c r="B453" t="s">
        <v>46</v>
      </c>
      <c r="C453" t="s">
        <v>80</v>
      </c>
      <c r="D453">
        <v>3.9094000000000002</v>
      </c>
      <c r="E453">
        <f>Tableau3[[#This Row],[Potential (PJ)]]/3.6</f>
        <v>1.0859444444444444</v>
      </c>
      <c r="F453">
        <v>0.7329737019554956</v>
      </c>
      <c r="G453">
        <f>Tableau3[[#This Row],[Cost (€/GJ)]]*3.6</f>
        <v>2.6387053270397844</v>
      </c>
      <c r="H453">
        <v>28.139870918023309</v>
      </c>
      <c r="I453">
        <f>Tableau3[[#This Row],[GHG (kgCO2eq/GJ)]]*3.6</f>
        <v>101.30353530488391</v>
      </c>
      <c r="J453" t="s">
        <v>105</v>
      </c>
      <c r="K453" t="s">
        <v>108</v>
      </c>
    </row>
    <row r="454" spans="1:11" x14ac:dyDescent="0.3">
      <c r="A454" t="s">
        <v>26</v>
      </c>
      <c r="B454" t="s">
        <v>46</v>
      </c>
      <c r="C454" t="s">
        <v>81</v>
      </c>
      <c r="D454">
        <v>1.8818299999999999</v>
      </c>
      <c r="E454">
        <f>Tableau3[[#This Row],[Potential (PJ)]]/3.6</f>
        <v>0.52273055555555548</v>
      </c>
      <c r="F454">
        <v>1.2708578143360749</v>
      </c>
      <c r="G454">
        <f>Tableau3[[#This Row],[Cost (€/GJ)]]*3.6</f>
        <v>4.5750881316098697</v>
      </c>
      <c r="H454">
        <v>8.9647473560517046</v>
      </c>
      <c r="I454">
        <f>Tableau3[[#This Row],[GHG (kgCO2eq/GJ)]]*3.6</f>
        <v>32.273090481786134</v>
      </c>
      <c r="J454" t="s">
        <v>105</v>
      </c>
      <c r="K454" t="s">
        <v>108</v>
      </c>
    </row>
    <row r="455" spans="1:11" x14ac:dyDescent="0.3">
      <c r="A455" t="s">
        <v>26</v>
      </c>
      <c r="B455" t="s">
        <v>46</v>
      </c>
      <c r="C455" t="s">
        <v>66</v>
      </c>
      <c r="D455">
        <v>16.100000000000001</v>
      </c>
      <c r="E455">
        <f>Tableau3[[#This Row],[Potential (PJ)]]/3.6</f>
        <v>4.4722222222222223</v>
      </c>
      <c r="F455">
        <v>3.3669689440993791</v>
      </c>
      <c r="G455">
        <f>Tableau3[[#This Row],[Cost (€/GJ)]]*3.6</f>
        <v>12.121088198757764</v>
      </c>
      <c r="H455">
        <v>6.8428961748633883</v>
      </c>
      <c r="I455">
        <f>Tableau3[[#This Row],[GHG (kgCO2eq/GJ)]]*3.6</f>
        <v>24.634426229508197</v>
      </c>
      <c r="J455" t="s">
        <v>104</v>
      </c>
      <c r="K455" t="s">
        <v>108</v>
      </c>
    </row>
    <row r="456" spans="1:11" x14ac:dyDescent="0.3">
      <c r="A456" t="s">
        <v>26</v>
      </c>
      <c r="B456" t="s">
        <v>46</v>
      </c>
      <c r="C456" t="s">
        <v>67</v>
      </c>
      <c r="D456">
        <v>6</v>
      </c>
      <c r="E456">
        <f>Tableau3[[#This Row],[Potential (PJ)]]/3.6</f>
        <v>1.6666666666666665</v>
      </c>
      <c r="F456">
        <v>10.63398333333333</v>
      </c>
      <c r="G456">
        <f>Tableau3[[#This Row],[Cost (€/GJ)]]*3.6</f>
        <v>38.282339999999991</v>
      </c>
      <c r="H456">
        <v>2.9521711768407801</v>
      </c>
      <c r="I456">
        <f>Tableau3[[#This Row],[GHG (kgCO2eq/GJ)]]*3.6</f>
        <v>10.627816236626808</v>
      </c>
      <c r="J456" t="s">
        <v>104</v>
      </c>
      <c r="K456" t="s">
        <v>108</v>
      </c>
    </row>
    <row r="457" spans="1:11" x14ac:dyDescent="0.3">
      <c r="A457" t="s">
        <v>26</v>
      </c>
      <c r="B457" t="s">
        <v>46</v>
      </c>
      <c r="C457" t="s">
        <v>82</v>
      </c>
      <c r="D457">
        <v>1.1000000000000001</v>
      </c>
      <c r="E457">
        <f>Tableau3[[#This Row],[Potential (PJ)]]/3.6</f>
        <v>0.30555555555555558</v>
      </c>
      <c r="F457">
        <v>2.122272727272728</v>
      </c>
      <c r="G457">
        <f>Tableau3[[#This Row],[Cost (€/GJ)]]*3.6</f>
        <v>7.6401818181818211</v>
      </c>
      <c r="H457">
        <v>6.8428961748633883</v>
      </c>
      <c r="I457">
        <f>Tableau3[[#This Row],[GHG (kgCO2eq/GJ)]]*3.6</f>
        <v>24.634426229508197</v>
      </c>
      <c r="J457" t="s">
        <v>104</v>
      </c>
      <c r="K457" t="s">
        <v>108</v>
      </c>
    </row>
    <row r="458" spans="1:11" x14ac:dyDescent="0.3">
      <c r="A458" t="s">
        <v>26</v>
      </c>
      <c r="B458" t="s">
        <v>46</v>
      </c>
      <c r="C458" t="s">
        <v>83</v>
      </c>
      <c r="D458">
        <v>4.5888499999999999</v>
      </c>
      <c r="E458">
        <f>Tableau3[[#This Row],[Potential (PJ)]]/3.6</f>
        <v>1.2746805555555556</v>
      </c>
      <c r="F458">
        <v>3.1427594233849439</v>
      </c>
      <c r="G458">
        <f>Tableau3[[#This Row],[Cost (€/GJ)]]*3.6</f>
        <v>11.313933924185799</v>
      </c>
      <c r="H458">
        <v>6.8428961748633883</v>
      </c>
      <c r="I458">
        <f>Tableau3[[#This Row],[GHG (kgCO2eq/GJ)]]*3.6</f>
        <v>24.634426229508197</v>
      </c>
      <c r="J458" t="s">
        <v>104</v>
      </c>
      <c r="K458" t="s">
        <v>108</v>
      </c>
    </row>
    <row r="459" spans="1:11" x14ac:dyDescent="0.3">
      <c r="A459" t="s">
        <v>26</v>
      </c>
      <c r="B459" t="s">
        <v>46</v>
      </c>
      <c r="C459" t="s">
        <v>84</v>
      </c>
      <c r="D459">
        <v>0.60000000000000009</v>
      </c>
      <c r="E459">
        <f>Tableau3[[#This Row],[Potential (PJ)]]/3.6</f>
        <v>0.16666666666666669</v>
      </c>
      <c r="F459">
        <v>2.3940000000000001</v>
      </c>
      <c r="G459">
        <f>Tableau3[[#This Row],[Cost (€/GJ)]]*3.6</f>
        <v>8.6184000000000012</v>
      </c>
      <c r="H459">
        <v>28.139870918023309</v>
      </c>
      <c r="I459">
        <f>Tableau3[[#This Row],[GHG (kgCO2eq/GJ)]]*3.6</f>
        <v>101.30353530488391</v>
      </c>
      <c r="J459" t="s">
        <v>105</v>
      </c>
      <c r="K459" t="s">
        <v>108</v>
      </c>
    </row>
    <row r="460" spans="1:11" x14ac:dyDescent="0.3">
      <c r="A460" t="s">
        <v>26</v>
      </c>
      <c r="B460" t="s">
        <v>46</v>
      </c>
      <c r="C460" t="s">
        <v>85</v>
      </c>
      <c r="D460">
        <v>5.4</v>
      </c>
      <c r="E460">
        <f>Tableau3[[#This Row],[Potential (PJ)]]/3.6</f>
        <v>1.5</v>
      </c>
      <c r="F460">
        <v>4.9631851851851847</v>
      </c>
      <c r="G460">
        <f>Tableau3[[#This Row],[Cost (€/GJ)]]*3.6</f>
        <v>17.867466666666665</v>
      </c>
      <c r="H460">
        <v>2.9521711768407801</v>
      </c>
      <c r="I460">
        <f>Tableau3[[#This Row],[GHG (kgCO2eq/GJ)]]*3.6</f>
        <v>10.627816236626808</v>
      </c>
      <c r="J460" t="s">
        <v>104</v>
      </c>
      <c r="K460" t="s">
        <v>108</v>
      </c>
    </row>
    <row r="461" spans="1:11" x14ac:dyDescent="0.3">
      <c r="A461" t="s">
        <v>26</v>
      </c>
      <c r="B461" t="s">
        <v>55</v>
      </c>
      <c r="C461" t="s">
        <v>86</v>
      </c>
      <c r="D461">
        <v>0.98509999999999998</v>
      </c>
      <c r="E461">
        <f>Tableau3[[#This Row],[Potential (PJ)]]/3.6</f>
        <v>0.27363888888888888</v>
      </c>
      <c r="F461">
        <v>13.37</v>
      </c>
      <c r="G461">
        <f>Tableau3[[#This Row],[Cost (€/GJ)]]*3.6</f>
        <v>48.131999999999998</v>
      </c>
      <c r="H461">
        <v>15.2</v>
      </c>
      <c r="I461">
        <f>Tableau3[[#This Row],[GHG (kgCO2eq/GJ)]]*3.6</f>
        <v>54.72</v>
      </c>
      <c r="J461" t="s">
        <v>106</v>
      </c>
      <c r="K461" t="s">
        <v>109</v>
      </c>
    </row>
    <row r="462" spans="1:11" x14ac:dyDescent="0.3">
      <c r="A462" t="s">
        <v>26</v>
      </c>
      <c r="B462" t="s">
        <v>55</v>
      </c>
      <c r="C462" t="s">
        <v>87</v>
      </c>
      <c r="D462">
        <v>6.0103</v>
      </c>
      <c r="E462">
        <f>Tableau3[[#This Row],[Potential (PJ)]]/3.6</f>
        <v>1.6695277777777777</v>
      </c>
      <c r="F462">
        <v>18.117000000000001</v>
      </c>
      <c r="G462">
        <f>Tableau3[[#This Row],[Cost (€/GJ)]]*3.6</f>
        <v>65.22120000000001</v>
      </c>
      <c r="H462">
        <v>15.2</v>
      </c>
      <c r="I462">
        <f>Tableau3[[#This Row],[GHG (kgCO2eq/GJ)]]*3.6</f>
        <v>54.72</v>
      </c>
      <c r="J462" t="s">
        <v>106</v>
      </c>
      <c r="K462" t="s">
        <v>109</v>
      </c>
    </row>
    <row r="463" spans="1:11" x14ac:dyDescent="0.3">
      <c r="A463" t="s">
        <v>26</v>
      </c>
      <c r="B463" t="s">
        <v>55</v>
      </c>
      <c r="C463" t="s">
        <v>88</v>
      </c>
      <c r="D463">
        <v>10.439399999999999</v>
      </c>
      <c r="E463">
        <f>Tableau3[[#This Row],[Potential (PJ)]]/3.6</f>
        <v>2.899833333333333</v>
      </c>
      <c r="F463">
        <v>14.14</v>
      </c>
      <c r="G463">
        <f>Tableau3[[#This Row],[Cost (€/GJ)]]*3.6</f>
        <v>50.904000000000003</v>
      </c>
      <c r="H463">
        <v>15.2</v>
      </c>
      <c r="I463">
        <f>Tableau3[[#This Row],[GHG (kgCO2eq/GJ)]]*3.6</f>
        <v>54.72</v>
      </c>
      <c r="J463" t="s">
        <v>106</v>
      </c>
      <c r="K463" t="s">
        <v>109</v>
      </c>
    </row>
    <row r="464" spans="1:11" x14ac:dyDescent="0.3">
      <c r="A464" t="s">
        <v>26</v>
      </c>
      <c r="B464" t="s">
        <v>55</v>
      </c>
      <c r="C464" t="s">
        <v>92</v>
      </c>
      <c r="D464">
        <v>2.0763699999999998</v>
      </c>
      <c r="E464">
        <f>Tableau3[[#This Row],[Potential (PJ)]]/3.6</f>
        <v>0.57676944444444433</v>
      </c>
      <c r="F464">
        <v>18.117000000000001</v>
      </c>
      <c r="G464">
        <f>Tableau3[[#This Row],[Cost (€/GJ)]]*3.6</f>
        <v>65.22120000000001</v>
      </c>
      <c r="H464">
        <v>15.2</v>
      </c>
      <c r="I464">
        <f>Tableau3[[#This Row],[GHG (kgCO2eq/GJ)]]*3.6</f>
        <v>54.72</v>
      </c>
      <c r="J464" t="s">
        <v>106</v>
      </c>
      <c r="K464" t="s">
        <v>109</v>
      </c>
    </row>
    <row r="465" spans="1:11" x14ac:dyDescent="0.3">
      <c r="A465" t="s">
        <v>26</v>
      </c>
      <c r="B465" t="s">
        <v>56</v>
      </c>
      <c r="C465" t="s">
        <v>93</v>
      </c>
      <c r="D465">
        <v>44.343400000000003</v>
      </c>
      <c r="E465">
        <f>Tableau3[[#This Row],[Potential (PJ)]]/3.6</f>
        <v>12.317611111111111</v>
      </c>
      <c r="F465">
        <v>2.939759036144578</v>
      </c>
      <c r="G465">
        <f>Tableau3[[#This Row],[Cost (€/GJ)]]*3.6</f>
        <v>10.583132530120482</v>
      </c>
      <c r="H465">
        <v>23.4</v>
      </c>
      <c r="I465">
        <f>Tableau3[[#This Row],[GHG (kgCO2eq/GJ)]]*3.6</f>
        <v>84.24</v>
      </c>
      <c r="J465" t="s">
        <v>106</v>
      </c>
      <c r="K465" t="s">
        <v>109</v>
      </c>
    </row>
    <row r="466" spans="1:11" x14ac:dyDescent="0.3">
      <c r="A466" t="s">
        <v>26</v>
      </c>
      <c r="B466" t="s">
        <v>47</v>
      </c>
      <c r="C466" t="s">
        <v>68</v>
      </c>
      <c r="D466">
        <v>102.7</v>
      </c>
      <c r="E466">
        <f>Tableau3[[#This Row],[Potential (PJ)]]/3.6</f>
        <v>28.527777777777779</v>
      </c>
      <c r="F466">
        <v>6.6435861733203501</v>
      </c>
      <c r="G466">
        <f>Tableau3[[#This Row],[Cost (€/GJ)]]*3.6</f>
        <v>23.916910223953259</v>
      </c>
      <c r="H466">
        <v>20.8</v>
      </c>
      <c r="I466">
        <f>Tableau3[[#This Row],[GHG (kgCO2eq/GJ)]]*3.6</f>
        <v>74.88000000000001</v>
      </c>
      <c r="J466" t="s">
        <v>104</v>
      </c>
      <c r="K466" t="s">
        <v>109</v>
      </c>
    </row>
    <row r="467" spans="1:11" x14ac:dyDescent="0.3">
      <c r="A467" t="s">
        <v>26</v>
      </c>
      <c r="B467" t="s">
        <v>47</v>
      </c>
      <c r="C467" t="s">
        <v>69</v>
      </c>
      <c r="D467">
        <v>54.6</v>
      </c>
      <c r="E467">
        <f>Tableau3[[#This Row],[Potential (PJ)]]/3.6</f>
        <v>15.166666666666666</v>
      </c>
      <c r="F467">
        <v>8.98180586080586</v>
      </c>
      <c r="G467">
        <f>Tableau3[[#This Row],[Cost (€/GJ)]]*3.6</f>
        <v>32.3345010989011</v>
      </c>
      <c r="H467">
        <v>20.8</v>
      </c>
      <c r="I467">
        <f>Tableau3[[#This Row],[GHG (kgCO2eq/GJ)]]*3.6</f>
        <v>74.88000000000001</v>
      </c>
      <c r="J467" t="s">
        <v>104</v>
      </c>
      <c r="K467" t="s">
        <v>109</v>
      </c>
    </row>
    <row r="468" spans="1:11" x14ac:dyDescent="0.3">
      <c r="A468" t="s">
        <v>26</v>
      </c>
      <c r="B468" t="s">
        <v>48</v>
      </c>
      <c r="C468" t="s">
        <v>70</v>
      </c>
      <c r="D468">
        <v>11.7</v>
      </c>
      <c r="E468">
        <f>Tableau3[[#This Row],[Potential (PJ)]]/3.6</f>
        <v>3.2499999999999996</v>
      </c>
      <c r="F468">
        <v>18.221162393162391</v>
      </c>
      <c r="G468">
        <f>Tableau3[[#This Row],[Cost (€/GJ)]]*3.6</f>
        <v>65.596184615384615</v>
      </c>
      <c r="H468">
        <v>0</v>
      </c>
      <c r="I468">
        <f>Tableau3[[#This Row],[GHG (kgCO2eq/GJ)]]*3.6</f>
        <v>0</v>
      </c>
      <c r="J468" t="s">
        <v>104</v>
      </c>
      <c r="K468" t="s">
        <v>109</v>
      </c>
    </row>
    <row r="469" spans="1:11" x14ac:dyDescent="0.3">
      <c r="A469" t="s">
        <v>26</v>
      </c>
      <c r="B469" t="s">
        <v>49</v>
      </c>
      <c r="C469" t="s">
        <v>71</v>
      </c>
      <c r="D469">
        <v>115.28823</v>
      </c>
      <c r="E469">
        <f>Tableau3[[#This Row],[Potential (PJ)]]/3.6</f>
        <v>32.02450833333333</v>
      </c>
      <c r="F469">
        <v>5.4620676587714119</v>
      </c>
      <c r="G469">
        <f>Tableau3[[#This Row],[Cost (€/GJ)]]*3.6</f>
        <v>19.663443571577083</v>
      </c>
      <c r="H469">
        <v>3.86607608129234</v>
      </c>
      <c r="I469">
        <f>Tableau3[[#This Row],[GHG (kgCO2eq/GJ)]]*3.6</f>
        <v>13.917873892652425</v>
      </c>
      <c r="J469" t="s">
        <v>104</v>
      </c>
      <c r="K469" t="s">
        <v>108</v>
      </c>
    </row>
    <row r="470" spans="1:11" x14ac:dyDescent="0.3">
      <c r="A470" t="s">
        <v>26</v>
      </c>
      <c r="B470" t="s">
        <v>49</v>
      </c>
      <c r="C470" t="s">
        <v>72</v>
      </c>
      <c r="D470">
        <v>19.600000000000001</v>
      </c>
      <c r="E470">
        <f>Tableau3[[#This Row],[Potential (PJ)]]/3.6</f>
        <v>5.4444444444444446</v>
      </c>
      <c r="F470">
        <v>4.3883316326530606</v>
      </c>
      <c r="G470">
        <f>Tableau3[[#This Row],[Cost (€/GJ)]]*3.6</f>
        <v>15.797993877551018</v>
      </c>
      <c r="H470">
        <v>3.86607608129234</v>
      </c>
      <c r="I470">
        <f>Tableau3[[#This Row],[GHG (kgCO2eq/GJ)]]*3.6</f>
        <v>13.917873892652425</v>
      </c>
      <c r="J470" t="s">
        <v>104</v>
      </c>
      <c r="K470" t="s">
        <v>108</v>
      </c>
    </row>
    <row r="471" spans="1:11" x14ac:dyDescent="0.3">
      <c r="A471" t="s">
        <v>26</v>
      </c>
      <c r="B471" t="s">
        <v>58</v>
      </c>
      <c r="C471" t="s">
        <v>95</v>
      </c>
      <c r="D471">
        <v>12.64049</v>
      </c>
      <c r="E471">
        <f>Tableau3[[#This Row],[Potential (PJ)]]/3.6</f>
        <v>3.511247222222222</v>
      </c>
      <c r="F471">
        <v>3.3756252771846662</v>
      </c>
      <c r="G471">
        <f>Tableau3[[#This Row],[Cost (€/GJ)]]*3.6</f>
        <v>12.152250997864799</v>
      </c>
      <c r="H471">
        <v>2.9521711768407801</v>
      </c>
      <c r="I471">
        <f>Tableau3[[#This Row],[GHG (kgCO2eq/GJ)]]*3.6</f>
        <v>10.627816236626808</v>
      </c>
      <c r="J471" t="s">
        <v>104</v>
      </c>
      <c r="K471" t="s">
        <v>108</v>
      </c>
    </row>
    <row r="472" spans="1:11" x14ac:dyDescent="0.3">
      <c r="A472" t="s">
        <v>26</v>
      </c>
      <c r="B472" t="s">
        <v>50</v>
      </c>
      <c r="C472" t="s">
        <v>73</v>
      </c>
      <c r="D472">
        <v>21.8</v>
      </c>
      <c r="E472">
        <f>Tableau3[[#This Row],[Potential (PJ)]]/3.6</f>
        <v>6.0555555555555554</v>
      </c>
      <c r="F472">
        <v>5.8951055045871552</v>
      </c>
      <c r="G472">
        <f>Tableau3[[#This Row],[Cost (€/GJ)]]*3.6</f>
        <v>21.222379816513758</v>
      </c>
      <c r="H472">
        <v>20.723404255319149</v>
      </c>
      <c r="I472">
        <f>Tableau3[[#This Row],[GHG (kgCO2eq/GJ)]]*3.6</f>
        <v>74.604255319148933</v>
      </c>
      <c r="J472" t="s">
        <v>105</v>
      </c>
      <c r="K472" t="s">
        <v>108</v>
      </c>
    </row>
    <row r="473" spans="1:11" x14ac:dyDescent="0.3">
      <c r="A473" t="s">
        <v>26</v>
      </c>
      <c r="B473" t="s">
        <v>50</v>
      </c>
      <c r="C473" t="s">
        <v>74</v>
      </c>
      <c r="D473">
        <v>97.8</v>
      </c>
      <c r="E473">
        <f>Tableau3[[#This Row],[Potential (PJ)]]/3.6</f>
        <v>27.166666666666664</v>
      </c>
      <c r="F473">
        <v>4.7980879345603276</v>
      </c>
      <c r="G473">
        <f>Tableau3[[#This Row],[Cost (€/GJ)]]*3.6</f>
        <v>17.27311656441718</v>
      </c>
      <c r="H473">
        <v>2.0635593220338988</v>
      </c>
      <c r="I473">
        <f>Tableau3[[#This Row],[GHG (kgCO2eq/GJ)]]*3.6</f>
        <v>7.4288135593220357</v>
      </c>
      <c r="J473" t="s">
        <v>105</v>
      </c>
      <c r="K473" t="s">
        <v>108</v>
      </c>
    </row>
    <row r="474" spans="1:11" x14ac:dyDescent="0.3">
      <c r="A474" t="s">
        <v>26</v>
      </c>
      <c r="B474" t="s">
        <v>59</v>
      </c>
      <c r="C474" t="s">
        <v>96</v>
      </c>
      <c r="D474">
        <v>1.0789</v>
      </c>
      <c r="E474">
        <f>Tableau3[[#This Row],[Potential (PJ)]]/3.6</f>
        <v>0.29969444444444443</v>
      </c>
      <c r="F474">
        <v>17.364000000000001</v>
      </c>
      <c r="G474">
        <f>Tableau3[[#This Row],[Cost (€/GJ)]]*3.6</f>
        <v>62.510400000000004</v>
      </c>
      <c r="H474">
        <v>18.600000000000001</v>
      </c>
      <c r="I474">
        <f>Tableau3[[#This Row],[GHG (kgCO2eq/GJ)]]*3.6</f>
        <v>66.960000000000008</v>
      </c>
      <c r="J474" t="s">
        <v>107</v>
      </c>
      <c r="K474" t="s">
        <v>109</v>
      </c>
    </row>
    <row r="475" spans="1:11" x14ac:dyDescent="0.3">
      <c r="A475" t="s">
        <v>26</v>
      </c>
      <c r="B475" t="s">
        <v>59</v>
      </c>
      <c r="C475" t="s">
        <v>97</v>
      </c>
      <c r="D475">
        <v>2.0878999999999999</v>
      </c>
      <c r="E475">
        <f>Tableau3[[#This Row],[Potential (PJ)]]/3.6</f>
        <v>0.57997222222222222</v>
      </c>
      <c r="F475">
        <v>13.94465545306565</v>
      </c>
      <c r="G475">
        <f>Tableau3[[#This Row],[Cost (€/GJ)]]*3.6</f>
        <v>50.200759631036341</v>
      </c>
      <c r="H475">
        <v>18.600000000000001</v>
      </c>
      <c r="I475">
        <f>Tableau3[[#This Row],[GHG (kgCO2eq/GJ)]]*3.6</f>
        <v>66.960000000000008</v>
      </c>
      <c r="J475" t="s">
        <v>107</v>
      </c>
      <c r="K475" t="s">
        <v>109</v>
      </c>
    </row>
    <row r="476" spans="1:11" x14ac:dyDescent="0.3">
      <c r="A476" t="s">
        <v>26</v>
      </c>
      <c r="B476" t="s">
        <v>51</v>
      </c>
      <c r="C476" t="s">
        <v>75</v>
      </c>
      <c r="D476">
        <v>25.987400000000001</v>
      </c>
      <c r="E476">
        <f>Tableau3[[#This Row],[Potential (PJ)]]/3.6</f>
        <v>7.2187222222222225</v>
      </c>
      <c r="F476">
        <v>9.3881235149403899E-2</v>
      </c>
      <c r="G476">
        <f>Tableau3[[#This Row],[Cost (€/GJ)]]*3.6</f>
        <v>0.33797244653785402</v>
      </c>
      <c r="H476">
        <v>11.74</v>
      </c>
      <c r="I476">
        <f>Tableau3[[#This Row],[GHG (kgCO2eq/GJ)]]*3.6</f>
        <v>42.264000000000003</v>
      </c>
      <c r="J476" t="s">
        <v>104</v>
      </c>
      <c r="K476" t="s">
        <v>108</v>
      </c>
    </row>
    <row r="477" spans="1:11" x14ac:dyDescent="0.3">
      <c r="A477" t="s">
        <v>26</v>
      </c>
      <c r="B477" t="s">
        <v>60</v>
      </c>
      <c r="C477" t="s">
        <v>98</v>
      </c>
      <c r="D477">
        <v>0.15329000000000001</v>
      </c>
      <c r="E477">
        <f>Tableau3[[#This Row],[Potential (PJ)]]/3.6</f>
        <v>4.2580555555555559E-2</v>
      </c>
      <c r="F477">
        <v>10.79484425349087</v>
      </c>
      <c r="G477">
        <f>Tableau3[[#This Row],[Cost (€/GJ)]]*3.6</f>
        <v>38.861439312567136</v>
      </c>
      <c r="H477">
        <v>39</v>
      </c>
      <c r="I477">
        <f>Tableau3[[#This Row],[GHG (kgCO2eq/GJ)]]*3.6</f>
        <v>140.4</v>
      </c>
      <c r="J477" t="s">
        <v>107</v>
      </c>
      <c r="K477" t="s">
        <v>109</v>
      </c>
    </row>
    <row r="478" spans="1:11" x14ac:dyDescent="0.3">
      <c r="A478" t="s">
        <v>26</v>
      </c>
      <c r="B478" t="s">
        <v>52</v>
      </c>
      <c r="C478" t="s">
        <v>76</v>
      </c>
      <c r="D478">
        <v>0.17599999999999999</v>
      </c>
      <c r="E478">
        <f>Tableau3[[#This Row],[Potential (PJ)]]/3.6</f>
        <v>4.8888888888888885E-2</v>
      </c>
      <c r="F478">
        <v>7.5037500000000001</v>
      </c>
      <c r="G478">
        <f>Tableau3[[#This Row],[Cost (€/GJ)]]*3.6</f>
        <v>27.013500000000001</v>
      </c>
      <c r="H478">
        <v>12.68872359754714</v>
      </c>
      <c r="I478">
        <f>Tableau3[[#This Row],[GHG (kgCO2eq/GJ)]]*3.6</f>
        <v>45.679404951169708</v>
      </c>
      <c r="J478" t="s">
        <v>105</v>
      </c>
      <c r="K478" t="s">
        <v>108</v>
      </c>
    </row>
    <row r="479" spans="1:11" x14ac:dyDescent="0.3">
      <c r="A479" t="s">
        <v>26</v>
      </c>
      <c r="B479" t="s">
        <v>53</v>
      </c>
      <c r="C479" t="s">
        <v>77</v>
      </c>
      <c r="D479">
        <v>14.6</v>
      </c>
      <c r="E479">
        <f>Tableau3[[#This Row],[Potential (PJ)]]/3.6</f>
        <v>4.0555555555555554</v>
      </c>
      <c r="F479">
        <v>4.3894657534246582</v>
      </c>
      <c r="G479">
        <f>Tableau3[[#This Row],[Cost (€/GJ)]]*3.6</f>
        <v>15.80207671232877</v>
      </c>
      <c r="H479">
        <v>3.86607608129234</v>
      </c>
      <c r="I479">
        <f>Tableau3[[#This Row],[GHG (kgCO2eq/GJ)]]*3.6</f>
        <v>13.917873892652425</v>
      </c>
      <c r="J479" t="s">
        <v>104</v>
      </c>
      <c r="K479" t="s">
        <v>108</v>
      </c>
    </row>
    <row r="480" spans="1:11" x14ac:dyDescent="0.3">
      <c r="A480" t="s">
        <v>26</v>
      </c>
      <c r="B480" t="s">
        <v>61</v>
      </c>
      <c r="C480" t="s">
        <v>99</v>
      </c>
      <c r="D480">
        <v>10.8</v>
      </c>
      <c r="E480">
        <f>Tableau3[[#This Row],[Potential (PJ)]]/3.6</f>
        <v>3</v>
      </c>
      <c r="F480">
        <v>2.6531388888888889</v>
      </c>
      <c r="G480">
        <f>Tableau3[[#This Row],[Cost (€/GJ)]]*3.6</f>
        <v>9.5513000000000012</v>
      </c>
      <c r="H480">
        <v>2.9245635910224439</v>
      </c>
      <c r="I480">
        <f>Tableau3[[#This Row],[GHG (kgCO2eq/GJ)]]*3.6</f>
        <v>10.528428927680798</v>
      </c>
      <c r="J480" t="s">
        <v>104</v>
      </c>
      <c r="K480" t="s">
        <v>108</v>
      </c>
    </row>
    <row r="481" spans="1:11" x14ac:dyDescent="0.3">
      <c r="A481" t="s">
        <v>26</v>
      </c>
      <c r="B481" t="s">
        <v>62</v>
      </c>
      <c r="C481" t="s">
        <v>100</v>
      </c>
      <c r="D481">
        <v>1.1000000000000001</v>
      </c>
      <c r="E481">
        <f>Tableau3[[#This Row],[Potential (PJ)]]/3.6</f>
        <v>0.30555555555555558</v>
      </c>
      <c r="F481">
        <v>0.2</v>
      </c>
      <c r="G481">
        <f>Tableau3[[#This Row],[Cost (€/GJ)]]*3.6</f>
        <v>0.72000000000000008</v>
      </c>
      <c r="H481">
        <v>2.6764106050305911</v>
      </c>
      <c r="I481">
        <f>Tableau3[[#This Row],[GHG (kgCO2eq/GJ)]]*3.6</f>
        <v>9.6350781781101276</v>
      </c>
      <c r="J481" t="s">
        <v>104</v>
      </c>
      <c r="K481" t="s">
        <v>108</v>
      </c>
    </row>
    <row r="482" spans="1:11" x14ac:dyDescent="0.3">
      <c r="A482" t="s">
        <v>26</v>
      </c>
      <c r="B482" t="s">
        <v>54</v>
      </c>
      <c r="C482" t="s">
        <v>78</v>
      </c>
      <c r="D482">
        <v>86.1</v>
      </c>
      <c r="E482">
        <f>Tableau3[[#This Row],[Potential (PJ)]]/3.6</f>
        <v>23.916666666666664</v>
      </c>
      <c r="F482">
        <v>9.0932508710801407</v>
      </c>
      <c r="G482">
        <f>Tableau3[[#This Row],[Cost (€/GJ)]]*3.6</f>
        <v>32.735703135888507</v>
      </c>
      <c r="H482">
        <v>3.86607608129234</v>
      </c>
      <c r="I482">
        <f>Tableau3[[#This Row],[GHG (kgCO2eq/GJ)]]*3.6</f>
        <v>13.917873892652425</v>
      </c>
      <c r="J482" t="s">
        <v>104</v>
      </c>
      <c r="K482" t="s">
        <v>108</v>
      </c>
    </row>
    <row r="483" spans="1:11" x14ac:dyDescent="0.3">
      <c r="A483" t="s">
        <v>27</v>
      </c>
      <c r="B483" t="s">
        <v>46</v>
      </c>
      <c r="C483" t="s">
        <v>64</v>
      </c>
      <c r="D483">
        <v>2.861E-2</v>
      </c>
      <c r="E483">
        <f>Tableau3[[#This Row],[Potential (PJ)]]/3.6</f>
        <v>7.9472222222222218E-3</v>
      </c>
      <c r="F483">
        <v>0</v>
      </c>
      <c r="G483">
        <f>Tableau3[[#This Row],[Cost (€/GJ)]]*3.6</f>
        <v>0</v>
      </c>
      <c r="H483">
        <v>2.9521711768407801</v>
      </c>
      <c r="I483">
        <f>Tableau3[[#This Row],[GHG (kgCO2eq/GJ)]]*3.6</f>
        <v>10.627816236626808</v>
      </c>
      <c r="J483" t="s">
        <v>104</v>
      </c>
      <c r="K483" t="s">
        <v>108</v>
      </c>
    </row>
    <row r="484" spans="1:11" x14ac:dyDescent="0.3">
      <c r="A484" t="s">
        <v>27</v>
      </c>
      <c r="B484" t="s">
        <v>46</v>
      </c>
      <c r="C484" t="s">
        <v>79</v>
      </c>
      <c r="D484">
        <v>12.2</v>
      </c>
      <c r="E484">
        <f>Tableau3[[#This Row],[Potential (PJ)]]/3.6</f>
        <v>3.3888888888888884</v>
      </c>
      <c r="F484">
        <v>0</v>
      </c>
      <c r="G484">
        <f>Tableau3[[#This Row],[Cost (€/GJ)]]*3.6</f>
        <v>0</v>
      </c>
      <c r="H484">
        <v>6.8428961748633883</v>
      </c>
      <c r="I484">
        <f>Tableau3[[#This Row],[GHG (kgCO2eq/GJ)]]*3.6</f>
        <v>24.634426229508197</v>
      </c>
      <c r="J484" t="s">
        <v>104</v>
      </c>
      <c r="K484" t="s">
        <v>108</v>
      </c>
    </row>
    <row r="485" spans="1:11" x14ac:dyDescent="0.3">
      <c r="A485" t="s">
        <v>27</v>
      </c>
      <c r="B485" t="s">
        <v>46</v>
      </c>
      <c r="C485" t="s">
        <v>65</v>
      </c>
      <c r="D485">
        <v>0.1</v>
      </c>
      <c r="E485">
        <f>Tableau3[[#This Row],[Potential (PJ)]]/3.6</f>
        <v>2.777777777777778E-2</v>
      </c>
      <c r="F485">
        <v>0</v>
      </c>
      <c r="G485">
        <f>Tableau3[[#This Row],[Cost (€/GJ)]]*3.6</f>
        <v>0</v>
      </c>
      <c r="H485">
        <v>2.9521711768407801</v>
      </c>
      <c r="I485">
        <f>Tableau3[[#This Row],[GHG (kgCO2eq/GJ)]]*3.6</f>
        <v>10.627816236626808</v>
      </c>
      <c r="J485" t="s">
        <v>104</v>
      </c>
      <c r="K485" t="s">
        <v>108</v>
      </c>
    </row>
    <row r="486" spans="1:11" x14ac:dyDescent="0.3">
      <c r="A486" t="s">
        <v>27</v>
      </c>
      <c r="B486" t="s">
        <v>46</v>
      </c>
      <c r="C486" t="s">
        <v>80</v>
      </c>
      <c r="D486">
        <v>1.485E-2</v>
      </c>
      <c r="E486">
        <f>Tableau3[[#This Row],[Potential (PJ)]]/3.6</f>
        <v>4.1250000000000002E-3</v>
      </c>
      <c r="F486">
        <v>0.25084288604180721</v>
      </c>
      <c r="G486">
        <f>Tableau3[[#This Row],[Cost (€/GJ)]]*3.6</f>
        <v>0.90303438975050598</v>
      </c>
      <c r="H486">
        <v>28.139870918023309</v>
      </c>
      <c r="I486">
        <f>Tableau3[[#This Row],[GHG (kgCO2eq/GJ)]]*3.6</f>
        <v>101.30353530488391</v>
      </c>
      <c r="J486" t="s">
        <v>105</v>
      </c>
      <c r="K486" t="s">
        <v>108</v>
      </c>
    </row>
    <row r="487" spans="1:11" x14ac:dyDescent="0.3">
      <c r="A487" t="s">
        <v>27</v>
      </c>
      <c r="B487" t="s">
        <v>46</v>
      </c>
      <c r="C487" t="s">
        <v>81</v>
      </c>
      <c r="D487">
        <v>4.2500000000000003E-3</v>
      </c>
      <c r="E487">
        <f>Tableau3[[#This Row],[Potential (PJ)]]/3.6</f>
        <v>1.1805555555555556E-3</v>
      </c>
      <c r="F487">
        <v>1.663924794359577</v>
      </c>
      <c r="G487">
        <f>Tableau3[[#This Row],[Cost (€/GJ)]]*3.6</f>
        <v>5.9901292596944771</v>
      </c>
      <c r="H487">
        <v>8.9647473560517046</v>
      </c>
      <c r="I487">
        <f>Tableau3[[#This Row],[GHG (kgCO2eq/GJ)]]*3.6</f>
        <v>32.273090481786134</v>
      </c>
      <c r="J487" t="s">
        <v>105</v>
      </c>
      <c r="K487" t="s">
        <v>108</v>
      </c>
    </row>
    <row r="488" spans="1:11" x14ac:dyDescent="0.3">
      <c r="A488" t="s">
        <v>27</v>
      </c>
      <c r="B488" t="s">
        <v>46</v>
      </c>
      <c r="C488" t="s">
        <v>66</v>
      </c>
      <c r="D488">
        <v>0.2</v>
      </c>
      <c r="E488">
        <f>Tableau3[[#This Row],[Potential (PJ)]]/3.6</f>
        <v>5.5555555555555559E-2</v>
      </c>
      <c r="F488">
        <v>3.09</v>
      </c>
      <c r="G488">
        <f>Tableau3[[#This Row],[Cost (€/GJ)]]*3.6</f>
        <v>11.124000000000001</v>
      </c>
      <c r="H488">
        <v>6.8428961748633883</v>
      </c>
      <c r="I488">
        <f>Tableau3[[#This Row],[GHG (kgCO2eq/GJ)]]*3.6</f>
        <v>24.634426229508197</v>
      </c>
      <c r="J488" t="s">
        <v>104</v>
      </c>
      <c r="K488" t="s">
        <v>108</v>
      </c>
    </row>
    <row r="489" spans="1:11" x14ac:dyDescent="0.3">
      <c r="A489" t="s">
        <v>27</v>
      </c>
      <c r="B489" t="s">
        <v>46</v>
      </c>
      <c r="C489" t="s">
        <v>82</v>
      </c>
      <c r="D489">
        <v>1.4</v>
      </c>
      <c r="E489">
        <f>Tableau3[[#This Row],[Potential (PJ)]]/3.6</f>
        <v>0.38888888888888884</v>
      </c>
      <c r="F489">
        <v>1.9019999999999999</v>
      </c>
      <c r="G489">
        <f>Tableau3[[#This Row],[Cost (€/GJ)]]*3.6</f>
        <v>6.8472</v>
      </c>
      <c r="H489">
        <v>6.8428961748633883</v>
      </c>
      <c r="I489">
        <f>Tableau3[[#This Row],[GHG (kgCO2eq/GJ)]]*3.6</f>
        <v>24.634426229508197</v>
      </c>
      <c r="J489" t="s">
        <v>104</v>
      </c>
      <c r="K489" t="s">
        <v>108</v>
      </c>
    </row>
    <row r="490" spans="1:11" x14ac:dyDescent="0.3">
      <c r="A490" t="s">
        <v>27</v>
      </c>
      <c r="B490" t="s">
        <v>46</v>
      </c>
      <c r="C490" t="s">
        <v>84</v>
      </c>
      <c r="D490">
        <v>0.3</v>
      </c>
      <c r="E490">
        <f>Tableau3[[#This Row],[Potential (PJ)]]/3.6</f>
        <v>8.3333333333333329E-2</v>
      </c>
      <c r="F490">
        <v>1.8049999999999999</v>
      </c>
      <c r="G490">
        <f>Tableau3[[#This Row],[Cost (€/GJ)]]*3.6</f>
        <v>6.4980000000000002</v>
      </c>
      <c r="H490">
        <v>28.139870918023309</v>
      </c>
      <c r="I490">
        <f>Tableau3[[#This Row],[GHG (kgCO2eq/GJ)]]*3.6</f>
        <v>101.30353530488391</v>
      </c>
      <c r="J490" t="s">
        <v>105</v>
      </c>
      <c r="K490" t="s">
        <v>108</v>
      </c>
    </row>
    <row r="491" spans="1:11" x14ac:dyDescent="0.3">
      <c r="A491" t="s">
        <v>27</v>
      </c>
      <c r="B491" t="s">
        <v>55</v>
      </c>
      <c r="C491" t="s">
        <v>86</v>
      </c>
      <c r="D491">
        <v>0.66349999999999998</v>
      </c>
      <c r="E491">
        <f>Tableau3[[#This Row],[Potential (PJ)]]/3.6</f>
        <v>0.18430555555555556</v>
      </c>
      <c r="F491">
        <v>9.9629999999999992</v>
      </c>
      <c r="G491">
        <f>Tableau3[[#This Row],[Cost (€/GJ)]]*3.6</f>
        <v>35.866799999999998</v>
      </c>
      <c r="H491">
        <v>6.2</v>
      </c>
      <c r="I491">
        <f>Tableau3[[#This Row],[GHG (kgCO2eq/GJ)]]*3.6</f>
        <v>22.32</v>
      </c>
      <c r="J491" t="s">
        <v>106</v>
      </c>
      <c r="K491" t="s">
        <v>109</v>
      </c>
    </row>
    <row r="492" spans="1:11" x14ac:dyDescent="0.3">
      <c r="A492" t="s">
        <v>27</v>
      </c>
      <c r="B492" t="s">
        <v>55</v>
      </c>
      <c r="C492" t="s">
        <v>88</v>
      </c>
      <c r="D492">
        <v>0.1208</v>
      </c>
      <c r="E492">
        <f>Tableau3[[#This Row],[Potential (PJ)]]/3.6</f>
        <v>3.3555555555555554E-2</v>
      </c>
      <c r="F492">
        <v>12.96</v>
      </c>
      <c r="G492">
        <f>Tableau3[[#This Row],[Cost (€/GJ)]]*3.6</f>
        <v>46.656000000000006</v>
      </c>
      <c r="H492">
        <v>6.2</v>
      </c>
      <c r="I492">
        <f>Tableau3[[#This Row],[GHG (kgCO2eq/GJ)]]*3.6</f>
        <v>22.32</v>
      </c>
      <c r="J492" t="s">
        <v>106</v>
      </c>
      <c r="K492" t="s">
        <v>109</v>
      </c>
    </row>
    <row r="493" spans="1:11" x14ac:dyDescent="0.3">
      <c r="A493" t="s">
        <v>27</v>
      </c>
      <c r="B493" t="s">
        <v>55</v>
      </c>
      <c r="C493" t="s">
        <v>89</v>
      </c>
      <c r="D493">
        <v>1.6000000000000001E-3</v>
      </c>
      <c r="E493">
        <f>Tableau3[[#This Row],[Potential (PJ)]]/3.6</f>
        <v>4.4444444444444447E-4</v>
      </c>
      <c r="F493">
        <v>0</v>
      </c>
      <c r="G493">
        <f>Tableau3[[#This Row],[Cost (€/GJ)]]*3.6</f>
        <v>0</v>
      </c>
      <c r="H493">
        <v>6.2</v>
      </c>
      <c r="I493">
        <f>Tableau3[[#This Row],[GHG (kgCO2eq/GJ)]]*3.6</f>
        <v>22.32</v>
      </c>
      <c r="J493" t="s">
        <v>106</v>
      </c>
      <c r="K493" t="s">
        <v>109</v>
      </c>
    </row>
    <row r="494" spans="1:11" x14ac:dyDescent="0.3">
      <c r="A494" t="s">
        <v>27</v>
      </c>
      <c r="B494" t="s">
        <v>55</v>
      </c>
      <c r="C494" t="s">
        <v>90</v>
      </c>
      <c r="D494">
        <v>0.72109999999999996</v>
      </c>
      <c r="E494">
        <f>Tableau3[[#This Row],[Potential (PJ)]]/3.6</f>
        <v>0.20030555555555554</v>
      </c>
      <c r="F494">
        <v>8.8279999999999994</v>
      </c>
      <c r="G494">
        <f>Tableau3[[#This Row],[Cost (€/GJ)]]*3.6</f>
        <v>31.780799999999999</v>
      </c>
      <c r="H494">
        <v>6.2</v>
      </c>
      <c r="I494">
        <f>Tableau3[[#This Row],[GHG (kgCO2eq/GJ)]]*3.6</f>
        <v>22.32</v>
      </c>
      <c r="J494" t="s">
        <v>106</v>
      </c>
      <c r="K494" t="s">
        <v>109</v>
      </c>
    </row>
    <row r="495" spans="1:11" x14ac:dyDescent="0.3">
      <c r="A495" t="s">
        <v>27</v>
      </c>
      <c r="B495" t="s">
        <v>55</v>
      </c>
      <c r="C495" t="s">
        <v>91</v>
      </c>
      <c r="D495">
        <v>0.3397</v>
      </c>
      <c r="E495">
        <f>Tableau3[[#This Row],[Potential (PJ)]]/3.6</f>
        <v>9.4361111111111104E-2</v>
      </c>
      <c r="F495">
        <v>8.484</v>
      </c>
      <c r="G495">
        <f>Tableau3[[#This Row],[Cost (€/GJ)]]*3.6</f>
        <v>30.542400000000001</v>
      </c>
      <c r="H495">
        <v>6.2</v>
      </c>
      <c r="I495">
        <f>Tableau3[[#This Row],[GHG (kgCO2eq/GJ)]]*3.6</f>
        <v>22.32</v>
      </c>
      <c r="J495" t="s">
        <v>106</v>
      </c>
      <c r="K495" t="s">
        <v>109</v>
      </c>
    </row>
    <row r="496" spans="1:11" x14ac:dyDescent="0.3">
      <c r="A496" t="s">
        <v>27</v>
      </c>
      <c r="B496" t="s">
        <v>55</v>
      </c>
      <c r="C496" t="s">
        <v>92</v>
      </c>
      <c r="D496">
        <v>0.50973000000000002</v>
      </c>
      <c r="E496">
        <f>Tableau3[[#This Row],[Potential (PJ)]]/3.6</f>
        <v>0.14159166666666667</v>
      </c>
      <c r="F496">
        <v>10.994</v>
      </c>
      <c r="G496">
        <f>Tableau3[[#This Row],[Cost (€/GJ)]]*3.6</f>
        <v>39.578400000000002</v>
      </c>
      <c r="H496">
        <v>6.2</v>
      </c>
      <c r="I496">
        <f>Tableau3[[#This Row],[GHG (kgCO2eq/GJ)]]*3.6</f>
        <v>22.32</v>
      </c>
      <c r="J496" t="s">
        <v>106</v>
      </c>
      <c r="K496" t="s">
        <v>109</v>
      </c>
    </row>
    <row r="497" spans="1:11" x14ac:dyDescent="0.3">
      <c r="A497" t="s">
        <v>27</v>
      </c>
      <c r="B497" t="s">
        <v>56</v>
      </c>
      <c r="C497" t="s">
        <v>93</v>
      </c>
      <c r="D497">
        <v>24.2959</v>
      </c>
      <c r="E497">
        <f>Tableau3[[#This Row],[Potential (PJ)]]/3.6</f>
        <v>6.7488611111111112</v>
      </c>
      <c r="F497">
        <v>2.9493975903614462</v>
      </c>
      <c r="G497">
        <f>Tableau3[[#This Row],[Cost (€/GJ)]]*3.6</f>
        <v>10.617831325301207</v>
      </c>
      <c r="H497">
        <v>18.3</v>
      </c>
      <c r="I497">
        <f>Tableau3[[#This Row],[GHG (kgCO2eq/GJ)]]*3.6</f>
        <v>65.88000000000001</v>
      </c>
      <c r="J497" t="s">
        <v>106</v>
      </c>
      <c r="K497" t="s">
        <v>109</v>
      </c>
    </row>
    <row r="498" spans="1:11" x14ac:dyDescent="0.3">
      <c r="A498" t="s">
        <v>27</v>
      </c>
      <c r="B498" t="s">
        <v>47</v>
      </c>
      <c r="C498" t="s">
        <v>101</v>
      </c>
      <c r="D498">
        <v>29.5</v>
      </c>
      <c r="E498">
        <f>Tableau3[[#This Row],[Potential (PJ)]]/3.6</f>
        <v>8.1944444444444446</v>
      </c>
      <c r="F498">
        <v>2.3769999999999998</v>
      </c>
      <c r="G498">
        <f>Tableau3[[#This Row],[Cost (€/GJ)]]*3.6</f>
        <v>8.5571999999999999</v>
      </c>
      <c r="H498">
        <v>43.8</v>
      </c>
      <c r="I498">
        <f>Tableau3[[#This Row],[GHG (kgCO2eq/GJ)]]*3.6</f>
        <v>157.68</v>
      </c>
      <c r="J498" t="s">
        <v>104</v>
      </c>
      <c r="K498" t="s">
        <v>109</v>
      </c>
    </row>
    <row r="499" spans="1:11" x14ac:dyDescent="0.3">
      <c r="A499" t="s">
        <v>27</v>
      </c>
      <c r="B499" t="s">
        <v>57</v>
      </c>
      <c r="C499" t="s">
        <v>94</v>
      </c>
      <c r="D499">
        <v>15.5</v>
      </c>
      <c r="E499">
        <f>Tableau3[[#This Row],[Potential (PJ)]]/3.6</f>
        <v>4.3055555555555554</v>
      </c>
      <c r="F499">
        <v>6.9169999999999998</v>
      </c>
      <c r="G499">
        <f>Tableau3[[#This Row],[Cost (€/GJ)]]*3.6</f>
        <v>24.901199999999999</v>
      </c>
      <c r="H499">
        <v>19.8</v>
      </c>
      <c r="I499">
        <f>Tableau3[[#This Row],[GHG (kgCO2eq/GJ)]]*3.6</f>
        <v>71.28</v>
      </c>
      <c r="J499" t="s">
        <v>104</v>
      </c>
      <c r="K499" t="s">
        <v>109</v>
      </c>
    </row>
    <row r="500" spans="1:11" x14ac:dyDescent="0.3">
      <c r="A500" t="s">
        <v>27</v>
      </c>
      <c r="B500" t="s">
        <v>49</v>
      </c>
      <c r="C500" t="s">
        <v>71</v>
      </c>
      <c r="D500">
        <v>30.09168</v>
      </c>
      <c r="E500">
        <f>Tableau3[[#This Row],[Potential (PJ)]]/3.6</f>
        <v>8.3588000000000005</v>
      </c>
      <c r="F500">
        <v>0</v>
      </c>
      <c r="G500">
        <f>Tableau3[[#This Row],[Cost (€/GJ)]]*3.6</f>
        <v>0</v>
      </c>
      <c r="H500">
        <v>3.86607608129234</v>
      </c>
      <c r="I500">
        <f>Tableau3[[#This Row],[GHG (kgCO2eq/GJ)]]*3.6</f>
        <v>13.917873892652425</v>
      </c>
      <c r="J500" t="s">
        <v>104</v>
      </c>
      <c r="K500" t="s">
        <v>108</v>
      </c>
    </row>
    <row r="501" spans="1:11" x14ac:dyDescent="0.3">
      <c r="A501" t="s">
        <v>27</v>
      </c>
      <c r="B501" t="s">
        <v>49</v>
      </c>
      <c r="C501" t="s">
        <v>72</v>
      </c>
      <c r="D501">
        <v>4.5999999999999996</v>
      </c>
      <c r="E501">
        <f>Tableau3[[#This Row],[Potential (PJ)]]/3.6</f>
        <v>1.2777777777777777</v>
      </c>
      <c r="F501">
        <v>0</v>
      </c>
      <c r="G501">
        <f>Tableau3[[#This Row],[Cost (€/GJ)]]*3.6</f>
        <v>0</v>
      </c>
      <c r="H501">
        <v>3.86607608129234</v>
      </c>
      <c r="I501">
        <f>Tableau3[[#This Row],[GHG (kgCO2eq/GJ)]]*3.6</f>
        <v>13.917873892652425</v>
      </c>
      <c r="J501" t="s">
        <v>104</v>
      </c>
      <c r="K501" t="s">
        <v>108</v>
      </c>
    </row>
    <row r="502" spans="1:11" x14ac:dyDescent="0.3">
      <c r="A502" t="s">
        <v>27</v>
      </c>
      <c r="B502" t="s">
        <v>58</v>
      </c>
      <c r="C502" t="s">
        <v>95</v>
      </c>
      <c r="D502">
        <v>3.41635</v>
      </c>
      <c r="E502">
        <f>Tableau3[[#This Row],[Potential (PJ)]]/3.6</f>
        <v>0.94898611111111109</v>
      </c>
      <c r="F502">
        <v>3.1179999999999999</v>
      </c>
      <c r="G502">
        <f>Tableau3[[#This Row],[Cost (€/GJ)]]*3.6</f>
        <v>11.2248</v>
      </c>
      <c r="H502">
        <v>2.9521711768407801</v>
      </c>
      <c r="I502">
        <f>Tableau3[[#This Row],[GHG (kgCO2eq/GJ)]]*3.6</f>
        <v>10.627816236626808</v>
      </c>
      <c r="J502" t="s">
        <v>104</v>
      </c>
      <c r="K502" t="s">
        <v>108</v>
      </c>
    </row>
    <row r="503" spans="1:11" x14ac:dyDescent="0.3">
      <c r="A503" t="s">
        <v>27</v>
      </c>
      <c r="B503" t="s">
        <v>50</v>
      </c>
      <c r="C503" t="s">
        <v>73</v>
      </c>
      <c r="D503">
        <v>1.6</v>
      </c>
      <c r="E503">
        <f>Tableau3[[#This Row],[Potential (PJ)]]/3.6</f>
        <v>0.44444444444444448</v>
      </c>
      <c r="F503">
        <v>4.976</v>
      </c>
      <c r="G503">
        <f>Tableau3[[#This Row],[Cost (€/GJ)]]*3.6</f>
        <v>17.913599999999999</v>
      </c>
      <c r="H503">
        <v>20.723404255319149</v>
      </c>
      <c r="I503">
        <f>Tableau3[[#This Row],[GHG (kgCO2eq/GJ)]]*3.6</f>
        <v>74.604255319148933</v>
      </c>
      <c r="J503" t="s">
        <v>105</v>
      </c>
      <c r="K503" t="s">
        <v>108</v>
      </c>
    </row>
    <row r="504" spans="1:11" x14ac:dyDescent="0.3">
      <c r="A504" t="s">
        <v>27</v>
      </c>
      <c r="B504" t="s">
        <v>50</v>
      </c>
      <c r="C504" t="s">
        <v>74</v>
      </c>
      <c r="D504">
        <v>11.1</v>
      </c>
      <c r="E504">
        <f>Tableau3[[#This Row],[Potential (PJ)]]/3.6</f>
        <v>3.083333333333333</v>
      </c>
      <c r="F504">
        <v>3.383</v>
      </c>
      <c r="G504">
        <f>Tableau3[[#This Row],[Cost (€/GJ)]]*3.6</f>
        <v>12.178800000000001</v>
      </c>
      <c r="H504">
        <v>2.0635593220338988</v>
      </c>
      <c r="I504">
        <f>Tableau3[[#This Row],[GHG (kgCO2eq/GJ)]]*3.6</f>
        <v>7.4288135593220357</v>
      </c>
      <c r="J504" t="s">
        <v>105</v>
      </c>
      <c r="K504" t="s">
        <v>108</v>
      </c>
    </row>
    <row r="505" spans="1:11" x14ac:dyDescent="0.3">
      <c r="A505" t="s">
        <v>27</v>
      </c>
      <c r="B505" t="s">
        <v>51</v>
      </c>
      <c r="C505" t="s">
        <v>75</v>
      </c>
      <c r="D505">
        <v>1.004481</v>
      </c>
      <c r="E505">
        <f>Tableau3[[#This Row],[Potential (PJ)]]/3.6</f>
        <v>0.27902250000000001</v>
      </c>
      <c r="F505">
        <v>5.2822189012022402E-2</v>
      </c>
      <c r="G505">
        <f>Tableau3[[#This Row],[Cost (€/GJ)]]*3.6</f>
        <v>0.19015988044328067</v>
      </c>
      <c r="H505">
        <v>11.74</v>
      </c>
      <c r="I505">
        <f>Tableau3[[#This Row],[GHG (kgCO2eq/GJ)]]*3.6</f>
        <v>42.264000000000003</v>
      </c>
      <c r="J505" t="s">
        <v>104</v>
      </c>
      <c r="K505" t="s">
        <v>108</v>
      </c>
    </row>
    <row r="506" spans="1:11" x14ac:dyDescent="0.3">
      <c r="A506" t="s">
        <v>27</v>
      </c>
      <c r="B506" t="s">
        <v>60</v>
      </c>
      <c r="C506" t="s">
        <v>98</v>
      </c>
      <c r="D506">
        <v>5.3362299999999996</v>
      </c>
      <c r="E506">
        <f>Tableau3[[#This Row],[Potential (PJ)]]/3.6</f>
        <v>1.482286111111111</v>
      </c>
      <c r="F506">
        <v>16.809881847475829</v>
      </c>
      <c r="G506">
        <f>Tableau3[[#This Row],[Cost (€/GJ)]]*3.6</f>
        <v>60.515574650912988</v>
      </c>
      <c r="H506">
        <v>26.9</v>
      </c>
      <c r="I506">
        <f>Tableau3[[#This Row],[GHG (kgCO2eq/GJ)]]*3.6</f>
        <v>96.84</v>
      </c>
      <c r="J506" t="s">
        <v>107</v>
      </c>
      <c r="K506" t="s">
        <v>109</v>
      </c>
    </row>
    <row r="507" spans="1:11" x14ac:dyDescent="0.3">
      <c r="A507" t="s">
        <v>27</v>
      </c>
      <c r="B507" t="s">
        <v>53</v>
      </c>
      <c r="C507" t="s">
        <v>77</v>
      </c>
      <c r="D507">
        <v>3.7</v>
      </c>
      <c r="E507">
        <f>Tableau3[[#This Row],[Potential (PJ)]]/3.6</f>
        <v>1.0277777777777779</v>
      </c>
      <c r="F507">
        <v>0</v>
      </c>
      <c r="G507">
        <f>Tableau3[[#This Row],[Cost (€/GJ)]]*3.6</f>
        <v>0</v>
      </c>
      <c r="H507">
        <v>3.86607608129234</v>
      </c>
      <c r="I507">
        <f>Tableau3[[#This Row],[GHG (kgCO2eq/GJ)]]*3.6</f>
        <v>13.917873892652425</v>
      </c>
      <c r="J507" t="s">
        <v>104</v>
      </c>
      <c r="K507" t="s">
        <v>108</v>
      </c>
    </row>
    <row r="508" spans="1:11" x14ac:dyDescent="0.3">
      <c r="A508" t="s">
        <v>27</v>
      </c>
      <c r="B508" t="s">
        <v>61</v>
      </c>
      <c r="C508" t="s">
        <v>99</v>
      </c>
      <c r="D508">
        <v>4</v>
      </c>
      <c r="E508">
        <f>Tableau3[[#This Row],[Potential (PJ)]]/3.6</f>
        <v>1.1111111111111112</v>
      </c>
      <c r="F508">
        <v>0</v>
      </c>
      <c r="G508">
        <f>Tableau3[[#This Row],[Cost (€/GJ)]]*3.6</f>
        <v>0</v>
      </c>
      <c r="H508">
        <v>2.9245635910224439</v>
      </c>
      <c r="I508">
        <f>Tableau3[[#This Row],[GHG (kgCO2eq/GJ)]]*3.6</f>
        <v>10.528428927680798</v>
      </c>
      <c r="J508" t="s">
        <v>104</v>
      </c>
      <c r="K508" t="s">
        <v>108</v>
      </c>
    </row>
    <row r="509" spans="1:11" x14ac:dyDescent="0.3">
      <c r="A509" t="s">
        <v>27</v>
      </c>
      <c r="B509" t="s">
        <v>62</v>
      </c>
      <c r="C509" t="s">
        <v>100</v>
      </c>
      <c r="D509">
        <v>1.6</v>
      </c>
      <c r="E509">
        <f>Tableau3[[#This Row],[Potential (PJ)]]/3.6</f>
        <v>0.44444444444444448</v>
      </c>
      <c r="F509">
        <v>1.8</v>
      </c>
      <c r="G509">
        <f>Tableau3[[#This Row],[Cost (€/GJ)]]*3.6</f>
        <v>6.48</v>
      </c>
      <c r="H509">
        <v>2.6764106050305911</v>
      </c>
      <c r="I509">
        <f>Tableau3[[#This Row],[GHG (kgCO2eq/GJ)]]*3.6</f>
        <v>9.6350781781101276</v>
      </c>
      <c r="J509" t="s">
        <v>104</v>
      </c>
      <c r="K509" t="s">
        <v>108</v>
      </c>
    </row>
    <row r="510" spans="1:11" x14ac:dyDescent="0.3">
      <c r="A510" t="s">
        <v>27</v>
      </c>
      <c r="B510" t="s">
        <v>54</v>
      </c>
      <c r="C510" t="s">
        <v>78</v>
      </c>
      <c r="D510">
        <v>24</v>
      </c>
      <c r="E510">
        <f>Tableau3[[#This Row],[Potential (PJ)]]/3.6</f>
        <v>6.6666666666666661</v>
      </c>
      <c r="F510">
        <v>0</v>
      </c>
      <c r="G510">
        <f>Tableau3[[#This Row],[Cost (€/GJ)]]*3.6</f>
        <v>0</v>
      </c>
      <c r="H510">
        <v>3.86607608129234</v>
      </c>
      <c r="I510">
        <f>Tableau3[[#This Row],[GHG (kgCO2eq/GJ)]]*3.6</f>
        <v>13.917873892652425</v>
      </c>
      <c r="J510" t="s">
        <v>104</v>
      </c>
      <c r="K510" t="s">
        <v>108</v>
      </c>
    </row>
    <row r="511" spans="1:11" x14ac:dyDescent="0.3">
      <c r="A511" t="s">
        <v>28</v>
      </c>
      <c r="B511" t="s">
        <v>46</v>
      </c>
      <c r="C511" t="s">
        <v>103</v>
      </c>
      <c r="D511">
        <v>0.31976599999999999</v>
      </c>
      <c r="E511">
        <f>Tableau3[[#This Row],[Potential (PJ)]]/3.6</f>
        <v>8.8823888888888883E-2</v>
      </c>
      <c r="F511">
        <v>0</v>
      </c>
      <c r="G511">
        <f>Tableau3[[#This Row],[Cost (€/GJ)]]*3.6</f>
        <v>0</v>
      </c>
      <c r="I511">
        <f>Tableau3[[#This Row],[GHG (kgCO2eq/GJ)]]*3.6</f>
        <v>0</v>
      </c>
      <c r="K511"/>
    </row>
    <row r="512" spans="1:11" x14ac:dyDescent="0.3">
      <c r="A512" t="s">
        <v>28</v>
      </c>
      <c r="B512" t="s">
        <v>46</v>
      </c>
      <c r="C512" t="s">
        <v>80</v>
      </c>
      <c r="D512">
        <v>1.312E-2</v>
      </c>
      <c r="E512">
        <f>Tableau3[[#This Row],[Potential (PJ)]]/3.6</f>
        <v>3.6444444444444441E-3</v>
      </c>
      <c r="F512">
        <v>0</v>
      </c>
      <c r="G512">
        <f>Tableau3[[#This Row],[Cost (€/GJ)]]*3.6</f>
        <v>0</v>
      </c>
      <c r="H512">
        <v>28.139870918023309</v>
      </c>
      <c r="I512">
        <f>Tableau3[[#This Row],[GHG (kgCO2eq/GJ)]]*3.6</f>
        <v>101.30353530488391</v>
      </c>
      <c r="J512" t="s">
        <v>105</v>
      </c>
      <c r="K512" t="s">
        <v>108</v>
      </c>
    </row>
    <row r="513" spans="1:11" x14ac:dyDescent="0.3">
      <c r="A513" t="s">
        <v>28</v>
      </c>
      <c r="B513" t="s">
        <v>46</v>
      </c>
      <c r="C513" t="s">
        <v>81</v>
      </c>
      <c r="D513">
        <v>9.7949999999999995E-2</v>
      </c>
      <c r="E513">
        <f>Tableau3[[#This Row],[Potential (PJ)]]/3.6</f>
        <v>2.7208333333333331E-2</v>
      </c>
      <c r="F513">
        <v>0</v>
      </c>
      <c r="G513">
        <f>Tableau3[[#This Row],[Cost (€/GJ)]]*3.6</f>
        <v>0</v>
      </c>
      <c r="H513">
        <v>8.9647473560517046</v>
      </c>
      <c r="I513">
        <f>Tableau3[[#This Row],[GHG (kgCO2eq/GJ)]]*3.6</f>
        <v>32.273090481786134</v>
      </c>
      <c r="J513" t="s">
        <v>105</v>
      </c>
      <c r="K513" t="s">
        <v>108</v>
      </c>
    </row>
    <row r="514" spans="1:11" x14ac:dyDescent="0.3">
      <c r="A514" t="s">
        <v>28</v>
      </c>
      <c r="B514" t="s">
        <v>55</v>
      </c>
      <c r="C514" t="s">
        <v>86</v>
      </c>
      <c r="D514">
        <v>0.19409999999999999</v>
      </c>
      <c r="E514">
        <f>Tableau3[[#This Row],[Potential (PJ)]]/3.6</f>
        <v>5.3916666666666661E-2</v>
      </c>
      <c r="F514">
        <v>5.4980000000000002</v>
      </c>
      <c r="G514">
        <f>Tableau3[[#This Row],[Cost (€/GJ)]]*3.6</f>
        <v>19.7928</v>
      </c>
      <c r="H514">
        <v>26.8</v>
      </c>
      <c r="I514">
        <f>Tableau3[[#This Row],[GHG (kgCO2eq/GJ)]]*3.6</f>
        <v>96.48</v>
      </c>
      <c r="J514" t="s">
        <v>106</v>
      </c>
      <c r="K514" t="s">
        <v>109</v>
      </c>
    </row>
    <row r="515" spans="1:11" x14ac:dyDescent="0.3">
      <c r="A515" t="s">
        <v>28</v>
      </c>
      <c r="B515" t="s">
        <v>55</v>
      </c>
      <c r="C515" t="s">
        <v>88</v>
      </c>
      <c r="D515">
        <v>8.0000000000000002E-3</v>
      </c>
      <c r="E515">
        <f>Tableau3[[#This Row],[Potential (PJ)]]/3.6</f>
        <v>2.2222222222222222E-3</v>
      </c>
      <c r="F515">
        <v>3.4870000000000001</v>
      </c>
      <c r="G515">
        <f>Tableau3[[#This Row],[Cost (€/GJ)]]*3.6</f>
        <v>12.5532</v>
      </c>
      <c r="H515">
        <v>26.8</v>
      </c>
      <c r="I515">
        <f>Tableau3[[#This Row],[GHG (kgCO2eq/GJ)]]*3.6</f>
        <v>96.48</v>
      </c>
      <c r="J515" t="s">
        <v>106</v>
      </c>
      <c r="K515" t="s">
        <v>109</v>
      </c>
    </row>
    <row r="516" spans="1:11" x14ac:dyDescent="0.3">
      <c r="A516" t="s">
        <v>28</v>
      </c>
      <c r="B516" t="s">
        <v>55</v>
      </c>
      <c r="C516" t="s">
        <v>92</v>
      </c>
      <c r="D516">
        <v>0.14877000000000001</v>
      </c>
      <c r="E516">
        <f>Tableau3[[#This Row],[Potential (PJ)]]/3.6</f>
        <v>4.1325000000000001E-2</v>
      </c>
      <c r="F516">
        <v>6.0330000000000004</v>
      </c>
      <c r="G516">
        <f>Tableau3[[#This Row],[Cost (€/GJ)]]*3.6</f>
        <v>21.718800000000002</v>
      </c>
      <c r="H516">
        <v>26.8</v>
      </c>
      <c r="I516">
        <f>Tableau3[[#This Row],[GHG (kgCO2eq/GJ)]]*3.6</f>
        <v>96.48</v>
      </c>
      <c r="J516" t="s">
        <v>106</v>
      </c>
      <c r="K516" t="s">
        <v>109</v>
      </c>
    </row>
    <row r="517" spans="1:11" x14ac:dyDescent="0.3">
      <c r="A517" t="s">
        <v>28</v>
      </c>
      <c r="B517" t="s">
        <v>49</v>
      </c>
      <c r="C517" t="s">
        <v>71</v>
      </c>
      <c r="D517">
        <v>2.89777</v>
      </c>
      <c r="E517">
        <f>Tableau3[[#This Row],[Potential (PJ)]]/3.6</f>
        <v>0.80493611111111107</v>
      </c>
      <c r="F517">
        <v>0</v>
      </c>
      <c r="G517">
        <f>Tableau3[[#This Row],[Cost (€/GJ)]]*3.6</f>
        <v>0</v>
      </c>
      <c r="H517">
        <v>3.86607608129234</v>
      </c>
      <c r="I517">
        <f>Tableau3[[#This Row],[GHG (kgCO2eq/GJ)]]*3.6</f>
        <v>13.917873892652425</v>
      </c>
      <c r="J517" t="s">
        <v>104</v>
      </c>
      <c r="K517" t="s">
        <v>108</v>
      </c>
    </row>
    <row r="518" spans="1:11" x14ac:dyDescent="0.3">
      <c r="A518" t="s">
        <v>28</v>
      </c>
      <c r="B518" t="s">
        <v>50</v>
      </c>
      <c r="C518" t="s">
        <v>103</v>
      </c>
      <c r="D518">
        <v>1.521922</v>
      </c>
      <c r="E518">
        <f>Tableau3[[#This Row],[Potential (PJ)]]/3.6</f>
        <v>0.42275611111111111</v>
      </c>
      <c r="F518">
        <v>0</v>
      </c>
      <c r="G518">
        <f>Tableau3[[#This Row],[Cost (€/GJ)]]*3.6</f>
        <v>0</v>
      </c>
      <c r="I518">
        <f>Tableau3[[#This Row],[GHG (kgCO2eq/GJ)]]*3.6</f>
        <v>0</v>
      </c>
      <c r="K518"/>
    </row>
    <row r="519" spans="1:11" x14ac:dyDescent="0.3">
      <c r="A519" t="s">
        <v>28</v>
      </c>
      <c r="B519" t="s">
        <v>51</v>
      </c>
      <c r="C519" t="s">
        <v>75</v>
      </c>
      <c r="D519">
        <v>9.9360000000000004E-2</v>
      </c>
      <c r="E519">
        <f>Tableau3[[#This Row],[Potential (PJ)]]/3.6</f>
        <v>2.76E-2</v>
      </c>
      <c r="F519">
        <v>7.2174783085973899E-4</v>
      </c>
      <c r="G519">
        <f>Tableau3[[#This Row],[Cost (€/GJ)]]*3.6</f>
        <v>2.5982921910950602E-3</v>
      </c>
      <c r="H519">
        <v>11.74</v>
      </c>
      <c r="I519">
        <f>Tableau3[[#This Row],[GHG (kgCO2eq/GJ)]]*3.6</f>
        <v>42.264000000000003</v>
      </c>
      <c r="J519" t="s">
        <v>104</v>
      </c>
      <c r="K519" t="s">
        <v>108</v>
      </c>
    </row>
    <row r="520" spans="1:11" x14ac:dyDescent="0.3">
      <c r="A520" t="s">
        <v>28</v>
      </c>
      <c r="B520" t="s">
        <v>60</v>
      </c>
      <c r="C520" t="s">
        <v>98</v>
      </c>
      <c r="D520">
        <v>0.94345999999999997</v>
      </c>
      <c r="E520">
        <f>Tableau3[[#This Row],[Potential (PJ)]]/3.6</f>
        <v>0.26207222222222221</v>
      </c>
      <c r="F520">
        <v>0</v>
      </c>
      <c r="G520">
        <f>Tableau3[[#This Row],[Cost (€/GJ)]]*3.6</f>
        <v>0</v>
      </c>
      <c r="H520">
        <v>37.799999999999997</v>
      </c>
      <c r="I520">
        <f>Tableau3[[#This Row],[GHG (kgCO2eq/GJ)]]*3.6</f>
        <v>136.07999999999998</v>
      </c>
      <c r="J520" t="s">
        <v>107</v>
      </c>
      <c r="K520" t="s">
        <v>109</v>
      </c>
    </row>
    <row r="521" spans="1:11" x14ac:dyDescent="0.3">
      <c r="A521" t="s">
        <v>28</v>
      </c>
      <c r="B521" t="s">
        <v>61</v>
      </c>
      <c r="C521" t="s">
        <v>103</v>
      </c>
      <c r="D521">
        <v>0.87836400000000003</v>
      </c>
      <c r="E521">
        <f>Tableau3[[#This Row],[Potential (PJ)]]/3.6</f>
        <v>0.24399000000000001</v>
      </c>
      <c r="F521">
        <v>0</v>
      </c>
      <c r="G521">
        <f>Tableau3[[#This Row],[Cost (€/GJ)]]*3.6</f>
        <v>0</v>
      </c>
      <c r="I521">
        <f>Tableau3[[#This Row],[GHG (kgCO2eq/GJ)]]*3.6</f>
        <v>0</v>
      </c>
      <c r="K521"/>
    </row>
    <row r="522" spans="1:11" x14ac:dyDescent="0.3">
      <c r="A522" t="s">
        <v>28</v>
      </c>
      <c r="B522" t="s">
        <v>62</v>
      </c>
      <c r="C522" t="s">
        <v>103</v>
      </c>
      <c r="D522">
        <v>0.11147700000000001</v>
      </c>
      <c r="E522">
        <f>Tableau3[[#This Row],[Potential (PJ)]]/3.6</f>
        <v>3.0965833333333335E-2</v>
      </c>
      <c r="F522">
        <v>0</v>
      </c>
      <c r="G522">
        <f>Tableau3[[#This Row],[Cost (€/GJ)]]*3.6</f>
        <v>0</v>
      </c>
      <c r="I522">
        <f>Tableau3[[#This Row],[GHG (kgCO2eq/GJ)]]*3.6</f>
        <v>0</v>
      </c>
      <c r="K522"/>
    </row>
    <row r="523" spans="1:11" x14ac:dyDescent="0.3">
      <c r="A523" t="s">
        <v>28</v>
      </c>
      <c r="B523" t="s">
        <v>54</v>
      </c>
      <c r="C523" t="s">
        <v>78</v>
      </c>
      <c r="D523">
        <v>3.2</v>
      </c>
      <c r="E523">
        <f>Tableau3[[#This Row],[Potential (PJ)]]/3.6</f>
        <v>0.88888888888888895</v>
      </c>
      <c r="F523">
        <v>0</v>
      </c>
      <c r="G523">
        <f>Tableau3[[#This Row],[Cost (€/GJ)]]*3.6</f>
        <v>0</v>
      </c>
      <c r="H523">
        <v>3.86607608129234</v>
      </c>
      <c r="I523">
        <f>Tableau3[[#This Row],[GHG (kgCO2eq/GJ)]]*3.6</f>
        <v>13.917873892652425</v>
      </c>
      <c r="J523" t="s">
        <v>104</v>
      </c>
      <c r="K523" t="s">
        <v>108</v>
      </c>
    </row>
    <row r="524" spans="1:11" x14ac:dyDescent="0.3">
      <c r="A524" t="s">
        <v>29</v>
      </c>
      <c r="B524" t="s">
        <v>46</v>
      </c>
      <c r="C524" t="s">
        <v>64</v>
      </c>
      <c r="D524">
        <v>1.8610000000000002E-2</v>
      </c>
      <c r="E524">
        <f>Tableau3[[#This Row],[Potential (PJ)]]/3.6</f>
        <v>5.1694444444444444E-3</v>
      </c>
      <c r="F524">
        <v>0</v>
      </c>
      <c r="G524">
        <f>Tableau3[[#This Row],[Cost (€/GJ)]]*3.6</f>
        <v>0</v>
      </c>
      <c r="H524">
        <v>2.9521711768407801</v>
      </c>
      <c r="I524">
        <f>Tableau3[[#This Row],[GHG (kgCO2eq/GJ)]]*3.6</f>
        <v>10.627816236626808</v>
      </c>
      <c r="J524" t="s">
        <v>104</v>
      </c>
      <c r="K524" t="s">
        <v>108</v>
      </c>
    </row>
    <row r="525" spans="1:11" x14ac:dyDescent="0.3">
      <c r="A525" t="s">
        <v>29</v>
      </c>
      <c r="B525" t="s">
        <v>46</v>
      </c>
      <c r="C525" t="s">
        <v>79</v>
      </c>
      <c r="D525">
        <v>7.6</v>
      </c>
      <c r="E525">
        <f>Tableau3[[#This Row],[Potential (PJ)]]/3.6</f>
        <v>2.1111111111111112</v>
      </c>
      <c r="F525">
        <v>0</v>
      </c>
      <c r="G525">
        <f>Tableau3[[#This Row],[Cost (€/GJ)]]*3.6</f>
        <v>0</v>
      </c>
      <c r="H525">
        <v>6.8428961748633883</v>
      </c>
      <c r="I525">
        <f>Tableau3[[#This Row],[GHG (kgCO2eq/GJ)]]*3.6</f>
        <v>24.634426229508197</v>
      </c>
      <c r="J525" t="s">
        <v>104</v>
      </c>
      <c r="K525" t="s">
        <v>108</v>
      </c>
    </row>
    <row r="526" spans="1:11" x14ac:dyDescent="0.3">
      <c r="A526" t="s">
        <v>29</v>
      </c>
      <c r="B526" t="s">
        <v>46</v>
      </c>
      <c r="C526" t="s">
        <v>80</v>
      </c>
      <c r="D526">
        <v>4.0280000000000003E-2</v>
      </c>
      <c r="E526">
        <f>Tableau3[[#This Row],[Potential (PJ)]]/3.6</f>
        <v>1.1188888888888889E-2</v>
      </c>
      <c r="F526">
        <v>0.18071476736345249</v>
      </c>
      <c r="G526">
        <f>Tableau3[[#This Row],[Cost (€/GJ)]]*3.6</f>
        <v>0.650573162508429</v>
      </c>
      <c r="H526">
        <v>28.139870918023309</v>
      </c>
      <c r="I526">
        <f>Tableau3[[#This Row],[GHG (kgCO2eq/GJ)]]*3.6</f>
        <v>101.30353530488391</v>
      </c>
      <c r="J526" t="s">
        <v>105</v>
      </c>
      <c r="K526" t="s">
        <v>108</v>
      </c>
    </row>
    <row r="527" spans="1:11" x14ac:dyDescent="0.3">
      <c r="A527" t="s">
        <v>29</v>
      </c>
      <c r="B527" t="s">
        <v>46</v>
      </c>
      <c r="C527" t="s">
        <v>81</v>
      </c>
      <c r="D527">
        <v>2.4510000000000001E-2</v>
      </c>
      <c r="E527">
        <f>Tableau3[[#This Row],[Potential (PJ)]]/3.6</f>
        <v>6.8083333333333329E-3</v>
      </c>
      <c r="F527">
        <v>0.36545240893066983</v>
      </c>
      <c r="G527">
        <f>Tableau3[[#This Row],[Cost (€/GJ)]]*3.6</f>
        <v>1.3156286721504113</v>
      </c>
      <c r="H527">
        <v>8.9647473560517046</v>
      </c>
      <c r="I527">
        <f>Tableau3[[#This Row],[GHG (kgCO2eq/GJ)]]*3.6</f>
        <v>32.273090481786134</v>
      </c>
      <c r="J527" t="s">
        <v>105</v>
      </c>
      <c r="K527" t="s">
        <v>108</v>
      </c>
    </row>
    <row r="528" spans="1:11" x14ac:dyDescent="0.3">
      <c r="A528" t="s">
        <v>29</v>
      </c>
      <c r="B528" t="s">
        <v>46</v>
      </c>
      <c r="C528" t="s">
        <v>82</v>
      </c>
      <c r="D528">
        <v>0.7</v>
      </c>
      <c r="E528">
        <f>Tableau3[[#This Row],[Potential (PJ)]]/3.6</f>
        <v>0.19444444444444442</v>
      </c>
      <c r="F528">
        <v>1.9139999999999999</v>
      </c>
      <c r="G528">
        <f>Tableau3[[#This Row],[Cost (€/GJ)]]*3.6</f>
        <v>6.8903999999999996</v>
      </c>
      <c r="H528">
        <v>6.8428961748633883</v>
      </c>
      <c r="I528">
        <f>Tableau3[[#This Row],[GHG (kgCO2eq/GJ)]]*3.6</f>
        <v>24.634426229508197</v>
      </c>
      <c r="J528" t="s">
        <v>104</v>
      </c>
      <c r="K528" t="s">
        <v>108</v>
      </c>
    </row>
    <row r="529" spans="1:11" x14ac:dyDescent="0.3">
      <c r="A529" t="s">
        <v>29</v>
      </c>
      <c r="B529" t="s">
        <v>55</v>
      </c>
      <c r="C529" t="s">
        <v>86</v>
      </c>
      <c r="D529">
        <v>9.5000000000000001E-2</v>
      </c>
      <c r="E529">
        <f>Tableau3[[#This Row],[Potential (PJ)]]/3.6</f>
        <v>2.6388888888888889E-2</v>
      </c>
      <c r="F529">
        <v>8.6820000000000004</v>
      </c>
      <c r="G529">
        <f>Tableau3[[#This Row],[Cost (€/GJ)]]*3.6</f>
        <v>31.255200000000002</v>
      </c>
      <c r="H529">
        <v>12.7</v>
      </c>
      <c r="I529">
        <f>Tableau3[[#This Row],[GHG (kgCO2eq/GJ)]]*3.6</f>
        <v>45.72</v>
      </c>
      <c r="J529" t="s">
        <v>106</v>
      </c>
      <c r="K529" t="s">
        <v>109</v>
      </c>
    </row>
    <row r="530" spans="1:11" x14ac:dyDescent="0.3">
      <c r="A530" t="s">
        <v>29</v>
      </c>
      <c r="B530" t="s">
        <v>55</v>
      </c>
      <c r="C530" t="s">
        <v>89</v>
      </c>
      <c r="D530">
        <v>2.8999999999999998E-3</v>
      </c>
      <c r="E530">
        <f>Tableau3[[#This Row],[Potential (PJ)]]/3.6</f>
        <v>8.0555555555555545E-4</v>
      </c>
      <c r="F530">
        <v>0</v>
      </c>
      <c r="G530">
        <f>Tableau3[[#This Row],[Cost (€/GJ)]]*3.6</f>
        <v>0</v>
      </c>
      <c r="H530">
        <v>12.7</v>
      </c>
      <c r="I530">
        <f>Tableau3[[#This Row],[GHG (kgCO2eq/GJ)]]*3.6</f>
        <v>45.72</v>
      </c>
      <c r="J530" t="s">
        <v>106</v>
      </c>
      <c r="K530" t="s">
        <v>109</v>
      </c>
    </row>
    <row r="531" spans="1:11" x14ac:dyDescent="0.3">
      <c r="A531" t="s">
        <v>29</v>
      </c>
      <c r="B531" t="s">
        <v>55</v>
      </c>
      <c r="C531" t="s">
        <v>90</v>
      </c>
      <c r="D531">
        <v>5.1400000000000001E-2</v>
      </c>
      <c r="E531">
        <f>Tableau3[[#This Row],[Potential (PJ)]]/3.6</f>
        <v>1.4277777777777778E-2</v>
      </c>
      <c r="F531">
        <v>10.387</v>
      </c>
      <c r="G531">
        <f>Tableau3[[#This Row],[Cost (€/GJ)]]*3.6</f>
        <v>37.3932</v>
      </c>
      <c r="H531">
        <v>12.7</v>
      </c>
      <c r="I531">
        <f>Tableau3[[#This Row],[GHG (kgCO2eq/GJ)]]*3.6</f>
        <v>45.72</v>
      </c>
      <c r="J531" t="s">
        <v>106</v>
      </c>
      <c r="K531" t="s">
        <v>109</v>
      </c>
    </row>
    <row r="532" spans="1:11" x14ac:dyDescent="0.3">
      <c r="A532" t="s">
        <v>29</v>
      </c>
      <c r="B532" t="s">
        <v>55</v>
      </c>
      <c r="C532" t="s">
        <v>91</v>
      </c>
      <c r="D532">
        <v>6.0499999999999998E-2</v>
      </c>
      <c r="E532">
        <f>Tableau3[[#This Row],[Potential (PJ)]]/3.6</f>
        <v>1.6805555555555556E-2</v>
      </c>
      <c r="F532">
        <v>8.9979999999999993</v>
      </c>
      <c r="G532">
        <f>Tableau3[[#This Row],[Cost (€/GJ)]]*3.6</f>
        <v>32.392800000000001</v>
      </c>
      <c r="H532">
        <v>12.7</v>
      </c>
      <c r="I532">
        <f>Tableau3[[#This Row],[GHG (kgCO2eq/GJ)]]*3.6</f>
        <v>45.72</v>
      </c>
      <c r="J532" t="s">
        <v>106</v>
      </c>
      <c r="K532" t="s">
        <v>109</v>
      </c>
    </row>
    <row r="533" spans="1:11" x14ac:dyDescent="0.3">
      <c r="A533" t="s">
        <v>29</v>
      </c>
      <c r="B533" t="s">
        <v>55</v>
      </c>
      <c r="C533" t="s">
        <v>92</v>
      </c>
      <c r="D533">
        <v>0.53463000000000005</v>
      </c>
      <c r="E533">
        <f>Tableau3[[#This Row],[Potential (PJ)]]/3.6</f>
        <v>0.14850833333333335</v>
      </c>
      <c r="F533">
        <v>10.631</v>
      </c>
      <c r="G533">
        <f>Tableau3[[#This Row],[Cost (€/GJ)]]*3.6</f>
        <v>38.271599999999999</v>
      </c>
      <c r="H533">
        <v>12.7</v>
      </c>
      <c r="I533">
        <f>Tableau3[[#This Row],[GHG (kgCO2eq/GJ)]]*3.6</f>
        <v>45.72</v>
      </c>
      <c r="J533" t="s">
        <v>106</v>
      </c>
      <c r="K533" t="s">
        <v>109</v>
      </c>
    </row>
    <row r="534" spans="1:11" x14ac:dyDescent="0.3">
      <c r="A534" t="s">
        <v>29</v>
      </c>
      <c r="B534" t="s">
        <v>47</v>
      </c>
      <c r="C534" t="s">
        <v>101</v>
      </c>
      <c r="D534">
        <v>5.8</v>
      </c>
      <c r="E534">
        <f>Tableau3[[#This Row],[Potential (PJ)]]/3.6</f>
        <v>1.6111111111111109</v>
      </c>
      <c r="F534">
        <v>2.5129999999999999</v>
      </c>
      <c r="G534">
        <f>Tableau3[[#This Row],[Cost (€/GJ)]]*3.6</f>
        <v>9.0467999999999993</v>
      </c>
      <c r="H534">
        <v>43.8</v>
      </c>
      <c r="I534">
        <f>Tableau3[[#This Row],[GHG (kgCO2eq/GJ)]]*3.6</f>
        <v>157.68</v>
      </c>
      <c r="J534" t="s">
        <v>104</v>
      </c>
      <c r="K534" t="s">
        <v>109</v>
      </c>
    </row>
    <row r="535" spans="1:11" x14ac:dyDescent="0.3">
      <c r="A535" t="s">
        <v>29</v>
      </c>
      <c r="B535" t="s">
        <v>57</v>
      </c>
      <c r="C535" t="s">
        <v>94</v>
      </c>
      <c r="D535">
        <v>3</v>
      </c>
      <c r="E535">
        <f>Tableau3[[#This Row],[Potential (PJ)]]/3.6</f>
        <v>0.83333333333333326</v>
      </c>
      <c r="F535">
        <v>7.1029999999999989</v>
      </c>
      <c r="G535">
        <f>Tableau3[[#This Row],[Cost (€/GJ)]]*3.6</f>
        <v>25.570799999999995</v>
      </c>
      <c r="H535">
        <v>19.8</v>
      </c>
      <c r="I535">
        <f>Tableau3[[#This Row],[GHG (kgCO2eq/GJ)]]*3.6</f>
        <v>71.28</v>
      </c>
      <c r="J535" t="s">
        <v>104</v>
      </c>
      <c r="K535" t="s">
        <v>109</v>
      </c>
    </row>
    <row r="536" spans="1:11" x14ac:dyDescent="0.3">
      <c r="A536" t="s">
        <v>29</v>
      </c>
      <c r="B536" t="s">
        <v>49</v>
      </c>
      <c r="C536" t="s">
        <v>71</v>
      </c>
      <c r="D536">
        <v>52.946109999999997</v>
      </c>
      <c r="E536">
        <f>Tableau3[[#This Row],[Potential (PJ)]]/3.6</f>
        <v>14.707252777777777</v>
      </c>
      <c r="F536">
        <v>0</v>
      </c>
      <c r="G536">
        <f>Tableau3[[#This Row],[Cost (€/GJ)]]*3.6</f>
        <v>0</v>
      </c>
      <c r="H536">
        <v>3.86607608129234</v>
      </c>
      <c r="I536">
        <f>Tableau3[[#This Row],[GHG (kgCO2eq/GJ)]]*3.6</f>
        <v>13.917873892652425</v>
      </c>
      <c r="J536" t="s">
        <v>104</v>
      </c>
      <c r="K536" t="s">
        <v>108</v>
      </c>
    </row>
    <row r="537" spans="1:11" x14ac:dyDescent="0.3">
      <c r="A537" t="s">
        <v>29</v>
      </c>
      <c r="B537" t="s">
        <v>49</v>
      </c>
      <c r="C537" t="s">
        <v>72</v>
      </c>
      <c r="D537">
        <v>5.8</v>
      </c>
      <c r="E537">
        <f>Tableau3[[#This Row],[Potential (PJ)]]/3.6</f>
        <v>1.6111111111111109</v>
      </c>
      <c r="F537">
        <v>0</v>
      </c>
      <c r="G537">
        <f>Tableau3[[#This Row],[Cost (€/GJ)]]*3.6</f>
        <v>0</v>
      </c>
      <c r="H537">
        <v>3.86607608129234</v>
      </c>
      <c r="I537">
        <f>Tableau3[[#This Row],[GHG (kgCO2eq/GJ)]]*3.6</f>
        <v>13.917873892652425</v>
      </c>
      <c r="J537" t="s">
        <v>104</v>
      </c>
      <c r="K537" t="s">
        <v>108</v>
      </c>
    </row>
    <row r="538" spans="1:11" x14ac:dyDescent="0.3">
      <c r="A538" t="s">
        <v>29</v>
      </c>
      <c r="B538" t="s">
        <v>58</v>
      </c>
      <c r="C538" t="s">
        <v>95</v>
      </c>
      <c r="D538">
        <v>3.0747200000000001</v>
      </c>
      <c r="E538">
        <f>Tableau3[[#This Row],[Potential (PJ)]]/3.6</f>
        <v>0.8540888888888889</v>
      </c>
      <c r="F538">
        <v>3.1179999999999999</v>
      </c>
      <c r="G538">
        <f>Tableau3[[#This Row],[Cost (€/GJ)]]*3.6</f>
        <v>11.2248</v>
      </c>
      <c r="H538">
        <v>2.9521711768407801</v>
      </c>
      <c r="I538">
        <f>Tableau3[[#This Row],[GHG (kgCO2eq/GJ)]]*3.6</f>
        <v>10.627816236626808</v>
      </c>
      <c r="J538" t="s">
        <v>104</v>
      </c>
      <c r="K538" t="s">
        <v>108</v>
      </c>
    </row>
    <row r="539" spans="1:11" x14ac:dyDescent="0.3">
      <c r="A539" t="s">
        <v>29</v>
      </c>
      <c r="B539" t="s">
        <v>50</v>
      </c>
      <c r="C539" t="s">
        <v>73</v>
      </c>
      <c r="D539">
        <v>0.3</v>
      </c>
      <c r="E539">
        <f>Tableau3[[#This Row],[Potential (PJ)]]/3.6</f>
        <v>8.3333333333333329E-2</v>
      </c>
      <c r="F539">
        <v>5.0090000000000003</v>
      </c>
      <c r="G539">
        <f>Tableau3[[#This Row],[Cost (€/GJ)]]*3.6</f>
        <v>18.032400000000003</v>
      </c>
      <c r="H539">
        <v>20.723404255319149</v>
      </c>
      <c r="I539">
        <f>Tableau3[[#This Row],[GHG (kgCO2eq/GJ)]]*3.6</f>
        <v>74.604255319148933</v>
      </c>
      <c r="J539" t="s">
        <v>105</v>
      </c>
      <c r="K539" t="s">
        <v>108</v>
      </c>
    </row>
    <row r="540" spans="1:11" x14ac:dyDescent="0.3">
      <c r="A540" t="s">
        <v>29</v>
      </c>
      <c r="B540" t="s">
        <v>50</v>
      </c>
      <c r="C540" t="s">
        <v>74</v>
      </c>
      <c r="D540">
        <v>7.1</v>
      </c>
      <c r="E540">
        <f>Tableau3[[#This Row],[Potential (PJ)]]/3.6</f>
        <v>1.9722222222222221</v>
      </c>
      <c r="F540">
        <v>3.5</v>
      </c>
      <c r="G540">
        <f>Tableau3[[#This Row],[Cost (€/GJ)]]*3.6</f>
        <v>12.6</v>
      </c>
      <c r="H540">
        <v>2.0635593220338988</v>
      </c>
      <c r="I540">
        <f>Tableau3[[#This Row],[GHG (kgCO2eq/GJ)]]*3.6</f>
        <v>7.4288135593220357</v>
      </c>
      <c r="J540" t="s">
        <v>105</v>
      </c>
      <c r="K540" t="s">
        <v>108</v>
      </c>
    </row>
    <row r="541" spans="1:11" x14ac:dyDescent="0.3">
      <c r="A541" t="s">
        <v>29</v>
      </c>
      <c r="B541" t="s">
        <v>51</v>
      </c>
      <c r="C541" t="s">
        <v>75</v>
      </c>
      <c r="D541">
        <v>0.55470699999999995</v>
      </c>
      <c r="E541">
        <f>Tableau3[[#This Row],[Potential (PJ)]]/3.6</f>
        <v>0.15408527777777775</v>
      </c>
      <c r="F541">
        <v>2.13292264649725E-4</v>
      </c>
      <c r="G541">
        <f>Tableau3[[#This Row],[Cost (€/GJ)]]*3.6</f>
        <v>7.6785215273900999E-4</v>
      </c>
      <c r="H541">
        <v>11.74</v>
      </c>
      <c r="I541">
        <f>Tableau3[[#This Row],[GHG (kgCO2eq/GJ)]]*3.6</f>
        <v>42.264000000000003</v>
      </c>
      <c r="J541" t="s">
        <v>104</v>
      </c>
      <c r="K541" t="s">
        <v>108</v>
      </c>
    </row>
    <row r="542" spans="1:11" x14ac:dyDescent="0.3">
      <c r="A542" t="s">
        <v>29</v>
      </c>
      <c r="B542" t="s">
        <v>60</v>
      </c>
      <c r="C542" t="s">
        <v>98</v>
      </c>
      <c r="D542">
        <v>1.86835</v>
      </c>
      <c r="E542">
        <f>Tableau3[[#This Row],[Potential (PJ)]]/3.6</f>
        <v>0.51898611111111104</v>
      </c>
      <c r="F542">
        <v>16.058002148227711</v>
      </c>
      <c r="G542">
        <f>Tableau3[[#This Row],[Cost (€/GJ)]]*3.6</f>
        <v>57.808807733619759</v>
      </c>
      <c r="H542">
        <v>28.2</v>
      </c>
      <c r="I542">
        <f>Tableau3[[#This Row],[GHG (kgCO2eq/GJ)]]*3.6</f>
        <v>101.52</v>
      </c>
      <c r="J542" t="s">
        <v>107</v>
      </c>
      <c r="K542" t="s">
        <v>109</v>
      </c>
    </row>
    <row r="543" spans="1:11" x14ac:dyDescent="0.3">
      <c r="A543" t="s">
        <v>29</v>
      </c>
      <c r="B543" t="s">
        <v>52</v>
      </c>
      <c r="C543" t="s">
        <v>76</v>
      </c>
      <c r="D543">
        <v>1E-3</v>
      </c>
      <c r="E543">
        <f>Tableau3[[#This Row],[Potential (PJ)]]/3.6</f>
        <v>2.7777777777777778E-4</v>
      </c>
      <c r="F543">
        <v>7.5037500000000001</v>
      </c>
      <c r="G543">
        <f>Tableau3[[#This Row],[Cost (€/GJ)]]*3.6</f>
        <v>27.013500000000001</v>
      </c>
      <c r="H543">
        <v>12.68872359754714</v>
      </c>
      <c r="I543">
        <f>Tableau3[[#This Row],[GHG (kgCO2eq/GJ)]]*3.6</f>
        <v>45.679404951169708</v>
      </c>
      <c r="J543" t="s">
        <v>105</v>
      </c>
      <c r="K543" t="s">
        <v>108</v>
      </c>
    </row>
    <row r="544" spans="1:11" x14ac:dyDescent="0.3">
      <c r="A544" t="s">
        <v>29</v>
      </c>
      <c r="B544" t="s">
        <v>53</v>
      </c>
      <c r="C544" t="s">
        <v>77</v>
      </c>
      <c r="D544">
        <v>4.9000000000000004</v>
      </c>
      <c r="E544">
        <f>Tableau3[[#This Row],[Potential (PJ)]]/3.6</f>
        <v>1.3611111111111112</v>
      </c>
      <c r="F544">
        <v>0</v>
      </c>
      <c r="G544">
        <f>Tableau3[[#This Row],[Cost (€/GJ)]]*3.6</f>
        <v>0</v>
      </c>
      <c r="H544">
        <v>3.86607608129234</v>
      </c>
      <c r="I544">
        <f>Tableau3[[#This Row],[GHG (kgCO2eq/GJ)]]*3.6</f>
        <v>13.917873892652425</v>
      </c>
      <c r="J544" t="s">
        <v>104</v>
      </c>
      <c r="K544" t="s">
        <v>108</v>
      </c>
    </row>
    <row r="545" spans="1:11" x14ac:dyDescent="0.3">
      <c r="A545" t="s">
        <v>29</v>
      </c>
      <c r="B545" t="s">
        <v>61</v>
      </c>
      <c r="C545" t="s">
        <v>99</v>
      </c>
      <c r="D545">
        <v>10.7</v>
      </c>
      <c r="E545">
        <f>Tableau3[[#This Row],[Potential (PJ)]]/3.6</f>
        <v>2.9722222222222219</v>
      </c>
      <c r="F545">
        <v>0</v>
      </c>
      <c r="G545">
        <f>Tableau3[[#This Row],[Cost (€/GJ)]]*3.6</f>
        <v>0</v>
      </c>
      <c r="H545">
        <v>2.9245635910224439</v>
      </c>
      <c r="I545">
        <f>Tableau3[[#This Row],[GHG (kgCO2eq/GJ)]]*3.6</f>
        <v>10.528428927680798</v>
      </c>
      <c r="J545" t="s">
        <v>104</v>
      </c>
      <c r="K545" t="s">
        <v>108</v>
      </c>
    </row>
    <row r="546" spans="1:11" x14ac:dyDescent="0.3">
      <c r="A546" t="s">
        <v>29</v>
      </c>
      <c r="B546" t="s">
        <v>62</v>
      </c>
      <c r="C546" t="s">
        <v>100</v>
      </c>
      <c r="D546">
        <v>4.7</v>
      </c>
      <c r="E546">
        <f>Tableau3[[#This Row],[Potential (PJ)]]/3.6</f>
        <v>1.3055555555555556</v>
      </c>
      <c r="F546">
        <v>1.7</v>
      </c>
      <c r="G546">
        <f>Tableau3[[#This Row],[Cost (€/GJ)]]*3.6</f>
        <v>6.12</v>
      </c>
      <c r="H546">
        <v>2.6764106050305911</v>
      </c>
      <c r="I546">
        <f>Tableau3[[#This Row],[GHG (kgCO2eq/GJ)]]*3.6</f>
        <v>9.6350781781101276</v>
      </c>
      <c r="J546" t="s">
        <v>104</v>
      </c>
      <c r="K546" t="s">
        <v>108</v>
      </c>
    </row>
    <row r="547" spans="1:11" x14ac:dyDescent="0.3">
      <c r="A547" t="s">
        <v>29</v>
      </c>
      <c r="B547" t="s">
        <v>54</v>
      </c>
      <c r="C547" t="s">
        <v>78</v>
      </c>
      <c r="D547">
        <v>44.5</v>
      </c>
      <c r="E547">
        <f>Tableau3[[#This Row],[Potential (PJ)]]/3.6</f>
        <v>12.361111111111111</v>
      </c>
      <c r="F547">
        <v>0</v>
      </c>
      <c r="G547">
        <f>Tableau3[[#This Row],[Cost (€/GJ)]]*3.6</f>
        <v>0</v>
      </c>
      <c r="H547">
        <v>3.86607608129234</v>
      </c>
      <c r="I547">
        <f>Tableau3[[#This Row],[GHG (kgCO2eq/GJ)]]*3.6</f>
        <v>13.917873892652425</v>
      </c>
      <c r="J547" t="s">
        <v>104</v>
      </c>
      <c r="K547" t="s">
        <v>108</v>
      </c>
    </row>
    <row r="548" spans="1:11" x14ac:dyDescent="0.3">
      <c r="A548" t="s">
        <v>30</v>
      </c>
      <c r="B548" t="s">
        <v>46</v>
      </c>
      <c r="C548" t="s">
        <v>63</v>
      </c>
      <c r="D548">
        <v>2.5999999999999999E-3</v>
      </c>
      <c r="E548">
        <f>Tableau3[[#This Row],[Potential (PJ)]]/3.6</f>
        <v>7.2222222222222219E-4</v>
      </c>
      <c r="F548">
        <v>2.9286474973375931</v>
      </c>
      <c r="G548">
        <f>Tableau3[[#This Row],[Cost (€/GJ)]]*3.6</f>
        <v>10.543130990415335</v>
      </c>
      <c r="H548">
        <v>3.950479233226837</v>
      </c>
      <c r="I548">
        <f>Tableau3[[#This Row],[GHG (kgCO2eq/GJ)]]*3.6</f>
        <v>14.221725239616614</v>
      </c>
      <c r="J548" t="s">
        <v>104</v>
      </c>
      <c r="K548" t="s">
        <v>108</v>
      </c>
    </row>
    <row r="549" spans="1:11" x14ac:dyDescent="0.3">
      <c r="A549" t="s">
        <v>30</v>
      </c>
      <c r="B549" t="s">
        <v>46</v>
      </c>
      <c r="C549" t="s">
        <v>64</v>
      </c>
      <c r="D549">
        <v>2.3890000000000002E-2</v>
      </c>
      <c r="E549">
        <f>Tableau3[[#This Row],[Potential (PJ)]]/3.6</f>
        <v>6.6361111111111117E-3</v>
      </c>
      <c r="F549">
        <v>5.4859999999999998</v>
      </c>
      <c r="G549">
        <f>Tableau3[[#This Row],[Cost (€/GJ)]]*3.6</f>
        <v>19.749600000000001</v>
      </c>
      <c r="H549">
        <v>2.9521711768407801</v>
      </c>
      <c r="I549">
        <f>Tableau3[[#This Row],[GHG (kgCO2eq/GJ)]]*3.6</f>
        <v>10.627816236626808</v>
      </c>
      <c r="J549" t="s">
        <v>104</v>
      </c>
      <c r="K549" t="s">
        <v>108</v>
      </c>
    </row>
    <row r="550" spans="1:11" x14ac:dyDescent="0.3">
      <c r="A550" t="s">
        <v>30</v>
      </c>
      <c r="B550" t="s">
        <v>47</v>
      </c>
      <c r="C550" t="s">
        <v>68</v>
      </c>
      <c r="D550">
        <v>1.4</v>
      </c>
      <c r="E550">
        <f>Tableau3[[#This Row],[Potential (PJ)]]/3.6</f>
        <v>0.38888888888888884</v>
      </c>
      <c r="F550">
        <v>3.59</v>
      </c>
      <c r="G550">
        <f>Tableau3[[#This Row],[Cost (€/GJ)]]*3.6</f>
        <v>12.923999999999999</v>
      </c>
      <c r="H550">
        <v>14.5</v>
      </c>
      <c r="I550">
        <f>Tableau3[[#This Row],[GHG (kgCO2eq/GJ)]]*3.6</f>
        <v>52.2</v>
      </c>
      <c r="J550" t="s">
        <v>104</v>
      </c>
      <c r="K550" t="s">
        <v>109</v>
      </c>
    </row>
    <row r="551" spans="1:11" x14ac:dyDescent="0.3">
      <c r="A551" t="s">
        <v>30</v>
      </c>
      <c r="B551" t="s">
        <v>47</v>
      </c>
      <c r="C551" t="s">
        <v>69</v>
      </c>
      <c r="D551">
        <v>0.9</v>
      </c>
      <c r="E551">
        <f>Tableau3[[#This Row],[Potential (PJ)]]/3.6</f>
        <v>0.25</v>
      </c>
      <c r="F551">
        <v>3.5659999999999998</v>
      </c>
      <c r="G551">
        <f>Tableau3[[#This Row],[Cost (€/GJ)]]*3.6</f>
        <v>12.8376</v>
      </c>
      <c r="H551">
        <v>14.5</v>
      </c>
      <c r="I551">
        <f>Tableau3[[#This Row],[GHG (kgCO2eq/GJ)]]*3.6</f>
        <v>52.2</v>
      </c>
      <c r="J551" t="s">
        <v>104</v>
      </c>
      <c r="K551" t="s">
        <v>109</v>
      </c>
    </row>
    <row r="552" spans="1:11" x14ac:dyDescent="0.3">
      <c r="A552" t="s">
        <v>30</v>
      </c>
      <c r="B552" t="s">
        <v>48</v>
      </c>
      <c r="C552" t="s">
        <v>70</v>
      </c>
      <c r="D552">
        <v>0.5</v>
      </c>
      <c r="E552">
        <f>Tableau3[[#This Row],[Potential (PJ)]]/3.6</f>
        <v>0.1388888888888889</v>
      </c>
      <c r="F552">
        <v>9.0820000000000007</v>
      </c>
      <c r="G552">
        <f>Tableau3[[#This Row],[Cost (€/GJ)]]*3.6</f>
        <v>32.695200000000007</v>
      </c>
      <c r="H552">
        <v>0</v>
      </c>
      <c r="I552">
        <f>Tableau3[[#This Row],[GHG (kgCO2eq/GJ)]]*3.6</f>
        <v>0</v>
      </c>
      <c r="J552" t="s">
        <v>104</v>
      </c>
      <c r="K552" t="s">
        <v>109</v>
      </c>
    </row>
    <row r="553" spans="1:11" x14ac:dyDescent="0.3">
      <c r="A553" t="s">
        <v>30</v>
      </c>
      <c r="B553" t="s">
        <v>49</v>
      </c>
      <c r="C553" t="s">
        <v>72</v>
      </c>
      <c r="D553">
        <v>0.5</v>
      </c>
      <c r="E553">
        <f>Tableau3[[#This Row],[Potential (PJ)]]/3.6</f>
        <v>0.1388888888888889</v>
      </c>
      <c r="F553">
        <v>1.73</v>
      </c>
      <c r="G553">
        <f>Tableau3[[#This Row],[Cost (€/GJ)]]*3.6</f>
        <v>6.2279999999999998</v>
      </c>
      <c r="H553">
        <v>3.86607608129234</v>
      </c>
      <c r="I553">
        <f>Tableau3[[#This Row],[GHG (kgCO2eq/GJ)]]*3.6</f>
        <v>13.917873892652425</v>
      </c>
      <c r="J553" t="s">
        <v>104</v>
      </c>
      <c r="K553" t="s">
        <v>108</v>
      </c>
    </row>
    <row r="554" spans="1:11" x14ac:dyDescent="0.3">
      <c r="A554" t="s">
        <v>30</v>
      </c>
      <c r="B554" t="s">
        <v>50</v>
      </c>
      <c r="C554" t="s">
        <v>73</v>
      </c>
      <c r="D554">
        <v>0.1</v>
      </c>
      <c r="E554">
        <f>Tableau3[[#This Row],[Potential (PJ)]]/3.6</f>
        <v>2.777777777777778E-2</v>
      </c>
      <c r="F554">
        <v>4.8520000000000003</v>
      </c>
      <c r="G554">
        <f>Tableau3[[#This Row],[Cost (€/GJ)]]*3.6</f>
        <v>17.467200000000002</v>
      </c>
      <c r="H554">
        <v>20.723404255319149</v>
      </c>
      <c r="I554">
        <f>Tableau3[[#This Row],[GHG (kgCO2eq/GJ)]]*3.6</f>
        <v>74.604255319148933</v>
      </c>
      <c r="J554" t="s">
        <v>105</v>
      </c>
      <c r="K554" t="s">
        <v>108</v>
      </c>
    </row>
    <row r="555" spans="1:11" x14ac:dyDescent="0.3">
      <c r="A555" t="s">
        <v>30</v>
      </c>
      <c r="B555" t="s">
        <v>50</v>
      </c>
      <c r="C555" t="s">
        <v>74</v>
      </c>
      <c r="D555">
        <v>0.2</v>
      </c>
      <c r="E555">
        <f>Tableau3[[#This Row],[Potential (PJ)]]/3.6</f>
        <v>5.5555555555555559E-2</v>
      </c>
      <c r="F555">
        <v>3.3919999999999999</v>
      </c>
      <c r="G555">
        <f>Tableau3[[#This Row],[Cost (€/GJ)]]*3.6</f>
        <v>12.2112</v>
      </c>
      <c r="H555">
        <v>2.0635593220338988</v>
      </c>
      <c r="I555">
        <f>Tableau3[[#This Row],[GHG (kgCO2eq/GJ)]]*3.6</f>
        <v>7.4288135593220357</v>
      </c>
      <c r="J555" t="s">
        <v>105</v>
      </c>
      <c r="K555" t="s">
        <v>108</v>
      </c>
    </row>
    <row r="556" spans="1:11" x14ac:dyDescent="0.3">
      <c r="A556" t="s">
        <v>30</v>
      </c>
      <c r="B556" t="s">
        <v>51</v>
      </c>
      <c r="C556" t="s">
        <v>75</v>
      </c>
      <c r="D556">
        <v>0</v>
      </c>
      <c r="E556">
        <f>Tableau3[[#This Row],[Potential (PJ)]]/3.6</f>
        <v>0</v>
      </c>
      <c r="F556">
        <v>0.151238492415432</v>
      </c>
      <c r="G556">
        <f>Tableau3[[#This Row],[Cost (€/GJ)]]*3.6</f>
        <v>0.5444585726955552</v>
      </c>
      <c r="H556">
        <v>11.74</v>
      </c>
      <c r="I556">
        <f>Tableau3[[#This Row],[GHG (kgCO2eq/GJ)]]*3.6</f>
        <v>42.264000000000003</v>
      </c>
      <c r="J556" t="s">
        <v>104</v>
      </c>
      <c r="K556" t="s">
        <v>108</v>
      </c>
    </row>
    <row r="557" spans="1:11" x14ac:dyDescent="0.3">
      <c r="A557" t="s">
        <v>30</v>
      </c>
      <c r="B557" t="s">
        <v>53</v>
      </c>
      <c r="C557" t="s">
        <v>77</v>
      </c>
      <c r="D557">
        <v>0.8</v>
      </c>
      <c r="E557">
        <f>Tableau3[[#This Row],[Potential (PJ)]]/3.6</f>
        <v>0.22222222222222224</v>
      </c>
      <c r="F557">
        <v>1.73</v>
      </c>
      <c r="G557">
        <f>Tableau3[[#This Row],[Cost (€/GJ)]]*3.6</f>
        <v>6.2279999999999998</v>
      </c>
      <c r="H557">
        <v>3.86607608129234</v>
      </c>
      <c r="I557">
        <f>Tableau3[[#This Row],[GHG (kgCO2eq/GJ)]]*3.6</f>
        <v>13.917873892652425</v>
      </c>
      <c r="J557" t="s">
        <v>104</v>
      </c>
      <c r="K557" t="s">
        <v>108</v>
      </c>
    </row>
    <row r="558" spans="1:11" x14ac:dyDescent="0.3">
      <c r="A558" t="s">
        <v>31</v>
      </c>
      <c r="B558" t="s">
        <v>46</v>
      </c>
      <c r="C558" t="s">
        <v>63</v>
      </c>
      <c r="D558">
        <v>1.01E-2</v>
      </c>
      <c r="E558">
        <f>Tableau3[[#This Row],[Potential (PJ)]]/3.6</f>
        <v>2.8055555555555555E-3</v>
      </c>
      <c r="F558">
        <v>2.9286474973375931</v>
      </c>
      <c r="G558">
        <f>Tableau3[[#This Row],[Cost (€/GJ)]]*3.6</f>
        <v>10.543130990415335</v>
      </c>
      <c r="H558">
        <v>3.950479233226837</v>
      </c>
      <c r="I558">
        <f>Tableau3[[#This Row],[GHG (kgCO2eq/GJ)]]*3.6</f>
        <v>14.221725239616614</v>
      </c>
      <c r="J558" t="s">
        <v>104</v>
      </c>
      <c r="K558" t="s">
        <v>108</v>
      </c>
    </row>
    <row r="559" spans="1:11" x14ac:dyDescent="0.3">
      <c r="A559" t="s">
        <v>31</v>
      </c>
      <c r="B559" t="s">
        <v>46</v>
      </c>
      <c r="C559" t="s">
        <v>64</v>
      </c>
      <c r="D559">
        <v>0.15493999999999999</v>
      </c>
      <c r="E559">
        <f>Tableau3[[#This Row],[Potential (PJ)]]/3.6</f>
        <v>4.3038888888888883E-2</v>
      </c>
      <c r="F559">
        <v>5.4169999999999998</v>
      </c>
      <c r="G559">
        <f>Tableau3[[#This Row],[Cost (€/GJ)]]*3.6</f>
        <v>19.501200000000001</v>
      </c>
      <c r="H559">
        <v>2.9521711768407801</v>
      </c>
      <c r="I559">
        <f>Tableau3[[#This Row],[GHG (kgCO2eq/GJ)]]*3.6</f>
        <v>10.627816236626808</v>
      </c>
      <c r="J559" t="s">
        <v>104</v>
      </c>
      <c r="K559" t="s">
        <v>108</v>
      </c>
    </row>
    <row r="560" spans="1:11" x14ac:dyDescent="0.3">
      <c r="A560" t="s">
        <v>31</v>
      </c>
      <c r="B560" t="s">
        <v>46</v>
      </c>
      <c r="C560" t="s">
        <v>79</v>
      </c>
      <c r="D560">
        <v>0.7</v>
      </c>
      <c r="E560">
        <f>Tableau3[[#This Row],[Potential (PJ)]]/3.6</f>
        <v>0.19444444444444442</v>
      </c>
      <c r="F560">
        <v>0</v>
      </c>
      <c r="G560">
        <f>Tableau3[[#This Row],[Cost (€/GJ)]]*3.6</f>
        <v>0</v>
      </c>
      <c r="H560">
        <v>6.8428961748633883</v>
      </c>
      <c r="I560">
        <f>Tableau3[[#This Row],[GHG (kgCO2eq/GJ)]]*3.6</f>
        <v>24.634426229508197</v>
      </c>
      <c r="J560" t="s">
        <v>104</v>
      </c>
      <c r="K560" t="s">
        <v>108</v>
      </c>
    </row>
    <row r="561" spans="1:11" x14ac:dyDescent="0.3">
      <c r="A561" t="s">
        <v>31</v>
      </c>
      <c r="B561" t="s">
        <v>46</v>
      </c>
      <c r="C561" t="s">
        <v>65</v>
      </c>
      <c r="D561">
        <v>0.1</v>
      </c>
      <c r="E561">
        <f>Tableau3[[#This Row],[Potential (PJ)]]/3.6</f>
        <v>2.777777777777778E-2</v>
      </c>
      <c r="F561">
        <v>4.5010000000000003</v>
      </c>
      <c r="G561">
        <f>Tableau3[[#This Row],[Cost (€/GJ)]]*3.6</f>
        <v>16.203600000000002</v>
      </c>
      <c r="H561">
        <v>2.9521711768407801</v>
      </c>
      <c r="I561">
        <f>Tableau3[[#This Row],[GHG (kgCO2eq/GJ)]]*3.6</f>
        <v>10.627816236626808</v>
      </c>
      <c r="J561" t="s">
        <v>104</v>
      </c>
      <c r="K561" t="s">
        <v>108</v>
      </c>
    </row>
    <row r="562" spans="1:11" x14ac:dyDescent="0.3">
      <c r="A562" t="s">
        <v>31</v>
      </c>
      <c r="B562" t="s">
        <v>46</v>
      </c>
      <c r="C562" t="s">
        <v>66</v>
      </c>
      <c r="D562">
        <v>0.2</v>
      </c>
      <c r="E562">
        <f>Tableau3[[#This Row],[Potential (PJ)]]/3.6</f>
        <v>5.5555555555555559E-2</v>
      </c>
      <c r="F562">
        <v>0</v>
      </c>
      <c r="G562">
        <f>Tableau3[[#This Row],[Cost (€/GJ)]]*3.6</f>
        <v>0</v>
      </c>
      <c r="H562">
        <v>6.8428961748633883</v>
      </c>
      <c r="I562">
        <f>Tableau3[[#This Row],[GHG (kgCO2eq/GJ)]]*3.6</f>
        <v>24.634426229508197</v>
      </c>
      <c r="J562" t="s">
        <v>104</v>
      </c>
      <c r="K562" t="s">
        <v>108</v>
      </c>
    </row>
    <row r="563" spans="1:11" x14ac:dyDescent="0.3">
      <c r="A563" t="s">
        <v>31</v>
      </c>
      <c r="B563" t="s">
        <v>46</v>
      </c>
      <c r="C563" t="s">
        <v>83</v>
      </c>
      <c r="D563">
        <v>6.1600000000000002E-2</v>
      </c>
      <c r="E563">
        <f>Tableau3[[#This Row],[Potential (PJ)]]/3.6</f>
        <v>1.7111111111111112E-2</v>
      </c>
      <c r="F563">
        <v>0</v>
      </c>
      <c r="G563">
        <f>Tableau3[[#This Row],[Cost (€/GJ)]]*3.6</f>
        <v>0</v>
      </c>
      <c r="H563">
        <v>6.8428961748633883</v>
      </c>
      <c r="I563">
        <f>Tableau3[[#This Row],[GHG (kgCO2eq/GJ)]]*3.6</f>
        <v>24.634426229508197</v>
      </c>
      <c r="J563" t="s">
        <v>104</v>
      </c>
      <c r="K563" t="s">
        <v>108</v>
      </c>
    </row>
    <row r="564" spans="1:11" x14ac:dyDescent="0.3">
      <c r="A564" t="s">
        <v>31</v>
      </c>
      <c r="B564" t="s">
        <v>46</v>
      </c>
      <c r="C564" t="s">
        <v>85</v>
      </c>
      <c r="D564">
        <v>0.1</v>
      </c>
      <c r="E564">
        <f>Tableau3[[#This Row],[Potential (PJ)]]/3.6</f>
        <v>2.777777777777778E-2</v>
      </c>
      <c r="F564">
        <v>4.1139999999999999</v>
      </c>
      <c r="G564">
        <f>Tableau3[[#This Row],[Cost (€/GJ)]]*3.6</f>
        <v>14.8104</v>
      </c>
      <c r="H564">
        <v>2.9521711768407801</v>
      </c>
      <c r="I564">
        <f>Tableau3[[#This Row],[GHG (kgCO2eq/GJ)]]*3.6</f>
        <v>10.627816236626808</v>
      </c>
      <c r="J564" t="s">
        <v>104</v>
      </c>
      <c r="K564" t="s">
        <v>108</v>
      </c>
    </row>
    <row r="565" spans="1:11" x14ac:dyDescent="0.3">
      <c r="A565" t="s">
        <v>31</v>
      </c>
      <c r="B565" t="s">
        <v>47</v>
      </c>
      <c r="C565" t="s">
        <v>68</v>
      </c>
      <c r="D565">
        <v>8.8000000000000007</v>
      </c>
      <c r="E565">
        <f>Tableau3[[#This Row],[Potential (PJ)]]/3.6</f>
        <v>2.4444444444444446</v>
      </c>
      <c r="F565">
        <v>3.59</v>
      </c>
      <c r="G565">
        <f>Tableau3[[#This Row],[Cost (€/GJ)]]*3.6</f>
        <v>12.923999999999999</v>
      </c>
      <c r="H565">
        <v>14.5</v>
      </c>
      <c r="I565">
        <f>Tableau3[[#This Row],[GHG (kgCO2eq/GJ)]]*3.6</f>
        <v>52.2</v>
      </c>
      <c r="J565" t="s">
        <v>104</v>
      </c>
      <c r="K565" t="s">
        <v>109</v>
      </c>
    </row>
    <row r="566" spans="1:11" x14ac:dyDescent="0.3">
      <c r="A566" t="s">
        <v>31</v>
      </c>
      <c r="B566" t="s">
        <v>47</v>
      </c>
      <c r="C566" t="s">
        <v>69</v>
      </c>
      <c r="D566">
        <v>6.1</v>
      </c>
      <c r="E566">
        <f>Tableau3[[#This Row],[Potential (PJ)]]/3.6</f>
        <v>1.6944444444444442</v>
      </c>
      <c r="F566">
        <v>3.5659999999999998</v>
      </c>
      <c r="G566">
        <f>Tableau3[[#This Row],[Cost (€/GJ)]]*3.6</f>
        <v>12.8376</v>
      </c>
      <c r="H566">
        <v>14.5</v>
      </c>
      <c r="I566">
        <f>Tableau3[[#This Row],[GHG (kgCO2eq/GJ)]]*3.6</f>
        <v>52.2</v>
      </c>
      <c r="J566" t="s">
        <v>104</v>
      </c>
      <c r="K566" t="s">
        <v>109</v>
      </c>
    </row>
    <row r="567" spans="1:11" x14ac:dyDescent="0.3">
      <c r="A567" t="s">
        <v>31</v>
      </c>
      <c r="B567" t="s">
        <v>48</v>
      </c>
      <c r="C567" t="s">
        <v>70</v>
      </c>
      <c r="D567">
        <v>3.2</v>
      </c>
      <c r="E567">
        <f>Tableau3[[#This Row],[Potential (PJ)]]/3.6</f>
        <v>0.88888888888888895</v>
      </c>
      <c r="F567">
        <v>9.0820000000000007</v>
      </c>
      <c r="G567">
        <f>Tableau3[[#This Row],[Cost (€/GJ)]]*3.6</f>
        <v>32.695200000000007</v>
      </c>
      <c r="H567">
        <v>0</v>
      </c>
      <c r="I567">
        <f>Tableau3[[#This Row],[GHG (kgCO2eq/GJ)]]*3.6</f>
        <v>0</v>
      </c>
      <c r="J567" t="s">
        <v>104</v>
      </c>
      <c r="K567" t="s">
        <v>109</v>
      </c>
    </row>
    <row r="568" spans="1:11" x14ac:dyDescent="0.3">
      <c r="A568" t="s">
        <v>31</v>
      </c>
      <c r="B568" t="s">
        <v>49</v>
      </c>
      <c r="C568" t="s">
        <v>71</v>
      </c>
      <c r="D568">
        <v>1.06698</v>
      </c>
      <c r="E568">
        <f>Tableau3[[#This Row],[Potential (PJ)]]/3.6</f>
        <v>0.29638333333333333</v>
      </c>
      <c r="F568">
        <v>0</v>
      </c>
      <c r="G568">
        <f>Tableau3[[#This Row],[Cost (€/GJ)]]*3.6</f>
        <v>0</v>
      </c>
      <c r="H568">
        <v>3.86607608129234</v>
      </c>
      <c r="I568">
        <f>Tableau3[[#This Row],[GHG (kgCO2eq/GJ)]]*3.6</f>
        <v>13.917873892652425</v>
      </c>
      <c r="J568" t="s">
        <v>104</v>
      </c>
      <c r="K568" t="s">
        <v>108</v>
      </c>
    </row>
    <row r="569" spans="1:11" x14ac:dyDescent="0.3">
      <c r="A569" t="s">
        <v>31</v>
      </c>
      <c r="B569" t="s">
        <v>49</v>
      </c>
      <c r="C569" t="s">
        <v>72</v>
      </c>
      <c r="D569">
        <v>1.7</v>
      </c>
      <c r="E569">
        <f>Tableau3[[#This Row],[Potential (PJ)]]/3.6</f>
        <v>0.47222222222222221</v>
      </c>
      <c r="F569">
        <v>0</v>
      </c>
      <c r="G569">
        <f>Tableau3[[#This Row],[Cost (€/GJ)]]*3.6</f>
        <v>0</v>
      </c>
      <c r="H569">
        <v>3.86607608129234</v>
      </c>
      <c r="I569">
        <f>Tableau3[[#This Row],[GHG (kgCO2eq/GJ)]]*3.6</f>
        <v>13.917873892652425</v>
      </c>
      <c r="J569" t="s">
        <v>104</v>
      </c>
      <c r="K569" t="s">
        <v>108</v>
      </c>
    </row>
    <row r="570" spans="1:11" x14ac:dyDescent="0.3">
      <c r="A570" t="s">
        <v>31</v>
      </c>
      <c r="B570" t="s">
        <v>50</v>
      </c>
      <c r="C570" t="s">
        <v>73</v>
      </c>
      <c r="D570">
        <v>0.2</v>
      </c>
      <c r="E570">
        <f>Tableau3[[#This Row],[Potential (PJ)]]/3.6</f>
        <v>5.5555555555555559E-2</v>
      </c>
      <c r="F570">
        <v>4.7309999999999999</v>
      </c>
      <c r="G570">
        <f>Tableau3[[#This Row],[Cost (€/GJ)]]*3.6</f>
        <v>17.031600000000001</v>
      </c>
      <c r="H570">
        <v>20.723404255319149</v>
      </c>
      <c r="I570">
        <f>Tableau3[[#This Row],[GHG (kgCO2eq/GJ)]]*3.6</f>
        <v>74.604255319148933</v>
      </c>
      <c r="J570" t="s">
        <v>105</v>
      </c>
      <c r="K570" t="s">
        <v>108</v>
      </c>
    </row>
    <row r="571" spans="1:11" x14ac:dyDescent="0.3">
      <c r="A571" t="s">
        <v>31</v>
      </c>
      <c r="B571" t="s">
        <v>50</v>
      </c>
      <c r="C571" t="s">
        <v>74</v>
      </c>
      <c r="D571">
        <v>0.5</v>
      </c>
      <c r="E571">
        <f>Tableau3[[#This Row],[Potential (PJ)]]/3.6</f>
        <v>0.1388888888888889</v>
      </c>
      <c r="F571">
        <v>3.3919999999999999</v>
      </c>
      <c r="G571">
        <f>Tableau3[[#This Row],[Cost (€/GJ)]]*3.6</f>
        <v>12.2112</v>
      </c>
      <c r="H571">
        <v>2.0635593220338988</v>
      </c>
      <c r="I571">
        <f>Tableau3[[#This Row],[GHG (kgCO2eq/GJ)]]*3.6</f>
        <v>7.4288135593220357</v>
      </c>
      <c r="J571" t="s">
        <v>105</v>
      </c>
      <c r="K571" t="s">
        <v>108</v>
      </c>
    </row>
    <row r="572" spans="1:11" x14ac:dyDescent="0.3">
      <c r="A572" t="s">
        <v>31</v>
      </c>
      <c r="B572" t="s">
        <v>51</v>
      </c>
      <c r="C572" t="s">
        <v>75</v>
      </c>
      <c r="D572">
        <v>0.49327700000000002</v>
      </c>
      <c r="E572">
        <f>Tableau3[[#This Row],[Potential (PJ)]]/3.6</f>
        <v>0.1370213888888889</v>
      </c>
      <c r="F572">
        <v>8.8771773931224596E-2</v>
      </c>
      <c r="G572">
        <f>Tableau3[[#This Row],[Cost (€/GJ)]]*3.6</f>
        <v>0.31957838615240858</v>
      </c>
      <c r="H572">
        <v>11.74</v>
      </c>
      <c r="I572">
        <f>Tableau3[[#This Row],[GHG (kgCO2eq/GJ)]]*3.6</f>
        <v>42.264000000000003</v>
      </c>
      <c r="J572" t="s">
        <v>104</v>
      </c>
      <c r="K572" t="s">
        <v>108</v>
      </c>
    </row>
    <row r="573" spans="1:11" x14ac:dyDescent="0.3">
      <c r="A573" t="s">
        <v>31</v>
      </c>
      <c r="B573" t="s">
        <v>52</v>
      </c>
      <c r="C573" t="s">
        <v>76</v>
      </c>
      <c r="D573">
        <v>3.0000000000000001E-3</v>
      </c>
      <c r="E573">
        <f>Tableau3[[#This Row],[Potential (PJ)]]/3.6</f>
        <v>8.3333333333333328E-4</v>
      </c>
      <c r="F573">
        <v>7.5037500000000001</v>
      </c>
      <c r="G573">
        <f>Tableau3[[#This Row],[Cost (€/GJ)]]*3.6</f>
        <v>27.013500000000001</v>
      </c>
      <c r="H573">
        <v>12.68872359754714</v>
      </c>
      <c r="I573">
        <f>Tableau3[[#This Row],[GHG (kgCO2eq/GJ)]]*3.6</f>
        <v>45.679404951169708</v>
      </c>
      <c r="J573" t="s">
        <v>105</v>
      </c>
      <c r="K573" t="s">
        <v>108</v>
      </c>
    </row>
    <row r="574" spans="1:11" x14ac:dyDescent="0.3">
      <c r="A574" t="s">
        <v>31</v>
      </c>
      <c r="B574" t="s">
        <v>53</v>
      </c>
      <c r="C574" t="s">
        <v>77</v>
      </c>
      <c r="D574">
        <v>4</v>
      </c>
      <c r="E574">
        <f>Tableau3[[#This Row],[Potential (PJ)]]/3.6</f>
        <v>1.1111111111111112</v>
      </c>
      <c r="F574">
        <v>0</v>
      </c>
      <c r="G574">
        <f>Tableau3[[#This Row],[Cost (€/GJ)]]*3.6</f>
        <v>0</v>
      </c>
      <c r="H574">
        <v>3.86607608129234</v>
      </c>
      <c r="I574">
        <f>Tableau3[[#This Row],[GHG (kgCO2eq/GJ)]]*3.6</f>
        <v>13.917873892652425</v>
      </c>
      <c r="J574" t="s">
        <v>104</v>
      </c>
      <c r="K574" t="s">
        <v>108</v>
      </c>
    </row>
    <row r="575" spans="1:11" x14ac:dyDescent="0.3">
      <c r="A575" t="s">
        <v>31</v>
      </c>
      <c r="B575" t="s">
        <v>54</v>
      </c>
      <c r="C575" t="s">
        <v>78</v>
      </c>
      <c r="D575">
        <v>2.6</v>
      </c>
      <c r="E575">
        <f>Tableau3[[#This Row],[Potential (PJ)]]/3.6</f>
        <v>0.72222222222222221</v>
      </c>
      <c r="F575">
        <v>0</v>
      </c>
      <c r="G575">
        <f>Tableau3[[#This Row],[Cost (€/GJ)]]*3.6</f>
        <v>0</v>
      </c>
      <c r="H575">
        <v>3.86607608129234</v>
      </c>
      <c r="I575">
        <f>Tableau3[[#This Row],[GHG (kgCO2eq/GJ)]]*3.6</f>
        <v>13.917873892652425</v>
      </c>
      <c r="J575" t="s">
        <v>104</v>
      </c>
      <c r="K575" t="s">
        <v>108</v>
      </c>
    </row>
    <row r="576" spans="1:11" x14ac:dyDescent="0.3">
      <c r="A576" t="s">
        <v>32</v>
      </c>
      <c r="B576" t="s">
        <v>46</v>
      </c>
      <c r="C576" t="s">
        <v>103</v>
      </c>
      <c r="D576">
        <v>1.0678E-2</v>
      </c>
      <c r="E576">
        <f>Tableau3[[#This Row],[Potential (PJ)]]/3.6</f>
        <v>2.9661111111111112E-3</v>
      </c>
      <c r="F576">
        <v>0</v>
      </c>
      <c r="G576">
        <f>Tableau3[[#This Row],[Cost (€/GJ)]]*3.6</f>
        <v>0</v>
      </c>
      <c r="I576">
        <f>Tableau3[[#This Row],[GHG (kgCO2eq/GJ)]]*3.6</f>
        <v>0</v>
      </c>
      <c r="K576"/>
    </row>
    <row r="577" spans="1:11" x14ac:dyDescent="0.3">
      <c r="A577" t="s">
        <v>32</v>
      </c>
      <c r="B577" t="s">
        <v>50</v>
      </c>
      <c r="C577" t="s">
        <v>103</v>
      </c>
      <c r="D577">
        <v>0.40701599999999999</v>
      </c>
      <c r="E577">
        <f>Tableau3[[#This Row],[Potential (PJ)]]/3.6</f>
        <v>0.11305999999999999</v>
      </c>
      <c r="F577">
        <v>0</v>
      </c>
      <c r="G577">
        <f>Tableau3[[#This Row],[Cost (€/GJ)]]*3.6</f>
        <v>0</v>
      </c>
      <c r="I577">
        <f>Tableau3[[#This Row],[GHG (kgCO2eq/GJ)]]*3.6</f>
        <v>0</v>
      </c>
      <c r="K577"/>
    </row>
    <row r="578" spans="1:11" x14ac:dyDescent="0.3">
      <c r="A578" t="s">
        <v>32</v>
      </c>
      <c r="B578" t="s">
        <v>51</v>
      </c>
      <c r="C578" t="s">
        <v>75</v>
      </c>
      <c r="D578">
        <v>3.356703</v>
      </c>
      <c r="E578">
        <f>Tableau3[[#This Row],[Potential (PJ)]]/3.6</f>
        <v>0.93241750000000001</v>
      </c>
      <c r="F578">
        <v>3.0278018319097501E-5</v>
      </c>
      <c r="G578">
        <f>Tableau3[[#This Row],[Cost (€/GJ)]]*3.6</f>
        <v>1.09000865948751E-4</v>
      </c>
      <c r="H578">
        <v>11.74</v>
      </c>
      <c r="I578">
        <f>Tableau3[[#This Row],[GHG (kgCO2eq/GJ)]]*3.6</f>
        <v>42.264000000000003</v>
      </c>
      <c r="J578" t="s">
        <v>104</v>
      </c>
      <c r="K578" t="s">
        <v>108</v>
      </c>
    </row>
    <row r="579" spans="1:11" x14ac:dyDescent="0.3">
      <c r="A579" t="s">
        <v>33</v>
      </c>
      <c r="B579" t="s">
        <v>46</v>
      </c>
      <c r="C579" t="s">
        <v>64</v>
      </c>
      <c r="D579">
        <v>0.11515</v>
      </c>
      <c r="E579">
        <f>Tableau3[[#This Row],[Potential (PJ)]]/3.6</f>
        <v>3.1986111111111111E-2</v>
      </c>
      <c r="F579">
        <v>5.7987365175857573</v>
      </c>
      <c r="G579">
        <f>Tableau3[[#This Row],[Cost (€/GJ)]]*3.6</f>
        <v>20.875451463308728</v>
      </c>
      <c r="H579">
        <v>2.9521711768407801</v>
      </c>
      <c r="I579">
        <f>Tableau3[[#This Row],[GHG (kgCO2eq/GJ)]]*3.6</f>
        <v>10.627816236626808</v>
      </c>
      <c r="J579" t="s">
        <v>104</v>
      </c>
      <c r="K579" t="s">
        <v>108</v>
      </c>
    </row>
    <row r="580" spans="1:11" x14ac:dyDescent="0.3">
      <c r="A580" t="s">
        <v>33</v>
      </c>
      <c r="B580" t="s">
        <v>46</v>
      </c>
      <c r="C580" t="s">
        <v>79</v>
      </c>
      <c r="D580">
        <v>1.8</v>
      </c>
      <c r="E580">
        <f>Tableau3[[#This Row],[Potential (PJ)]]/3.6</f>
        <v>0.5</v>
      </c>
      <c r="F580">
        <v>7.065666666666667</v>
      </c>
      <c r="G580">
        <f>Tableau3[[#This Row],[Cost (€/GJ)]]*3.6</f>
        <v>25.436400000000003</v>
      </c>
      <c r="H580">
        <v>6.8428961748633883</v>
      </c>
      <c r="I580">
        <f>Tableau3[[#This Row],[GHG (kgCO2eq/GJ)]]*3.6</f>
        <v>24.634426229508197</v>
      </c>
      <c r="J580" t="s">
        <v>104</v>
      </c>
      <c r="K580" t="s">
        <v>108</v>
      </c>
    </row>
    <row r="581" spans="1:11" x14ac:dyDescent="0.3">
      <c r="A581" t="s">
        <v>33</v>
      </c>
      <c r="B581" t="s">
        <v>46</v>
      </c>
      <c r="C581" t="s">
        <v>80</v>
      </c>
      <c r="D581">
        <v>1.22265</v>
      </c>
      <c r="E581">
        <f>Tableau3[[#This Row],[Potential (PJ)]]/3.6</f>
        <v>0.33962500000000001</v>
      </c>
      <c r="F581">
        <v>0.33378287255563049</v>
      </c>
      <c r="G581">
        <f>Tableau3[[#This Row],[Cost (€/GJ)]]*3.6</f>
        <v>1.2016183412002699</v>
      </c>
      <c r="H581">
        <v>28.139870918023309</v>
      </c>
      <c r="I581">
        <f>Tableau3[[#This Row],[GHG (kgCO2eq/GJ)]]*3.6</f>
        <v>101.30353530488391</v>
      </c>
      <c r="J581" t="s">
        <v>105</v>
      </c>
      <c r="K581" t="s">
        <v>108</v>
      </c>
    </row>
    <row r="582" spans="1:11" x14ac:dyDescent="0.3">
      <c r="A582" t="s">
        <v>33</v>
      </c>
      <c r="B582" t="s">
        <v>46</v>
      </c>
      <c r="C582" t="s">
        <v>81</v>
      </c>
      <c r="D582">
        <v>1.2213499999999999</v>
      </c>
      <c r="E582">
        <f>Tableau3[[#This Row],[Potential (PJ)]]/3.6</f>
        <v>0.33926388888888886</v>
      </c>
      <c r="F582">
        <v>1.173913043478261</v>
      </c>
      <c r="G582">
        <f>Tableau3[[#This Row],[Cost (€/GJ)]]*3.6</f>
        <v>4.2260869565217396</v>
      </c>
      <c r="H582">
        <v>8.9647473560517046</v>
      </c>
      <c r="I582">
        <f>Tableau3[[#This Row],[GHG (kgCO2eq/GJ)]]*3.6</f>
        <v>32.273090481786134</v>
      </c>
      <c r="J582" t="s">
        <v>105</v>
      </c>
      <c r="K582" t="s">
        <v>108</v>
      </c>
    </row>
    <row r="583" spans="1:11" x14ac:dyDescent="0.3">
      <c r="A583" t="s">
        <v>33</v>
      </c>
      <c r="B583" t="s">
        <v>46</v>
      </c>
      <c r="C583" t="s">
        <v>66</v>
      </c>
      <c r="D583">
        <v>0.3</v>
      </c>
      <c r="E583">
        <f>Tableau3[[#This Row],[Potential (PJ)]]/3.6</f>
        <v>8.3333333333333329E-2</v>
      </c>
      <c r="F583">
        <v>7.3686666666666669</v>
      </c>
      <c r="G583">
        <f>Tableau3[[#This Row],[Cost (€/GJ)]]*3.6</f>
        <v>26.527200000000001</v>
      </c>
      <c r="H583">
        <v>6.8428961748633883</v>
      </c>
      <c r="I583">
        <f>Tableau3[[#This Row],[GHG (kgCO2eq/GJ)]]*3.6</f>
        <v>24.634426229508197</v>
      </c>
      <c r="J583" t="s">
        <v>104</v>
      </c>
      <c r="K583" t="s">
        <v>108</v>
      </c>
    </row>
    <row r="584" spans="1:11" x14ac:dyDescent="0.3">
      <c r="A584" t="s">
        <v>33</v>
      </c>
      <c r="B584" t="s">
        <v>46</v>
      </c>
      <c r="C584" t="s">
        <v>84</v>
      </c>
      <c r="D584">
        <v>0.60000000000000009</v>
      </c>
      <c r="E584">
        <f>Tableau3[[#This Row],[Potential (PJ)]]/3.6</f>
        <v>0.16666666666666669</v>
      </c>
      <c r="F584">
        <v>3.537666666666667</v>
      </c>
      <c r="G584">
        <f>Tableau3[[#This Row],[Cost (€/GJ)]]*3.6</f>
        <v>12.735600000000002</v>
      </c>
      <c r="H584">
        <v>28.139870918023309</v>
      </c>
      <c r="I584">
        <f>Tableau3[[#This Row],[GHG (kgCO2eq/GJ)]]*3.6</f>
        <v>101.30353530488391</v>
      </c>
      <c r="J584" t="s">
        <v>105</v>
      </c>
      <c r="K584" t="s">
        <v>108</v>
      </c>
    </row>
    <row r="585" spans="1:11" x14ac:dyDescent="0.3">
      <c r="A585" t="s">
        <v>33</v>
      </c>
      <c r="B585" t="s">
        <v>55</v>
      </c>
      <c r="C585" t="s">
        <v>86</v>
      </c>
      <c r="D585">
        <v>0.1313</v>
      </c>
      <c r="E585">
        <f>Tableau3[[#This Row],[Potential (PJ)]]/3.6</f>
        <v>3.6472222222222218E-2</v>
      </c>
      <c r="F585">
        <v>11.643000000000001</v>
      </c>
      <c r="G585">
        <f>Tableau3[[#This Row],[Cost (€/GJ)]]*3.6</f>
        <v>41.914800000000007</v>
      </c>
      <c r="H585">
        <v>42.1</v>
      </c>
      <c r="I585">
        <f>Tableau3[[#This Row],[GHG (kgCO2eq/GJ)]]*3.6</f>
        <v>151.56</v>
      </c>
      <c r="J585" t="s">
        <v>106</v>
      </c>
      <c r="K585" t="s">
        <v>109</v>
      </c>
    </row>
    <row r="586" spans="1:11" x14ac:dyDescent="0.3">
      <c r="A586" t="s">
        <v>33</v>
      </c>
      <c r="B586" t="s">
        <v>55</v>
      </c>
      <c r="C586" t="s">
        <v>88</v>
      </c>
      <c r="D586">
        <v>6.7400000000000002E-2</v>
      </c>
      <c r="E586">
        <f>Tableau3[[#This Row],[Potential (PJ)]]/3.6</f>
        <v>1.8722222222222223E-2</v>
      </c>
      <c r="F586">
        <v>11.102</v>
      </c>
      <c r="G586">
        <f>Tableau3[[#This Row],[Cost (€/GJ)]]*3.6</f>
        <v>39.967200000000005</v>
      </c>
      <c r="H586">
        <v>42.1</v>
      </c>
      <c r="I586">
        <f>Tableau3[[#This Row],[GHG (kgCO2eq/GJ)]]*3.6</f>
        <v>151.56</v>
      </c>
      <c r="J586" t="s">
        <v>106</v>
      </c>
      <c r="K586" t="s">
        <v>109</v>
      </c>
    </row>
    <row r="587" spans="1:11" x14ac:dyDescent="0.3">
      <c r="A587" t="s">
        <v>33</v>
      </c>
      <c r="B587" t="s">
        <v>55</v>
      </c>
      <c r="C587" t="s">
        <v>89</v>
      </c>
      <c r="D587">
        <v>6.7900000000000002E-2</v>
      </c>
      <c r="E587">
        <f>Tableau3[[#This Row],[Potential (PJ)]]/3.6</f>
        <v>1.886111111111111E-2</v>
      </c>
      <c r="F587">
        <v>0</v>
      </c>
      <c r="G587">
        <f>Tableau3[[#This Row],[Cost (€/GJ)]]*3.6</f>
        <v>0</v>
      </c>
      <c r="H587">
        <v>42.1</v>
      </c>
      <c r="I587">
        <f>Tableau3[[#This Row],[GHG (kgCO2eq/GJ)]]*3.6</f>
        <v>151.56</v>
      </c>
      <c r="J587" t="s">
        <v>106</v>
      </c>
      <c r="K587" t="s">
        <v>109</v>
      </c>
    </row>
    <row r="588" spans="1:11" x14ac:dyDescent="0.3">
      <c r="A588" t="s">
        <v>33</v>
      </c>
      <c r="B588" t="s">
        <v>55</v>
      </c>
      <c r="C588" t="s">
        <v>90</v>
      </c>
      <c r="D588">
        <v>1.89E-2</v>
      </c>
      <c r="E588">
        <f>Tableau3[[#This Row],[Potential (PJ)]]/3.6</f>
        <v>5.2500000000000003E-3</v>
      </c>
      <c r="F588">
        <v>15.02100000000001</v>
      </c>
      <c r="G588">
        <f>Tableau3[[#This Row],[Cost (€/GJ)]]*3.6</f>
        <v>54.075600000000037</v>
      </c>
      <c r="H588">
        <v>42.1</v>
      </c>
      <c r="I588">
        <f>Tableau3[[#This Row],[GHG (kgCO2eq/GJ)]]*3.6</f>
        <v>151.56</v>
      </c>
      <c r="J588" t="s">
        <v>106</v>
      </c>
      <c r="K588" t="s">
        <v>109</v>
      </c>
    </row>
    <row r="589" spans="1:11" x14ac:dyDescent="0.3">
      <c r="A589" t="s">
        <v>33</v>
      </c>
      <c r="B589" t="s">
        <v>55</v>
      </c>
      <c r="C589" t="s">
        <v>91</v>
      </c>
      <c r="D589">
        <v>9.9999999999999992E-2</v>
      </c>
      <c r="E589">
        <f>Tableau3[[#This Row],[Potential (PJ)]]/3.6</f>
        <v>2.7777777777777776E-2</v>
      </c>
      <c r="F589">
        <v>12.728</v>
      </c>
      <c r="G589">
        <f>Tableau3[[#This Row],[Cost (€/GJ)]]*3.6</f>
        <v>45.820799999999998</v>
      </c>
      <c r="H589">
        <v>42.1</v>
      </c>
      <c r="I589">
        <f>Tableau3[[#This Row],[GHG (kgCO2eq/GJ)]]*3.6</f>
        <v>151.56</v>
      </c>
      <c r="J589" t="s">
        <v>106</v>
      </c>
      <c r="K589" t="s">
        <v>109</v>
      </c>
    </row>
    <row r="590" spans="1:11" x14ac:dyDescent="0.3">
      <c r="A590" t="s">
        <v>33</v>
      </c>
      <c r="B590" t="s">
        <v>55</v>
      </c>
      <c r="C590" t="s">
        <v>92</v>
      </c>
      <c r="D590">
        <v>0.30449999999999999</v>
      </c>
      <c r="E590">
        <f>Tableau3[[#This Row],[Potential (PJ)]]/3.6</f>
        <v>8.458333333333333E-2</v>
      </c>
      <c r="F590">
        <v>11.698</v>
      </c>
      <c r="G590">
        <f>Tableau3[[#This Row],[Cost (€/GJ)]]*3.6</f>
        <v>42.1128</v>
      </c>
      <c r="H590">
        <v>42.1</v>
      </c>
      <c r="I590">
        <f>Tableau3[[#This Row],[GHG (kgCO2eq/GJ)]]*3.6</f>
        <v>151.56</v>
      </c>
      <c r="J590" t="s">
        <v>106</v>
      </c>
      <c r="K590" t="s">
        <v>109</v>
      </c>
    </row>
    <row r="591" spans="1:11" x14ac:dyDescent="0.3">
      <c r="A591" t="s">
        <v>33</v>
      </c>
      <c r="B591" t="s">
        <v>56</v>
      </c>
      <c r="C591" t="s">
        <v>93</v>
      </c>
      <c r="D591">
        <v>14.172000000000001</v>
      </c>
      <c r="E591">
        <f>Tableau3[[#This Row],[Potential (PJ)]]/3.6</f>
        <v>3.9366666666666665</v>
      </c>
      <c r="F591">
        <v>2.939759036144578</v>
      </c>
      <c r="G591">
        <f>Tableau3[[#This Row],[Cost (€/GJ)]]*3.6</f>
        <v>10.583132530120482</v>
      </c>
      <c r="H591">
        <v>53.4</v>
      </c>
      <c r="I591">
        <f>Tableau3[[#This Row],[GHG (kgCO2eq/GJ)]]*3.6</f>
        <v>192.24</v>
      </c>
      <c r="J591" t="s">
        <v>106</v>
      </c>
      <c r="K591" t="s">
        <v>109</v>
      </c>
    </row>
    <row r="592" spans="1:11" x14ac:dyDescent="0.3">
      <c r="A592" t="s">
        <v>33</v>
      </c>
      <c r="B592" t="s">
        <v>47</v>
      </c>
      <c r="C592" t="s">
        <v>68</v>
      </c>
      <c r="D592">
        <v>5</v>
      </c>
      <c r="E592">
        <f>Tableau3[[#This Row],[Potential (PJ)]]/3.6</f>
        <v>1.3888888888888888</v>
      </c>
      <c r="F592">
        <v>8.8734999999999999</v>
      </c>
      <c r="G592">
        <f>Tableau3[[#This Row],[Cost (€/GJ)]]*3.6</f>
        <v>31.944600000000001</v>
      </c>
      <c r="H592">
        <v>23.9</v>
      </c>
      <c r="I592">
        <f>Tableau3[[#This Row],[GHG (kgCO2eq/GJ)]]*3.6</f>
        <v>86.039999999999992</v>
      </c>
      <c r="J592" t="s">
        <v>104</v>
      </c>
      <c r="K592" t="s">
        <v>109</v>
      </c>
    </row>
    <row r="593" spans="1:11" x14ac:dyDescent="0.3">
      <c r="A593" t="s">
        <v>33</v>
      </c>
      <c r="B593" t="s">
        <v>47</v>
      </c>
      <c r="C593" t="s">
        <v>69</v>
      </c>
      <c r="D593">
        <v>6.8</v>
      </c>
      <c r="E593">
        <f>Tableau3[[#This Row],[Potential (PJ)]]/3.6</f>
        <v>1.8888888888888888</v>
      </c>
      <c r="F593">
        <v>8.1204264705882352</v>
      </c>
      <c r="G593">
        <f>Tableau3[[#This Row],[Cost (€/GJ)]]*3.6</f>
        <v>29.233535294117647</v>
      </c>
      <c r="H593">
        <v>23.9</v>
      </c>
      <c r="I593">
        <f>Tableau3[[#This Row],[GHG (kgCO2eq/GJ)]]*3.6</f>
        <v>86.039999999999992</v>
      </c>
      <c r="J593" t="s">
        <v>104</v>
      </c>
      <c r="K593" t="s">
        <v>109</v>
      </c>
    </row>
    <row r="594" spans="1:11" x14ac:dyDescent="0.3">
      <c r="A594" t="s">
        <v>33</v>
      </c>
      <c r="B594" t="s">
        <v>57</v>
      </c>
      <c r="C594" t="s">
        <v>94</v>
      </c>
      <c r="D594">
        <v>1.1000000000000001</v>
      </c>
      <c r="E594">
        <f>Tableau3[[#This Row],[Potential (PJ)]]/3.6</f>
        <v>0.30555555555555558</v>
      </c>
      <c r="F594">
        <v>15.045090909090909</v>
      </c>
      <c r="G594">
        <f>Tableau3[[#This Row],[Cost (€/GJ)]]*3.6</f>
        <v>54.162327272727275</v>
      </c>
      <c r="H594">
        <v>49.1</v>
      </c>
      <c r="I594">
        <f>Tableau3[[#This Row],[GHG (kgCO2eq/GJ)]]*3.6</f>
        <v>176.76000000000002</v>
      </c>
      <c r="J594" t="s">
        <v>104</v>
      </c>
      <c r="K594" t="s">
        <v>109</v>
      </c>
    </row>
    <row r="595" spans="1:11" x14ac:dyDescent="0.3">
      <c r="A595" t="s">
        <v>33</v>
      </c>
      <c r="B595" t="s">
        <v>49</v>
      </c>
      <c r="C595" t="s">
        <v>71</v>
      </c>
      <c r="D595">
        <v>5.1011800000000003</v>
      </c>
      <c r="E595">
        <f>Tableau3[[#This Row],[Potential (PJ)]]/3.6</f>
        <v>1.4169944444444444</v>
      </c>
      <c r="F595">
        <v>3.7084667292665618</v>
      </c>
      <c r="G595">
        <f>Tableau3[[#This Row],[Cost (€/GJ)]]*3.6</f>
        <v>13.350480225359624</v>
      </c>
      <c r="H595">
        <v>3.86607608129234</v>
      </c>
      <c r="I595">
        <f>Tableau3[[#This Row],[GHG (kgCO2eq/GJ)]]*3.6</f>
        <v>13.917873892652425</v>
      </c>
      <c r="J595" t="s">
        <v>104</v>
      </c>
      <c r="K595" t="s">
        <v>108</v>
      </c>
    </row>
    <row r="596" spans="1:11" x14ac:dyDescent="0.3">
      <c r="A596" t="s">
        <v>33</v>
      </c>
      <c r="B596" t="s">
        <v>49</v>
      </c>
      <c r="C596" t="s">
        <v>72</v>
      </c>
      <c r="D596">
        <v>0.9</v>
      </c>
      <c r="E596">
        <f>Tableau3[[#This Row],[Potential (PJ)]]/3.6</f>
        <v>0.25</v>
      </c>
      <c r="F596">
        <v>5.3193333333333328</v>
      </c>
      <c r="G596">
        <f>Tableau3[[#This Row],[Cost (€/GJ)]]*3.6</f>
        <v>19.1496</v>
      </c>
      <c r="H596">
        <v>3.86607608129234</v>
      </c>
      <c r="I596">
        <f>Tableau3[[#This Row],[GHG (kgCO2eq/GJ)]]*3.6</f>
        <v>13.917873892652425</v>
      </c>
      <c r="J596" t="s">
        <v>104</v>
      </c>
      <c r="K596" t="s">
        <v>108</v>
      </c>
    </row>
    <row r="597" spans="1:11" x14ac:dyDescent="0.3">
      <c r="A597" t="s">
        <v>33</v>
      </c>
      <c r="B597" t="s">
        <v>58</v>
      </c>
      <c r="C597" t="s">
        <v>95</v>
      </c>
      <c r="D597">
        <v>2.3914499999999999</v>
      </c>
      <c r="E597">
        <f>Tableau3[[#This Row],[Potential (PJ)]]/3.6</f>
        <v>0.66429166666666661</v>
      </c>
      <c r="F597">
        <v>3.0728615693407768</v>
      </c>
      <c r="G597">
        <f>Tableau3[[#This Row],[Cost (€/GJ)]]*3.6</f>
        <v>11.062301649626797</v>
      </c>
      <c r="H597">
        <v>2.9521711768407801</v>
      </c>
      <c r="I597">
        <f>Tableau3[[#This Row],[GHG (kgCO2eq/GJ)]]*3.6</f>
        <v>10.627816236626808</v>
      </c>
      <c r="J597" t="s">
        <v>104</v>
      </c>
      <c r="K597" t="s">
        <v>108</v>
      </c>
    </row>
    <row r="598" spans="1:11" x14ac:dyDescent="0.3">
      <c r="A598" t="s">
        <v>33</v>
      </c>
      <c r="B598" t="s">
        <v>50</v>
      </c>
      <c r="C598" t="s">
        <v>73</v>
      </c>
      <c r="D598">
        <v>24.9</v>
      </c>
      <c r="E598">
        <f>Tableau3[[#This Row],[Potential (PJ)]]/3.6</f>
        <v>6.9166666666666661</v>
      </c>
      <c r="F598">
        <v>5.9115863453815258</v>
      </c>
      <c r="G598">
        <f>Tableau3[[#This Row],[Cost (€/GJ)]]*3.6</f>
        <v>21.281710843373492</v>
      </c>
      <c r="H598">
        <v>20.723404255319149</v>
      </c>
      <c r="I598">
        <f>Tableau3[[#This Row],[GHG (kgCO2eq/GJ)]]*3.6</f>
        <v>74.604255319148933</v>
      </c>
      <c r="J598" t="s">
        <v>105</v>
      </c>
      <c r="K598" t="s">
        <v>108</v>
      </c>
    </row>
    <row r="599" spans="1:11" x14ac:dyDescent="0.3">
      <c r="A599" t="s">
        <v>33</v>
      </c>
      <c r="B599" t="s">
        <v>50</v>
      </c>
      <c r="C599" t="s">
        <v>74</v>
      </c>
      <c r="D599">
        <v>23.6</v>
      </c>
      <c r="E599">
        <f>Tableau3[[#This Row],[Potential (PJ)]]/3.6</f>
        <v>6.5555555555555554</v>
      </c>
      <c r="F599">
        <v>6.3648305084745767</v>
      </c>
      <c r="G599">
        <f>Tableau3[[#This Row],[Cost (€/GJ)]]*3.6</f>
        <v>22.913389830508475</v>
      </c>
      <c r="H599">
        <v>2.0635593220338988</v>
      </c>
      <c r="I599">
        <f>Tableau3[[#This Row],[GHG (kgCO2eq/GJ)]]*3.6</f>
        <v>7.4288135593220357</v>
      </c>
      <c r="J599" t="s">
        <v>105</v>
      </c>
      <c r="K599" t="s">
        <v>108</v>
      </c>
    </row>
    <row r="600" spans="1:11" x14ac:dyDescent="0.3">
      <c r="A600" t="s">
        <v>33</v>
      </c>
      <c r="B600" t="s">
        <v>59</v>
      </c>
      <c r="C600" t="s">
        <v>97</v>
      </c>
      <c r="D600">
        <v>1.66E-2</v>
      </c>
      <c r="E600">
        <f>Tableau3[[#This Row],[Potential (PJ)]]/3.6</f>
        <v>4.611111111111111E-3</v>
      </c>
      <c r="F600">
        <v>20.2930005425936</v>
      </c>
      <c r="G600">
        <f>Tableau3[[#This Row],[Cost (€/GJ)]]*3.6</f>
        <v>73.054801953336963</v>
      </c>
      <c r="H600">
        <v>25.7</v>
      </c>
      <c r="I600">
        <f>Tableau3[[#This Row],[GHG (kgCO2eq/GJ)]]*3.6</f>
        <v>92.52</v>
      </c>
      <c r="J600" t="s">
        <v>107</v>
      </c>
      <c r="K600" t="s">
        <v>109</v>
      </c>
    </row>
    <row r="601" spans="1:11" x14ac:dyDescent="0.3">
      <c r="A601" t="s">
        <v>33</v>
      </c>
      <c r="B601" t="s">
        <v>51</v>
      </c>
      <c r="C601" t="s">
        <v>75</v>
      </c>
      <c r="D601">
        <v>42.138060000000003</v>
      </c>
      <c r="E601">
        <f>Tableau3[[#This Row],[Potential (PJ)]]/3.6</f>
        <v>11.705016666666667</v>
      </c>
      <c r="F601">
        <v>6.3853548620482106E-2</v>
      </c>
      <c r="G601">
        <f>Tableau3[[#This Row],[Cost (€/GJ)]]*3.6</f>
        <v>0.2298727750337356</v>
      </c>
      <c r="H601">
        <v>11.74</v>
      </c>
      <c r="I601">
        <f>Tableau3[[#This Row],[GHG (kgCO2eq/GJ)]]*3.6</f>
        <v>42.264000000000003</v>
      </c>
      <c r="J601" t="s">
        <v>104</v>
      </c>
      <c r="K601" t="s">
        <v>108</v>
      </c>
    </row>
    <row r="602" spans="1:11" x14ac:dyDescent="0.3">
      <c r="A602" t="s">
        <v>33</v>
      </c>
      <c r="B602" t="s">
        <v>60</v>
      </c>
      <c r="C602" t="s">
        <v>98</v>
      </c>
      <c r="D602">
        <v>9.4210000000000002E-2</v>
      </c>
      <c r="E602">
        <f>Tableau3[[#This Row],[Potential (PJ)]]/3.6</f>
        <v>2.6169444444444443E-2</v>
      </c>
      <c r="F602">
        <v>12.19119226638024</v>
      </c>
      <c r="G602">
        <f>Tableau3[[#This Row],[Cost (€/GJ)]]*3.6</f>
        <v>43.888292158968866</v>
      </c>
      <c r="H602">
        <v>61.8</v>
      </c>
      <c r="I602">
        <f>Tableau3[[#This Row],[GHG (kgCO2eq/GJ)]]*3.6</f>
        <v>222.48</v>
      </c>
      <c r="J602" t="s">
        <v>107</v>
      </c>
      <c r="K602" t="s">
        <v>109</v>
      </c>
    </row>
    <row r="603" spans="1:11" x14ac:dyDescent="0.3">
      <c r="A603" t="s">
        <v>33</v>
      </c>
      <c r="B603" t="s">
        <v>52</v>
      </c>
      <c r="C603" t="s">
        <v>76</v>
      </c>
      <c r="D603">
        <v>0.26900000000000002</v>
      </c>
      <c r="E603">
        <f>Tableau3[[#This Row],[Potential (PJ)]]/3.6</f>
        <v>7.4722222222222232E-2</v>
      </c>
      <c r="F603">
        <v>7.5037500000000001</v>
      </c>
      <c r="G603">
        <f>Tableau3[[#This Row],[Cost (€/GJ)]]*3.6</f>
        <v>27.013500000000001</v>
      </c>
      <c r="H603">
        <v>12.68872359754714</v>
      </c>
      <c r="I603">
        <f>Tableau3[[#This Row],[GHG (kgCO2eq/GJ)]]*3.6</f>
        <v>45.679404951169708</v>
      </c>
      <c r="J603" t="s">
        <v>105</v>
      </c>
      <c r="K603" t="s">
        <v>108</v>
      </c>
    </row>
    <row r="604" spans="1:11" x14ac:dyDescent="0.3">
      <c r="A604" t="s">
        <v>33</v>
      </c>
      <c r="B604" t="s">
        <v>53</v>
      </c>
      <c r="C604" t="s">
        <v>77</v>
      </c>
      <c r="D604">
        <v>0.60000000000000009</v>
      </c>
      <c r="E604">
        <f>Tableau3[[#This Row],[Potential (PJ)]]/3.6</f>
        <v>0.16666666666666669</v>
      </c>
      <c r="F604">
        <v>5.3193333333333328</v>
      </c>
      <c r="G604">
        <f>Tableau3[[#This Row],[Cost (€/GJ)]]*3.6</f>
        <v>19.1496</v>
      </c>
      <c r="H604">
        <v>3.86607608129234</v>
      </c>
      <c r="I604">
        <f>Tableau3[[#This Row],[GHG (kgCO2eq/GJ)]]*3.6</f>
        <v>13.917873892652425</v>
      </c>
      <c r="J604" t="s">
        <v>104</v>
      </c>
      <c r="K604" t="s">
        <v>108</v>
      </c>
    </row>
    <row r="605" spans="1:11" x14ac:dyDescent="0.3">
      <c r="A605" t="s">
        <v>33</v>
      </c>
      <c r="B605" t="s">
        <v>61</v>
      </c>
      <c r="C605" t="s">
        <v>99</v>
      </c>
      <c r="D605">
        <v>0.3</v>
      </c>
      <c r="E605">
        <f>Tableau3[[#This Row],[Potential (PJ)]]/3.6</f>
        <v>8.3333333333333329E-2</v>
      </c>
      <c r="F605">
        <v>2.3370000000000002</v>
      </c>
      <c r="G605">
        <f>Tableau3[[#This Row],[Cost (€/GJ)]]*3.6</f>
        <v>8.4132000000000016</v>
      </c>
      <c r="H605">
        <v>2.9245635910224439</v>
      </c>
      <c r="I605">
        <f>Tableau3[[#This Row],[GHG (kgCO2eq/GJ)]]*3.6</f>
        <v>10.528428927680798</v>
      </c>
      <c r="J605" t="s">
        <v>104</v>
      </c>
      <c r="K605" t="s">
        <v>108</v>
      </c>
    </row>
    <row r="606" spans="1:11" x14ac:dyDescent="0.3">
      <c r="A606" t="s">
        <v>33</v>
      </c>
      <c r="B606" t="s">
        <v>62</v>
      </c>
      <c r="C606" t="s">
        <v>100</v>
      </c>
      <c r="D606">
        <v>0.1</v>
      </c>
      <c r="E606">
        <f>Tableau3[[#This Row],[Potential (PJ)]]/3.6</f>
        <v>2.777777777777778E-2</v>
      </c>
      <c r="F606">
        <v>0.69999999999999984</v>
      </c>
      <c r="G606">
        <f>Tableau3[[#This Row],[Cost (€/GJ)]]*3.6</f>
        <v>2.5199999999999996</v>
      </c>
      <c r="H606">
        <v>2.6764106050305911</v>
      </c>
      <c r="I606">
        <f>Tableau3[[#This Row],[GHG (kgCO2eq/GJ)]]*3.6</f>
        <v>9.6350781781101276</v>
      </c>
      <c r="J606" t="s">
        <v>104</v>
      </c>
      <c r="K606" t="s">
        <v>108</v>
      </c>
    </row>
    <row r="607" spans="1:11" x14ac:dyDescent="0.3">
      <c r="A607" t="s">
        <v>33</v>
      </c>
      <c r="B607" t="s">
        <v>54</v>
      </c>
      <c r="C607" t="s">
        <v>78</v>
      </c>
      <c r="D607">
        <v>3.9</v>
      </c>
      <c r="E607">
        <f>Tableau3[[#This Row],[Potential (PJ)]]/3.6</f>
        <v>1.0833333333333333</v>
      </c>
      <c r="F607">
        <v>11.14030769230769</v>
      </c>
      <c r="G607">
        <f>Tableau3[[#This Row],[Cost (€/GJ)]]*3.6</f>
        <v>40.105107692307683</v>
      </c>
      <c r="H607">
        <v>3.86607608129234</v>
      </c>
      <c r="I607">
        <f>Tableau3[[#This Row],[GHG (kgCO2eq/GJ)]]*3.6</f>
        <v>13.917873892652425</v>
      </c>
      <c r="J607" t="s">
        <v>104</v>
      </c>
      <c r="K607" t="s">
        <v>108</v>
      </c>
    </row>
    <row r="608" spans="1:11" x14ac:dyDescent="0.3">
      <c r="A608" t="s">
        <v>34</v>
      </c>
      <c r="B608" t="s">
        <v>47</v>
      </c>
      <c r="C608" t="s">
        <v>101</v>
      </c>
      <c r="D608">
        <v>3.8</v>
      </c>
      <c r="E608">
        <f>Tableau3[[#This Row],[Potential (PJ)]]/3.6</f>
        <v>1.0555555555555556</v>
      </c>
      <c r="F608">
        <v>0</v>
      </c>
      <c r="G608">
        <f>Tableau3[[#This Row],[Cost (€/GJ)]]*3.6</f>
        <v>0</v>
      </c>
      <c r="H608">
        <v>0</v>
      </c>
      <c r="I608">
        <f>Tableau3[[#This Row],[GHG (kgCO2eq/GJ)]]*3.6</f>
        <v>0</v>
      </c>
      <c r="J608" t="s">
        <v>104</v>
      </c>
      <c r="K608" t="s">
        <v>109</v>
      </c>
    </row>
    <row r="609" spans="1:11" x14ac:dyDescent="0.3">
      <c r="A609" t="s">
        <v>34</v>
      </c>
      <c r="B609" t="s">
        <v>57</v>
      </c>
      <c r="C609" t="s">
        <v>94</v>
      </c>
      <c r="D609">
        <v>3.5</v>
      </c>
      <c r="E609">
        <f>Tableau3[[#This Row],[Potential (PJ)]]/3.6</f>
        <v>0.97222222222222221</v>
      </c>
      <c r="F609">
        <v>0</v>
      </c>
      <c r="G609">
        <f>Tableau3[[#This Row],[Cost (€/GJ)]]*3.6</f>
        <v>0</v>
      </c>
      <c r="H609">
        <v>0</v>
      </c>
      <c r="I609">
        <f>Tableau3[[#This Row],[GHG (kgCO2eq/GJ)]]*3.6</f>
        <v>0</v>
      </c>
      <c r="J609" t="s">
        <v>104</v>
      </c>
      <c r="K609" t="s">
        <v>109</v>
      </c>
    </row>
    <row r="610" spans="1:11" x14ac:dyDescent="0.3">
      <c r="A610" t="s">
        <v>34</v>
      </c>
      <c r="B610" t="s">
        <v>49</v>
      </c>
      <c r="C610" t="s">
        <v>71</v>
      </c>
      <c r="D610">
        <v>52.524270000000001</v>
      </c>
      <c r="E610">
        <f>Tableau3[[#This Row],[Potential (PJ)]]/3.6</f>
        <v>14.590075000000001</v>
      </c>
      <c r="F610">
        <v>5.3633207964622827</v>
      </c>
      <c r="G610">
        <f>Tableau3[[#This Row],[Cost (€/GJ)]]*3.6</f>
        <v>19.307954867264218</v>
      </c>
      <c r="H610">
        <v>3.86607608129234</v>
      </c>
      <c r="I610">
        <f>Tableau3[[#This Row],[GHG (kgCO2eq/GJ)]]*3.6</f>
        <v>13.917873892652425</v>
      </c>
      <c r="J610" t="s">
        <v>104</v>
      </c>
      <c r="K610" t="s">
        <v>108</v>
      </c>
    </row>
    <row r="611" spans="1:11" x14ac:dyDescent="0.3">
      <c r="A611" t="s">
        <v>34</v>
      </c>
      <c r="B611" t="s">
        <v>49</v>
      </c>
      <c r="C611" t="s">
        <v>72</v>
      </c>
      <c r="D611">
        <v>4.5</v>
      </c>
      <c r="E611">
        <f>Tableau3[[#This Row],[Potential (PJ)]]/3.6</f>
        <v>1.25</v>
      </c>
      <c r="F611">
        <v>4.2878666666666669</v>
      </c>
      <c r="G611">
        <f>Tableau3[[#This Row],[Cost (€/GJ)]]*3.6</f>
        <v>15.436320000000002</v>
      </c>
      <c r="H611">
        <v>3.86607608129234</v>
      </c>
      <c r="I611">
        <f>Tableau3[[#This Row],[GHG (kgCO2eq/GJ)]]*3.6</f>
        <v>13.917873892652425</v>
      </c>
      <c r="J611" t="s">
        <v>104</v>
      </c>
      <c r="K611" t="s">
        <v>108</v>
      </c>
    </row>
    <row r="612" spans="1:11" x14ac:dyDescent="0.3">
      <c r="A612" t="s">
        <v>34</v>
      </c>
      <c r="B612" t="s">
        <v>51</v>
      </c>
      <c r="C612" t="s">
        <v>75</v>
      </c>
      <c r="D612">
        <v>14.877000000000001</v>
      </c>
      <c r="E612">
        <f>Tableau3[[#This Row],[Potential (PJ)]]/3.6</f>
        <v>4.1325000000000003</v>
      </c>
      <c r="F612">
        <v>4.4741913074484796E-3</v>
      </c>
      <c r="G612">
        <f>Tableau3[[#This Row],[Cost (€/GJ)]]*3.6</f>
        <v>1.6107088706814526E-2</v>
      </c>
      <c r="H612">
        <v>11.74</v>
      </c>
      <c r="I612">
        <f>Tableau3[[#This Row],[GHG (kgCO2eq/GJ)]]*3.6</f>
        <v>42.264000000000003</v>
      </c>
      <c r="J612" t="s">
        <v>104</v>
      </c>
      <c r="K612" t="s">
        <v>108</v>
      </c>
    </row>
    <row r="613" spans="1:11" x14ac:dyDescent="0.3">
      <c r="A613" t="s">
        <v>34</v>
      </c>
      <c r="B613" t="s">
        <v>52</v>
      </c>
      <c r="C613" t="s">
        <v>76</v>
      </c>
      <c r="D613">
        <v>0.34699999999999998</v>
      </c>
      <c r="E613">
        <f>Tableau3[[#This Row],[Potential (PJ)]]/3.6</f>
        <v>9.6388888888888885E-2</v>
      </c>
      <c r="F613">
        <v>7.5037500000000001</v>
      </c>
      <c r="G613">
        <f>Tableau3[[#This Row],[Cost (€/GJ)]]*3.6</f>
        <v>27.013500000000001</v>
      </c>
      <c r="H613">
        <v>12.68872359754714</v>
      </c>
      <c r="I613">
        <f>Tableau3[[#This Row],[GHG (kgCO2eq/GJ)]]*3.6</f>
        <v>45.679404951169708</v>
      </c>
      <c r="J613" t="s">
        <v>105</v>
      </c>
      <c r="K613" t="s">
        <v>108</v>
      </c>
    </row>
    <row r="614" spans="1:11" x14ac:dyDescent="0.3">
      <c r="A614" t="s">
        <v>34</v>
      </c>
      <c r="B614" t="s">
        <v>53</v>
      </c>
      <c r="C614" t="s">
        <v>77</v>
      </c>
      <c r="D614">
        <v>5.2</v>
      </c>
      <c r="E614">
        <f>Tableau3[[#This Row],[Potential (PJ)]]/3.6</f>
        <v>1.4444444444444444</v>
      </c>
      <c r="F614">
        <v>4.2884423076923071</v>
      </c>
      <c r="G614">
        <f>Tableau3[[#This Row],[Cost (€/GJ)]]*3.6</f>
        <v>15.438392307692306</v>
      </c>
      <c r="H614">
        <v>3.86607608129234</v>
      </c>
      <c r="I614">
        <f>Tableau3[[#This Row],[GHG (kgCO2eq/GJ)]]*3.6</f>
        <v>13.917873892652425</v>
      </c>
      <c r="J614" t="s">
        <v>104</v>
      </c>
      <c r="K614" t="s">
        <v>108</v>
      </c>
    </row>
    <row r="615" spans="1:11" x14ac:dyDescent="0.3">
      <c r="A615" t="s">
        <v>34</v>
      </c>
      <c r="B615" t="s">
        <v>54</v>
      </c>
      <c r="C615" t="s">
        <v>78</v>
      </c>
      <c r="D615">
        <v>60.1</v>
      </c>
      <c r="E615">
        <f>Tableau3[[#This Row],[Potential (PJ)]]/3.6</f>
        <v>16.694444444444443</v>
      </c>
      <c r="F615">
        <v>8.892975041597337</v>
      </c>
      <c r="G615">
        <f>Tableau3[[#This Row],[Cost (€/GJ)]]*3.6</f>
        <v>32.014710149750414</v>
      </c>
      <c r="H615">
        <v>3.86607608129234</v>
      </c>
      <c r="I615">
        <f>Tableau3[[#This Row],[GHG (kgCO2eq/GJ)]]*3.6</f>
        <v>13.917873892652425</v>
      </c>
      <c r="J615" t="s">
        <v>104</v>
      </c>
      <c r="K615" t="s">
        <v>108</v>
      </c>
    </row>
    <row r="616" spans="1:11" x14ac:dyDescent="0.3">
      <c r="A616" t="s">
        <v>35</v>
      </c>
      <c r="B616" t="s">
        <v>46</v>
      </c>
      <c r="C616" t="s">
        <v>64</v>
      </c>
      <c r="D616">
        <v>1.41099</v>
      </c>
      <c r="E616">
        <f>Tableau3[[#This Row],[Potential (PJ)]]/3.6</f>
        <v>0.39194166666666663</v>
      </c>
      <c r="F616">
        <v>6.4875590401065928</v>
      </c>
      <c r="G616">
        <f>Tableau3[[#This Row],[Cost (€/GJ)]]*3.6</f>
        <v>23.355212544383736</v>
      </c>
      <c r="H616">
        <v>2.9521711768407801</v>
      </c>
      <c r="I616">
        <f>Tableau3[[#This Row],[GHG (kgCO2eq/GJ)]]*3.6</f>
        <v>10.627816236626808</v>
      </c>
      <c r="J616" t="s">
        <v>104</v>
      </c>
      <c r="K616" t="s">
        <v>108</v>
      </c>
    </row>
    <row r="617" spans="1:11" x14ac:dyDescent="0.3">
      <c r="A617" t="s">
        <v>35</v>
      </c>
      <c r="B617" t="s">
        <v>46</v>
      </c>
      <c r="C617" t="s">
        <v>79</v>
      </c>
      <c r="D617">
        <v>83.7</v>
      </c>
      <c r="E617">
        <f>Tableau3[[#This Row],[Potential (PJ)]]/3.6</f>
        <v>23.25</v>
      </c>
      <c r="F617">
        <v>3.0138733572281962</v>
      </c>
      <c r="G617">
        <f>Tableau3[[#This Row],[Cost (€/GJ)]]*3.6</f>
        <v>10.849944086021507</v>
      </c>
      <c r="H617">
        <v>6.8428961748633883</v>
      </c>
      <c r="I617">
        <f>Tableau3[[#This Row],[GHG (kgCO2eq/GJ)]]*3.6</f>
        <v>24.634426229508197</v>
      </c>
      <c r="J617" t="s">
        <v>104</v>
      </c>
      <c r="K617" t="s">
        <v>108</v>
      </c>
    </row>
    <row r="618" spans="1:11" x14ac:dyDescent="0.3">
      <c r="A618" t="s">
        <v>35</v>
      </c>
      <c r="B618" t="s">
        <v>46</v>
      </c>
      <c r="C618" t="s">
        <v>65</v>
      </c>
      <c r="D618">
        <v>1.6</v>
      </c>
      <c r="E618">
        <f>Tableau3[[#This Row],[Potential (PJ)]]/3.6</f>
        <v>0.44444444444444448</v>
      </c>
      <c r="F618">
        <v>4.8189374999999997</v>
      </c>
      <c r="G618">
        <f>Tableau3[[#This Row],[Cost (€/GJ)]]*3.6</f>
        <v>17.348174999999998</v>
      </c>
      <c r="H618">
        <v>2.9521711768407801</v>
      </c>
      <c r="I618">
        <f>Tableau3[[#This Row],[GHG (kgCO2eq/GJ)]]*3.6</f>
        <v>10.627816236626808</v>
      </c>
      <c r="J618" t="s">
        <v>104</v>
      </c>
      <c r="K618" t="s">
        <v>108</v>
      </c>
    </row>
    <row r="619" spans="1:11" x14ac:dyDescent="0.3">
      <c r="A619" t="s">
        <v>35</v>
      </c>
      <c r="B619" t="s">
        <v>46</v>
      </c>
      <c r="C619" t="s">
        <v>80</v>
      </c>
      <c r="D619">
        <v>1.01183</v>
      </c>
      <c r="E619">
        <f>Tableau3[[#This Row],[Potential (PJ)]]/3.6</f>
        <v>0.28106388888888889</v>
      </c>
      <c r="F619">
        <v>0.46459878624409978</v>
      </c>
      <c r="G619">
        <f>Tableau3[[#This Row],[Cost (€/GJ)]]*3.6</f>
        <v>1.6725556304787592</v>
      </c>
      <c r="H619">
        <v>28.139870918023309</v>
      </c>
      <c r="I619">
        <f>Tableau3[[#This Row],[GHG (kgCO2eq/GJ)]]*3.6</f>
        <v>101.30353530488391</v>
      </c>
      <c r="J619" t="s">
        <v>105</v>
      </c>
      <c r="K619" t="s">
        <v>108</v>
      </c>
    </row>
    <row r="620" spans="1:11" x14ac:dyDescent="0.3">
      <c r="A620" t="s">
        <v>35</v>
      </c>
      <c r="B620" t="s">
        <v>46</v>
      </c>
      <c r="C620" t="s">
        <v>81</v>
      </c>
      <c r="D620">
        <v>3.3110400000000002</v>
      </c>
      <c r="E620">
        <f>Tableau3[[#This Row],[Potential (PJ)]]/3.6</f>
        <v>0.9197333333333334</v>
      </c>
      <c r="F620">
        <v>0.69388954171562867</v>
      </c>
      <c r="G620">
        <f>Tableau3[[#This Row],[Cost (€/GJ)]]*3.6</f>
        <v>2.4980023501762632</v>
      </c>
      <c r="H620">
        <v>8.9647473560517046</v>
      </c>
      <c r="I620">
        <f>Tableau3[[#This Row],[GHG (kgCO2eq/GJ)]]*3.6</f>
        <v>32.273090481786134</v>
      </c>
      <c r="J620" t="s">
        <v>105</v>
      </c>
      <c r="K620" t="s">
        <v>108</v>
      </c>
    </row>
    <row r="621" spans="1:11" x14ac:dyDescent="0.3">
      <c r="A621" t="s">
        <v>35</v>
      </c>
      <c r="B621" t="s">
        <v>46</v>
      </c>
      <c r="C621" t="s">
        <v>66</v>
      </c>
      <c r="D621">
        <v>5.6000000000000014</v>
      </c>
      <c r="E621">
        <f>Tableau3[[#This Row],[Potential (PJ)]]/3.6</f>
        <v>1.5555555555555558</v>
      </c>
      <c r="F621">
        <v>3.109089285714286</v>
      </c>
      <c r="G621">
        <f>Tableau3[[#This Row],[Cost (€/GJ)]]*3.6</f>
        <v>11.19272142857143</v>
      </c>
      <c r="H621">
        <v>6.8428961748633883</v>
      </c>
      <c r="I621">
        <f>Tableau3[[#This Row],[GHG (kgCO2eq/GJ)]]*3.6</f>
        <v>24.634426229508197</v>
      </c>
      <c r="J621" t="s">
        <v>104</v>
      </c>
      <c r="K621" t="s">
        <v>108</v>
      </c>
    </row>
    <row r="622" spans="1:11" x14ac:dyDescent="0.3">
      <c r="A622" t="s">
        <v>35</v>
      </c>
      <c r="B622" t="s">
        <v>46</v>
      </c>
      <c r="C622" t="s">
        <v>82</v>
      </c>
      <c r="D622">
        <v>4.8</v>
      </c>
      <c r="E622">
        <f>Tableau3[[#This Row],[Potential (PJ)]]/3.6</f>
        <v>1.3333333333333333</v>
      </c>
      <c r="F622">
        <v>1.920708333333333</v>
      </c>
      <c r="G622">
        <f>Tableau3[[#This Row],[Cost (€/GJ)]]*3.6</f>
        <v>6.9145499999999993</v>
      </c>
      <c r="H622">
        <v>6.8428961748633883</v>
      </c>
      <c r="I622">
        <f>Tableau3[[#This Row],[GHG (kgCO2eq/GJ)]]*3.6</f>
        <v>24.634426229508197</v>
      </c>
      <c r="J622" t="s">
        <v>104</v>
      </c>
      <c r="K622" t="s">
        <v>108</v>
      </c>
    </row>
    <row r="623" spans="1:11" x14ac:dyDescent="0.3">
      <c r="A623" t="s">
        <v>35</v>
      </c>
      <c r="B623" t="s">
        <v>46</v>
      </c>
      <c r="C623" t="s">
        <v>84</v>
      </c>
      <c r="D623">
        <v>1.2</v>
      </c>
      <c r="E623">
        <f>Tableau3[[#This Row],[Potential (PJ)]]/3.6</f>
        <v>0.33333333333333331</v>
      </c>
      <c r="F623">
        <v>1.845666666666667</v>
      </c>
      <c r="G623">
        <f>Tableau3[[#This Row],[Cost (€/GJ)]]*3.6</f>
        <v>6.644400000000001</v>
      </c>
      <c r="H623">
        <v>28.139870918023309</v>
      </c>
      <c r="I623">
        <f>Tableau3[[#This Row],[GHG (kgCO2eq/GJ)]]*3.6</f>
        <v>101.30353530488391</v>
      </c>
      <c r="J623" t="s">
        <v>105</v>
      </c>
      <c r="K623" t="s">
        <v>108</v>
      </c>
    </row>
    <row r="624" spans="1:11" x14ac:dyDescent="0.3">
      <c r="A624" t="s">
        <v>35</v>
      </c>
      <c r="B624" t="s">
        <v>55</v>
      </c>
      <c r="C624" t="s">
        <v>86</v>
      </c>
      <c r="D624">
        <v>2.1977000000000002</v>
      </c>
      <c r="E624">
        <f>Tableau3[[#This Row],[Potential (PJ)]]/3.6</f>
        <v>0.6104722222222223</v>
      </c>
      <c r="F624">
        <v>9.7590000000000003</v>
      </c>
      <c r="G624">
        <f>Tableau3[[#This Row],[Cost (€/GJ)]]*3.6</f>
        <v>35.132400000000004</v>
      </c>
      <c r="H624">
        <v>12.6</v>
      </c>
      <c r="I624">
        <f>Tableau3[[#This Row],[GHG (kgCO2eq/GJ)]]*3.6</f>
        <v>45.36</v>
      </c>
      <c r="J624" t="s">
        <v>106</v>
      </c>
      <c r="K624" t="s">
        <v>109</v>
      </c>
    </row>
    <row r="625" spans="1:11" x14ac:dyDescent="0.3">
      <c r="A625" t="s">
        <v>35</v>
      </c>
      <c r="B625" t="s">
        <v>55</v>
      </c>
      <c r="C625" t="s">
        <v>88</v>
      </c>
      <c r="D625">
        <v>2.1255999999999999</v>
      </c>
      <c r="E625">
        <f>Tableau3[[#This Row],[Potential (PJ)]]/3.6</f>
        <v>0.59044444444444444</v>
      </c>
      <c r="F625">
        <v>10.297000000000001</v>
      </c>
      <c r="G625">
        <f>Tableau3[[#This Row],[Cost (€/GJ)]]*3.6</f>
        <v>37.069200000000002</v>
      </c>
      <c r="H625">
        <v>12.6</v>
      </c>
      <c r="I625">
        <f>Tableau3[[#This Row],[GHG (kgCO2eq/GJ)]]*3.6</f>
        <v>45.36</v>
      </c>
      <c r="J625" t="s">
        <v>106</v>
      </c>
      <c r="K625" t="s">
        <v>109</v>
      </c>
    </row>
    <row r="626" spans="1:11" x14ac:dyDescent="0.3">
      <c r="A626" t="s">
        <v>35</v>
      </c>
      <c r="B626" t="s">
        <v>55</v>
      </c>
      <c r="C626" t="s">
        <v>89</v>
      </c>
      <c r="D626">
        <v>5.6399999999999999E-2</v>
      </c>
      <c r="E626">
        <f>Tableau3[[#This Row],[Potential (PJ)]]/3.6</f>
        <v>1.5666666666666666E-2</v>
      </c>
      <c r="F626">
        <v>0</v>
      </c>
      <c r="G626">
        <f>Tableau3[[#This Row],[Cost (€/GJ)]]*3.6</f>
        <v>0</v>
      </c>
      <c r="H626">
        <v>12.6</v>
      </c>
      <c r="I626">
        <f>Tableau3[[#This Row],[GHG (kgCO2eq/GJ)]]*3.6</f>
        <v>45.36</v>
      </c>
      <c r="J626" t="s">
        <v>106</v>
      </c>
      <c r="K626" t="s">
        <v>109</v>
      </c>
    </row>
    <row r="627" spans="1:11" x14ac:dyDescent="0.3">
      <c r="A627" t="s">
        <v>35</v>
      </c>
      <c r="B627" t="s">
        <v>55</v>
      </c>
      <c r="C627" t="s">
        <v>90</v>
      </c>
      <c r="D627">
        <v>1.2123999999999999</v>
      </c>
      <c r="E627">
        <f>Tableau3[[#This Row],[Potential (PJ)]]/3.6</f>
        <v>0.33677777777777773</v>
      </c>
      <c r="F627">
        <v>10.423999999999999</v>
      </c>
      <c r="G627">
        <f>Tableau3[[#This Row],[Cost (€/GJ)]]*3.6</f>
        <v>37.526400000000002</v>
      </c>
      <c r="H627">
        <v>12.6</v>
      </c>
      <c r="I627">
        <f>Tableau3[[#This Row],[GHG (kgCO2eq/GJ)]]*3.6</f>
        <v>45.36</v>
      </c>
      <c r="J627" t="s">
        <v>106</v>
      </c>
      <c r="K627" t="s">
        <v>109</v>
      </c>
    </row>
    <row r="628" spans="1:11" x14ac:dyDescent="0.3">
      <c r="A628" t="s">
        <v>35</v>
      </c>
      <c r="B628" t="s">
        <v>55</v>
      </c>
      <c r="C628" t="s">
        <v>91</v>
      </c>
      <c r="D628">
        <v>3.7515999999999998</v>
      </c>
      <c r="E628">
        <f>Tableau3[[#This Row],[Potential (PJ)]]/3.6</f>
        <v>1.042111111111111</v>
      </c>
      <c r="F628">
        <v>8.9329999999999963</v>
      </c>
      <c r="G628">
        <f>Tableau3[[#This Row],[Cost (€/GJ)]]*3.6</f>
        <v>32.158799999999985</v>
      </c>
      <c r="H628">
        <v>12.6</v>
      </c>
      <c r="I628">
        <f>Tableau3[[#This Row],[GHG (kgCO2eq/GJ)]]*3.6</f>
        <v>45.36</v>
      </c>
      <c r="J628" t="s">
        <v>106</v>
      </c>
      <c r="K628" t="s">
        <v>109</v>
      </c>
    </row>
    <row r="629" spans="1:11" x14ac:dyDescent="0.3">
      <c r="A629" t="s">
        <v>35</v>
      </c>
      <c r="B629" t="s">
        <v>55</v>
      </c>
      <c r="C629" t="s">
        <v>92</v>
      </c>
      <c r="D629">
        <v>1.82101</v>
      </c>
      <c r="E629">
        <f>Tableau3[[#This Row],[Potential (PJ)]]/3.6</f>
        <v>0.50583611111111115</v>
      </c>
      <c r="F629">
        <v>10.840999999999999</v>
      </c>
      <c r="G629">
        <f>Tableau3[[#This Row],[Cost (€/GJ)]]*3.6</f>
        <v>39.0276</v>
      </c>
      <c r="H629">
        <v>12.6</v>
      </c>
      <c r="I629">
        <f>Tableau3[[#This Row],[GHG (kgCO2eq/GJ)]]*3.6</f>
        <v>45.36</v>
      </c>
      <c r="J629" t="s">
        <v>106</v>
      </c>
      <c r="K629" t="s">
        <v>109</v>
      </c>
    </row>
    <row r="630" spans="1:11" x14ac:dyDescent="0.3">
      <c r="A630" t="s">
        <v>35</v>
      </c>
      <c r="B630" t="s">
        <v>56</v>
      </c>
      <c r="C630" t="s">
        <v>93</v>
      </c>
      <c r="D630">
        <v>28.6905</v>
      </c>
      <c r="E630">
        <f>Tableau3[[#This Row],[Potential (PJ)]]/3.6</f>
        <v>7.9695833333333335</v>
      </c>
      <c r="F630">
        <v>2.9493975903614462</v>
      </c>
      <c r="G630">
        <f>Tableau3[[#This Row],[Cost (€/GJ)]]*3.6</f>
        <v>10.617831325301207</v>
      </c>
      <c r="H630">
        <v>29.5</v>
      </c>
      <c r="I630">
        <f>Tableau3[[#This Row],[GHG (kgCO2eq/GJ)]]*3.6</f>
        <v>106.2</v>
      </c>
      <c r="J630" t="s">
        <v>106</v>
      </c>
      <c r="K630" t="s">
        <v>109</v>
      </c>
    </row>
    <row r="631" spans="1:11" x14ac:dyDescent="0.3">
      <c r="A631" t="s">
        <v>35</v>
      </c>
      <c r="B631" t="s">
        <v>47</v>
      </c>
      <c r="C631" t="s">
        <v>101</v>
      </c>
      <c r="D631">
        <v>154.19999999999999</v>
      </c>
      <c r="E631">
        <f>Tableau3[[#This Row],[Potential (PJ)]]/3.6</f>
        <v>42.833333333333329</v>
      </c>
      <c r="F631">
        <v>4.1563858625162133</v>
      </c>
      <c r="G631">
        <f>Tableau3[[#This Row],[Cost (€/GJ)]]*3.6</f>
        <v>14.962989105058368</v>
      </c>
      <c r="H631">
        <v>43.8</v>
      </c>
      <c r="I631">
        <f>Tableau3[[#This Row],[GHG (kgCO2eq/GJ)]]*3.6</f>
        <v>157.68</v>
      </c>
      <c r="J631" t="s">
        <v>104</v>
      </c>
      <c r="K631" t="s">
        <v>109</v>
      </c>
    </row>
    <row r="632" spans="1:11" x14ac:dyDescent="0.3">
      <c r="A632" t="s">
        <v>35</v>
      </c>
      <c r="B632" t="s">
        <v>57</v>
      </c>
      <c r="C632" t="s">
        <v>94</v>
      </c>
      <c r="D632">
        <v>67.3</v>
      </c>
      <c r="E632">
        <f>Tableau3[[#This Row],[Potential (PJ)]]/3.6</f>
        <v>18.694444444444443</v>
      </c>
      <c r="F632">
        <v>8.9243001485884115</v>
      </c>
      <c r="G632">
        <f>Tableau3[[#This Row],[Cost (€/GJ)]]*3.6</f>
        <v>32.127480534918284</v>
      </c>
      <c r="H632">
        <v>19.8</v>
      </c>
      <c r="I632">
        <f>Tableau3[[#This Row],[GHG (kgCO2eq/GJ)]]*3.6</f>
        <v>71.28</v>
      </c>
      <c r="J632" t="s">
        <v>104</v>
      </c>
      <c r="K632" t="s">
        <v>109</v>
      </c>
    </row>
    <row r="633" spans="1:11" x14ac:dyDescent="0.3">
      <c r="A633" t="s">
        <v>35</v>
      </c>
      <c r="B633" t="s">
        <v>49</v>
      </c>
      <c r="C633" t="s">
        <v>71</v>
      </c>
      <c r="D633">
        <v>217.73679999999999</v>
      </c>
      <c r="E633">
        <f>Tableau3[[#This Row],[Potential (PJ)]]/3.6</f>
        <v>60.48244444444444</v>
      </c>
      <c r="F633">
        <v>3.211661610531614</v>
      </c>
      <c r="G633">
        <f>Tableau3[[#This Row],[Cost (€/GJ)]]*3.6</f>
        <v>11.561981797913811</v>
      </c>
      <c r="H633">
        <v>3.86607608129234</v>
      </c>
      <c r="I633">
        <f>Tableau3[[#This Row],[GHG (kgCO2eq/GJ)]]*3.6</f>
        <v>13.917873892652425</v>
      </c>
      <c r="J633" t="s">
        <v>104</v>
      </c>
      <c r="K633" t="s">
        <v>108</v>
      </c>
    </row>
    <row r="634" spans="1:11" x14ac:dyDescent="0.3">
      <c r="A634" t="s">
        <v>35</v>
      </c>
      <c r="B634" t="s">
        <v>49</v>
      </c>
      <c r="C634" t="s">
        <v>72</v>
      </c>
      <c r="D634">
        <v>10.7</v>
      </c>
      <c r="E634">
        <f>Tableau3[[#This Row],[Potential (PJ)]]/3.6</f>
        <v>2.9722222222222219</v>
      </c>
      <c r="F634">
        <v>4.3958411214953266</v>
      </c>
      <c r="G634">
        <f>Tableau3[[#This Row],[Cost (€/GJ)]]*3.6</f>
        <v>15.825028037383175</v>
      </c>
      <c r="H634">
        <v>3.86607608129234</v>
      </c>
      <c r="I634">
        <f>Tableau3[[#This Row],[GHG (kgCO2eq/GJ)]]*3.6</f>
        <v>13.917873892652425</v>
      </c>
      <c r="J634" t="s">
        <v>104</v>
      </c>
      <c r="K634" t="s">
        <v>108</v>
      </c>
    </row>
    <row r="635" spans="1:11" x14ac:dyDescent="0.3">
      <c r="A635" t="s">
        <v>35</v>
      </c>
      <c r="B635" t="s">
        <v>58</v>
      </c>
      <c r="C635" t="s">
        <v>95</v>
      </c>
      <c r="D635">
        <v>19.13157</v>
      </c>
      <c r="E635">
        <f>Tableau3[[#This Row],[Potential (PJ)]]/3.6</f>
        <v>5.3143250000000002</v>
      </c>
      <c r="F635">
        <v>3.3066689445769479</v>
      </c>
      <c r="G635">
        <f>Tableau3[[#This Row],[Cost (€/GJ)]]*3.6</f>
        <v>11.904008200477012</v>
      </c>
      <c r="H635">
        <v>2.9521711768407801</v>
      </c>
      <c r="I635">
        <f>Tableau3[[#This Row],[GHG (kgCO2eq/GJ)]]*3.6</f>
        <v>10.627816236626808</v>
      </c>
      <c r="J635" t="s">
        <v>104</v>
      </c>
      <c r="K635" t="s">
        <v>108</v>
      </c>
    </row>
    <row r="636" spans="1:11" x14ac:dyDescent="0.3">
      <c r="A636" t="s">
        <v>35</v>
      </c>
      <c r="B636" t="s">
        <v>50</v>
      </c>
      <c r="C636" t="s">
        <v>73</v>
      </c>
      <c r="D636">
        <v>4.5999999999999996</v>
      </c>
      <c r="E636">
        <f>Tableau3[[#This Row],[Potential (PJ)]]/3.6</f>
        <v>1.2777777777777777</v>
      </c>
      <c r="F636">
        <v>5.1069782608695657</v>
      </c>
      <c r="G636">
        <f>Tableau3[[#This Row],[Cost (€/GJ)]]*3.6</f>
        <v>18.385121739130437</v>
      </c>
      <c r="H636">
        <v>20.723404255319149</v>
      </c>
      <c r="I636">
        <f>Tableau3[[#This Row],[GHG (kgCO2eq/GJ)]]*3.6</f>
        <v>74.604255319148933</v>
      </c>
      <c r="J636" t="s">
        <v>105</v>
      </c>
      <c r="K636" t="s">
        <v>108</v>
      </c>
    </row>
    <row r="637" spans="1:11" x14ac:dyDescent="0.3">
      <c r="A637" t="s">
        <v>35</v>
      </c>
      <c r="B637" t="s">
        <v>50</v>
      </c>
      <c r="C637" t="s">
        <v>74</v>
      </c>
      <c r="D637">
        <v>65.8</v>
      </c>
      <c r="E637">
        <f>Tableau3[[#This Row],[Potential (PJ)]]/3.6</f>
        <v>18.277777777777775</v>
      </c>
      <c r="F637">
        <v>3.4827796352583591</v>
      </c>
      <c r="G637">
        <f>Tableau3[[#This Row],[Cost (€/GJ)]]*3.6</f>
        <v>12.538006686930093</v>
      </c>
      <c r="H637">
        <v>2.0635593220338988</v>
      </c>
      <c r="I637">
        <f>Tableau3[[#This Row],[GHG (kgCO2eq/GJ)]]*3.6</f>
        <v>7.4288135593220357</v>
      </c>
      <c r="J637" t="s">
        <v>105</v>
      </c>
      <c r="K637" t="s">
        <v>108</v>
      </c>
    </row>
    <row r="638" spans="1:11" x14ac:dyDescent="0.3">
      <c r="A638" t="s">
        <v>35</v>
      </c>
      <c r="B638" t="s">
        <v>59</v>
      </c>
      <c r="C638" t="s">
        <v>96</v>
      </c>
      <c r="D638">
        <v>9.8699999999999996E-2</v>
      </c>
      <c r="E638">
        <f>Tableau3[[#This Row],[Potential (PJ)]]/3.6</f>
        <v>2.7416666666666666E-2</v>
      </c>
      <c r="F638">
        <v>18.283000000000001</v>
      </c>
      <c r="G638">
        <f>Tableau3[[#This Row],[Cost (€/GJ)]]*3.6</f>
        <v>65.81880000000001</v>
      </c>
      <c r="H638">
        <v>19.100000000000001</v>
      </c>
      <c r="I638">
        <f>Tableau3[[#This Row],[GHG (kgCO2eq/GJ)]]*3.6</f>
        <v>68.760000000000005</v>
      </c>
      <c r="J638" t="s">
        <v>107</v>
      </c>
      <c r="K638" t="s">
        <v>109</v>
      </c>
    </row>
    <row r="639" spans="1:11" x14ac:dyDescent="0.3">
      <c r="A639" t="s">
        <v>35</v>
      </c>
      <c r="B639" t="s">
        <v>59</v>
      </c>
      <c r="C639" t="s">
        <v>97</v>
      </c>
      <c r="D639">
        <v>0.21859999999999999</v>
      </c>
      <c r="E639">
        <f>Tableau3[[#This Row],[Potential (PJ)]]/3.6</f>
        <v>6.0722222222222219E-2</v>
      </c>
      <c r="F639">
        <v>19.099294628323381</v>
      </c>
      <c r="G639">
        <f>Tableau3[[#This Row],[Cost (€/GJ)]]*3.6</f>
        <v>68.757460661964174</v>
      </c>
      <c r="H639">
        <v>19.100000000000001</v>
      </c>
      <c r="I639">
        <f>Tableau3[[#This Row],[GHG (kgCO2eq/GJ)]]*3.6</f>
        <v>68.760000000000005</v>
      </c>
      <c r="J639" t="s">
        <v>107</v>
      </c>
      <c r="K639" t="s">
        <v>109</v>
      </c>
    </row>
    <row r="640" spans="1:11" x14ac:dyDescent="0.3">
      <c r="A640" t="s">
        <v>35</v>
      </c>
      <c r="B640" t="s">
        <v>51</v>
      </c>
      <c r="C640" t="s">
        <v>75</v>
      </c>
      <c r="D640">
        <v>19.280850000000001</v>
      </c>
      <c r="E640">
        <f>Tableau3[[#This Row],[Potential (PJ)]]/3.6</f>
        <v>5.3557916666666667</v>
      </c>
      <c r="F640">
        <v>2.8569161742892099E-3</v>
      </c>
      <c r="G640">
        <f>Tableau3[[#This Row],[Cost (€/GJ)]]*3.6</f>
        <v>1.0284898227441157E-2</v>
      </c>
      <c r="H640">
        <v>11.74</v>
      </c>
      <c r="I640">
        <f>Tableau3[[#This Row],[GHG (kgCO2eq/GJ)]]*3.6</f>
        <v>42.264000000000003</v>
      </c>
      <c r="J640" t="s">
        <v>104</v>
      </c>
      <c r="K640" t="s">
        <v>108</v>
      </c>
    </row>
    <row r="641" spans="1:11" x14ac:dyDescent="0.3">
      <c r="A641" t="s">
        <v>35</v>
      </c>
      <c r="B641" t="s">
        <v>60</v>
      </c>
      <c r="C641" t="s">
        <v>98</v>
      </c>
      <c r="D641">
        <v>16.77102</v>
      </c>
      <c r="E641">
        <f>Tableau3[[#This Row],[Potential (PJ)]]/3.6</f>
        <v>4.6586166666666662</v>
      </c>
      <c r="F641">
        <v>16.165413533834581</v>
      </c>
      <c r="G641">
        <f>Tableau3[[#This Row],[Cost (€/GJ)]]*3.6</f>
        <v>58.195488721804495</v>
      </c>
      <c r="H641">
        <v>46</v>
      </c>
      <c r="I641">
        <f>Tableau3[[#This Row],[GHG (kgCO2eq/GJ)]]*3.6</f>
        <v>165.6</v>
      </c>
      <c r="J641" t="s">
        <v>107</v>
      </c>
      <c r="K641" t="s">
        <v>109</v>
      </c>
    </row>
    <row r="642" spans="1:11" x14ac:dyDescent="0.3">
      <c r="A642" t="s">
        <v>35</v>
      </c>
      <c r="B642" t="s">
        <v>52</v>
      </c>
      <c r="C642" t="s">
        <v>76</v>
      </c>
      <c r="D642">
        <v>0.76</v>
      </c>
      <c r="E642">
        <f>Tableau3[[#This Row],[Potential (PJ)]]/3.6</f>
        <v>0.21111111111111111</v>
      </c>
      <c r="F642">
        <v>7.5037500000000001</v>
      </c>
      <c r="G642">
        <f>Tableau3[[#This Row],[Cost (€/GJ)]]*3.6</f>
        <v>27.013500000000001</v>
      </c>
      <c r="H642">
        <v>12.68872359754714</v>
      </c>
      <c r="I642">
        <f>Tableau3[[#This Row],[GHG (kgCO2eq/GJ)]]*3.6</f>
        <v>45.679404951169708</v>
      </c>
      <c r="J642" t="s">
        <v>105</v>
      </c>
      <c r="K642" t="s">
        <v>108</v>
      </c>
    </row>
    <row r="643" spans="1:11" x14ac:dyDescent="0.3">
      <c r="A643" t="s">
        <v>35</v>
      </c>
      <c r="B643" t="s">
        <v>53</v>
      </c>
      <c r="C643" t="s">
        <v>77</v>
      </c>
      <c r="D643">
        <v>7.8999999999999986</v>
      </c>
      <c r="E643">
        <f>Tableau3[[#This Row],[Potential (PJ)]]/3.6</f>
        <v>2.1944444444444442</v>
      </c>
      <c r="F643">
        <v>4.3958481012658224</v>
      </c>
      <c r="G643">
        <f>Tableau3[[#This Row],[Cost (€/GJ)]]*3.6</f>
        <v>15.825053164556961</v>
      </c>
      <c r="H643">
        <v>3.86607608129234</v>
      </c>
      <c r="I643">
        <f>Tableau3[[#This Row],[GHG (kgCO2eq/GJ)]]*3.6</f>
        <v>13.917873892652425</v>
      </c>
      <c r="J643" t="s">
        <v>104</v>
      </c>
      <c r="K643" t="s">
        <v>108</v>
      </c>
    </row>
    <row r="644" spans="1:11" x14ac:dyDescent="0.3">
      <c r="A644" t="s">
        <v>35</v>
      </c>
      <c r="B644" t="s">
        <v>61</v>
      </c>
      <c r="C644" t="s">
        <v>99</v>
      </c>
      <c r="D644">
        <v>16.2</v>
      </c>
      <c r="E644">
        <f>Tableau3[[#This Row],[Potential (PJ)]]/3.6</f>
        <v>4.5</v>
      </c>
      <c r="F644">
        <v>1.594654320987654</v>
      </c>
      <c r="G644">
        <f>Tableau3[[#This Row],[Cost (€/GJ)]]*3.6</f>
        <v>5.7407555555555545</v>
      </c>
      <c r="H644">
        <v>2.9245635910224439</v>
      </c>
      <c r="I644">
        <f>Tableau3[[#This Row],[GHG (kgCO2eq/GJ)]]*3.6</f>
        <v>10.528428927680798</v>
      </c>
      <c r="J644" t="s">
        <v>104</v>
      </c>
      <c r="K644" t="s">
        <v>108</v>
      </c>
    </row>
    <row r="645" spans="1:11" x14ac:dyDescent="0.3">
      <c r="A645" t="s">
        <v>35</v>
      </c>
      <c r="B645" t="s">
        <v>62</v>
      </c>
      <c r="C645" t="s">
        <v>100</v>
      </c>
      <c r="D645">
        <v>2.6</v>
      </c>
      <c r="E645">
        <f>Tableau3[[#This Row],[Potential (PJ)]]/3.6</f>
        <v>0.72222222222222221</v>
      </c>
      <c r="F645">
        <v>0.10384615384615389</v>
      </c>
      <c r="G645">
        <f>Tableau3[[#This Row],[Cost (€/GJ)]]*3.6</f>
        <v>0.37384615384615405</v>
      </c>
      <c r="H645">
        <v>2.6764106050305911</v>
      </c>
      <c r="I645">
        <f>Tableau3[[#This Row],[GHG (kgCO2eq/GJ)]]*3.6</f>
        <v>9.6350781781101276</v>
      </c>
      <c r="J645" t="s">
        <v>104</v>
      </c>
      <c r="K645" t="s">
        <v>108</v>
      </c>
    </row>
    <row r="646" spans="1:11" x14ac:dyDescent="0.3">
      <c r="A646" t="s">
        <v>35</v>
      </c>
      <c r="B646" t="s">
        <v>54</v>
      </c>
      <c r="C646" t="s">
        <v>78</v>
      </c>
      <c r="D646">
        <v>162.5</v>
      </c>
      <c r="E646">
        <f>Tableau3[[#This Row],[Potential (PJ)]]/3.6</f>
        <v>45.138888888888886</v>
      </c>
      <c r="F646">
        <v>4.3216596923076924</v>
      </c>
      <c r="G646">
        <f>Tableau3[[#This Row],[Cost (€/GJ)]]*3.6</f>
        <v>15.557974892307692</v>
      </c>
      <c r="H646">
        <v>3.86607608129234</v>
      </c>
      <c r="I646">
        <f>Tableau3[[#This Row],[GHG (kgCO2eq/GJ)]]*3.6</f>
        <v>13.917873892652425</v>
      </c>
      <c r="J646" t="s">
        <v>104</v>
      </c>
      <c r="K646" t="s">
        <v>108</v>
      </c>
    </row>
    <row r="647" spans="1:11" x14ac:dyDescent="0.3">
      <c r="A647" t="s">
        <v>36</v>
      </c>
      <c r="B647" t="s">
        <v>46</v>
      </c>
      <c r="C647" t="s">
        <v>63</v>
      </c>
      <c r="D647">
        <v>0.79570000000000007</v>
      </c>
      <c r="E647">
        <f>Tableau3[[#This Row],[Potential (PJ)]]/3.6</f>
        <v>0.2210277777777778</v>
      </c>
      <c r="F647">
        <v>2.9286474973375931</v>
      </c>
      <c r="G647">
        <f>Tableau3[[#This Row],[Cost (€/GJ)]]*3.6</f>
        <v>10.543130990415335</v>
      </c>
      <c r="H647">
        <v>3.950479233226837</v>
      </c>
      <c r="I647">
        <f>Tableau3[[#This Row],[GHG (kgCO2eq/GJ)]]*3.6</f>
        <v>14.221725239616614</v>
      </c>
      <c r="J647" t="s">
        <v>104</v>
      </c>
      <c r="K647" t="s">
        <v>108</v>
      </c>
    </row>
    <row r="648" spans="1:11" x14ac:dyDescent="0.3">
      <c r="A648" t="s">
        <v>36</v>
      </c>
      <c r="B648" t="s">
        <v>46</v>
      </c>
      <c r="C648" t="s">
        <v>64</v>
      </c>
      <c r="D648">
        <v>0.16045000000000001</v>
      </c>
      <c r="E648">
        <f>Tableau3[[#This Row],[Potential (PJ)]]/3.6</f>
        <v>4.4569444444444446E-2</v>
      </c>
      <c r="F648">
        <v>6.733962293549391</v>
      </c>
      <c r="G648">
        <f>Tableau3[[#This Row],[Cost (€/GJ)]]*3.6</f>
        <v>24.242264256777808</v>
      </c>
      <c r="H648">
        <v>2.9521711768407801</v>
      </c>
      <c r="I648">
        <f>Tableau3[[#This Row],[GHG (kgCO2eq/GJ)]]*3.6</f>
        <v>10.627816236626808</v>
      </c>
      <c r="J648" t="s">
        <v>104</v>
      </c>
      <c r="K648" t="s">
        <v>108</v>
      </c>
    </row>
    <row r="649" spans="1:11" x14ac:dyDescent="0.3">
      <c r="A649" t="s">
        <v>36</v>
      </c>
      <c r="B649" t="s">
        <v>46</v>
      </c>
      <c r="C649" t="s">
        <v>65</v>
      </c>
      <c r="D649">
        <v>0.8</v>
      </c>
      <c r="E649">
        <f>Tableau3[[#This Row],[Potential (PJ)]]/3.6</f>
        <v>0.22222222222222224</v>
      </c>
      <c r="F649">
        <v>4.624625</v>
      </c>
      <c r="G649">
        <f>Tableau3[[#This Row],[Cost (€/GJ)]]*3.6</f>
        <v>16.64865</v>
      </c>
      <c r="H649">
        <v>2.9521711768407801</v>
      </c>
      <c r="I649">
        <f>Tableau3[[#This Row],[GHG (kgCO2eq/GJ)]]*3.6</f>
        <v>10.627816236626808</v>
      </c>
      <c r="J649" t="s">
        <v>104</v>
      </c>
      <c r="K649" t="s">
        <v>108</v>
      </c>
    </row>
    <row r="650" spans="1:11" x14ac:dyDescent="0.3">
      <c r="A650" t="s">
        <v>36</v>
      </c>
      <c r="B650" t="s">
        <v>46</v>
      </c>
      <c r="C650" t="s">
        <v>102</v>
      </c>
      <c r="D650">
        <v>0.2</v>
      </c>
      <c r="E650">
        <f>Tableau3[[#This Row],[Potential (PJ)]]/3.6</f>
        <v>5.5555555555555559E-2</v>
      </c>
      <c r="F650">
        <v>4.2569999999999997</v>
      </c>
      <c r="G650">
        <f>Tableau3[[#This Row],[Cost (€/GJ)]]*3.6</f>
        <v>15.325199999999999</v>
      </c>
      <c r="H650">
        <v>2.9521711768407801</v>
      </c>
      <c r="I650">
        <f>Tableau3[[#This Row],[GHG (kgCO2eq/GJ)]]*3.6</f>
        <v>10.627816236626808</v>
      </c>
      <c r="J650" t="s">
        <v>104</v>
      </c>
      <c r="K650" t="s">
        <v>108</v>
      </c>
    </row>
    <row r="651" spans="1:11" x14ac:dyDescent="0.3">
      <c r="A651" t="s">
        <v>36</v>
      </c>
      <c r="B651" t="s">
        <v>46</v>
      </c>
      <c r="C651" t="s">
        <v>80</v>
      </c>
      <c r="D651">
        <v>0.16880999999999999</v>
      </c>
      <c r="E651">
        <f>Tableau3[[#This Row],[Potential (PJ)]]/3.6</f>
        <v>4.6891666666666665E-2</v>
      </c>
      <c r="F651">
        <v>0.36952124072825349</v>
      </c>
      <c r="G651">
        <f>Tableau3[[#This Row],[Cost (€/GJ)]]*3.6</f>
        <v>1.3302764666217126</v>
      </c>
      <c r="H651">
        <v>28.139870918023309</v>
      </c>
      <c r="I651">
        <f>Tableau3[[#This Row],[GHG (kgCO2eq/GJ)]]*3.6</f>
        <v>101.30353530488391</v>
      </c>
      <c r="J651" t="s">
        <v>105</v>
      </c>
      <c r="K651" t="s">
        <v>108</v>
      </c>
    </row>
    <row r="652" spans="1:11" x14ac:dyDescent="0.3">
      <c r="A652" t="s">
        <v>36</v>
      </c>
      <c r="B652" t="s">
        <v>46</v>
      </c>
      <c r="C652" t="s">
        <v>81</v>
      </c>
      <c r="D652">
        <v>0.70121999999999995</v>
      </c>
      <c r="E652">
        <f>Tableau3[[#This Row],[Potential (PJ)]]/3.6</f>
        <v>0.19478333333333331</v>
      </c>
      <c r="F652">
        <v>1.463572267920094</v>
      </c>
      <c r="G652">
        <f>Tableau3[[#This Row],[Cost (€/GJ)]]*3.6</f>
        <v>5.2688601645123381</v>
      </c>
      <c r="H652">
        <v>8.9647473560517046</v>
      </c>
      <c r="I652">
        <f>Tableau3[[#This Row],[GHG (kgCO2eq/GJ)]]*3.6</f>
        <v>32.273090481786134</v>
      </c>
      <c r="J652" t="s">
        <v>105</v>
      </c>
      <c r="K652" t="s">
        <v>108</v>
      </c>
    </row>
    <row r="653" spans="1:11" x14ac:dyDescent="0.3">
      <c r="A653" t="s">
        <v>36</v>
      </c>
      <c r="B653" t="s">
        <v>46</v>
      </c>
      <c r="C653" t="s">
        <v>66</v>
      </c>
      <c r="D653">
        <v>0.8</v>
      </c>
      <c r="E653">
        <f>Tableau3[[#This Row],[Potential (PJ)]]/3.6</f>
        <v>0.22222222222222224</v>
      </c>
      <c r="F653">
        <v>2.7476250000000002</v>
      </c>
      <c r="G653">
        <f>Tableau3[[#This Row],[Cost (€/GJ)]]*3.6</f>
        <v>9.8914500000000007</v>
      </c>
      <c r="H653">
        <v>6.8428961748633883</v>
      </c>
      <c r="I653">
        <f>Tableau3[[#This Row],[GHG (kgCO2eq/GJ)]]*3.6</f>
        <v>24.634426229508197</v>
      </c>
      <c r="J653" t="s">
        <v>104</v>
      </c>
      <c r="K653" t="s">
        <v>108</v>
      </c>
    </row>
    <row r="654" spans="1:11" x14ac:dyDescent="0.3">
      <c r="A654" t="s">
        <v>36</v>
      </c>
      <c r="B654" t="s">
        <v>46</v>
      </c>
      <c r="C654" t="s">
        <v>67</v>
      </c>
      <c r="D654">
        <v>1.6</v>
      </c>
      <c r="E654">
        <f>Tableau3[[#This Row],[Potential (PJ)]]/3.6</f>
        <v>0.44444444444444448</v>
      </c>
      <c r="F654">
        <v>5.8242499999999993</v>
      </c>
      <c r="G654">
        <f>Tableau3[[#This Row],[Cost (€/GJ)]]*3.6</f>
        <v>20.967299999999998</v>
      </c>
      <c r="H654">
        <v>2.9521711768407801</v>
      </c>
      <c r="I654">
        <f>Tableau3[[#This Row],[GHG (kgCO2eq/GJ)]]*3.6</f>
        <v>10.627816236626808</v>
      </c>
      <c r="J654" t="s">
        <v>104</v>
      </c>
      <c r="K654" t="s">
        <v>108</v>
      </c>
    </row>
    <row r="655" spans="1:11" x14ac:dyDescent="0.3">
      <c r="A655" t="s">
        <v>36</v>
      </c>
      <c r="B655" t="s">
        <v>46</v>
      </c>
      <c r="C655" t="s">
        <v>82</v>
      </c>
      <c r="D655">
        <v>0.2</v>
      </c>
      <c r="E655">
        <f>Tableau3[[#This Row],[Potential (PJ)]]/3.6</f>
        <v>5.5555555555555559E-2</v>
      </c>
      <c r="F655">
        <v>1.724</v>
      </c>
      <c r="G655">
        <f>Tableau3[[#This Row],[Cost (€/GJ)]]*3.6</f>
        <v>6.2064000000000004</v>
      </c>
      <c r="H655">
        <v>6.8428961748633883</v>
      </c>
      <c r="I655">
        <f>Tableau3[[#This Row],[GHG (kgCO2eq/GJ)]]*3.6</f>
        <v>24.634426229508197</v>
      </c>
      <c r="J655" t="s">
        <v>104</v>
      </c>
      <c r="K655" t="s">
        <v>108</v>
      </c>
    </row>
    <row r="656" spans="1:11" x14ac:dyDescent="0.3">
      <c r="A656" t="s">
        <v>36</v>
      </c>
      <c r="B656" t="s">
        <v>46</v>
      </c>
      <c r="C656" t="s">
        <v>83</v>
      </c>
      <c r="D656">
        <v>0.63216000000000006</v>
      </c>
      <c r="E656">
        <f>Tableau3[[#This Row],[Potential (PJ)]]/3.6</f>
        <v>0.17560000000000001</v>
      </c>
      <c r="F656">
        <v>2.557966875474563</v>
      </c>
      <c r="G656">
        <f>Tableau3[[#This Row],[Cost (€/GJ)]]*3.6</f>
        <v>9.2086807517084264</v>
      </c>
      <c r="H656">
        <v>6.8428961748633883</v>
      </c>
      <c r="I656">
        <f>Tableau3[[#This Row],[GHG (kgCO2eq/GJ)]]*3.6</f>
        <v>24.634426229508197</v>
      </c>
      <c r="J656" t="s">
        <v>104</v>
      </c>
      <c r="K656" t="s">
        <v>108</v>
      </c>
    </row>
    <row r="657" spans="1:11" x14ac:dyDescent="0.3">
      <c r="A657" t="s">
        <v>36</v>
      </c>
      <c r="B657" t="s">
        <v>46</v>
      </c>
      <c r="C657" t="s">
        <v>85</v>
      </c>
      <c r="D657">
        <v>0.9</v>
      </c>
      <c r="E657">
        <f>Tableau3[[#This Row],[Potential (PJ)]]/3.6</f>
        <v>0.25</v>
      </c>
      <c r="F657">
        <v>3.8995555555555552</v>
      </c>
      <c r="G657">
        <f>Tableau3[[#This Row],[Cost (€/GJ)]]*3.6</f>
        <v>14.038399999999999</v>
      </c>
      <c r="H657">
        <v>2.9521711768407801</v>
      </c>
      <c r="I657">
        <f>Tableau3[[#This Row],[GHG (kgCO2eq/GJ)]]*3.6</f>
        <v>10.627816236626808</v>
      </c>
      <c r="J657" t="s">
        <v>104</v>
      </c>
      <c r="K657" t="s">
        <v>108</v>
      </c>
    </row>
    <row r="658" spans="1:11" x14ac:dyDescent="0.3">
      <c r="A658" t="s">
        <v>36</v>
      </c>
      <c r="B658" t="s">
        <v>55</v>
      </c>
      <c r="C658" t="s">
        <v>86</v>
      </c>
      <c r="D658">
        <v>6.0300000000000013E-2</v>
      </c>
      <c r="E658">
        <f>Tableau3[[#This Row],[Potential (PJ)]]/3.6</f>
        <v>1.6750000000000004E-2</v>
      </c>
      <c r="F658">
        <v>13.714</v>
      </c>
      <c r="G658">
        <f>Tableau3[[#This Row],[Cost (€/GJ)]]*3.6</f>
        <v>49.370400000000004</v>
      </c>
      <c r="H658">
        <v>22.9</v>
      </c>
      <c r="I658">
        <f>Tableau3[[#This Row],[GHG (kgCO2eq/GJ)]]*3.6</f>
        <v>82.44</v>
      </c>
      <c r="J658" t="s">
        <v>106</v>
      </c>
      <c r="K658" t="s">
        <v>109</v>
      </c>
    </row>
    <row r="659" spans="1:11" x14ac:dyDescent="0.3">
      <c r="A659" t="s">
        <v>36</v>
      </c>
      <c r="B659" t="s">
        <v>55</v>
      </c>
      <c r="C659" t="s">
        <v>88</v>
      </c>
      <c r="D659">
        <v>0.10340000000000001</v>
      </c>
      <c r="E659">
        <f>Tableau3[[#This Row],[Potential (PJ)]]/3.6</f>
        <v>2.8722222222222222E-2</v>
      </c>
      <c r="F659">
        <v>12.385</v>
      </c>
      <c r="G659">
        <f>Tableau3[[#This Row],[Cost (€/GJ)]]*3.6</f>
        <v>44.585999999999999</v>
      </c>
      <c r="H659">
        <v>22.9</v>
      </c>
      <c r="I659">
        <f>Tableau3[[#This Row],[GHG (kgCO2eq/GJ)]]*3.6</f>
        <v>82.44</v>
      </c>
      <c r="J659" t="s">
        <v>106</v>
      </c>
      <c r="K659" t="s">
        <v>109</v>
      </c>
    </row>
    <row r="660" spans="1:11" x14ac:dyDescent="0.3">
      <c r="A660" t="s">
        <v>36</v>
      </c>
      <c r="B660" t="s">
        <v>56</v>
      </c>
      <c r="C660" t="s">
        <v>93</v>
      </c>
      <c r="D660">
        <v>0.20169999999999999</v>
      </c>
      <c r="E660">
        <f>Tableau3[[#This Row],[Potential (PJ)]]/3.6</f>
        <v>5.6027777777777774E-2</v>
      </c>
      <c r="F660">
        <v>2.939759036144578</v>
      </c>
      <c r="G660">
        <f>Tableau3[[#This Row],[Cost (€/GJ)]]*3.6</f>
        <v>10.583132530120482</v>
      </c>
      <c r="H660">
        <v>26.7</v>
      </c>
      <c r="I660">
        <f>Tableau3[[#This Row],[GHG (kgCO2eq/GJ)]]*3.6</f>
        <v>96.12</v>
      </c>
      <c r="J660" t="s">
        <v>106</v>
      </c>
      <c r="K660" t="s">
        <v>109</v>
      </c>
    </row>
    <row r="661" spans="1:11" x14ac:dyDescent="0.3">
      <c r="A661" t="s">
        <v>36</v>
      </c>
      <c r="B661" t="s">
        <v>47</v>
      </c>
      <c r="C661" t="s">
        <v>68</v>
      </c>
      <c r="D661">
        <v>11.3</v>
      </c>
      <c r="E661">
        <f>Tableau3[[#This Row],[Potential (PJ)]]/3.6</f>
        <v>3.1388888888888888</v>
      </c>
      <c r="F661">
        <v>4.4438584070796461</v>
      </c>
      <c r="G661">
        <f>Tableau3[[#This Row],[Cost (€/GJ)]]*3.6</f>
        <v>15.997890265486726</v>
      </c>
      <c r="H661">
        <v>8.1</v>
      </c>
      <c r="I661">
        <f>Tableau3[[#This Row],[GHG (kgCO2eq/GJ)]]*3.6</f>
        <v>29.16</v>
      </c>
      <c r="J661" t="s">
        <v>104</v>
      </c>
      <c r="K661" t="s">
        <v>109</v>
      </c>
    </row>
    <row r="662" spans="1:11" x14ac:dyDescent="0.3">
      <c r="A662" t="s">
        <v>36</v>
      </c>
      <c r="B662" t="s">
        <v>47</v>
      </c>
      <c r="C662" t="s">
        <v>69</v>
      </c>
      <c r="D662">
        <v>6.7</v>
      </c>
      <c r="E662">
        <f>Tableau3[[#This Row],[Potential (PJ)]]/3.6</f>
        <v>1.8611111111111112</v>
      </c>
      <c r="F662">
        <v>4.8372537313432833</v>
      </c>
      <c r="G662">
        <f>Tableau3[[#This Row],[Cost (€/GJ)]]*3.6</f>
        <v>17.414113432835819</v>
      </c>
      <c r="H662">
        <v>8.1</v>
      </c>
      <c r="I662">
        <f>Tableau3[[#This Row],[GHG (kgCO2eq/GJ)]]*3.6</f>
        <v>29.16</v>
      </c>
      <c r="J662" t="s">
        <v>104</v>
      </c>
      <c r="K662" t="s">
        <v>109</v>
      </c>
    </row>
    <row r="663" spans="1:11" x14ac:dyDescent="0.3">
      <c r="A663" t="s">
        <v>36</v>
      </c>
      <c r="B663" t="s">
        <v>48</v>
      </c>
      <c r="C663" t="s">
        <v>70</v>
      </c>
      <c r="D663">
        <v>3</v>
      </c>
      <c r="E663">
        <f>Tableau3[[#This Row],[Potential (PJ)]]/3.6</f>
        <v>0.83333333333333326</v>
      </c>
      <c r="F663">
        <v>11.43173333333333</v>
      </c>
      <c r="G663">
        <f>Tableau3[[#This Row],[Cost (€/GJ)]]*3.6</f>
        <v>41.154239999999987</v>
      </c>
      <c r="H663">
        <v>0</v>
      </c>
      <c r="I663">
        <f>Tableau3[[#This Row],[GHG (kgCO2eq/GJ)]]*3.6</f>
        <v>0</v>
      </c>
      <c r="J663" t="s">
        <v>104</v>
      </c>
      <c r="K663" t="s">
        <v>109</v>
      </c>
    </row>
    <row r="664" spans="1:11" x14ac:dyDescent="0.3">
      <c r="A664" t="s">
        <v>36</v>
      </c>
      <c r="B664" t="s">
        <v>49</v>
      </c>
      <c r="C664" t="s">
        <v>71</v>
      </c>
      <c r="D664">
        <v>52.020359999999997</v>
      </c>
      <c r="E664">
        <f>Tableau3[[#This Row],[Potential (PJ)]]/3.6</f>
        <v>14.450099999999999</v>
      </c>
      <c r="F664">
        <v>6.0922498942721646</v>
      </c>
      <c r="G664">
        <f>Tableau3[[#This Row],[Cost (€/GJ)]]*3.6</f>
        <v>21.932099619379795</v>
      </c>
      <c r="H664">
        <v>3.86607608129234</v>
      </c>
      <c r="I664">
        <f>Tableau3[[#This Row],[GHG (kgCO2eq/GJ)]]*3.6</f>
        <v>13.917873892652425</v>
      </c>
      <c r="J664" t="s">
        <v>104</v>
      </c>
      <c r="K664" t="s">
        <v>108</v>
      </c>
    </row>
    <row r="665" spans="1:11" x14ac:dyDescent="0.3">
      <c r="A665" t="s">
        <v>36</v>
      </c>
      <c r="B665" t="s">
        <v>49</v>
      </c>
      <c r="C665" t="s">
        <v>72</v>
      </c>
      <c r="D665">
        <v>1.4</v>
      </c>
      <c r="E665">
        <f>Tableau3[[#This Row],[Potential (PJ)]]/3.6</f>
        <v>0.38888888888888884</v>
      </c>
      <c r="F665">
        <v>4.879428571428571</v>
      </c>
      <c r="G665">
        <f>Tableau3[[#This Row],[Cost (€/GJ)]]*3.6</f>
        <v>17.565942857142858</v>
      </c>
      <c r="H665">
        <v>3.86607608129234</v>
      </c>
      <c r="I665">
        <f>Tableau3[[#This Row],[GHG (kgCO2eq/GJ)]]*3.6</f>
        <v>13.917873892652425</v>
      </c>
      <c r="J665" t="s">
        <v>104</v>
      </c>
      <c r="K665" t="s">
        <v>108</v>
      </c>
    </row>
    <row r="666" spans="1:11" x14ac:dyDescent="0.3">
      <c r="A666" t="s">
        <v>36</v>
      </c>
      <c r="B666" t="s">
        <v>58</v>
      </c>
      <c r="C666" t="s">
        <v>95</v>
      </c>
      <c r="D666">
        <v>5.46617</v>
      </c>
      <c r="E666">
        <f>Tableau3[[#This Row],[Potential (PJ)]]/3.6</f>
        <v>1.5183805555555554</v>
      </c>
      <c r="F666">
        <v>2.7820749061957462</v>
      </c>
      <c r="G666">
        <f>Tableau3[[#This Row],[Cost (€/GJ)]]*3.6</f>
        <v>10.015469662304687</v>
      </c>
      <c r="H666">
        <v>2.9521711768407801</v>
      </c>
      <c r="I666">
        <f>Tableau3[[#This Row],[GHG (kgCO2eq/GJ)]]*3.6</f>
        <v>10.627816236626808</v>
      </c>
      <c r="J666" t="s">
        <v>104</v>
      </c>
      <c r="K666" t="s">
        <v>108</v>
      </c>
    </row>
    <row r="667" spans="1:11" x14ac:dyDescent="0.3">
      <c r="A667" t="s">
        <v>36</v>
      </c>
      <c r="B667" t="s">
        <v>50</v>
      </c>
      <c r="C667" t="s">
        <v>73</v>
      </c>
      <c r="D667">
        <v>2.1</v>
      </c>
      <c r="E667">
        <f>Tableau3[[#This Row],[Potential (PJ)]]/3.6</f>
        <v>0.58333333333333337</v>
      </c>
      <c r="F667">
        <v>5.0688571428571434</v>
      </c>
      <c r="G667">
        <f>Tableau3[[#This Row],[Cost (€/GJ)]]*3.6</f>
        <v>18.247885714285715</v>
      </c>
      <c r="H667">
        <v>20.723404255319149</v>
      </c>
      <c r="I667">
        <f>Tableau3[[#This Row],[GHG (kgCO2eq/GJ)]]*3.6</f>
        <v>74.604255319148933</v>
      </c>
      <c r="J667" t="s">
        <v>105</v>
      </c>
      <c r="K667" t="s">
        <v>108</v>
      </c>
    </row>
    <row r="668" spans="1:11" x14ac:dyDescent="0.3">
      <c r="A668" t="s">
        <v>36</v>
      </c>
      <c r="B668" t="s">
        <v>50</v>
      </c>
      <c r="C668" t="s">
        <v>74</v>
      </c>
      <c r="D668">
        <v>19.600000000000001</v>
      </c>
      <c r="E668">
        <f>Tableau3[[#This Row],[Potential (PJ)]]/3.6</f>
        <v>5.4444444444444446</v>
      </c>
      <c r="F668">
        <v>3.7764489795918359</v>
      </c>
      <c r="G668">
        <f>Tableau3[[#This Row],[Cost (€/GJ)]]*3.6</f>
        <v>13.595216326530609</v>
      </c>
      <c r="H668">
        <v>2.0635593220338988</v>
      </c>
      <c r="I668">
        <f>Tableau3[[#This Row],[GHG (kgCO2eq/GJ)]]*3.6</f>
        <v>7.4288135593220357</v>
      </c>
      <c r="J668" t="s">
        <v>105</v>
      </c>
      <c r="K668" t="s">
        <v>108</v>
      </c>
    </row>
    <row r="669" spans="1:11" x14ac:dyDescent="0.3">
      <c r="A669" t="s">
        <v>36</v>
      </c>
      <c r="B669" t="s">
        <v>59</v>
      </c>
      <c r="C669" t="s">
        <v>97</v>
      </c>
      <c r="D669">
        <v>1.0636000000000001</v>
      </c>
      <c r="E669">
        <f>Tableau3[[#This Row],[Potential (PJ)]]/3.6</f>
        <v>0.29544444444444445</v>
      </c>
      <c r="F669">
        <v>36.353771025501899</v>
      </c>
      <c r="G669">
        <f>Tableau3[[#This Row],[Cost (€/GJ)]]*3.6</f>
        <v>130.87357569180685</v>
      </c>
      <c r="H669">
        <v>36.299999999999997</v>
      </c>
      <c r="I669">
        <f>Tableau3[[#This Row],[GHG (kgCO2eq/GJ)]]*3.6</f>
        <v>130.68</v>
      </c>
      <c r="J669" t="s">
        <v>107</v>
      </c>
      <c r="K669" t="s">
        <v>109</v>
      </c>
    </row>
    <row r="670" spans="1:11" x14ac:dyDescent="0.3">
      <c r="A670" t="s">
        <v>36</v>
      </c>
      <c r="B670" t="s">
        <v>51</v>
      </c>
      <c r="C670" t="s">
        <v>75</v>
      </c>
      <c r="D670">
        <v>9.758737</v>
      </c>
      <c r="E670">
        <f>Tableau3[[#This Row],[Potential (PJ)]]/3.6</f>
        <v>2.7107602777777777</v>
      </c>
      <c r="F670">
        <v>5.1580642379240003E-3</v>
      </c>
      <c r="G670">
        <f>Tableau3[[#This Row],[Cost (€/GJ)]]*3.6</f>
        <v>1.8569031256526401E-2</v>
      </c>
      <c r="H670">
        <v>11.74</v>
      </c>
      <c r="I670">
        <f>Tableau3[[#This Row],[GHG (kgCO2eq/GJ)]]*3.6</f>
        <v>42.264000000000003</v>
      </c>
      <c r="J670" t="s">
        <v>104</v>
      </c>
      <c r="K670" t="s">
        <v>108</v>
      </c>
    </row>
    <row r="671" spans="1:11" x14ac:dyDescent="0.3">
      <c r="A671" t="s">
        <v>36</v>
      </c>
      <c r="B671" t="s">
        <v>52</v>
      </c>
      <c r="C671" t="s">
        <v>76</v>
      </c>
      <c r="D671">
        <v>0.38800000000000001</v>
      </c>
      <c r="E671">
        <f>Tableau3[[#This Row],[Potential (PJ)]]/3.6</f>
        <v>0.10777777777777778</v>
      </c>
      <c r="F671">
        <v>7.5037500000000001</v>
      </c>
      <c r="G671">
        <f>Tableau3[[#This Row],[Cost (€/GJ)]]*3.6</f>
        <v>27.013500000000001</v>
      </c>
      <c r="H671">
        <v>12.68872359754714</v>
      </c>
      <c r="I671">
        <f>Tableau3[[#This Row],[GHG (kgCO2eq/GJ)]]*3.6</f>
        <v>45.679404951169708</v>
      </c>
      <c r="J671" t="s">
        <v>105</v>
      </c>
      <c r="K671" t="s">
        <v>108</v>
      </c>
    </row>
    <row r="672" spans="1:11" x14ac:dyDescent="0.3">
      <c r="A672" t="s">
        <v>36</v>
      </c>
      <c r="B672" t="s">
        <v>53</v>
      </c>
      <c r="C672" t="s">
        <v>77</v>
      </c>
      <c r="D672">
        <v>0.9</v>
      </c>
      <c r="E672">
        <f>Tableau3[[#This Row],[Potential (PJ)]]/3.6</f>
        <v>0.25</v>
      </c>
      <c r="F672">
        <v>4.8794444444444443</v>
      </c>
      <c r="G672">
        <f>Tableau3[[#This Row],[Cost (€/GJ)]]*3.6</f>
        <v>17.565999999999999</v>
      </c>
      <c r="H672">
        <v>3.86607608129234</v>
      </c>
      <c r="I672">
        <f>Tableau3[[#This Row],[GHG (kgCO2eq/GJ)]]*3.6</f>
        <v>13.917873892652425</v>
      </c>
      <c r="J672" t="s">
        <v>104</v>
      </c>
      <c r="K672" t="s">
        <v>108</v>
      </c>
    </row>
    <row r="673" spans="1:11" x14ac:dyDescent="0.3">
      <c r="A673" t="s">
        <v>36</v>
      </c>
      <c r="B673" t="s">
        <v>61</v>
      </c>
      <c r="C673" t="s">
        <v>99</v>
      </c>
      <c r="D673">
        <v>4.4000000000000004</v>
      </c>
      <c r="E673">
        <f>Tableau3[[#This Row],[Potential (PJ)]]/3.6</f>
        <v>1.2222222222222223</v>
      </c>
      <c r="F673">
        <v>2.2590454545454541</v>
      </c>
      <c r="G673">
        <f>Tableau3[[#This Row],[Cost (€/GJ)]]*3.6</f>
        <v>8.1325636363636349</v>
      </c>
      <c r="H673">
        <v>2.9245635910224439</v>
      </c>
      <c r="I673">
        <f>Tableau3[[#This Row],[GHG (kgCO2eq/GJ)]]*3.6</f>
        <v>10.528428927680798</v>
      </c>
      <c r="J673" t="s">
        <v>104</v>
      </c>
      <c r="K673" t="s">
        <v>108</v>
      </c>
    </row>
    <row r="674" spans="1:11" x14ac:dyDescent="0.3">
      <c r="A674" t="s">
        <v>36</v>
      </c>
      <c r="B674" t="s">
        <v>62</v>
      </c>
      <c r="C674" t="s">
        <v>100</v>
      </c>
      <c r="D674">
        <v>1</v>
      </c>
      <c r="E674">
        <f>Tableau3[[#This Row],[Potential (PJ)]]/3.6</f>
        <v>0.27777777777777779</v>
      </c>
      <c r="F674">
        <v>0.96000000000000008</v>
      </c>
      <c r="G674">
        <f>Tableau3[[#This Row],[Cost (€/GJ)]]*3.6</f>
        <v>3.4560000000000004</v>
      </c>
      <c r="H674">
        <v>2.6764106050305911</v>
      </c>
      <c r="I674">
        <f>Tableau3[[#This Row],[GHG (kgCO2eq/GJ)]]*3.6</f>
        <v>9.6350781781101276</v>
      </c>
      <c r="J674" t="s">
        <v>104</v>
      </c>
      <c r="K674" t="s">
        <v>108</v>
      </c>
    </row>
    <row r="675" spans="1:11" x14ac:dyDescent="0.3">
      <c r="A675" t="s">
        <v>36</v>
      </c>
      <c r="B675" t="s">
        <v>54</v>
      </c>
      <c r="C675" t="s">
        <v>78</v>
      </c>
      <c r="D675">
        <v>30.7</v>
      </c>
      <c r="E675">
        <f>Tableau3[[#This Row],[Potential (PJ)]]/3.6</f>
        <v>8.5277777777777768</v>
      </c>
      <c r="F675">
        <v>10.301358306188931</v>
      </c>
      <c r="G675">
        <f>Tableau3[[#This Row],[Cost (€/GJ)]]*3.6</f>
        <v>37.084889902280153</v>
      </c>
      <c r="H675">
        <v>3.86607608129234</v>
      </c>
      <c r="I675">
        <f>Tableau3[[#This Row],[GHG (kgCO2eq/GJ)]]*3.6</f>
        <v>13.917873892652425</v>
      </c>
      <c r="J675" t="s">
        <v>104</v>
      </c>
      <c r="K675" t="s">
        <v>108</v>
      </c>
    </row>
    <row r="676" spans="1:11" x14ac:dyDescent="0.3">
      <c r="A676" t="s">
        <v>37</v>
      </c>
      <c r="B676" t="s">
        <v>46</v>
      </c>
      <c r="C676" t="s">
        <v>64</v>
      </c>
      <c r="D676">
        <v>0.43578</v>
      </c>
      <c r="E676">
        <f>Tableau3[[#This Row],[Potential (PJ)]]/3.6</f>
        <v>0.12104999999999999</v>
      </c>
      <c r="F676">
        <v>5.1728203221809164</v>
      </c>
      <c r="G676">
        <f>Tableau3[[#This Row],[Cost (€/GJ)]]*3.6</f>
        <v>18.622153159851301</v>
      </c>
      <c r="H676">
        <v>2.9521711768407801</v>
      </c>
      <c r="I676">
        <f>Tableau3[[#This Row],[GHG (kgCO2eq/GJ)]]*3.6</f>
        <v>10.627816236626808</v>
      </c>
      <c r="J676" t="s">
        <v>104</v>
      </c>
      <c r="K676" t="s">
        <v>108</v>
      </c>
    </row>
    <row r="677" spans="1:11" x14ac:dyDescent="0.3">
      <c r="A677" t="s">
        <v>37</v>
      </c>
      <c r="B677" t="s">
        <v>46</v>
      </c>
      <c r="C677" t="s">
        <v>79</v>
      </c>
      <c r="D677">
        <v>22.6</v>
      </c>
      <c r="E677">
        <f>Tableau3[[#This Row],[Potential (PJ)]]/3.6</f>
        <v>6.2777777777777777</v>
      </c>
      <c r="F677">
        <v>3.0820840707964599</v>
      </c>
      <c r="G677">
        <f>Tableau3[[#This Row],[Cost (€/GJ)]]*3.6</f>
        <v>11.095502654867255</v>
      </c>
      <c r="H677">
        <v>6.8428961748633883</v>
      </c>
      <c r="I677">
        <f>Tableau3[[#This Row],[GHG (kgCO2eq/GJ)]]*3.6</f>
        <v>24.634426229508197</v>
      </c>
      <c r="J677" t="s">
        <v>104</v>
      </c>
      <c r="K677" t="s">
        <v>108</v>
      </c>
    </row>
    <row r="678" spans="1:11" x14ac:dyDescent="0.3">
      <c r="A678" t="s">
        <v>37</v>
      </c>
      <c r="B678" t="s">
        <v>46</v>
      </c>
      <c r="C678" t="s">
        <v>65</v>
      </c>
      <c r="D678">
        <v>0.70000000000000007</v>
      </c>
      <c r="E678">
        <f>Tableau3[[#This Row],[Potential (PJ)]]/3.6</f>
        <v>0.19444444444444445</v>
      </c>
      <c r="F678">
        <v>4.1480000000000006</v>
      </c>
      <c r="G678">
        <f>Tableau3[[#This Row],[Cost (€/GJ)]]*3.6</f>
        <v>14.932800000000002</v>
      </c>
      <c r="H678">
        <v>2.9521711768407801</v>
      </c>
      <c r="I678">
        <f>Tableau3[[#This Row],[GHG (kgCO2eq/GJ)]]*3.6</f>
        <v>10.627816236626808</v>
      </c>
      <c r="J678" t="s">
        <v>104</v>
      </c>
      <c r="K678" t="s">
        <v>108</v>
      </c>
    </row>
    <row r="679" spans="1:11" x14ac:dyDescent="0.3">
      <c r="A679" t="s">
        <v>37</v>
      </c>
      <c r="B679" t="s">
        <v>46</v>
      </c>
      <c r="C679" t="s">
        <v>80</v>
      </c>
      <c r="D679">
        <v>0.90429000000000004</v>
      </c>
      <c r="E679">
        <f>Tableau3[[#This Row],[Potential (PJ)]]/3.6</f>
        <v>0.25119166666666665</v>
      </c>
      <c r="F679">
        <v>1.7687120701281189</v>
      </c>
      <c r="G679">
        <f>Tableau3[[#This Row],[Cost (€/GJ)]]*3.6</f>
        <v>6.3673634524612286</v>
      </c>
      <c r="H679">
        <v>28.139870918023309</v>
      </c>
      <c r="I679">
        <f>Tableau3[[#This Row],[GHG (kgCO2eq/GJ)]]*3.6</f>
        <v>101.30353530488391</v>
      </c>
      <c r="J679" t="s">
        <v>105</v>
      </c>
      <c r="K679" t="s">
        <v>108</v>
      </c>
    </row>
    <row r="680" spans="1:11" x14ac:dyDescent="0.3">
      <c r="A680" t="s">
        <v>37</v>
      </c>
      <c r="B680" t="s">
        <v>46</v>
      </c>
      <c r="C680" t="s">
        <v>81</v>
      </c>
      <c r="D680">
        <v>0.81179000000000001</v>
      </c>
      <c r="E680">
        <f>Tableau3[[#This Row],[Potential (PJ)]]/3.6</f>
        <v>0.22549722222222221</v>
      </c>
      <c r="F680">
        <v>3.96180963572268</v>
      </c>
      <c r="G680">
        <f>Tableau3[[#This Row],[Cost (€/GJ)]]*3.6</f>
        <v>14.262514688601648</v>
      </c>
      <c r="H680">
        <v>8.9647473560517046</v>
      </c>
      <c r="I680">
        <f>Tableau3[[#This Row],[GHG (kgCO2eq/GJ)]]*3.6</f>
        <v>32.273090481786134</v>
      </c>
      <c r="J680" t="s">
        <v>105</v>
      </c>
      <c r="K680" t="s">
        <v>108</v>
      </c>
    </row>
    <row r="681" spans="1:11" x14ac:dyDescent="0.3">
      <c r="A681" t="s">
        <v>37</v>
      </c>
      <c r="B681" t="s">
        <v>46</v>
      </c>
      <c r="C681" t="s">
        <v>66</v>
      </c>
      <c r="D681">
        <v>19.100000000000001</v>
      </c>
      <c r="E681">
        <f>Tableau3[[#This Row],[Potential (PJ)]]/3.6</f>
        <v>5.3055555555555562</v>
      </c>
      <c r="F681">
        <v>3.180916230366492</v>
      </c>
      <c r="G681">
        <f>Tableau3[[#This Row],[Cost (€/GJ)]]*3.6</f>
        <v>11.451298429319371</v>
      </c>
      <c r="H681">
        <v>6.8428961748633883</v>
      </c>
      <c r="I681">
        <f>Tableau3[[#This Row],[GHG (kgCO2eq/GJ)]]*3.6</f>
        <v>24.634426229508197</v>
      </c>
      <c r="J681" t="s">
        <v>104</v>
      </c>
      <c r="K681" t="s">
        <v>108</v>
      </c>
    </row>
    <row r="682" spans="1:11" x14ac:dyDescent="0.3">
      <c r="A682" t="s">
        <v>37</v>
      </c>
      <c r="B682" t="s">
        <v>46</v>
      </c>
      <c r="C682" t="s">
        <v>82</v>
      </c>
      <c r="D682">
        <v>8.3000000000000007</v>
      </c>
      <c r="E682">
        <f>Tableau3[[#This Row],[Potential (PJ)]]/3.6</f>
        <v>2.3055555555555558</v>
      </c>
      <c r="F682">
        <v>1.949686746987952</v>
      </c>
      <c r="G682">
        <f>Tableau3[[#This Row],[Cost (€/GJ)]]*3.6</f>
        <v>7.0188722891566275</v>
      </c>
      <c r="H682">
        <v>6.8428961748633883</v>
      </c>
      <c r="I682">
        <f>Tableau3[[#This Row],[GHG (kgCO2eq/GJ)]]*3.6</f>
        <v>24.634426229508197</v>
      </c>
      <c r="J682" t="s">
        <v>104</v>
      </c>
      <c r="K682" t="s">
        <v>108</v>
      </c>
    </row>
    <row r="683" spans="1:11" x14ac:dyDescent="0.3">
      <c r="A683" t="s">
        <v>37</v>
      </c>
      <c r="B683" t="s">
        <v>46</v>
      </c>
      <c r="C683" t="s">
        <v>83</v>
      </c>
      <c r="D683">
        <v>0.20005000000000001</v>
      </c>
      <c r="E683">
        <f>Tableau3[[#This Row],[Potential (PJ)]]/3.6</f>
        <v>5.5569444444444442E-2</v>
      </c>
      <c r="F683">
        <v>2.7254909272681829</v>
      </c>
      <c r="G683">
        <f>Tableau3[[#This Row],[Cost (€/GJ)]]*3.6</f>
        <v>9.811767338165458</v>
      </c>
      <c r="H683">
        <v>6.8428961748633883</v>
      </c>
      <c r="I683">
        <f>Tableau3[[#This Row],[GHG (kgCO2eq/GJ)]]*3.6</f>
        <v>24.634426229508197</v>
      </c>
      <c r="J683" t="s">
        <v>104</v>
      </c>
      <c r="K683" t="s">
        <v>108</v>
      </c>
    </row>
    <row r="684" spans="1:11" x14ac:dyDescent="0.3">
      <c r="A684" t="s">
        <v>37</v>
      </c>
      <c r="B684" t="s">
        <v>46</v>
      </c>
      <c r="C684" t="s">
        <v>84</v>
      </c>
      <c r="D684">
        <v>0.4</v>
      </c>
      <c r="E684">
        <f>Tableau3[[#This Row],[Potential (PJ)]]/3.6</f>
        <v>0.11111111111111112</v>
      </c>
      <c r="F684">
        <v>1.7795000000000001</v>
      </c>
      <c r="G684">
        <f>Tableau3[[#This Row],[Cost (€/GJ)]]*3.6</f>
        <v>6.4062000000000001</v>
      </c>
      <c r="H684">
        <v>28.139870918023309</v>
      </c>
      <c r="I684">
        <f>Tableau3[[#This Row],[GHG (kgCO2eq/GJ)]]*3.6</f>
        <v>101.30353530488391</v>
      </c>
      <c r="J684" t="s">
        <v>105</v>
      </c>
      <c r="K684" t="s">
        <v>108</v>
      </c>
    </row>
    <row r="685" spans="1:11" x14ac:dyDescent="0.3">
      <c r="A685" t="s">
        <v>37</v>
      </c>
      <c r="B685" t="s">
        <v>46</v>
      </c>
      <c r="C685" t="s">
        <v>85</v>
      </c>
      <c r="D685">
        <v>1</v>
      </c>
      <c r="E685">
        <f>Tableau3[[#This Row],[Potential (PJ)]]/3.6</f>
        <v>0.27777777777777779</v>
      </c>
      <c r="F685">
        <v>3.5350000000000001</v>
      </c>
      <c r="G685">
        <f>Tableau3[[#This Row],[Cost (€/GJ)]]*3.6</f>
        <v>12.726000000000001</v>
      </c>
      <c r="H685">
        <v>2.9521711768407801</v>
      </c>
      <c r="I685">
        <f>Tableau3[[#This Row],[GHG (kgCO2eq/GJ)]]*3.6</f>
        <v>10.627816236626808</v>
      </c>
      <c r="J685" t="s">
        <v>104</v>
      </c>
      <c r="K685" t="s">
        <v>108</v>
      </c>
    </row>
    <row r="686" spans="1:11" x14ac:dyDescent="0.3">
      <c r="A686" t="s">
        <v>37</v>
      </c>
      <c r="B686" t="s">
        <v>55</v>
      </c>
      <c r="C686" t="s">
        <v>86</v>
      </c>
      <c r="D686">
        <v>1.8662000000000001</v>
      </c>
      <c r="E686">
        <f>Tableau3[[#This Row],[Potential (PJ)]]/3.6</f>
        <v>0.5183888888888889</v>
      </c>
      <c r="F686">
        <v>13.375</v>
      </c>
      <c r="G686">
        <f>Tableau3[[#This Row],[Cost (€/GJ)]]*3.6</f>
        <v>48.15</v>
      </c>
      <c r="H686">
        <v>8.6999999999999993</v>
      </c>
      <c r="I686">
        <f>Tableau3[[#This Row],[GHG (kgCO2eq/GJ)]]*3.6</f>
        <v>31.319999999999997</v>
      </c>
      <c r="J686" t="s">
        <v>106</v>
      </c>
      <c r="K686" t="s">
        <v>109</v>
      </c>
    </row>
    <row r="687" spans="1:11" x14ac:dyDescent="0.3">
      <c r="A687" t="s">
        <v>37</v>
      </c>
      <c r="B687" t="s">
        <v>55</v>
      </c>
      <c r="C687" t="s">
        <v>87</v>
      </c>
      <c r="D687">
        <v>0.1318</v>
      </c>
      <c r="E687">
        <f>Tableau3[[#This Row],[Potential (PJ)]]/3.6</f>
        <v>3.6611111111111108E-2</v>
      </c>
      <c r="F687">
        <v>12.215999999999999</v>
      </c>
      <c r="G687">
        <f>Tableau3[[#This Row],[Cost (€/GJ)]]*3.6</f>
        <v>43.977599999999995</v>
      </c>
      <c r="H687">
        <v>8.6999999999999993</v>
      </c>
      <c r="I687">
        <f>Tableau3[[#This Row],[GHG (kgCO2eq/GJ)]]*3.6</f>
        <v>31.319999999999997</v>
      </c>
      <c r="J687" t="s">
        <v>106</v>
      </c>
      <c r="K687" t="s">
        <v>109</v>
      </c>
    </row>
    <row r="688" spans="1:11" x14ac:dyDescent="0.3">
      <c r="A688" t="s">
        <v>37</v>
      </c>
      <c r="B688" t="s">
        <v>55</v>
      </c>
      <c r="C688" t="s">
        <v>88</v>
      </c>
      <c r="D688">
        <v>13.992000000000001</v>
      </c>
      <c r="E688">
        <f>Tableau3[[#This Row],[Potential (PJ)]]/3.6</f>
        <v>3.8866666666666667</v>
      </c>
      <c r="F688">
        <v>17.085000000000001</v>
      </c>
      <c r="G688">
        <f>Tableau3[[#This Row],[Cost (€/GJ)]]*3.6</f>
        <v>61.506000000000007</v>
      </c>
      <c r="H688">
        <v>8.6999999999999993</v>
      </c>
      <c r="I688">
        <f>Tableau3[[#This Row],[GHG (kgCO2eq/GJ)]]*3.6</f>
        <v>31.319999999999997</v>
      </c>
      <c r="J688" t="s">
        <v>106</v>
      </c>
      <c r="K688" t="s">
        <v>109</v>
      </c>
    </row>
    <row r="689" spans="1:11" x14ac:dyDescent="0.3">
      <c r="A689" t="s">
        <v>37</v>
      </c>
      <c r="B689" t="s">
        <v>55</v>
      </c>
      <c r="C689" t="s">
        <v>89</v>
      </c>
      <c r="D689">
        <v>5.0000000000000001E-3</v>
      </c>
      <c r="E689">
        <f>Tableau3[[#This Row],[Potential (PJ)]]/3.6</f>
        <v>1.3888888888888889E-3</v>
      </c>
      <c r="F689">
        <v>0</v>
      </c>
      <c r="G689">
        <f>Tableau3[[#This Row],[Cost (€/GJ)]]*3.6</f>
        <v>0</v>
      </c>
      <c r="H689">
        <v>8.6999999999999993</v>
      </c>
      <c r="I689">
        <f>Tableau3[[#This Row],[GHG (kgCO2eq/GJ)]]*3.6</f>
        <v>31.319999999999997</v>
      </c>
      <c r="J689" t="s">
        <v>106</v>
      </c>
      <c r="K689" t="s">
        <v>109</v>
      </c>
    </row>
    <row r="690" spans="1:11" x14ac:dyDescent="0.3">
      <c r="A690" t="s">
        <v>37</v>
      </c>
      <c r="B690" t="s">
        <v>55</v>
      </c>
      <c r="C690" t="s">
        <v>92</v>
      </c>
      <c r="D690">
        <v>1.8106800000000001</v>
      </c>
      <c r="E690">
        <f>Tableau3[[#This Row],[Potential (PJ)]]/3.6</f>
        <v>0.50296666666666667</v>
      </c>
      <c r="F690">
        <v>12.215999999999999</v>
      </c>
      <c r="G690">
        <f>Tableau3[[#This Row],[Cost (€/GJ)]]*3.6</f>
        <v>43.977599999999995</v>
      </c>
      <c r="H690">
        <v>8.6999999999999993</v>
      </c>
      <c r="I690">
        <f>Tableau3[[#This Row],[GHG (kgCO2eq/GJ)]]*3.6</f>
        <v>31.319999999999997</v>
      </c>
      <c r="J690" t="s">
        <v>106</v>
      </c>
      <c r="K690" t="s">
        <v>109</v>
      </c>
    </row>
    <row r="691" spans="1:11" x14ac:dyDescent="0.3">
      <c r="A691" t="s">
        <v>37</v>
      </c>
      <c r="B691" t="s">
        <v>56</v>
      </c>
      <c r="C691" t="s">
        <v>93</v>
      </c>
      <c r="D691">
        <v>9.8986999999999998</v>
      </c>
      <c r="E691">
        <f>Tableau3[[#This Row],[Potential (PJ)]]/3.6</f>
        <v>2.7496388888888887</v>
      </c>
      <c r="F691">
        <v>2.9493975903614462</v>
      </c>
      <c r="G691">
        <f>Tableau3[[#This Row],[Cost (€/GJ)]]*3.6</f>
        <v>10.617831325301207</v>
      </c>
      <c r="H691">
        <v>34</v>
      </c>
      <c r="I691">
        <f>Tableau3[[#This Row],[GHG (kgCO2eq/GJ)]]*3.6</f>
        <v>122.4</v>
      </c>
      <c r="J691" t="s">
        <v>106</v>
      </c>
      <c r="K691" t="s">
        <v>109</v>
      </c>
    </row>
    <row r="692" spans="1:11" x14ac:dyDescent="0.3">
      <c r="A692" t="s">
        <v>37</v>
      </c>
      <c r="B692" t="s">
        <v>47</v>
      </c>
      <c r="C692" t="s">
        <v>68</v>
      </c>
      <c r="D692">
        <v>132.5</v>
      </c>
      <c r="E692">
        <f>Tableau3[[#This Row],[Potential (PJ)]]/3.6</f>
        <v>36.805555555555557</v>
      </c>
      <c r="F692">
        <v>2.7542203773584908</v>
      </c>
      <c r="G692">
        <f>Tableau3[[#This Row],[Cost (€/GJ)]]*3.6</f>
        <v>9.9151933584905674</v>
      </c>
      <c r="H692">
        <v>16.600000000000001</v>
      </c>
      <c r="I692">
        <f>Tableau3[[#This Row],[GHG (kgCO2eq/GJ)]]*3.6</f>
        <v>59.760000000000005</v>
      </c>
      <c r="J692" t="s">
        <v>104</v>
      </c>
      <c r="K692" t="s">
        <v>109</v>
      </c>
    </row>
    <row r="693" spans="1:11" x14ac:dyDescent="0.3">
      <c r="A693" t="s">
        <v>37</v>
      </c>
      <c r="B693" t="s">
        <v>47</v>
      </c>
      <c r="C693" t="s">
        <v>69</v>
      </c>
      <c r="D693">
        <v>134.6</v>
      </c>
      <c r="E693">
        <f>Tableau3[[#This Row],[Potential (PJ)]]/3.6</f>
        <v>37.388888888888886</v>
      </c>
      <c r="F693">
        <v>2.4823335809806841</v>
      </c>
      <c r="G693">
        <f>Tableau3[[#This Row],[Cost (€/GJ)]]*3.6</f>
        <v>8.9364008915304627</v>
      </c>
      <c r="H693">
        <v>16.600000000000001</v>
      </c>
      <c r="I693">
        <f>Tableau3[[#This Row],[GHG (kgCO2eq/GJ)]]*3.6</f>
        <v>59.760000000000005</v>
      </c>
      <c r="J693" t="s">
        <v>104</v>
      </c>
      <c r="K693" t="s">
        <v>109</v>
      </c>
    </row>
    <row r="694" spans="1:11" x14ac:dyDescent="0.3">
      <c r="A694" t="s">
        <v>37</v>
      </c>
      <c r="B694" t="s">
        <v>57</v>
      </c>
      <c r="C694" t="s">
        <v>94</v>
      </c>
      <c r="D694">
        <v>62.2</v>
      </c>
      <c r="E694">
        <f>Tableau3[[#This Row],[Potential (PJ)]]/3.6</f>
        <v>17.277777777777779</v>
      </c>
      <c r="F694">
        <v>6.8249887459807077</v>
      </c>
      <c r="G694">
        <f>Tableau3[[#This Row],[Cost (€/GJ)]]*3.6</f>
        <v>24.56995948553055</v>
      </c>
      <c r="H694">
        <v>16.600000000000001</v>
      </c>
      <c r="I694">
        <f>Tableau3[[#This Row],[GHG (kgCO2eq/GJ)]]*3.6</f>
        <v>59.760000000000005</v>
      </c>
      <c r="J694" t="s">
        <v>104</v>
      </c>
      <c r="K694" t="s">
        <v>109</v>
      </c>
    </row>
    <row r="695" spans="1:11" x14ac:dyDescent="0.3">
      <c r="A695" t="s">
        <v>37</v>
      </c>
      <c r="B695" t="s">
        <v>49</v>
      </c>
      <c r="C695" t="s">
        <v>71</v>
      </c>
      <c r="D695">
        <v>144.04221999999999</v>
      </c>
      <c r="E695">
        <f>Tableau3[[#This Row],[Potential (PJ)]]/3.6</f>
        <v>40.011727777777772</v>
      </c>
      <c r="F695">
        <v>2.577438991220768</v>
      </c>
      <c r="G695">
        <f>Tableau3[[#This Row],[Cost (€/GJ)]]*3.6</f>
        <v>9.2787803683947647</v>
      </c>
      <c r="H695">
        <v>3.86607608129234</v>
      </c>
      <c r="I695">
        <f>Tableau3[[#This Row],[GHG (kgCO2eq/GJ)]]*3.6</f>
        <v>13.917873892652425</v>
      </c>
      <c r="J695" t="s">
        <v>104</v>
      </c>
      <c r="K695" t="s">
        <v>108</v>
      </c>
    </row>
    <row r="696" spans="1:11" x14ac:dyDescent="0.3">
      <c r="A696" t="s">
        <v>37</v>
      </c>
      <c r="B696" t="s">
        <v>49</v>
      </c>
      <c r="C696" t="s">
        <v>72</v>
      </c>
      <c r="D696">
        <v>8.6999999999999993</v>
      </c>
      <c r="E696">
        <f>Tableau3[[#This Row],[Potential (PJ)]]/3.6</f>
        <v>2.4166666666666665</v>
      </c>
      <c r="F696">
        <v>3.5121724137931039</v>
      </c>
      <c r="G696">
        <f>Tableau3[[#This Row],[Cost (€/GJ)]]*3.6</f>
        <v>12.643820689655174</v>
      </c>
      <c r="H696">
        <v>3.86607608129234</v>
      </c>
      <c r="I696">
        <f>Tableau3[[#This Row],[GHG (kgCO2eq/GJ)]]*3.6</f>
        <v>13.917873892652425</v>
      </c>
      <c r="J696" t="s">
        <v>104</v>
      </c>
      <c r="K696" t="s">
        <v>108</v>
      </c>
    </row>
    <row r="697" spans="1:11" x14ac:dyDescent="0.3">
      <c r="A697" t="s">
        <v>37</v>
      </c>
      <c r="B697" t="s">
        <v>58</v>
      </c>
      <c r="C697" t="s">
        <v>95</v>
      </c>
      <c r="D697">
        <v>20.141729999999999</v>
      </c>
      <c r="E697">
        <f>Tableau3[[#This Row],[Potential (PJ)]]/3.6</f>
        <v>5.5949249999999999</v>
      </c>
      <c r="F697">
        <v>2.98</v>
      </c>
      <c r="G697">
        <f>Tableau3[[#This Row],[Cost (€/GJ)]]*3.6</f>
        <v>10.728</v>
      </c>
      <c r="H697">
        <v>2.9521711768407801</v>
      </c>
      <c r="I697">
        <f>Tableau3[[#This Row],[GHG (kgCO2eq/GJ)]]*3.6</f>
        <v>10.627816236626808</v>
      </c>
      <c r="J697" t="s">
        <v>104</v>
      </c>
      <c r="K697" t="s">
        <v>108</v>
      </c>
    </row>
    <row r="698" spans="1:11" x14ac:dyDescent="0.3">
      <c r="A698" t="s">
        <v>37</v>
      </c>
      <c r="B698" t="s">
        <v>50</v>
      </c>
      <c r="C698" t="s">
        <v>73</v>
      </c>
      <c r="D698">
        <v>3.4</v>
      </c>
      <c r="E698">
        <f>Tableau3[[#This Row],[Potential (PJ)]]/3.6</f>
        <v>0.94444444444444442</v>
      </c>
      <c r="F698">
        <v>4.9504411764705871</v>
      </c>
      <c r="G698">
        <f>Tableau3[[#This Row],[Cost (€/GJ)]]*3.6</f>
        <v>17.821588235294115</v>
      </c>
      <c r="H698">
        <v>20.723404255319149</v>
      </c>
      <c r="I698">
        <f>Tableau3[[#This Row],[GHG (kgCO2eq/GJ)]]*3.6</f>
        <v>74.604255319148933</v>
      </c>
      <c r="J698" t="s">
        <v>105</v>
      </c>
      <c r="K698" t="s">
        <v>108</v>
      </c>
    </row>
    <row r="699" spans="1:11" x14ac:dyDescent="0.3">
      <c r="A699" t="s">
        <v>37</v>
      </c>
      <c r="B699" t="s">
        <v>50</v>
      </c>
      <c r="C699" t="s">
        <v>74</v>
      </c>
      <c r="D699">
        <v>19.399999999999999</v>
      </c>
      <c r="E699">
        <f>Tableau3[[#This Row],[Potential (PJ)]]/3.6</f>
        <v>5.3888888888888884</v>
      </c>
      <c r="F699">
        <v>3.2383144329896911</v>
      </c>
      <c r="G699">
        <f>Tableau3[[#This Row],[Cost (€/GJ)]]*3.6</f>
        <v>11.657931958762889</v>
      </c>
      <c r="H699">
        <v>2.0635593220338988</v>
      </c>
      <c r="I699">
        <f>Tableau3[[#This Row],[GHG (kgCO2eq/GJ)]]*3.6</f>
        <v>7.4288135593220357</v>
      </c>
      <c r="J699" t="s">
        <v>105</v>
      </c>
      <c r="K699" t="s">
        <v>108</v>
      </c>
    </row>
    <row r="700" spans="1:11" x14ac:dyDescent="0.3">
      <c r="A700" t="s">
        <v>37</v>
      </c>
      <c r="B700" t="s">
        <v>59</v>
      </c>
      <c r="C700" t="s">
        <v>96</v>
      </c>
      <c r="D700">
        <v>2.0007000000000001</v>
      </c>
      <c r="E700">
        <f>Tableau3[[#This Row],[Potential (PJ)]]/3.6</f>
        <v>0.55575000000000008</v>
      </c>
      <c r="F700">
        <v>19.170999999999999</v>
      </c>
      <c r="G700">
        <f>Tableau3[[#This Row],[Cost (€/GJ)]]*3.6</f>
        <v>69.015600000000006</v>
      </c>
      <c r="H700">
        <v>7.2</v>
      </c>
      <c r="I700">
        <f>Tableau3[[#This Row],[GHG (kgCO2eq/GJ)]]*3.6</f>
        <v>25.92</v>
      </c>
      <c r="J700" t="s">
        <v>107</v>
      </c>
      <c r="K700" t="s">
        <v>109</v>
      </c>
    </row>
    <row r="701" spans="1:11" x14ac:dyDescent="0.3">
      <c r="A701" t="s">
        <v>37</v>
      </c>
      <c r="B701" t="s">
        <v>59</v>
      </c>
      <c r="C701" t="s">
        <v>97</v>
      </c>
      <c r="D701">
        <v>2.9916999999999998</v>
      </c>
      <c r="E701">
        <f>Tableau3[[#This Row],[Potential (PJ)]]/3.6</f>
        <v>0.8310277777777777</v>
      </c>
      <c r="F701">
        <v>15.95225176342919</v>
      </c>
      <c r="G701">
        <f>Tableau3[[#This Row],[Cost (€/GJ)]]*3.6</f>
        <v>57.428106348345089</v>
      </c>
      <c r="H701">
        <v>7.2</v>
      </c>
      <c r="I701">
        <f>Tableau3[[#This Row],[GHG (kgCO2eq/GJ)]]*3.6</f>
        <v>25.92</v>
      </c>
      <c r="J701" t="s">
        <v>107</v>
      </c>
      <c r="K701" t="s">
        <v>109</v>
      </c>
    </row>
    <row r="702" spans="1:11" x14ac:dyDescent="0.3">
      <c r="A702" t="s">
        <v>37</v>
      </c>
      <c r="B702" t="s">
        <v>51</v>
      </c>
      <c r="C702" t="s">
        <v>75</v>
      </c>
      <c r="D702">
        <v>7.117451</v>
      </c>
      <c r="E702">
        <f>Tableau3[[#This Row],[Potential (PJ)]]/3.6</f>
        <v>1.9770697222222222</v>
      </c>
      <c r="F702">
        <v>0.151238492415432</v>
      </c>
      <c r="G702">
        <f>Tableau3[[#This Row],[Cost (€/GJ)]]*3.6</f>
        <v>0.5444585726955552</v>
      </c>
      <c r="H702">
        <v>11.74</v>
      </c>
      <c r="I702">
        <f>Tableau3[[#This Row],[GHG (kgCO2eq/GJ)]]*3.6</f>
        <v>42.264000000000003</v>
      </c>
      <c r="J702" t="s">
        <v>104</v>
      </c>
      <c r="K702" t="s">
        <v>108</v>
      </c>
    </row>
    <row r="703" spans="1:11" x14ac:dyDescent="0.3">
      <c r="A703" t="s">
        <v>37</v>
      </c>
      <c r="B703" t="s">
        <v>60</v>
      </c>
      <c r="C703" t="s">
        <v>98</v>
      </c>
      <c r="D703">
        <v>6.6930499999999986</v>
      </c>
      <c r="E703">
        <f>Tableau3[[#This Row],[Potential (PJ)]]/3.6</f>
        <v>1.8591805555555552</v>
      </c>
      <c r="F703">
        <v>13.856068743286791</v>
      </c>
      <c r="G703">
        <f>Tableau3[[#This Row],[Cost (€/GJ)]]*3.6</f>
        <v>49.881847475832451</v>
      </c>
      <c r="H703">
        <v>24.7</v>
      </c>
      <c r="I703">
        <f>Tableau3[[#This Row],[GHG (kgCO2eq/GJ)]]*3.6</f>
        <v>88.92</v>
      </c>
      <c r="J703" t="s">
        <v>107</v>
      </c>
      <c r="K703" t="s">
        <v>109</v>
      </c>
    </row>
    <row r="704" spans="1:11" x14ac:dyDescent="0.3">
      <c r="A704" t="s">
        <v>37</v>
      </c>
      <c r="B704" t="s">
        <v>52</v>
      </c>
      <c r="C704" t="s">
        <v>76</v>
      </c>
      <c r="D704">
        <v>1.6E-2</v>
      </c>
      <c r="E704">
        <f>Tableau3[[#This Row],[Potential (PJ)]]/3.6</f>
        <v>4.4444444444444444E-3</v>
      </c>
      <c r="F704">
        <v>7.5037500000000001</v>
      </c>
      <c r="G704">
        <f>Tableau3[[#This Row],[Cost (€/GJ)]]*3.6</f>
        <v>27.013500000000001</v>
      </c>
      <c r="H704">
        <v>12.68872359754714</v>
      </c>
      <c r="I704">
        <f>Tableau3[[#This Row],[GHG (kgCO2eq/GJ)]]*3.6</f>
        <v>45.679404951169708</v>
      </c>
      <c r="J704" t="s">
        <v>105</v>
      </c>
      <c r="K704" t="s">
        <v>108</v>
      </c>
    </row>
    <row r="705" spans="1:11" x14ac:dyDescent="0.3">
      <c r="A705" t="s">
        <v>37</v>
      </c>
      <c r="B705" t="s">
        <v>53</v>
      </c>
      <c r="C705" t="s">
        <v>77</v>
      </c>
      <c r="D705">
        <v>6.5</v>
      </c>
      <c r="E705">
        <f>Tableau3[[#This Row],[Potential (PJ)]]/3.6</f>
        <v>1.8055555555555556</v>
      </c>
      <c r="F705">
        <v>3.5121692307692309</v>
      </c>
      <c r="G705">
        <f>Tableau3[[#This Row],[Cost (€/GJ)]]*3.6</f>
        <v>12.643809230769232</v>
      </c>
      <c r="H705">
        <v>3.86607608129234</v>
      </c>
      <c r="I705">
        <f>Tableau3[[#This Row],[GHG (kgCO2eq/GJ)]]*3.6</f>
        <v>13.917873892652425</v>
      </c>
      <c r="J705" t="s">
        <v>104</v>
      </c>
      <c r="K705" t="s">
        <v>108</v>
      </c>
    </row>
    <row r="706" spans="1:11" x14ac:dyDescent="0.3">
      <c r="A706" t="s">
        <v>37</v>
      </c>
      <c r="B706" t="s">
        <v>61</v>
      </c>
      <c r="C706" t="s">
        <v>99</v>
      </c>
      <c r="D706">
        <v>21.8</v>
      </c>
      <c r="E706">
        <f>Tableau3[[#This Row],[Potential (PJ)]]/3.6</f>
        <v>6.0555555555555554</v>
      </c>
      <c r="F706">
        <v>1.6305504587155959</v>
      </c>
      <c r="G706">
        <f>Tableau3[[#This Row],[Cost (€/GJ)]]*3.6</f>
        <v>5.8699816513761451</v>
      </c>
      <c r="H706">
        <v>2.9245635910224439</v>
      </c>
      <c r="I706">
        <f>Tableau3[[#This Row],[GHG (kgCO2eq/GJ)]]*3.6</f>
        <v>10.528428927680798</v>
      </c>
      <c r="J706" t="s">
        <v>104</v>
      </c>
      <c r="K706" t="s">
        <v>108</v>
      </c>
    </row>
    <row r="707" spans="1:11" x14ac:dyDescent="0.3">
      <c r="A707" t="s">
        <v>37</v>
      </c>
      <c r="B707" t="s">
        <v>62</v>
      </c>
      <c r="C707" t="s">
        <v>100</v>
      </c>
      <c r="D707">
        <v>7.4</v>
      </c>
      <c r="E707">
        <f>Tableau3[[#This Row],[Potential (PJ)]]/3.6</f>
        <v>2.0555555555555558</v>
      </c>
      <c r="F707">
        <v>0.55270270270270261</v>
      </c>
      <c r="G707">
        <f>Tableau3[[#This Row],[Cost (€/GJ)]]*3.6</f>
        <v>1.9897297297297294</v>
      </c>
      <c r="H707">
        <v>2.6764106050305911</v>
      </c>
      <c r="I707">
        <f>Tableau3[[#This Row],[GHG (kgCO2eq/GJ)]]*3.6</f>
        <v>9.6350781781101276</v>
      </c>
      <c r="J707" t="s">
        <v>104</v>
      </c>
      <c r="K707" t="s">
        <v>108</v>
      </c>
    </row>
    <row r="708" spans="1:11" x14ac:dyDescent="0.3">
      <c r="A708" t="s">
        <v>37</v>
      </c>
      <c r="B708" t="s">
        <v>54</v>
      </c>
      <c r="C708" t="s">
        <v>78</v>
      </c>
      <c r="D708">
        <v>104.7</v>
      </c>
      <c r="E708">
        <f>Tableau3[[#This Row],[Potential (PJ)]]/3.6</f>
        <v>29.083333333333332</v>
      </c>
      <c r="F708">
        <v>3.4564517669531991</v>
      </c>
      <c r="G708">
        <f>Tableau3[[#This Row],[Cost (€/GJ)]]*3.6</f>
        <v>12.443226361031517</v>
      </c>
      <c r="H708">
        <v>3.86607608129234</v>
      </c>
      <c r="I708">
        <f>Tableau3[[#This Row],[GHG (kgCO2eq/GJ)]]*3.6</f>
        <v>13.917873892652425</v>
      </c>
      <c r="J708" t="s">
        <v>104</v>
      </c>
      <c r="K708" t="s">
        <v>108</v>
      </c>
    </row>
    <row r="709" spans="1:11" x14ac:dyDescent="0.3">
      <c r="A709" t="s">
        <v>38</v>
      </c>
      <c r="B709" t="s">
        <v>46</v>
      </c>
      <c r="C709" t="s">
        <v>64</v>
      </c>
      <c r="D709">
        <v>0.53669999999999995</v>
      </c>
      <c r="E709">
        <f>Tableau3[[#This Row],[Potential (PJ)]]/3.6</f>
        <v>0.14908333333333332</v>
      </c>
      <c r="F709">
        <v>6.0279999999999996</v>
      </c>
      <c r="G709">
        <f>Tableau3[[#This Row],[Cost (€/GJ)]]*3.6</f>
        <v>21.700799999999997</v>
      </c>
      <c r="H709">
        <v>2.9521711768407801</v>
      </c>
      <c r="I709">
        <f>Tableau3[[#This Row],[GHG (kgCO2eq/GJ)]]*3.6</f>
        <v>10.627816236626808</v>
      </c>
      <c r="J709" t="s">
        <v>104</v>
      </c>
      <c r="K709" t="s">
        <v>108</v>
      </c>
    </row>
    <row r="710" spans="1:11" x14ac:dyDescent="0.3">
      <c r="A710" t="s">
        <v>38</v>
      </c>
      <c r="B710" t="s">
        <v>46</v>
      </c>
      <c r="C710" t="s">
        <v>79</v>
      </c>
      <c r="D710">
        <v>4.3</v>
      </c>
      <c r="E710">
        <f>Tableau3[[#This Row],[Potential (PJ)]]/3.6</f>
        <v>1.1944444444444444</v>
      </c>
      <c r="F710">
        <v>3.7749999999999999</v>
      </c>
      <c r="G710">
        <f>Tableau3[[#This Row],[Cost (€/GJ)]]*3.6</f>
        <v>13.59</v>
      </c>
      <c r="H710">
        <v>6.8428961748633883</v>
      </c>
      <c r="I710">
        <f>Tableau3[[#This Row],[GHG (kgCO2eq/GJ)]]*3.6</f>
        <v>24.634426229508197</v>
      </c>
      <c r="J710" t="s">
        <v>104</v>
      </c>
      <c r="K710" t="s">
        <v>108</v>
      </c>
    </row>
    <row r="711" spans="1:11" x14ac:dyDescent="0.3">
      <c r="A711" t="s">
        <v>38</v>
      </c>
      <c r="B711" t="s">
        <v>46</v>
      </c>
      <c r="C711" t="s">
        <v>65</v>
      </c>
      <c r="D711">
        <v>1.4</v>
      </c>
      <c r="E711">
        <f>Tableau3[[#This Row],[Potential (PJ)]]/3.6</f>
        <v>0.38888888888888884</v>
      </c>
      <c r="F711">
        <v>4.5049999999999999</v>
      </c>
      <c r="G711">
        <f>Tableau3[[#This Row],[Cost (€/GJ)]]*3.6</f>
        <v>16.218</v>
      </c>
      <c r="H711">
        <v>2.9521711768407801</v>
      </c>
      <c r="I711">
        <f>Tableau3[[#This Row],[GHG (kgCO2eq/GJ)]]*3.6</f>
        <v>10.627816236626808</v>
      </c>
      <c r="J711" t="s">
        <v>104</v>
      </c>
      <c r="K711" t="s">
        <v>108</v>
      </c>
    </row>
    <row r="712" spans="1:11" x14ac:dyDescent="0.3">
      <c r="A712" t="s">
        <v>38</v>
      </c>
      <c r="B712" t="s">
        <v>46</v>
      </c>
      <c r="C712" t="s">
        <v>66</v>
      </c>
      <c r="D712">
        <v>13</v>
      </c>
      <c r="E712">
        <f>Tableau3[[#This Row],[Potential (PJ)]]/3.6</f>
        <v>3.6111111111111112</v>
      </c>
      <c r="F712">
        <v>3.899</v>
      </c>
      <c r="G712">
        <f>Tableau3[[#This Row],[Cost (€/GJ)]]*3.6</f>
        <v>14.0364</v>
      </c>
      <c r="H712">
        <v>6.8428961748633883</v>
      </c>
      <c r="I712">
        <f>Tableau3[[#This Row],[GHG (kgCO2eq/GJ)]]*3.6</f>
        <v>24.634426229508197</v>
      </c>
      <c r="J712" t="s">
        <v>104</v>
      </c>
      <c r="K712" t="s">
        <v>108</v>
      </c>
    </row>
    <row r="713" spans="1:11" x14ac:dyDescent="0.3">
      <c r="A713" t="s">
        <v>38</v>
      </c>
      <c r="B713" t="s">
        <v>46</v>
      </c>
      <c r="C713" t="s">
        <v>82</v>
      </c>
      <c r="D713">
        <v>1.7</v>
      </c>
      <c r="E713">
        <f>Tableau3[[#This Row],[Potential (PJ)]]/3.6</f>
        <v>0.47222222222222221</v>
      </c>
      <c r="F713">
        <v>2.363</v>
      </c>
      <c r="G713">
        <f>Tableau3[[#This Row],[Cost (€/GJ)]]*3.6</f>
        <v>8.5068000000000001</v>
      </c>
      <c r="H713">
        <v>6.8428961748633883</v>
      </c>
      <c r="I713">
        <f>Tableau3[[#This Row],[GHG (kgCO2eq/GJ)]]*3.6</f>
        <v>24.634426229508197</v>
      </c>
      <c r="J713" t="s">
        <v>104</v>
      </c>
      <c r="K713" t="s">
        <v>108</v>
      </c>
    </row>
    <row r="714" spans="1:11" x14ac:dyDescent="0.3">
      <c r="A714" t="s">
        <v>38</v>
      </c>
      <c r="B714" t="s">
        <v>46</v>
      </c>
      <c r="C714" t="s">
        <v>84</v>
      </c>
      <c r="D714">
        <v>0.5</v>
      </c>
      <c r="E714">
        <f>Tableau3[[#This Row],[Potential (PJ)]]/3.6</f>
        <v>0.1388888888888889</v>
      </c>
      <c r="F714">
        <v>0</v>
      </c>
      <c r="G714">
        <f>Tableau3[[#This Row],[Cost (€/GJ)]]*3.6</f>
        <v>0</v>
      </c>
      <c r="H714">
        <v>28.139870918023309</v>
      </c>
      <c r="I714">
        <f>Tableau3[[#This Row],[GHG (kgCO2eq/GJ)]]*3.6</f>
        <v>101.30353530488391</v>
      </c>
      <c r="J714" t="s">
        <v>105</v>
      </c>
      <c r="K714" t="s">
        <v>108</v>
      </c>
    </row>
    <row r="715" spans="1:11" x14ac:dyDescent="0.3">
      <c r="A715" t="s">
        <v>38</v>
      </c>
      <c r="B715" t="s">
        <v>46</v>
      </c>
      <c r="C715" t="s">
        <v>85</v>
      </c>
      <c r="D715">
        <v>0.5</v>
      </c>
      <c r="E715">
        <f>Tableau3[[#This Row],[Potential (PJ)]]/3.6</f>
        <v>0.1388888888888889</v>
      </c>
      <c r="F715">
        <v>4.117</v>
      </c>
      <c r="G715">
        <f>Tableau3[[#This Row],[Cost (€/GJ)]]*3.6</f>
        <v>14.821200000000001</v>
      </c>
      <c r="H715">
        <v>2.9521711768407801</v>
      </c>
      <c r="I715">
        <f>Tableau3[[#This Row],[GHG (kgCO2eq/GJ)]]*3.6</f>
        <v>10.627816236626808</v>
      </c>
      <c r="J715" t="s">
        <v>104</v>
      </c>
      <c r="K715" t="s">
        <v>108</v>
      </c>
    </row>
    <row r="716" spans="1:11" x14ac:dyDescent="0.3">
      <c r="A716" t="s">
        <v>38</v>
      </c>
      <c r="B716" t="s">
        <v>47</v>
      </c>
      <c r="C716" t="s">
        <v>68</v>
      </c>
      <c r="D716">
        <v>20.399999999999999</v>
      </c>
      <c r="E716">
        <f>Tableau3[[#This Row],[Potential (PJ)]]/3.6</f>
        <v>5.6666666666666661</v>
      </c>
      <c r="F716">
        <v>3.5910000000000002</v>
      </c>
      <c r="G716">
        <f>Tableau3[[#This Row],[Cost (€/GJ)]]*3.6</f>
        <v>12.927600000000002</v>
      </c>
      <c r="H716">
        <v>14.5</v>
      </c>
      <c r="I716">
        <f>Tableau3[[#This Row],[GHG (kgCO2eq/GJ)]]*3.6</f>
        <v>52.2</v>
      </c>
      <c r="J716" t="s">
        <v>104</v>
      </c>
      <c r="K716" t="s">
        <v>109</v>
      </c>
    </row>
    <row r="717" spans="1:11" x14ac:dyDescent="0.3">
      <c r="A717" t="s">
        <v>38</v>
      </c>
      <c r="B717" t="s">
        <v>47</v>
      </c>
      <c r="C717" t="s">
        <v>69</v>
      </c>
      <c r="D717">
        <v>14.3</v>
      </c>
      <c r="E717">
        <f>Tableau3[[#This Row],[Potential (PJ)]]/3.6</f>
        <v>3.9722222222222223</v>
      </c>
      <c r="F717">
        <v>3.5659999999999998</v>
      </c>
      <c r="G717">
        <f>Tableau3[[#This Row],[Cost (€/GJ)]]*3.6</f>
        <v>12.8376</v>
      </c>
      <c r="H717">
        <v>14.5</v>
      </c>
      <c r="I717">
        <f>Tableau3[[#This Row],[GHG (kgCO2eq/GJ)]]*3.6</f>
        <v>52.2</v>
      </c>
      <c r="J717" t="s">
        <v>104</v>
      </c>
      <c r="K717" t="s">
        <v>109</v>
      </c>
    </row>
    <row r="718" spans="1:11" x14ac:dyDescent="0.3">
      <c r="A718" t="s">
        <v>38</v>
      </c>
      <c r="B718" t="s">
        <v>48</v>
      </c>
      <c r="C718" t="s">
        <v>70</v>
      </c>
      <c r="D718">
        <v>7.5</v>
      </c>
      <c r="E718">
        <f>Tableau3[[#This Row],[Potential (PJ)]]/3.6</f>
        <v>2.0833333333333335</v>
      </c>
      <c r="F718">
        <v>9.0820000000000007</v>
      </c>
      <c r="G718">
        <f>Tableau3[[#This Row],[Cost (€/GJ)]]*3.6</f>
        <v>32.695200000000007</v>
      </c>
      <c r="H718">
        <v>0</v>
      </c>
      <c r="I718">
        <f>Tableau3[[#This Row],[GHG (kgCO2eq/GJ)]]*3.6</f>
        <v>0</v>
      </c>
      <c r="J718" t="s">
        <v>104</v>
      </c>
      <c r="K718" t="s">
        <v>109</v>
      </c>
    </row>
    <row r="719" spans="1:11" x14ac:dyDescent="0.3">
      <c r="A719" t="s">
        <v>38</v>
      </c>
      <c r="B719" t="s">
        <v>49</v>
      </c>
      <c r="C719" t="s">
        <v>72</v>
      </c>
      <c r="D719">
        <v>8.1999999999999993</v>
      </c>
      <c r="E719">
        <f>Tableau3[[#This Row],[Potential (PJ)]]/3.6</f>
        <v>2.2777777777777777</v>
      </c>
      <c r="F719">
        <v>0</v>
      </c>
      <c r="G719">
        <f>Tableau3[[#This Row],[Cost (€/GJ)]]*3.6</f>
        <v>0</v>
      </c>
      <c r="H719">
        <v>3.86607608129234</v>
      </c>
      <c r="I719">
        <f>Tableau3[[#This Row],[GHG (kgCO2eq/GJ)]]*3.6</f>
        <v>13.917873892652425</v>
      </c>
      <c r="J719" t="s">
        <v>104</v>
      </c>
      <c r="K719" t="s">
        <v>108</v>
      </c>
    </row>
    <row r="720" spans="1:11" x14ac:dyDescent="0.3">
      <c r="A720" t="s">
        <v>38</v>
      </c>
      <c r="B720" t="s">
        <v>50</v>
      </c>
      <c r="C720" t="s">
        <v>73</v>
      </c>
      <c r="D720">
        <v>4.5999999999999996</v>
      </c>
      <c r="E720">
        <f>Tableau3[[#This Row],[Potential (PJ)]]/3.6</f>
        <v>1.2777777777777777</v>
      </c>
      <c r="F720">
        <v>5.4240000000000004</v>
      </c>
      <c r="G720">
        <f>Tableau3[[#This Row],[Cost (€/GJ)]]*3.6</f>
        <v>19.526400000000002</v>
      </c>
      <c r="H720">
        <v>20.723404255319149</v>
      </c>
      <c r="I720">
        <f>Tableau3[[#This Row],[GHG (kgCO2eq/GJ)]]*3.6</f>
        <v>74.604255319148933</v>
      </c>
      <c r="J720" t="s">
        <v>105</v>
      </c>
      <c r="K720" t="s">
        <v>108</v>
      </c>
    </row>
    <row r="721" spans="1:11" x14ac:dyDescent="0.3">
      <c r="A721" t="s">
        <v>38</v>
      </c>
      <c r="B721" t="s">
        <v>50</v>
      </c>
      <c r="C721" t="s">
        <v>74</v>
      </c>
      <c r="D721">
        <v>5.9</v>
      </c>
      <c r="E721">
        <f>Tableau3[[#This Row],[Potential (PJ)]]/3.6</f>
        <v>1.6388888888888888</v>
      </c>
      <c r="F721">
        <v>3.484</v>
      </c>
      <c r="G721">
        <f>Tableau3[[#This Row],[Cost (€/GJ)]]*3.6</f>
        <v>12.542400000000001</v>
      </c>
      <c r="H721">
        <v>2.0635593220338988</v>
      </c>
      <c r="I721">
        <f>Tableau3[[#This Row],[GHG (kgCO2eq/GJ)]]*3.6</f>
        <v>7.4288135593220357</v>
      </c>
      <c r="J721" t="s">
        <v>105</v>
      </c>
      <c r="K721" t="s">
        <v>108</v>
      </c>
    </row>
    <row r="722" spans="1:11" x14ac:dyDescent="0.3">
      <c r="A722" t="s">
        <v>38</v>
      </c>
      <c r="B722" t="s">
        <v>51</v>
      </c>
      <c r="C722" t="s">
        <v>75</v>
      </c>
      <c r="D722">
        <v>6.2010699999999996</v>
      </c>
      <c r="E722">
        <f>Tableau3[[#This Row],[Potential (PJ)]]/3.6</f>
        <v>1.7225194444444443</v>
      </c>
      <c r="F722">
        <v>0.151238492415432</v>
      </c>
      <c r="G722">
        <f>Tableau3[[#This Row],[Cost (€/GJ)]]*3.6</f>
        <v>0.5444585726955552</v>
      </c>
      <c r="H722">
        <v>11.74</v>
      </c>
      <c r="I722">
        <f>Tableau3[[#This Row],[GHG (kgCO2eq/GJ)]]*3.6</f>
        <v>42.264000000000003</v>
      </c>
      <c r="J722" t="s">
        <v>104</v>
      </c>
      <c r="K722" t="s">
        <v>108</v>
      </c>
    </row>
    <row r="723" spans="1:11" x14ac:dyDescent="0.3">
      <c r="A723" t="s">
        <v>38</v>
      </c>
      <c r="B723" t="s">
        <v>52</v>
      </c>
      <c r="C723" t="s">
        <v>76</v>
      </c>
      <c r="D723">
        <v>2E-3</v>
      </c>
      <c r="E723">
        <f>Tableau3[[#This Row],[Potential (PJ)]]/3.6</f>
        <v>5.5555555555555556E-4</v>
      </c>
      <c r="F723">
        <v>7.5037500000000001</v>
      </c>
      <c r="G723">
        <f>Tableau3[[#This Row],[Cost (€/GJ)]]*3.6</f>
        <v>27.013500000000001</v>
      </c>
      <c r="H723">
        <v>12.68872359754714</v>
      </c>
      <c r="I723">
        <f>Tableau3[[#This Row],[GHG (kgCO2eq/GJ)]]*3.6</f>
        <v>45.679404951169708</v>
      </c>
      <c r="J723" t="s">
        <v>105</v>
      </c>
      <c r="K723" t="s">
        <v>108</v>
      </c>
    </row>
    <row r="724" spans="1:11" x14ac:dyDescent="0.3">
      <c r="A724" t="s">
        <v>38</v>
      </c>
      <c r="B724" t="s">
        <v>53</v>
      </c>
      <c r="C724" t="s">
        <v>77</v>
      </c>
      <c r="D724">
        <v>22.7</v>
      </c>
      <c r="E724">
        <f>Tableau3[[#This Row],[Potential (PJ)]]/3.6</f>
        <v>6.3055555555555554</v>
      </c>
      <c r="F724">
        <v>0</v>
      </c>
      <c r="G724">
        <f>Tableau3[[#This Row],[Cost (€/GJ)]]*3.6</f>
        <v>0</v>
      </c>
      <c r="H724">
        <v>3.86607608129234</v>
      </c>
      <c r="I724">
        <f>Tableau3[[#This Row],[GHG (kgCO2eq/GJ)]]*3.6</f>
        <v>13.917873892652425</v>
      </c>
      <c r="J724" t="s">
        <v>104</v>
      </c>
      <c r="K724" t="s">
        <v>108</v>
      </c>
    </row>
    <row r="725" spans="1:11" x14ac:dyDescent="0.3">
      <c r="A725" t="s">
        <v>39</v>
      </c>
      <c r="B725" t="s">
        <v>46</v>
      </c>
      <c r="C725" t="s">
        <v>64</v>
      </c>
      <c r="D725">
        <v>1.056E-2</v>
      </c>
      <c r="E725">
        <f>Tableau3[[#This Row],[Potential (PJ)]]/3.6</f>
        <v>2.9333333333333334E-3</v>
      </c>
      <c r="F725">
        <v>6.7521316287878772</v>
      </c>
      <c r="G725">
        <f>Tableau3[[#This Row],[Cost (€/GJ)]]*3.6</f>
        <v>24.30767386363636</v>
      </c>
      <c r="H725">
        <v>2.9521711768407801</v>
      </c>
      <c r="I725">
        <f>Tableau3[[#This Row],[GHG (kgCO2eq/GJ)]]*3.6</f>
        <v>10.627816236626808</v>
      </c>
      <c r="J725" t="s">
        <v>104</v>
      </c>
      <c r="K725" t="s">
        <v>108</v>
      </c>
    </row>
    <row r="726" spans="1:11" x14ac:dyDescent="0.3">
      <c r="A726" t="s">
        <v>39</v>
      </c>
      <c r="B726" t="s">
        <v>46</v>
      </c>
      <c r="C726" t="s">
        <v>79</v>
      </c>
      <c r="D726">
        <v>15.3</v>
      </c>
      <c r="E726">
        <f>Tableau3[[#This Row],[Potential (PJ)]]/3.6</f>
        <v>4.25</v>
      </c>
      <c r="F726">
        <v>5.0416470588235276</v>
      </c>
      <c r="G726">
        <f>Tableau3[[#This Row],[Cost (€/GJ)]]*3.6</f>
        <v>18.149929411764699</v>
      </c>
      <c r="H726">
        <v>6.8428961748633883</v>
      </c>
      <c r="I726">
        <f>Tableau3[[#This Row],[GHG (kgCO2eq/GJ)]]*3.6</f>
        <v>24.634426229508197</v>
      </c>
      <c r="J726" t="s">
        <v>104</v>
      </c>
      <c r="K726" t="s">
        <v>108</v>
      </c>
    </row>
    <row r="727" spans="1:11" x14ac:dyDescent="0.3">
      <c r="A727" t="s">
        <v>39</v>
      </c>
      <c r="B727" t="s">
        <v>46</v>
      </c>
      <c r="C727" t="s">
        <v>80</v>
      </c>
      <c r="D727">
        <v>1.1940900000000001</v>
      </c>
      <c r="E727">
        <f>Tableau3[[#This Row],[Potential (PJ)]]/3.6</f>
        <v>0.33169166666666666</v>
      </c>
      <c r="F727">
        <v>0.56844234659474036</v>
      </c>
      <c r="G727">
        <f>Tableau3[[#This Row],[Cost (€/GJ)]]*3.6</f>
        <v>2.0463924477410655</v>
      </c>
      <c r="H727">
        <v>28.139870918023309</v>
      </c>
      <c r="I727">
        <f>Tableau3[[#This Row],[GHG (kgCO2eq/GJ)]]*3.6</f>
        <v>101.30353530488391</v>
      </c>
      <c r="J727" t="s">
        <v>105</v>
      </c>
      <c r="K727" t="s">
        <v>108</v>
      </c>
    </row>
    <row r="728" spans="1:11" x14ac:dyDescent="0.3">
      <c r="A728" t="s">
        <v>39</v>
      </c>
      <c r="B728" t="s">
        <v>46</v>
      </c>
      <c r="C728" t="s">
        <v>81</v>
      </c>
      <c r="D728">
        <v>4.4679999999999997E-2</v>
      </c>
      <c r="E728">
        <f>Tableau3[[#This Row],[Potential (PJ)]]/3.6</f>
        <v>1.2411111111111111E-2</v>
      </c>
      <c r="F728">
        <v>3.150998824911869</v>
      </c>
      <c r="G728">
        <f>Tableau3[[#This Row],[Cost (€/GJ)]]*3.6</f>
        <v>11.343595769682729</v>
      </c>
      <c r="H728">
        <v>8.9647473560517046</v>
      </c>
      <c r="I728">
        <f>Tableau3[[#This Row],[GHG (kgCO2eq/GJ)]]*3.6</f>
        <v>32.273090481786134</v>
      </c>
      <c r="J728" t="s">
        <v>105</v>
      </c>
      <c r="K728" t="s">
        <v>108</v>
      </c>
    </row>
    <row r="729" spans="1:11" x14ac:dyDescent="0.3">
      <c r="A729" t="s">
        <v>39</v>
      </c>
      <c r="B729" t="s">
        <v>46</v>
      </c>
      <c r="C729" t="s">
        <v>82</v>
      </c>
      <c r="D729">
        <v>0.4</v>
      </c>
      <c r="E729">
        <f>Tableau3[[#This Row],[Potential (PJ)]]/3.6</f>
        <v>0.11111111111111112</v>
      </c>
      <c r="F729">
        <v>3.1934999999999998</v>
      </c>
      <c r="G729">
        <f>Tableau3[[#This Row],[Cost (€/GJ)]]*3.6</f>
        <v>11.496599999999999</v>
      </c>
      <c r="H729">
        <v>6.8428961748633883</v>
      </c>
      <c r="I729">
        <f>Tableau3[[#This Row],[GHG (kgCO2eq/GJ)]]*3.6</f>
        <v>24.634426229508197</v>
      </c>
      <c r="J729" t="s">
        <v>104</v>
      </c>
      <c r="K729" t="s">
        <v>108</v>
      </c>
    </row>
    <row r="730" spans="1:11" x14ac:dyDescent="0.3">
      <c r="A730" t="s">
        <v>39</v>
      </c>
      <c r="B730" t="s">
        <v>46</v>
      </c>
      <c r="C730" t="s">
        <v>84</v>
      </c>
      <c r="D730">
        <v>0.3</v>
      </c>
      <c r="E730">
        <f>Tableau3[[#This Row],[Potential (PJ)]]/3.6</f>
        <v>8.3333333333333329E-2</v>
      </c>
      <c r="F730">
        <v>3.0489999999999999</v>
      </c>
      <c r="G730">
        <f>Tableau3[[#This Row],[Cost (€/GJ)]]*3.6</f>
        <v>10.9764</v>
      </c>
      <c r="H730">
        <v>28.139870918023309</v>
      </c>
      <c r="I730">
        <f>Tableau3[[#This Row],[GHG (kgCO2eq/GJ)]]*3.6</f>
        <v>101.30353530488391</v>
      </c>
      <c r="J730" t="s">
        <v>105</v>
      </c>
      <c r="K730" t="s">
        <v>108</v>
      </c>
    </row>
    <row r="731" spans="1:11" x14ac:dyDescent="0.3">
      <c r="A731" t="s">
        <v>39</v>
      </c>
      <c r="B731" t="s">
        <v>55</v>
      </c>
      <c r="C731" t="s">
        <v>86</v>
      </c>
      <c r="D731">
        <v>0.40739999999999998</v>
      </c>
      <c r="E731">
        <f>Tableau3[[#This Row],[Potential (PJ)]]/3.6</f>
        <v>0.11316666666666667</v>
      </c>
      <c r="F731">
        <v>11.157999999999999</v>
      </c>
      <c r="G731">
        <f>Tableau3[[#This Row],[Cost (€/GJ)]]*3.6</f>
        <v>40.168799999999997</v>
      </c>
      <c r="H731">
        <v>14.2</v>
      </c>
      <c r="I731">
        <f>Tableau3[[#This Row],[GHG (kgCO2eq/GJ)]]*3.6</f>
        <v>51.12</v>
      </c>
      <c r="J731" t="s">
        <v>106</v>
      </c>
      <c r="K731" t="s">
        <v>109</v>
      </c>
    </row>
    <row r="732" spans="1:11" x14ac:dyDescent="0.3">
      <c r="A732" t="s">
        <v>39</v>
      </c>
      <c r="B732" t="s">
        <v>55</v>
      </c>
      <c r="C732" t="s">
        <v>89</v>
      </c>
      <c r="D732">
        <v>7.5800000000000006E-2</v>
      </c>
      <c r="E732">
        <f>Tableau3[[#This Row],[Potential (PJ)]]/3.6</f>
        <v>2.1055555555555557E-2</v>
      </c>
      <c r="F732">
        <v>0</v>
      </c>
      <c r="G732">
        <f>Tableau3[[#This Row],[Cost (€/GJ)]]*3.6</f>
        <v>0</v>
      </c>
      <c r="H732">
        <v>14.2</v>
      </c>
      <c r="I732">
        <f>Tableau3[[#This Row],[GHG (kgCO2eq/GJ)]]*3.6</f>
        <v>51.12</v>
      </c>
      <c r="J732" t="s">
        <v>106</v>
      </c>
      <c r="K732" t="s">
        <v>109</v>
      </c>
    </row>
    <row r="733" spans="1:11" x14ac:dyDescent="0.3">
      <c r="A733" t="s">
        <v>39</v>
      </c>
      <c r="B733" t="s">
        <v>55</v>
      </c>
      <c r="C733" t="s">
        <v>91</v>
      </c>
      <c r="D733">
        <v>3.61E-2</v>
      </c>
      <c r="E733">
        <f>Tableau3[[#This Row],[Potential (PJ)]]/3.6</f>
        <v>1.0027777777777778E-2</v>
      </c>
      <c r="F733">
        <v>10.734999999999999</v>
      </c>
      <c r="G733">
        <f>Tableau3[[#This Row],[Cost (€/GJ)]]*3.6</f>
        <v>38.646000000000001</v>
      </c>
      <c r="H733">
        <v>14.2</v>
      </c>
      <c r="I733">
        <f>Tableau3[[#This Row],[GHG (kgCO2eq/GJ)]]*3.6</f>
        <v>51.12</v>
      </c>
      <c r="J733" t="s">
        <v>106</v>
      </c>
      <c r="K733" t="s">
        <v>109</v>
      </c>
    </row>
    <row r="734" spans="1:11" x14ac:dyDescent="0.3">
      <c r="A734" t="s">
        <v>39</v>
      </c>
      <c r="B734" t="s">
        <v>55</v>
      </c>
      <c r="C734" t="s">
        <v>92</v>
      </c>
      <c r="D734">
        <v>0.30456</v>
      </c>
      <c r="E734">
        <f>Tableau3[[#This Row],[Potential (PJ)]]/3.6</f>
        <v>8.4599999999999995E-2</v>
      </c>
      <c r="F734">
        <v>12.048999999999999</v>
      </c>
      <c r="G734">
        <f>Tableau3[[#This Row],[Cost (€/GJ)]]*3.6</f>
        <v>43.376399999999997</v>
      </c>
      <c r="H734">
        <v>14.2</v>
      </c>
      <c r="I734">
        <f>Tableau3[[#This Row],[GHG (kgCO2eq/GJ)]]*3.6</f>
        <v>51.12</v>
      </c>
      <c r="J734" t="s">
        <v>106</v>
      </c>
      <c r="K734" t="s">
        <v>109</v>
      </c>
    </row>
    <row r="735" spans="1:11" x14ac:dyDescent="0.3">
      <c r="A735" t="s">
        <v>39</v>
      </c>
      <c r="B735" t="s">
        <v>56</v>
      </c>
      <c r="C735" t="s">
        <v>93</v>
      </c>
      <c r="D735">
        <v>4.5473999999999997</v>
      </c>
      <c r="E735">
        <f>Tableau3[[#This Row],[Potential (PJ)]]/3.6</f>
        <v>1.2631666666666665</v>
      </c>
      <c r="F735">
        <v>2.939759036144578</v>
      </c>
      <c r="G735">
        <f>Tableau3[[#This Row],[Cost (€/GJ)]]*3.6</f>
        <v>10.583132530120482</v>
      </c>
      <c r="H735">
        <v>0.1</v>
      </c>
      <c r="I735">
        <f>Tableau3[[#This Row],[GHG (kgCO2eq/GJ)]]*3.6</f>
        <v>0.36000000000000004</v>
      </c>
      <c r="J735" t="s">
        <v>106</v>
      </c>
      <c r="K735" t="s">
        <v>109</v>
      </c>
    </row>
    <row r="736" spans="1:11" x14ac:dyDescent="0.3">
      <c r="A736" t="s">
        <v>39</v>
      </c>
      <c r="B736" t="s">
        <v>47</v>
      </c>
      <c r="C736" t="s">
        <v>101</v>
      </c>
      <c r="D736">
        <v>10.3</v>
      </c>
      <c r="E736">
        <f>Tableau3[[#This Row],[Potential (PJ)]]/3.6</f>
        <v>2.8611111111111112</v>
      </c>
      <c r="F736">
        <v>7.9875145631067959</v>
      </c>
      <c r="G736">
        <f>Tableau3[[#This Row],[Cost (€/GJ)]]*3.6</f>
        <v>28.755052427184467</v>
      </c>
      <c r="H736">
        <v>29.8</v>
      </c>
      <c r="I736">
        <f>Tableau3[[#This Row],[GHG (kgCO2eq/GJ)]]*3.6</f>
        <v>107.28</v>
      </c>
      <c r="J736" t="s">
        <v>104</v>
      </c>
      <c r="K736" t="s">
        <v>109</v>
      </c>
    </row>
    <row r="737" spans="1:11" x14ac:dyDescent="0.3">
      <c r="A737" t="s">
        <v>39</v>
      </c>
      <c r="B737" t="s">
        <v>57</v>
      </c>
      <c r="C737" t="s">
        <v>94</v>
      </c>
      <c r="D737">
        <v>4.0999999999999996</v>
      </c>
      <c r="E737">
        <f>Tableau3[[#This Row],[Potential (PJ)]]/3.6</f>
        <v>1.1388888888888888</v>
      </c>
      <c r="F737">
        <v>13.7179512195122</v>
      </c>
      <c r="G737">
        <f>Tableau3[[#This Row],[Cost (€/GJ)]]*3.6</f>
        <v>49.384624390243921</v>
      </c>
      <c r="H737">
        <v>15.5</v>
      </c>
      <c r="I737">
        <f>Tableau3[[#This Row],[GHG (kgCO2eq/GJ)]]*3.6</f>
        <v>55.800000000000004</v>
      </c>
      <c r="J737" t="s">
        <v>104</v>
      </c>
      <c r="K737" t="s">
        <v>109</v>
      </c>
    </row>
    <row r="738" spans="1:11" x14ac:dyDescent="0.3">
      <c r="A738" t="s">
        <v>39</v>
      </c>
      <c r="B738" t="s">
        <v>49</v>
      </c>
      <c r="C738" t="s">
        <v>71</v>
      </c>
      <c r="D738">
        <v>236.17028999999999</v>
      </c>
      <c r="E738">
        <f>Tableau3[[#This Row],[Potential (PJ)]]/3.6</f>
        <v>65.60285833333333</v>
      </c>
      <c r="F738">
        <v>6.914654922386724</v>
      </c>
      <c r="G738">
        <f>Tableau3[[#This Row],[Cost (€/GJ)]]*3.6</f>
        <v>24.892757720592208</v>
      </c>
      <c r="H738">
        <v>3.86607608129234</v>
      </c>
      <c r="I738">
        <f>Tableau3[[#This Row],[GHG (kgCO2eq/GJ)]]*3.6</f>
        <v>13.917873892652425</v>
      </c>
      <c r="J738" t="s">
        <v>104</v>
      </c>
      <c r="K738" t="s">
        <v>108</v>
      </c>
    </row>
    <row r="739" spans="1:11" x14ac:dyDescent="0.3">
      <c r="A739" t="s">
        <v>39</v>
      </c>
      <c r="B739" t="s">
        <v>49</v>
      </c>
      <c r="C739" t="s">
        <v>72</v>
      </c>
      <c r="D739">
        <v>12.2</v>
      </c>
      <c r="E739">
        <f>Tableau3[[#This Row],[Potential (PJ)]]/3.6</f>
        <v>3.3888888888888884</v>
      </c>
      <c r="F739">
        <v>5.5297377049180332</v>
      </c>
      <c r="G739">
        <f>Tableau3[[#This Row],[Cost (€/GJ)]]*3.6</f>
        <v>19.907055737704919</v>
      </c>
      <c r="H739">
        <v>3.86607608129234</v>
      </c>
      <c r="I739">
        <f>Tableau3[[#This Row],[GHG (kgCO2eq/GJ)]]*3.6</f>
        <v>13.917873892652425</v>
      </c>
      <c r="J739" t="s">
        <v>104</v>
      </c>
      <c r="K739" t="s">
        <v>108</v>
      </c>
    </row>
    <row r="740" spans="1:11" x14ac:dyDescent="0.3">
      <c r="A740" t="s">
        <v>39</v>
      </c>
      <c r="B740" t="s">
        <v>58</v>
      </c>
      <c r="C740" t="s">
        <v>95</v>
      </c>
      <c r="D740">
        <v>27.53877</v>
      </c>
      <c r="E740">
        <f>Tableau3[[#This Row],[Potential (PJ)]]/3.6</f>
        <v>7.649658333333333</v>
      </c>
      <c r="F740">
        <v>2.98</v>
      </c>
      <c r="G740">
        <f>Tableau3[[#This Row],[Cost (€/GJ)]]*3.6</f>
        <v>10.728</v>
      </c>
      <c r="H740">
        <v>2.9521711768407801</v>
      </c>
      <c r="I740">
        <f>Tableau3[[#This Row],[GHG (kgCO2eq/GJ)]]*3.6</f>
        <v>10.627816236626808</v>
      </c>
      <c r="J740" t="s">
        <v>104</v>
      </c>
      <c r="K740" t="s">
        <v>108</v>
      </c>
    </row>
    <row r="741" spans="1:11" x14ac:dyDescent="0.3">
      <c r="A741" t="s">
        <v>39</v>
      </c>
      <c r="B741" t="s">
        <v>50</v>
      </c>
      <c r="C741" t="s">
        <v>73</v>
      </c>
      <c r="D741">
        <v>3.2</v>
      </c>
      <c r="E741">
        <f>Tableau3[[#This Row],[Potential (PJ)]]/3.6</f>
        <v>0.88888888888888895</v>
      </c>
      <c r="F741">
        <v>5.7798749999999997</v>
      </c>
      <c r="G741">
        <f>Tableau3[[#This Row],[Cost (€/GJ)]]*3.6</f>
        <v>20.807549999999999</v>
      </c>
      <c r="H741">
        <v>20.723404255319149</v>
      </c>
      <c r="I741">
        <f>Tableau3[[#This Row],[GHG (kgCO2eq/GJ)]]*3.6</f>
        <v>74.604255319148933</v>
      </c>
      <c r="J741" t="s">
        <v>105</v>
      </c>
      <c r="K741" t="s">
        <v>108</v>
      </c>
    </row>
    <row r="742" spans="1:11" x14ac:dyDescent="0.3">
      <c r="A742" t="s">
        <v>39</v>
      </c>
      <c r="B742" t="s">
        <v>50</v>
      </c>
      <c r="C742" t="s">
        <v>74</v>
      </c>
      <c r="D742">
        <v>14.1</v>
      </c>
      <c r="E742">
        <f>Tableau3[[#This Row],[Potential (PJ)]]/3.6</f>
        <v>3.9166666666666665</v>
      </c>
      <c r="F742">
        <v>6.685375886524823</v>
      </c>
      <c r="G742">
        <f>Tableau3[[#This Row],[Cost (€/GJ)]]*3.6</f>
        <v>24.067353191489364</v>
      </c>
      <c r="H742">
        <v>2.0635593220338988</v>
      </c>
      <c r="I742">
        <f>Tableau3[[#This Row],[GHG (kgCO2eq/GJ)]]*3.6</f>
        <v>7.4288135593220357</v>
      </c>
      <c r="J742" t="s">
        <v>105</v>
      </c>
      <c r="K742" t="s">
        <v>108</v>
      </c>
    </row>
    <row r="743" spans="1:11" x14ac:dyDescent="0.3">
      <c r="A743" t="s">
        <v>39</v>
      </c>
      <c r="B743" t="s">
        <v>51</v>
      </c>
      <c r="C743" t="s">
        <v>75</v>
      </c>
      <c r="D743">
        <v>23.422540000000001</v>
      </c>
      <c r="E743">
        <f>Tableau3[[#This Row],[Potential (PJ)]]/3.6</f>
        <v>6.5062611111111117</v>
      </c>
      <c r="F743">
        <v>3.2618978888454002E-3</v>
      </c>
      <c r="G743">
        <f>Tableau3[[#This Row],[Cost (€/GJ)]]*3.6</f>
        <v>1.1742832399843441E-2</v>
      </c>
      <c r="H743">
        <v>11.74</v>
      </c>
      <c r="I743">
        <f>Tableau3[[#This Row],[GHG (kgCO2eq/GJ)]]*3.6</f>
        <v>42.264000000000003</v>
      </c>
      <c r="J743" t="s">
        <v>104</v>
      </c>
      <c r="K743" t="s">
        <v>108</v>
      </c>
    </row>
    <row r="744" spans="1:11" x14ac:dyDescent="0.3">
      <c r="A744" t="s">
        <v>39</v>
      </c>
      <c r="B744" t="s">
        <v>60</v>
      </c>
      <c r="C744" t="s">
        <v>98</v>
      </c>
      <c r="D744">
        <v>0.90495000000000003</v>
      </c>
      <c r="E744">
        <f>Tableau3[[#This Row],[Potential (PJ)]]/3.6</f>
        <v>0.25137500000000002</v>
      </c>
      <c r="F744">
        <v>16.004296455424271</v>
      </c>
      <c r="G744">
        <f>Tableau3[[#This Row],[Cost (€/GJ)]]*3.6</f>
        <v>57.615467239527376</v>
      </c>
      <c r="H744">
        <v>22.8</v>
      </c>
      <c r="I744">
        <f>Tableau3[[#This Row],[GHG (kgCO2eq/GJ)]]*3.6</f>
        <v>82.08</v>
      </c>
      <c r="J744" t="s">
        <v>107</v>
      </c>
      <c r="K744" t="s">
        <v>109</v>
      </c>
    </row>
    <row r="745" spans="1:11" x14ac:dyDescent="0.3">
      <c r="A745" t="s">
        <v>39</v>
      </c>
      <c r="B745" t="s">
        <v>52</v>
      </c>
      <c r="C745" t="s">
        <v>76</v>
      </c>
      <c r="D745">
        <v>1.155</v>
      </c>
      <c r="E745">
        <f>Tableau3[[#This Row],[Potential (PJ)]]/3.6</f>
        <v>0.32083333333333336</v>
      </c>
      <c r="F745">
        <v>7.5037500000000001</v>
      </c>
      <c r="G745">
        <f>Tableau3[[#This Row],[Cost (€/GJ)]]*3.6</f>
        <v>27.013500000000001</v>
      </c>
      <c r="H745">
        <v>12.68872359754714</v>
      </c>
      <c r="I745">
        <f>Tableau3[[#This Row],[GHG (kgCO2eq/GJ)]]*3.6</f>
        <v>45.679404951169708</v>
      </c>
      <c r="J745" t="s">
        <v>105</v>
      </c>
      <c r="K745" t="s">
        <v>108</v>
      </c>
    </row>
    <row r="746" spans="1:11" x14ac:dyDescent="0.3">
      <c r="A746" t="s">
        <v>39</v>
      </c>
      <c r="B746" t="s">
        <v>53</v>
      </c>
      <c r="C746" t="s">
        <v>77</v>
      </c>
      <c r="D746">
        <v>14.1</v>
      </c>
      <c r="E746">
        <f>Tableau3[[#This Row],[Potential (PJ)]]/3.6</f>
        <v>3.9166666666666665</v>
      </c>
      <c r="F746">
        <v>5.5295957446808499</v>
      </c>
      <c r="G746">
        <f>Tableau3[[#This Row],[Cost (€/GJ)]]*3.6</f>
        <v>19.906544680851059</v>
      </c>
      <c r="H746">
        <v>3.86607608129234</v>
      </c>
      <c r="I746">
        <f>Tableau3[[#This Row],[GHG (kgCO2eq/GJ)]]*3.6</f>
        <v>13.917873892652425</v>
      </c>
      <c r="J746" t="s">
        <v>104</v>
      </c>
      <c r="K746" t="s">
        <v>108</v>
      </c>
    </row>
    <row r="747" spans="1:11" x14ac:dyDescent="0.3">
      <c r="A747" t="s">
        <v>39</v>
      </c>
      <c r="B747" t="s">
        <v>61</v>
      </c>
      <c r="C747" t="s">
        <v>99</v>
      </c>
      <c r="D747">
        <v>88.7</v>
      </c>
      <c r="E747">
        <f>Tableau3[[#This Row],[Potential (PJ)]]/3.6</f>
        <v>24.638888888888889</v>
      </c>
      <c r="F747">
        <v>1.903011273957159</v>
      </c>
      <c r="G747">
        <f>Tableau3[[#This Row],[Cost (€/GJ)]]*3.6</f>
        <v>6.8508405862457726</v>
      </c>
      <c r="H747">
        <v>2.9245635910224439</v>
      </c>
      <c r="I747">
        <f>Tableau3[[#This Row],[GHG (kgCO2eq/GJ)]]*3.6</f>
        <v>10.528428927680798</v>
      </c>
      <c r="J747" t="s">
        <v>104</v>
      </c>
      <c r="K747" t="s">
        <v>108</v>
      </c>
    </row>
    <row r="748" spans="1:11" x14ac:dyDescent="0.3">
      <c r="A748" t="s">
        <v>39</v>
      </c>
      <c r="B748" t="s">
        <v>62</v>
      </c>
      <c r="C748" t="s">
        <v>100</v>
      </c>
      <c r="D748">
        <v>40.700000000000003</v>
      </c>
      <c r="E748">
        <f>Tableau3[[#This Row],[Potential (PJ)]]/3.6</f>
        <v>11.305555555555555</v>
      </c>
      <c r="F748">
        <v>0.58992628992628993</v>
      </c>
      <c r="G748">
        <f>Tableau3[[#This Row],[Cost (€/GJ)]]*3.6</f>
        <v>2.1237346437346436</v>
      </c>
      <c r="H748">
        <v>2.6764106050305911</v>
      </c>
      <c r="I748">
        <f>Tableau3[[#This Row],[GHG (kgCO2eq/GJ)]]*3.6</f>
        <v>9.6350781781101276</v>
      </c>
      <c r="J748" t="s">
        <v>104</v>
      </c>
      <c r="K748" t="s">
        <v>108</v>
      </c>
    </row>
    <row r="749" spans="1:11" x14ac:dyDescent="0.3">
      <c r="A749" t="s">
        <v>39</v>
      </c>
      <c r="B749" t="s">
        <v>54</v>
      </c>
      <c r="C749" t="s">
        <v>78</v>
      </c>
      <c r="D749">
        <v>273</v>
      </c>
      <c r="E749">
        <f>Tableau3[[#This Row],[Potential (PJ)]]/3.6</f>
        <v>75.833333333333329</v>
      </c>
      <c r="F749">
        <v>11.596983150183149</v>
      </c>
      <c r="G749">
        <f>Tableau3[[#This Row],[Cost (€/GJ)]]*3.6</f>
        <v>41.74913934065934</v>
      </c>
      <c r="H749">
        <v>3.86607608129234</v>
      </c>
      <c r="I749">
        <f>Tableau3[[#This Row],[GHG (kgCO2eq/GJ)]]*3.6</f>
        <v>13.917873892652425</v>
      </c>
      <c r="J749" t="s">
        <v>104</v>
      </c>
      <c r="K749" t="s">
        <v>108</v>
      </c>
    </row>
    <row r="750" spans="1:11" x14ac:dyDescent="0.3">
      <c r="A750" t="s">
        <v>40</v>
      </c>
      <c r="B750" t="s">
        <v>46</v>
      </c>
      <c r="C750" t="s">
        <v>63</v>
      </c>
      <c r="D750">
        <v>3.0000000000000001E-3</v>
      </c>
      <c r="E750">
        <f>Tableau3[[#This Row],[Potential (PJ)]]/3.6</f>
        <v>8.3333333333333328E-4</v>
      </c>
      <c r="F750">
        <v>2.9286474973375931</v>
      </c>
      <c r="G750">
        <f>Tableau3[[#This Row],[Cost (€/GJ)]]*3.6</f>
        <v>10.543130990415335</v>
      </c>
      <c r="H750">
        <v>3.950479233226837</v>
      </c>
      <c r="I750">
        <f>Tableau3[[#This Row],[GHG (kgCO2eq/GJ)]]*3.6</f>
        <v>14.221725239616614</v>
      </c>
      <c r="J750" t="s">
        <v>104</v>
      </c>
      <c r="K750" t="s">
        <v>108</v>
      </c>
    </row>
    <row r="751" spans="1:11" x14ac:dyDescent="0.3">
      <c r="A751" t="s">
        <v>40</v>
      </c>
      <c r="B751" t="s">
        <v>46</v>
      </c>
      <c r="C751" t="s">
        <v>64</v>
      </c>
      <c r="D751">
        <v>3.2840000000000001E-2</v>
      </c>
      <c r="E751">
        <f>Tableau3[[#This Row],[Potential (PJ)]]/3.6</f>
        <v>9.1222222222222225E-3</v>
      </c>
      <c r="F751">
        <v>5.7219305724725942</v>
      </c>
      <c r="G751">
        <f>Tableau3[[#This Row],[Cost (€/GJ)]]*3.6</f>
        <v>20.598950060901341</v>
      </c>
      <c r="H751">
        <v>2.9521711768407801</v>
      </c>
      <c r="I751">
        <f>Tableau3[[#This Row],[GHG (kgCO2eq/GJ)]]*3.6</f>
        <v>10.627816236626808</v>
      </c>
      <c r="J751" t="s">
        <v>104</v>
      </c>
      <c r="K751" t="s">
        <v>108</v>
      </c>
    </row>
    <row r="752" spans="1:11" x14ac:dyDescent="0.3">
      <c r="A752" t="s">
        <v>40</v>
      </c>
      <c r="B752" t="s">
        <v>46</v>
      </c>
      <c r="C752" t="s">
        <v>80</v>
      </c>
      <c r="D752">
        <v>0.12192</v>
      </c>
      <c r="E752">
        <f>Tableau3[[#This Row],[Potential (PJ)]]/3.6</f>
        <v>3.3866666666666663E-2</v>
      </c>
      <c r="F752">
        <v>2.7417397167902902</v>
      </c>
      <c r="G752">
        <f>Tableau3[[#This Row],[Cost (€/GJ)]]*3.6</f>
        <v>9.8702629804450446</v>
      </c>
      <c r="H752">
        <v>28.139870918023309</v>
      </c>
      <c r="I752">
        <f>Tableau3[[#This Row],[GHG (kgCO2eq/GJ)]]*3.6</f>
        <v>101.30353530488391</v>
      </c>
      <c r="J752" t="s">
        <v>105</v>
      </c>
      <c r="K752" t="s">
        <v>108</v>
      </c>
    </row>
    <row r="753" spans="1:11" x14ac:dyDescent="0.3">
      <c r="A753" t="s">
        <v>40</v>
      </c>
      <c r="B753" t="s">
        <v>46</v>
      </c>
      <c r="C753" t="s">
        <v>81</v>
      </c>
      <c r="D753">
        <v>3.4770000000000002E-2</v>
      </c>
      <c r="E753">
        <f>Tableau3[[#This Row],[Potential (PJ)]]/3.6</f>
        <v>9.658333333333333E-3</v>
      </c>
      <c r="F753">
        <v>2.5616921269095179</v>
      </c>
      <c r="G753">
        <f>Tableau3[[#This Row],[Cost (€/GJ)]]*3.6</f>
        <v>9.2220916568742641</v>
      </c>
      <c r="H753">
        <v>8.9647473560517046</v>
      </c>
      <c r="I753">
        <f>Tableau3[[#This Row],[GHG (kgCO2eq/GJ)]]*3.6</f>
        <v>32.273090481786134</v>
      </c>
      <c r="J753" t="s">
        <v>105</v>
      </c>
      <c r="K753" t="s">
        <v>108</v>
      </c>
    </row>
    <row r="754" spans="1:11" x14ac:dyDescent="0.3">
      <c r="A754" t="s">
        <v>40</v>
      </c>
      <c r="B754" t="s">
        <v>46</v>
      </c>
      <c r="C754" t="s">
        <v>66</v>
      </c>
      <c r="D754">
        <v>0.60000000000000009</v>
      </c>
      <c r="E754">
        <f>Tableau3[[#This Row],[Potential (PJ)]]/3.6</f>
        <v>0.16666666666666669</v>
      </c>
      <c r="F754">
        <v>3.2456666666666671</v>
      </c>
      <c r="G754">
        <f>Tableau3[[#This Row],[Cost (€/GJ)]]*3.6</f>
        <v>11.684400000000002</v>
      </c>
      <c r="H754">
        <v>6.8428961748633883</v>
      </c>
      <c r="I754">
        <f>Tableau3[[#This Row],[GHG (kgCO2eq/GJ)]]*3.6</f>
        <v>24.634426229508197</v>
      </c>
      <c r="J754" t="s">
        <v>104</v>
      </c>
      <c r="K754" t="s">
        <v>108</v>
      </c>
    </row>
    <row r="755" spans="1:11" x14ac:dyDescent="0.3">
      <c r="A755" t="s">
        <v>40</v>
      </c>
      <c r="B755" t="s">
        <v>46</v>
      </c>
      <c r="C755" t="s">
        <v>85</v>
      </c>
      <c r="D755">
        <v>0.1</v>
      </c>
      <c r="E755">
        <f>Tableau3[[#This Row],[Potential (PJ)]]/3.6</f>
        <v>2.777777777777778E-2</v>
      </c>
      <c r="F755">
        <v>4.0039999999999996</v>
      </c>
      <c r="G755">
        <f>Tableau3[[#This Row],[Cost (€/GJ)]]*3.6</f>
        <v>14.414399999999999</v>
      </c>
      <c r="H755">
        <v>2.9521711768407801</v>
      </c>
      <c r="I755">
        <f>Tableau3[[#This Row],[GHG (kgCO2eq/GJ)]]*3.6</f>
        <v>10.627816236626808</v>
      </c>
      <c r="J755" t="s">
        <v>104</v>
      </c>
      <c r="K755" t="s">
        <v>108</v>
      </c>
    </row>
    <row r="756" spans="1:11" x14ac:dyDescent="0.3">
      <c r="A756" t="s">
        <v>40</v>
      </c>
      <c r="B756" t="s">
        <v>55</v>
      </c>
      <c r="C756" t="s">
        <v>86</v>
      </c>
      <c r="D756">
        <v>2.3099999999999999E-2</v>
      </c>
      <c r="E756">
        <f>Tableau3[[#This Row],[Potential (PJ)]]/3.6</f>
        <v>6.416666666666666E-3</v>
      </c>
      <c r="F756">
        <v>9.6440000000000001</v>
      </c>
      <c r="G756">
        <f>Tableau3[[#This Row],[Cost (€/GJ)]]*3.6</f>
        <v>34.718400000000003</v>
      </c>
      <c r="H756">
        <v>20.2</v>
      </c>
      <c r="I756">
        <f>Tableau3[[#This Row],[GHG (kgCO2eq/GJ)]]*3.6</f>
        <v>72.72</v>
      </c>
      <c r="J756" t="s">
        <v>106</v>
      </c>
      <c r="K756" t="s">
        <v>109</v>
      </c>
    </row>
    <row r="757" spans="1:11" x14ac:dyDescent="0.3">
      <c r="A757" t="s">
        <v>40</v>
      </c>
      <c r="B757" t="s">
        <v>55</v>
      </c>
      <c r="C757" t="s">
        <v>88</v>
      </c>
      <c r="D757">
        <v>2.12E-2</v>
      </c>
      <c r="E757">
        <f>Tableau3[[#This Row],[Potential (PJ)]]/3.6</f>
        <v>5.8888888888888888E-3</v>
      </c>
      <c r="F757">
        <v>10.012</v>
      </c>
      <c r="G757">
        <f>Tableau3[[#This Row],[Cost (€/GJ)]]*3.6</f>
        <v>36.043200000000006</v>
      </c>
      <c r="H757">
        <v>20.2</v>
      </c>
      <c r="I757">
        <f>Tableau3[[#This Row],[GHG (kgCO2eq/GJ)]]*3.6</f>
        <v>72.72</v>
      </c>
      <c r="J757" t="s">
        <v>106</v>
      </c>
      <c r="K757" t="s">
        <v>109</v>
      </c>
    </row>
    <row r="758" spans="1:11" x14ac:dyDescent="0.3">
      <c r="A758" t="s">
        <v>40</v>
      </c>
      <c r="B758" t="s">
        <v>47</v>
      </c>
      <c r="C758" t="s">
        <v>68</v>
      </c>
      <c r="D758">
        <v>0.7</v>
      </c>
      <c r="E758">
        <f>Tableau3[[#This Row],[Potential (PJ)]]/3.6</f>
        <v>0.19444444444444442</v>
      </c>
      <c r="F758">
        <v>3.468285714285714</v>
      </c>
      <c r="G758">
        <f>Tableau3[[#This Row],[Cost (€/GJ)]]*3.6</f>
        <v>12.48582857142857</v>
      </c>
      <c r="H758">
        <v>17.3</v>
      </c>
      <c r="I758">
        <f>Tableau3[[#This Row],[GHG (kgCO2eq/GJ)]]*3.6</f>
        <v>62.28</v>
      </c>
      <c r="J758" t="s">
        <v>104</v>
      </c>
      <c r="K758" t="s">
        <v>109</v>
      </c>
    </row>
    <row r="759" spans="1:11" x14ac:dyDescent="0.3">
      <c r="A759" t="s">
        <v>40</v>
      </c>
      <c r="B759" t="s">
        <v>47</v>
      </c>
      <c r="C759" t="s">
        <v>69</v>
      </c>
      <c r="D759">
        <v>0.3</v>
      </c>
      <c r="E759">
        <f>Tableau3[[#This Row],[Potential (PJ)]]/3.6</f>
        <v>8.3333333333333329E-2</v>
      </c>
      <c r="F759">
        <v>3.6136666666666661</v>
      </c>
      <c r="G759">
        <f>Tableau3[[#This Row],[Cost (€/GJ)]]*3.6</f>
        <v>13.009199999999998</v>
      </c>
      <c r="H759">
        <v>17.3</v>
      </c>
      <c r="I759">
        <f>Tableau3[[#This Row],[GHG (kgCO2eq/GJ)]]*3.6</f>
        <v>62.28</v>
      </c>
      <c r="J759" t="s">
        <v>104</v>
      </c>
      <c r="K759" t="s">
        <v>109</v>
      </c>
    </row>
    <row r="760" spans="1:11" x14ac:dyDescent="0.3">
      <c r="A760" t="s">
        <v>40</v>
      </c>
      <c r="B760" t="s">
        <v>49</v>
      </c>
      <c r="C760" t="s">
        <v>71</v>
      </c>
      <c r="D760">
        <v>42.463729999999998</v>
      </c>
      <c r="E760">
        <f>Tableau3[[#This Row],[Potential (PJ)]]/3.6</f>
        <v>11.795480555555555</v>
      </c>
      <c r="F760">
        <v>2.8962449297317971</v>
      </c>
      <c r="G760">
        <f>Tableau3[[#This Row],[Cost (€/GJ)]]*3.6</f>
        <v>10.426481747034471</v>
      </c>
      <c r="H760">
        <v>3.86607608129234</v>
      </c>
      <c r="I760">
        <f>Tableau3[[#This Row],[GHG (kgCO2eq/GJ)]]*3.6</f>
        <v>13.917873892652425</v>
      </c>
      <c r="J760" t="s">
        <v>104</v>
      </c>
      <c r="K760" t="s">
        <v>108</v>
      </c>
    </row>
    <row r="761" spans="1:11" x14ac:dyDescent="0.3">
      <c r="A761" t="s">
        <v>40</v>
      </c>
      <c r="B761" t="s">
        <v>49</v>
      </c>
      <c r="C761" t="s">
        <v>72</v>
      </c>
      <c r="D761">
        <v>3.5</v>
      </c>
      <c r="E761">
        <f>Tableau3[[#This Row],[Potential (PJ)]]/3.6</f>
        <v>0.97222222222222221</v>
      </c>
      <c r="F761">
        <v>3.895457142857143</v>
      </c>
      <c r="G761">
        <f>Tableau3[[#This Row],[Cost (€/GJ)]]*3.6</f>
        <v>14.023645714285715</v>
      </c>
      <c r="H761">
        <v>3.86607608129234</v>
      </c>
      <c r="I761">
        <f>Tableau3[[#This Row],[GHG (kgCO2eq/GJ)]]*3.6</f>
        <v>13.917873892652425</v>
      </c>
      <c r="J761" t="s">
        <v>104</v>
      </c>
      <c r="K761" t="s">
        <v>108</v>
      </c>
    </row>
    <row r="762" spans="1:11" x14ac:dyDescent="0.3">
      <c r="A762" t="s">
        <v>40</v>
      </c>
      <c r="B762" t="s">
        <v>58</v>
      </c>
      <c r="C762" t="s">
        <v>95</v>
      </c>
      <c r="D762">
        <v>0.68327000000000004</v>
      </c>
      <c r="E762">
        <f>Tableau3[[#This Row],[Potential (PJ)]]/3.6</f>
        <v>0.18979722222222223</v>
      </c>
      <c r="F762">
        <v>2.98</v>
      </c>
      <c r="G762">
        <f>Tableau3[[#This Row],[Cost (€/GJ)]]*3.6</f>
        <v>10.728</v>
      </c>
      <c r="H762">
        <v>2.9521711768407801</v>
      </c>
      <c r="I762">
        <f>Tableau3[[#This Row],[GHG (kgCO2eq/GJ)]]*3.6</f>
        <v>10.627816236626808</v>
      </c>
      <c r="J762" t="s">
        <v>104</v>
      </c>
      <c r="K762" t="s">
        <v>108</v>
      </c>
    </row>
    <row r="763" spans="1:11" x14ac:dyDescent="0.3">
      <c r="A763" t="s">
        <v>40</v>
      </c>
      <c r="B763" t="s">
        <v>50</v>
      </c>
      <c r="C763" t="s">
        <v>73</v>
      </c>
      <c r="D763">
        <v>0.3</v>
      </c>
      <c r="E763">
        <f>Tableau3[[#This Row],[Potential (PJ)]]/3.6</f>
        <v>8.3333333333333329E-2</v>
      </c>
      <c r="F763">
        <v>5.1550000000000002</v>
      </c>
      <c r="G763">
        <f>Tableau3[[#This Row],[Cost (€/GJ)]]*3.6</f>
        <v>18.558</v>
      </c>
      <c r="H763">
        <v>20.723404255319149</v>
      </c>
      <c r="I763">
        <f>Tableau3[[#This Row],[GHG (kgCO2eq/GJ)]]*3.6</f>
        <v>74.604255319148933</v>
      </c>
      <c r="J763" t="s">
        <v>105</v>
      </c>
      <c r="K763" t="s">
        <v>108</v>
      </c>
    </row>
    <row r="764" spans="1:11" x14ac:dyDescent="0.3">
      <c r="A764" t="s">
        <v>40</v>
      </c>
      <c r="B764" t="s">
        <v>50</v>
      </c>
      <c r="C764" t="s">
        <v>74</v>
      </c>
      <c r="D764">
        <v>1.1000000000000001</v>
      </c>
      <c r="E764">
        <f>Tableau3[[#This Row],[Potential (PJ)]]/3.6</f>
        <v>0.30555555555555558</v>
      </c>
      <c r="F764">
        <v>3.867909090909091</v>
      </c>
      <c r="G764">
        <f>Tableau3[[#This Row],[Cost (€/GJ)]]*3.6</f>
        <v>13.924472727272727</v>
      </c>
      <c r="H764">
        <v>2.0635593220338988</v>
      </c>
      <c r="I764">
        <f>Tableau3[[#This Row],[GHG (kgCO2eq/GJ)]]*3.6</f>
        <v>7.4288135593220357</v>
      </c>
      <c r="J764" t="s">
        <v>105</v>
      </c>
      <c r="K764" t="s">
        <v>108</v>
      </c>
    </row>
    <row r="765" spans="1:11" x14ac:dyDescent="0.3">
      <c r="A765" t="s">
        <v>40</v>
      </c>
      <c r="B765" t="s">
        <v>51</v>
      </c>
      <c r="C765" t="s">
        <v>75</v>
      </c>
      <c r="D765">
        <v>0.81435000000000002</v>
      </c>
      <c r="E765">
        <f>Tableau3[[#This Row],[Potential (PJ)]]/3.6</f>
        <v>0.22620833333333334</v>
      </c>
      <c r="F765">
        <v>0.157440258149009</v>
      </c>
      <c r="G765">
        <f>Tableau3[[#This Row],[Cost (€/GJ)]]*3.6</f>
        <v>0.56678492933643243</v>
      </c>
      <c r="H765">
        <v>11.74</v>
      </c>
      <c r="I765">
        <f>Tableau3[[#This Row],[GHG (kgCO2eq/GJ)]]*3.6</f>
        <v>42.264000000000003</v>
      </c>
      <c r="J765" t="s">
        <v>104</v>
      </c>
      <c r="K765" t="s">
        <v>108</v>
      </c>
    </row>
    <row r="766" spans="1:11" x14ac:dyDescent="0.3">
      <c r="A766" t="s">
        <v>40</v>
      </c>
      <c r="B766" t="s">
        <v>60</v>
      </c>
      <c r="C766" t="s">
        <v>98</v>
      </c>
      <c r="D766">
        <v>4.795E-2</v>
      </c>
      <c r="E766">
        <f>Tableau3[[#This Row],[Potential (PJ)]]/3.6</f>
        <v>1.3319444444444445E-2</v>
      </c>
      <c r="F766">
        <v>28.73254564983888</v>
      </c>
      <c r="G766">
        <f>Tableau3[[#This Row],[Cost (€/GJ)]]*3.6</f>
        <v>103.43716433941997</v>
      </c>
      <c r="H766">
        <v>37.6</v>
      </c>
      <c r="I766">
        <f>Tableau3[[#This Row],[GHG (kgCO2eq/GJ)]]*3.6</f>
        <v>135.36000000000001</v>
      </c>
      <c r="J766" t="s">
        <v>107</v>
      </c>
      <c r="K766" t="s">
        <v>109</v>
      </c>
    </row>
    <row r="767" spans="1:11" x14ac:dyDescent="0.3">
      <c r="A767" t="s">
        <v>40</v>
      </c>
      <c r="B767" t="s">
        <v>52</v>
      </c>
      <c r="C767" t="s">
        <v>76</v>
      </c>
      <c r="D767">
        <v>4.8000000000000001E-2</v>
      </c>
      <c r="E767">
        <f>Tableau3[[#This Row],[Potential (PJ)]]/3.6</f>
        <v>1.3333333333333332E-2</v>
      </c>
      <c r="F767">
        <v>7.5037500000000001</v>
      </c>
      <c r="G767">
        <f>Tableau3[[#This Row],[Cost (€/GJ)]]*3.6</f>
        <v>27.013500000000001</v>
      </c>
      <c r="H767">
        <v>12.68872359754714</v>
      </c>
      <c r="I767">
        <f>Tableau3[[#This Row],[GHG (kgCO2eq/GJ)]]*3.6</f>
        <v>45.679404951169708</v>
      </c>
      <c r="J767" t="s">
        <v>105</v>
      </c>
      <c r="K767" t="s">
        <v>108</v>
      </c>
    </row>
    <row r="768" spans="1:11" x14ac:dyDescent="0.3">
      <c r="A768" t="s">
        <v>40</v>
      </c>
      <c r="B768" t="s">
        <v>53</v>
      </c>
      <c r="C768" t="s">
        <v>77</v>
      </c>
      <c r="D768">
        <v>2.7</v>
      </c>
      <c r="E768">
        <f>Tableau3[[#This Row],[Potential (PJ)]]/3.6</f>
        <v>0.75</v>
      </c>
      <c r="F768">
        <v>3.8954444444444438</v>
      </c>
      <c r="G768">
        <f>Tableau3[[#This Row],[Cost (€/GJ)]]*3.6</f>
        <v>14.023599999999998</v>
      </c>
      <c r="H768">
        <v>3.86607608129234</v>
      </c>
      <c r="I768">
        <f>Tableau3[[#This Row],[GHG (kgCO2eq/GJ)]]*3.6</f>
        <v>13.917873892652425</v>
      </c>
      <c r="J768" t="s">
        <v>104</v>
      </c>
      <c r="K768" t="s">
        <v>108</v>
      </c>
    </row>
    <row r="769" spans="1:11" x14ac:dyDescent="0.3">
      <c r="A769" t="s">
        <v>40</v>
      </c>
      <c r="B769" t="s">
        <v>61</v>
      </c>
      <c r="C769" t="s">
        <v>99</v>
      </c>
      <c r="D769">
        <v>2.4</v>
      </c>
      <c r="E769">
        <f>Tableau3[[#This Row],[Potential (PJ)]]/3.6</f>
        <v>0.66666666666666663</v>
      </c>
      <c r="F769">
        <v>1.7898750000000001</v>
      </c>
      <c r="G769">
        <f>Tableau3[[#This Row],[Cost (€/GJ)]]*3.6</f>
        <v>6.4435500000000001</v>
      </c>
      <c r="H769">
        <v>2.9245635910224439</v>
      </c>
      <c r="I769">
        <f>Tableau3[[#This Row],[GHG (kgCO2eq/GJ)]]*3.6</f>
        <v>10.528428927680798</v>
      </c>
      <c r="J769" t="s">
        <v>104</v>
      </c>
      <c r="K769" t="s">
        <v>108</v>
      </c>
    </row>
    <row r="770" spans="1:11" x14ac:dyDescent="0.3">
      <c r="A770" t="s">
        <v>40</v>
      </c>
      <c r="B770" t="s">
        <v>62</v>
      </c>
      <c r="C770" t="s">
        <v>100</v>
      </c>
      <c r="D770">
        <v>0.5</v>
      </c>
      <c r="E770">
        <f>Tableau3[[#This Row],[Potential (PJ)]]/3.6</f>
        <v>0.1388888888888889</v>
      </c>
      <c r="F770">
        <v>0.94</v>
      </c>
      <c r="G770">
        <f>Tableau3[[#This Row],[Cost (€/GJ)]]*3.6</f>
        <v>3.3839999999999999</v>
      </c>
      <c r="H770">
        <v>2.6764106050305911</v>
      </c>
      <c r="I770">
        <f>Tableau3[[#This Row],[GHG (kgCO2eq/GJ)]]*3.6</f>
        <v>9.6350781781101276</v>
      </c>
      <c r="J770" t="s">
        <v>104</v>
      </c>
      <c r="K770" t="s">
        <v>108</v>
      </c>
    </row>
    <row r="771" spans="1:11" x14ac:dyDescent="0.3">
      <c r="A771" t="s">
        <v>40</v>
      </c>
      <c r="B771" t="s">
        <v>54</v>
      </c>
      <c r="C771" t="s">
        <v>78</v>
      </c>
      <c r="D771">
        <v>31.2</v>
      </c>
      <c r="E771">
        <f>Tableau3[[#This Row],[Potential (PJ)]]/3.6</f>
        <v>8.6666666666666661</v>
      </c>
      <c r="F771">
        <v>3.8604807692307692</v>
      </c>
      <c r="G771">
        <f>Tableau3[[#This Row],[Cost (€/GJ)]]*3.6</f>
        <v>13.897730769230769</v>
      </c>
      <c r="H771">
        <v>3.86607608129234</v>
      </c>
      <c r="I771">
        <f>Tableau3[[#This Row],[GHG (kgCO2eq/GJ)]]*3.6</f>
        <v>13.917873892652425</v>
      </c>
      <c r="J771" t="s">
        <v>104</v>
      </c>
      <c r="K771" t="s">
        <v>108</v>
      </c>
    </row>
    <row r="772" spans="1:11" x14ac:dyDescent="0.3">
      <c r="A772" t="s">
        <v>41</v>
      </c>
      <c r="B772" t="s">
        <v>46</v>
      </c>
      <c r="C772" t="s">
        <v>64</v>
      </c>
      <c r="D772">
        <v>3.15E-2</v>
      </c>
      <c r="E772">
        <f>Tableau3[[#This Row],[Potential (PJ)]]/3.6</f>
        <v>8.7499999999999991E-3</v>
      </c>
      <c r="F772">
        <v>5.296939365079365</v>
      </c>
      <c r="G772">
        <f>Tableau3[[#This Row],[Cost (€/GJ)]]*3.6</f>
        <v>19.068981714285716</v>
      </c>
      <c r="H772">
        <v>2.9521711768407801</v>
      </c>
      <c r="I772">
        <f>Tableau3[[#This Row],[GHG (kgCO2eq/GJ)]]*3.6</f>
        <v>10.627816236626808</v>
      </c>
      <c r="J772" t="s">
        <v>104</v>
      </c>
      <c r="K772" t="s">
        <v>108</v>
      </c>
    </row>
    <row r="773" spans="1:11" x14ac:dyDescent="0.3">
      <c r="A773" t="s">
        <v>41</v>
      </c>
      <c r="B773" t="s">
        <v>46</v>
      </c>
      <c r="C773" t="s">
        <v>79</v>
      </c>
      <c r="D773">
        <v>10.1</v>
      </c>
      <c r="E773">
        <f>Tableau3[[#This Row],[Potential (PJ)]]/3.6</f>
        <v>2.8055555555555554</v>
      </c>
      <c r="F773">
        <v>5.15140594059406</v>
      </c>
      <c r="G773">
        <f>Tableau3[[#This Row],[Cost (€/GJ)]]*3.6</f>
        <v>18.545061386138617</v>
      </c>
      <c r="H773">
        <v>6.8428961748633883</v>
      </c>
      <c r="I773">
        <f>Tableau3[[#This Row],[GHG (kgCO2eq/GJ)]]*3.6</f>
        <v>24.634426229508197</v>
      </c>
      <c r="J773" t="s">
        <v>104</v>
      </c>
      <c r="K773" t="s">
        <v>108</v>
      </c>
    </row>
    <row r="774" spans="1:11" x14ac:dyDescent="0.3">
      <c r="A774" t="s">
        <v>41</v>
      </c>
      <c r="B774" t="s">
        <v>46</v>
      </c>
      <c r="C774" t="s">
        <v>80</v>
      </c>
      <c r="D774">
        <v>9.3200000000000005E-2</v>
      </c>
      <c r="E774">
        <f>Tableau3[[#This Row],[Potential (PJ)]]/3.6</f>
        <v>2.5888888888888888E-2</v>
      </c>
      <c r="F774">
        <v>0.2002697235333783</v>
      </c>
      <c r="G774">
        <f>Tableau3[[#This Row],[Cost (€/GJ)]]*3.6</f>
        <v>0.72097100472016185</v>
      </c>
      <c r="H774">
        <v>28.139870918023309</v>
      </c>
      <c r="I774">
        <f>Tableau3[[#This Row],[GHG (kgCO2eq/GJ)]]*3.6</f>
        <v>101.30353530488391</v>
      </c>
      <c r="J774" t="s">
        <v>105</v>
      </c>
      <c r="K774" t="s">
        <v>108</v>
      </c>
    </row>
    <row r="775" spans="1:11" x14ac:dyDescent="0.3">
      <c r="A775" t="s">
        <v>41</v>
      </c>
      <c r="B775" t="s">
        <v>46</v>
      </c>
      <c r="C775" t="s">
        <v>81</v>
      </c>
      <c r="D775">
        <v>4.6249999999999999E-2</v>
      </c>
      <c r="E775">
        <f>Tableau3[[#This Row],[Potential (PJ)]]/3.6</f>
        <v>1.2847222222222222E-2</v>
      </c>
      <c r="F775">
        <v>0.36251468860164521</v>
      </c>
      <c r="G775">
        <f>Tableau3[[#This Row],[Cost (€/GJ)]]*3.6</f>
        <v>1.3050528789659228</v>
      </c>
      <c r="H775">
        <v>8.9647473560517046</v>
      </c>
      <c r="I775">
        <f>Tableau3[[#This Row],[GHG (kgCO2eq/GJ)]]*3.6</f>
        <v>32.273090481786134</v>
      </c>
      <c r="J775" t="s">
        <v>105</v>
      </c>
      <c r="K775" t="s">
        <v>108</v>
      </c>
    </row>
    <row r="776" spans="1:11" x14ac:dyDescent="0.3">
      <c r="A776" t="s">
        <v>41</v>
      </c>
      <c r="B776" t="s">
        <v>46</v>
      </c>
      <c r="C776" t="s">
        <v>66</v>
      </c>
      <c r="D776">
        <v>2.2999999999999998</v>
      </c>
      <c r="E776">
        <f>Tableau3[[#This Row],[Potential (PJ)]]/3.6</f>
        <v>0.63888888888888884</v>
      </c>
      <c r="F776">
        <v>5.3215652173913037</v>
      </c>
      <c r="G776">
        <f>Tableau3[[#This Row],[Cost (€/GJ)]]*3.6</f>
        <v>19.157634782608692</v>
      </c>
      <c r="H776">
        <v>6.8428961748633883</v>
      </c>
      <c r="I776">
        <f>Tableau3[[#This Row],[GHG (kgCO2eq/GJ)]]*3.6</f>
        <v>24.634426229508197</v>
      </c>
      <c r="J776" t="s">
        <v>104</v>
      </c>
      <c r="K776" t="s">
        <v>108</v>
      </c>
    </row>
    <row r="777" spans="1:11" x14ac:dyDescent="0.3">
      <c r="A777" t="s">
        <v>41</v>
      </c>
      <c r="B777" t="s">
        <v>46</v>
      </c>
      <c r="C777" t="s">
        <v>82</v>
      </c>
      <c r="D777">
        <v>1.9</v>
      </c>
      <c r="E777">
        <f>Tableau3[[#This Row],[Potential (PJ)]]/3.6</f>
        <v>0.52777777777777779</v>
      </c>
      <c r="F777">
        <v>3.198684210526316</v>
      </c>
      <c r="G777">
        <f>Tableau3[[#This Row],[Cost (€/GJ)]]*3.6</f>
        <v>11.515263157894738</v>
      </c>
      <c r="H777">
        <v>6.8428961748633883</v>
      </c>
      <c r="I777">
        <f>Tableau3[[#This Row],[GHG (kgCO2eq/GJ)]]*3.6</f>
        <v>24.634426229508197</v>
      </c>
      <c r="J777" t="s">
        <v>104</v>
      </c>
      <c r="K777" t="s">
        <v>108</v>
      </c>
    </row>
    <row r="778" spans="1:11" x14ac:dyDescent="0.3">
      <c r="A778" t="s">
        <v>41</v>
      </c>
      <c r="B778" t="s">
        <v>46</v>
      </c>
      <c r="C778" t="s">
        <v>84</v>
      </c>
      <c r="D778">
        <v>0.1</v>
      </c>
      <c r="E778">
        <f>Tableau3[[#This Row],[Potential (PJ)]]/3.6</f>
        <v>2.777777777777778E-2</v>
      </c>
      <c r="F778">
        <v>2.5859999999999999</v>
      </c>
      <c r="G778">
        <f>Tableau3[[#This Row],[Cost (€/GJ)]]*3.6</f>
        <v>9.3095999999999997</v>
      </c>
      <c r="H778">
        <v>28.139870918023309</v>
      </c>
      <c r="I778">
        <f>Tableau3[[#This Row],[GHG (kgCO2eq/GJ)]]*3.6</f>
        <v>101.30353530488391</v>
      </c>
      <c r="J778" t="s">
        <v>105</v>
      </c>
      <c r="K778" t="s">
        <v>108</v>
      </c>
    </row>
    <row r="779" spans="1:11" x14ac:dyDescent="0.3">
      <c r="A779" t="s">
        <v>41</v>
      </c>
      <c r="B779" t="s">
        <v>55</v>
      </c>
      <c r="C779" t="s">
        <v>86</v>
      </c>
      <c r="D779">
        <v>0.25940000000000002</v>
      </c>
      <c r="E779">
        <f>Tableau3[[#This Row],[Potential (PJ)]]/3.6</f>
        <v>7.2055555555555553E-2</v>
      </c>
      <c r="F779">
        <v>11.377000000000001</v>
      </c>
      <c r="G779">
        <f>Tableau3[[#This Row],[Cost (€/GJ)]]*3.6</f>
        <v>40.9572</v>
      </c>
      <c r="H779">
        <v>9.1999999999999993</v>
      </c>
      <c r="I779">
        <f>Tableau3[[#This Row],[GHG (kgCO2eq/GJ)]]*3.6</f>
        <v>33.119999999999997</v>
      </c>
      <c r="J779" t="s">
        <v>106</v>
      </c>
      <c r="K779" t="s">
        <v>109</v>
      </c>
    </row>
    <row r="780" spans="1:11" x14ac:dyDescent="0.3">
      <c r="A780" t="s">
        <v>41</v>
      </c>
      <c r="B780" t="s">
        <v>55</v>
      </c>
      <c r="C780" t="s">
        <v>87</v>
      </c>
      <c r="D780">
        <v>0.60580000000000001</v>
      </c>
      <c r="E780">
        <f>Tableau3[[#This Row],[Potential (PJ)]]/3.6</f>
        <v>0.16827777777777778</v>
      </c>
      <c r="F780">
        <v>10.821999999999999</v>
      </c>
      <c r="G780">
        <f>Tableau3[[#This Row],[Cost (€/GJ)]]*3.6</f>
        <v>38.959199999999996</v>
      </c>
      <c r="H780">
        <v>9.1999999999999993</v>
      </c>
      <c r="I780">
        <f>Tableau3[[#This Row],[GHG (kgCO2eq/GJ)]]*3.6</f>
        <v>33.119999999999997</v>
      </c>
      <c r="J780" t="s">
        <v>106</v>
      </c>
      <c r="K780" t="s">
        <v>109</v>
      </c>
    </row>
    <row r="781" spans="1:11" x14ac:dyDescent="0.3">
      <c r="A781" t="s">
        <v>41</v>
      </c>
      <c r="B781" t="s">
        <v>55</v>
      </c>
      <c r="C781" t="s">
        <v>88</v>
      </c>
      <c r="D781">
        <v>2.0828000000000002</v>
      </c>
      <c r="E781">
        <f>Tableau3[[#This Row],[Potential (PJ)]]/3.6</f>
        <v>0.5785555555555556</v>
      </c>
      <c r="F781">
        <v>9.9030000000000005</v>
      </c>
      <c r="G781">
        <f>Tableau3[[#This Row],[Cost (€/GJ)]]*3.6</f>
        <v>35.650800000000004</v>
      </c>
      <c r="H781">
        <v>9.1999999999999993</v>
      </c>
      <c r="I781">
        <f>Tableau3[[#This Row],[GHG (kgCO2eq/GJ)]]*3.6</f>
        <v>33.119999999999997</v>
      </c>
      <c r="J781" t="s">
        <v>106</v>
      </c>
      <c r="K781" t="s">
        <v>109</v>
      </c>
    </row>
    <row r="782" spans="1:11" x14ac:dyDescent="0.3">
      <c r="A782" t="s">
        <v>41</v>
      </c>
      <c r="B782" t="s">
        <v>55</v>
      </c>
      <c r="C782" t="s">
        <v>90</v>
      </c>
      <c r="D782">
        <v>4.2999999999999997E-2</v>
      </c>
      <c r="E782">
        <f>Tableau3[[#This Row],[Potential (PJ)]]/3.6</f>
        <v>1.1944444444444443E-2</v>
      </c>
      <c r="F782">
        <v>11.891999999999999</v>
      </c>
      <c r="G782">
        <f>Tableau3[[#This Row],[Cost (€/GJ)]]*3.6</f>
        <v>42.811199999999999</v>
      </c>
      <c r="H782">
        <v>9.1999999999999993</v>
      </c>
      <c r="I782">
        <f>Tableau3[[#This Row],[GHG (kgCO2eq/GJ)]]*3.6</f>
        <v>33.119999999999997</v>
      </c>
      <c r="J782" t="s">
        <v>106</v>
      </c>
      <c r="K782" t="s">
        <v>109</v>
      </c>
    </row>
    <row r="783" spans="1:11" x14ac:dyDescent="0.3">
      <c r="A783" t="s">
        <v>41</v>
      </c>
      <c r="B783" t="s">
        <v>55</v>
      </c>
      <c r="C783" t="s">
        <v>91</v>
      </c>
      <c r="D783">
        <v>0.13739999999999999</v>
      </c>
      <c r="E783">
        <f>Tableau3[[#This Row],[Potential (PJ)]]/3.6</f>
        <v>3.8166666666666661E-2</v>
      </c>
      <c r="F783">
        <v>11.093999999999999</v>
      </c>
      <c r="G783">
        <f>Tableau3[[#This Row],[Cost (€/GJ)]]*3.6</f>
        <v>39.938400000000001</v>
      </c>
      <c r="H783">
        <v>9.1999999999999993</v>
      </c>
      <c r="I783">
        <f>Tableau3[[#This Row],[GHG (kgCO2eq/GJ)]]*3.6</f>
        <v>33.119999999999997</v>
      </c>
      <c r="J783" t="s">
        <v>106</v>
      </c>
      <c r="K783" t="s">
        <v>109</v>
      </c>
    </row>
    <row r="784" spans="1:11" x14ac:dyDescent="0.3">
      <c r="A784" t="s">
        <v>41</v>
      </c>
      <c r="B784" t="s">
        <v>55</v>
      </c>
      <c r="C784" t="s">
        <v>92</v>
      </c>
      <c r="D784">
        <v>0.31112000000000001</v>
      </c>
      <c r="E784">
        <f>Tableau3[[#This Row],[Potential (PJ)]]/3.6</f>
        <v>8.642222222222222E-2</v>
      </c>
      <c r="F784">
        <v>10.821999999999999</v>
      </c>
      <c r="G784">
        <f>Tableau3[[#This Row],[Cost (€/GJ)]]*3.6</f>
        <v>38.959199999999996</v>
      </c>
      <c r="H784">
        <v>9.1999999999999993</v>
      </c>
      <c r="I784">
        <f>Tableau3[[#This Row],[GHG (kgCO2eq/GJ)]]*3.6</f>
        <v>33.119999999999997</v>
      </c>
      <c r="J784" t="s">
        <v>106</v>
      </c>
      <c r="K784" t="s">
        <v>109</v>
      </c>
    </row>
    <row r="785" spans="1:11" x14ac:dyDescent="0.3">
      <c r="A785" t="s">
        <v>41</v>
      </c>
      <c r="B785" t="s">
        <v>56</v>
      </c>
      <c r="C785" t="s">
        <v>93</v>
      </c>
      <c r="D785">
        <v>1.6141000000000001</v>
      </c>
      <c r="E785">
        <f>Tableau3[[#This Row],[Potential (PJ)]]/3.6</f>
        <v>0.4483611111111111</v>
      </c>
      <c r="F785">
        <v>2.9493975903614462</v>
      </c>
      <c r="G785">
        <f>Tableau3[[#This Row],[Cost (€/GJ)]]*3.6</f>
        <v>10.617831325301207</v>
      </c>
      <c r="H785">
        <v>15.9</v>
      </c>
      <c r="I785">
        <f>Tableau3[[#This Row],[GHG (kgCO2eq/GJ)]]*3.6</f>
        <v>57.24</v>
      </c>
      <c r="J785" t="s">
        <v>106</v>
      </c>
      <c r="K785" t="s">
        <v>109</v>
      </c>
    </row>
    <row r="786" spans="1:11" x14ac:dyDescent="0.3">
      <c r="A786" t="s">
        <v>41</v>
      </c>
      <c r="B786" t="s">
        <v>47</v>
      </c>
      <c r="C786" t="s">
        <v>68</v>
      </c>
      <c r="D786">
        <v>7.2</v>
      </c>
      <c r="E786">
        <f>Tableau3[[#This Row],[Potential (PJ)]]/3.6</f>
        <v>2</v>
      </c>
      <c r="F786">
        <v>3.0457638888888892</v>
      </c>
      <c r="G786">
        <f>Tableau3[[#This Row],[Cost (€/GJ)]]*3.6</f>
        <v>10.96475</v>
      </c>
      <c r="H786">
        <v>23.8</v>
      </c>
      <c r="I786">
        <f>Tableau3[[#This Row],[GHG (kgCO2eq/GJ)]]*3.6</f>
        <v>85.68</v>
      </c>
      <c r="J786" t="s">
        <v>104</v>
      </c>
      <c r="K786" t="s">
        <v>109</v>
      </c>
    </row>
    <row r="787" spans="1:11" x14ac:dyDescent="0.3">
      <c r="A787" t="s">
        <v>41</v>
      </c>
      <c r="B787" t="s">
        <v>47</v>
      </c>
      <c r="C787" t="s">
        <v>69</v>
      </c>
      <c r="D787">
        <v>3.6</v>
      </c>
      <c r="E787">
        <f>Tableau3[[#This Row],[Potential (PJ)]]/3.6</f>
        <v>1</v>
      </c>
      <c r="F787">
        <v>3.045027777777777</v>
      </c>
      <c r="G787">
        <f>Tableau3[[#This Row],[Cost (€/GJ)]]*3.6</f>
        <v>10.962099999999998</v>
      </c>
      <c r="H787">
        <v>23.8</v>
      </c>
      <c r="I787">
        <f>Tableau3[[#This Row],[GHG (kgCO2eq/GJ)]]*3.6</f>
        <v>85.68</v>
      </c>
      <c r="J787" t="s">
        <v>104</v>
      </c>
      <c r="K787" t="s">
        <v>109</v>
      </c>
    </row>
    <row r="788" spans="1:11" x14ac:dyDescent="0.3">
      <c r="A788" t="s">
        <v>41</v>
      </c>
      <c r="B788" t="s">
        <v>57</v>
      </c>
      <c r="C788" t="s">
        <v>94</v>
      </c>
      <c r="D788">
        <v>2.2999999999999998</v>
      </c>
      <c r="E788">
        <f>Tableau3[[#This Row],[Potential (PJ)]]/3.6</f>
        <v>0.63888888888888884</v>
      </c>
      <c r="F788">
        <v>7.124695652173914</v>
      </c>
      <c r="G788">
        <f>Tableau3[[#This Row],[Cost (€/GJ)]]*3.6</f>
        <v>25.64890434782609</v>
      </c>
      <c r="H788">
        <v>15</v>
      </c>
      <c r="I788">
        <f>Tableau3[[#This Row],[GHG (kgCO2eq/GJ)]]*3.6</f>
        <v>54</v>
      </c>
      <c r="J788" t="s">
        <v>104</v>
      </c>
      <c r="K788" t="s">
        <v>109</v>
      </c>
    </row>
    <row r="789" spans="1:11" x14ac:dyDescent="0.3">
      <c r="A789" t="s">
        <v>41</v>
      </c>
      <c r="B789" t="s">
        <v>49</v>
      </c>
      <c r="C789" t="s">
        <v>71</v>
      </c>
      <c r="D789">
        <v>45.662860000000002</v>
      </c>
      <c r="E789">
        <f>Tableau3[[#This Row],[Potential (PJ)]]/3.6</f>
        <v>12.684127777777778</v>
      </c>
      <c r="F789">
        <v>2.747685358735743</v>
      </c>
      <c r="G789">
        <f>Tableau3[[#This Row],[Cost (€/GJ)]]*3.6</f>
        <v>9.891667291448675</v>
      </c>
      <c r="H789">
        <v>3.86607608129234</v>
      </c>
      <c r="I789">
        <f>Tableau3[[#This Row],[GHG (kgCO2eq/GJ)]]*3.6</f>
        <v>13.917873892652425</v>
      </c>
      <c r="J789" t="s">
        <v>104</v>
      </c>
      <c r="K789" t="s">
        <v>108</v>
      </c>
    </row>
    <row r="790" spans="1:11" x14ac:dyDescent="0.3">
      <c r="A790" t="s">
        <v>41</v>
      </c>
      <c r="B790" t="s">
        <v>49</v>
      </c>
      <c r="C790" t="s">
        <v>72</v>
      </c>
      <c r="D790">
        <v>1.3</v>
      </c>
      <c r="E790">
        <f>Tableau3[[#This Row],[Potential (PJ)]]/3.6</f>
        <v>0.3611111111111111</v>
      </c>
      <c r="F790">
        <v>3.7116923076923078</v>
      </c>
      <c r="G790">
        <f>Tableau3[[#This Row],[Cost (€/GJ)]]*3.6</f>
        <v>13.362092307692308</v>
      </c>
      <c r="H790">
        <v>3.86607608129234</v>
      </c>
      <c r="I790">
        <f>Tableau3[[#This Row],[GHG (kgCO2eq/GJ)]]*3.6</f>
        <v>13.917873892652425</v>
      </c>
      <c r="J790" t="s">
        <v>104</v>
      </c>
      <c r="K790" t="s">
        <v>108</v>
      </c>
    </row>
    <row r="791" spans="1:11" x14ac:dyDescent="0.3">
      <c r="A791" t="s">
        <v>41</v>
      </c>
      <c r="B791" t="s">
        <v>58</v>
      </c>
      <c r="C791" t="s">
        <v>95</v>
      </c>
      <c r="D791">
        <v>2.7330700000000001</v>
      </c>
      <c r="E791">
        <f>Tableau3[[#This Row],[Potential (PJ)]]/3.6</f>
        <v>0.75918611111111112</v>
      </c>
      <c r="F791">
        <v>2.98</v>
      </c>
      <c r="G791">
        <f>Tableau3[[#This Row],[Cost (€/GJ)]]*3.6</f>
        <v>10.728</v>
      </c>
      <c r="H791">
        <v>2.9521711768407801</v>
      </c>
      <c r="I791">
        <f>Tableau3[[#This Row],[GHG (kgCO2eq/GJ)]]*3.6</f>
        <v>10.627816236626808</v>
      </c>
      <c r="J791" t="s">
        <v>104</v>
      </c>
      <c r="K791" t="s">
        <v>108</v>
      </c>
    </row>
    <row r="792" spans="1:11" x14ac:dyDescent="0.3">
      <c r="A792" t="s">
        <v>41</v>
      </c>
      <c r="B792" t="s">
        <v>50</v>
      </c>
      <c r="C792" t="s">
        <v>73</v>
      </c>
      <c r="D792">
        <v>1.7</v>
      </c>
      <c r="E792">
        <f>Tableau3[[#This Row],[Potential (PJ)]]/3.6</f>
        <v>0.47222222222222221</v>
      </c>
      <c r="F792">
        <v>5.1365294117647062</v>
      </c>
      <c r="G792">
        <f>Tableau3[[#This Row],[Cost (€/GJ)]]*3.6</f>
        <v>18.491505882352943</v>
      </c>
      <c r="H792">
        <v>20.723404255319149</v>
      </c>
      <c r="I792">
        <f>Tableau3[[#This Row],[GHG (kgCO2eq/GJ)]]*3.6</f>
        <v>74.604255319148933</v>
      </c>
      <c r="J792" t="s">
        <v>105</v>
      </c>
      <c r="K792" t="s">
        <v>108</v>
      </c>
    </row>
    <row r="793" spans="1:11" x14ac:dyDescent="0.3">
      <c r="A793" t="s">
        <v>41</v>
      </c>
      <c r="B793" t="s">
        <v>50</v>
      </c>
      <c r="C793" t="s">
        <v>74</v>
      </c>
      <c r="D793">
        <v>12</v>
      </c>
      <c r="E793">
        <f>Tableau3[[#This Row],[Potential (PJ)]]/3.6</f>
        <v>3.333333333333333</v>
      </c>
      <c r="F793">
        <v>3.620649999999999</v>
      </c>
      <c r="G793">
        <f>Tableau3[[#This Row],[Cost (€/GJ)]]*3.6</f>
        <v>13.034339999999997</v>
      </c>
      <c r="H793">
        <v>2.0635593220338988</v>
      </c>
      <c r="I793">
        <f>Tableau3[[#This Row],[GHG (kgCO2eq/GJ)]]*3.6</f>
        <v>7.4288135593220357</v>
      </c>
      <c r="J793" t="s">
        <v>105</v>
      </c>
      <c r="K793" t="s">
        <v>108</v>
      </c>
    </row>
    <row r="794" spans="1:11" x14ac:dyDescent="0.3">
      <c r="A794" t="s">
        <v>41</v>
      </c>
      <c r="B794" t="s">
        <v>59</v>
      </c>
      <c r="C794" t="s">
        <v>96</v>
      </c>
      <c r="D794">
        <v>0.25140000000000001</v>
      </c>
      <c r="E794">
        <f>Tableau3[[#This Row],[Potential (PJ)]]/3.6</f>
        <v>6.9833333333333331E-2</v>
      </c>
      <c r="F794">
        <v>18.32</v>
      </c>
      <c r="G794">
        <f>Tableau3[[#This Row],[Cost (€/GJ)]]*3.6</f>
        <v>65.951999999999998</v>
      </c>
      <c r="H794">
        <v>10</v>
      </c>
      <c r="I794">
        <f>Tableau3[[#This Row],[GHG (kgCO2eq/GJ)]]*3.6</f>
        <v>36</v>
      </c>
      <c r="J794" t="s">
        <v>107</v>
      </c>
      <c r="K794" t="s">
        <v>109</v>
      </c>
    </row>
    <row r="795" spans="1:11" x14ac:dyDescent="0.3">
      <c r="A795" t="s">
        <v>41</v>
      </c>
      <c r="B795" t="s">
        <v>59</v>
      </c>
      <c r="C795" t="s">
        <v>97</v>
      </c>
      <c r="D795">
        <v>0.7923</v>
      </c>
      <c r="E795">
        <f>Tableau3[[#This Row],[Potential (PJ)]]/3.6</f>
        <v>0.22008333333333333</v>
      </c>
      <c r="F795">
        <v>15.95225176342919</v>
      </c>
      <c r="G795">
        <f>Tableau3[[#This Row],[Cost (€/GJ)]]*3.6</f>
        <v>57.428106348345089</v>
      </c>
      <c r="H795">
        <v>10</v>
      </c>
      <c r="I795">
        <f>Tableau3[[#This Row],[GHG (kgCO2eq/GJ)]]*3.6</f>
        <v>36</v>
      </c>
      <c r="J795" t="s">
        <v>107</v>
      </c>
      <c r="K795" t="s">
        <v>109</v>
      </c>
    </row>
    <row r="796" spans="1:11" x14ac:dyDescent="0.3">
      <c r="A796" t="s">
        <v>41</v>
      </c>
      <c r="B796" t="s">
        <v>51</v>
      </c>
      <c r="C796" t="s">
        <v>75</v>
      </c>
      <c r="D796">
        <v>2.851067</v>
      </c>
      <c r="E796">
        <f>Tableau3[[#This Row],[Potential (PJ)]]/3.6</f>
        <v>0.79196305555555557</v>
      </c>
      <c r="F796">
        <v>2.1460689046761499E-2</v>
      </c>
      <c r="G796">
        <f>Tableau3[[#This Row],[Cost (€/GJ)]]*3.6</f>
        <v>7.7258480568341392E-2</v>
      </c>
      <c r="H796">
        <v>11.74</v>
      </c>
      <c r="I796">
        <f>Tableau3[[#This Row],[GHG (kgCO2eq/GJ)]]*3.6</f>
        <v>42.264000000000003</v>
      </c>
      <c r="J796" t="s">
        <v>104</v>
      </c>
      <c r="K796" t="s">
        <v>108</v>
      </c>
    </row>
    <row r="797" spans="1:11" x14ac:dyDescent="0.3">
      <c r="A797" t="s">
        <v>41</v>
      </c>
      <c r="B797" t="s">
        <v>60</v>
      </c>
      <c r="C797" t="s">
        <v>98</v>
      </c>
      <c r="D797">
        <v>2.6412399999999998</v>
      </c>
      <c r="E797">
        <f>Tableau3[[#This Row],[Potential (PJ)]]/3.6</f>
        <v>0.73367777777777776</v>
      </c>
      <c r="F797">
        <v>18.367346938775508</v>
      </c>
      <c r="G797">
        <f>Tableau3[[#This Row],[Cost (€/GJ)]]*3.6</f>
        <v>66.122448979591837</v>
      </c>
      <c r="H797">
        <v>18.8</v>
      </c>
      <c r="I797">
        <f>Tableau3[[#This Row],[GHG (kgCO2eq/GJ)]]*3.6</f>
        <v>67.680000000000007</v>
      </c>
      <c r="J797" t="s">
        <v>107</v>
      </c>
      <c r="K797" t="s">
        <v>109</v>
      </c>
    </row>
    <row r="798" spans="1:11" x14ac:dyDescent="0.3">
      <c r="A798" t="s">
        <v>41</v>
      </c>
      <c r="B798" t="s">
        <v>52</v>
      </c>
      <c r="C798" t="s">
        <v>76</v>
      </c>
      <c r="D798">
        <v>1E-3</v>
      </c>
      <c r="E798">
        <f>Tableau3[[#This Row],[Potential (PJ)]]/3.6</f>
        <v>2.7777777777777778E-4</v>
      </c>
      <c r="F798">
        <v>7.5037500000000001</v>
      </c>
      <c r="G798">
        <f>Tableau3[[#This Row],[Cost (€/GJ)]]*3.6</f>
        <v>27.013500000000001</v>
      </c>
      <c r="H798">
        <v>12.68872359754714</v>
      </c>
      <c r="I798">
        <f>Tableau3[[#This Row],[GHG (kgCO2eq/GJ)]]*3.6</f>
        <v>45.679404951169708</v>
      </c>
      <c r="J798" t="s">
        <v>105</v>
      </c>
      <c r="K798" t="s">
        <v>108</v>
      </c>
    </row>
    <row r="799" spans="1:11" x14ac:dyDescent="0.3">
      <c r="A799" t="s">
        <v>41</v>
      </c>
      <c r="B799" t="s">
        <v>53</v>
      </c>
      <c r="C799" t="s">
        <v>77</v>
      </c>
      <c r="D799">
        <v>0.89999999999999991</v>
      </c>
      <c r="E799">
        <f>Tableau3[[#This Row],[Potential (PJ)]]/3.6</f>
        <v>0.24999999999999997</v>
      </c>
      <c r="F799">
        <v>3.7117777777777778</v>
      </c>
      <c r="G799">
        <f>Tableau3[[#This Row],[Cost (€/GJ)]]*3.6</f>
        <v>13.362400000000001</v>
      </c>
      <c r="H799">
        <v>3.86607608129234</v>
      </c>
      <c r="I799">
        <f>Tableau3[[#This Row],[GHG (kgCO2eq/GJ)]]*3.6</f>
        <v>13.917873892652425</v>
      </c>
      <c r="J799" t="s">
        <v>104</v>
      </c>
      <c r="K799" t="s">
        <v>108</v>
      </c>
    </row>
    <row r="800" spans="1:11" x14ac:dyDescent="0.3">
      <c r="A800" t="s">
        <v>41</v>
      </c>
      <c r="B800" t="s">
        <v>61</v>
      </c>
      <c r="C800" t="s">
        <v>99</v>
      </c>
      <c r="D800">
        <v>5.5</v>
      </c>
      <c r="E800">
        <f>Tableau3[[#This Row],[Potential (PJ)]]/3.6</f>
        <v>1.5277777777777777</v>
      </c>
      <c r="F800">
        <v>2.2372181818181822</v>
      </c>
      <c r="G800">
        <f>Tableau3[[#This Row],[Cost (€/GJ)]]*3.6</f>
        <v>8.0539854545454563</v>
      </c>
      <c r="H800">
        <v>2.9245635910224439</v>
      </c>
      <c r="I800">
        <f>Tableau3[[#This Row],[GHG (kgCO2eq/GJ)]]*3.6</f>
        <v>10.528428927680798</v>
      </c>
      <c r="J800" t="s">
        <v>104</v>
      </c>
      <c r="K800" t="s">
        <v>108</v>
      </c>
    </row>
    <row r="801" spans="1:11" x14ac:dyDescent="0.3">
      <c r="A801" t="s">
        <v>41</v>
      </c>
      <c r="B801" t="s">
        <v>62</v>
      </c>
      <c r="C801" t="s">
        <v>100</v>
      </c>
      <c r="D801">
        <v>1.7</v>
      </c>
      <c r="E801">
        <f>Tableau3[[#This Row],[Potential (PJ)]]/3.6</f>
        <v>0.47222222222222221</v>
      </c>
      <c r="F801">
        <v>0.8411764705882353</v>
      </c>
      <c r="G801">
        <f>Tableau3[[#This Row],[Cost (€/GJ)]]*3.6</f>
        <v>3.0282352941176471</v>
      </c>
      <c r="H801">
        <v>2.6764106050305911</v>
      </c>
      <c r="I801">
        <f>Tableau3[[#This Row],[GHG (kgCO2eq/GJ)]]*3.6</f>
        <v>9.6350781781101276</v>
      </c>
      <c r="J801" t="s">
        <v>104</v>
      </c>
      <c r="K801" t="s">
        <v>108</v>
      </c>
    </row>
    <row r="802" spans="1:11" x14ac:dyDescent="0.3">
      <c r="A802" t="s">
        <v>41</v>
      </c>
      <c r="B802" t="s">
        <v>54</v>
      </c>
      <c r="C802" t="s">
        <v>78</v>
      </c>
      <c r="D802">
        <v>32.200000000000003</v>
      </c>
      <c r="E802">
        <f>Tableau3[[#This Row],[Potential (PJ)]]/3.6</f>
        <v>8.9444444444444446</v>
      </c>
      <c r="F802">
        <v>3.669689440993789</v>
      </c>
      <c r="G802">
        <f>Tableau3[[#This Row],[Cost (€/GJ)]]*3.6</f>
        <v>13.210881987577642</v>
      </c>
      <c r="H802">
        <v>3.86607608129234</v>
      </c>
      <c r="I802">
        <f>Tableau3[[#This Row],[GHG (kgCO2eq/GJ)]]*3.6</f>
        <v>13.917873892652425</v>
      </c>
      <c r="J802" t="s">
        <v>104</v>
      </c>
      <c r="K802" t="s">
        <v>108</v>
      </c>
    </row>
    <row r="803" spans="1:11" x14ac:dyDescent="0.3">
      <c r="A803" t="s">
        <v>42</v>
      </c>
      <c r="B803" t="s">
        <v>46</v>
      </c>
      <c r="C803" t="s">
        <v>63</v>
      </c>
      <c r="D803">
        <v>1.9785999999999999</v>
      </c>
      <c r="E803">
        <f>Tableau3[[#This Row],[Potential (PJ)]]/3.6</f>
        <v>0.54961111111111105</v>
      </c>
      <c r="F803">
        <v>2.9286474973375931</v>
      </c>
      <c r="G803">
        <f>Tableau3[[#This Row],[Cost (€/GJ)]]*3.6</f>
        <v>10.543130990415335</v>
      </c>
      <c r="H803">
        <v>3.950479233226837</v>
      </c>
      <c r="I803">
        <f>Tableau3[[#This Row],[GHG (kgCO2eq/GJ)]]*3.6</f>
        <v>14.221725239616614</v>
      </c>
      <c r="J803" t="s">
        <v>104</v>
      </c>
      <c r="K803" t="s">
        <v>108</v>
      </c>
    </row>
    <row r="804" spans="1:11" x14ac:dyDescent="0.3">
      <c r="A804" t="s">
        <v>42</v>
      </c>
      <c r="B804" t="s">
        <v>46</v>
      </c>
      <c r="C804" t="s">
        <v>64</v>
      </c>
      <c r="D804">
        <v>2.0005099999999998</v>
      </c>
      <c r="E804">
        <f>Tableau3[[#This Row],[Potential (PJ)]]/3.6</f>
        <v>0.55569722222222218</v>
      </c>
      <c r="F804">
        <v>4.149641101519113</v>
      </c>
      <c r="G804">
        <f>Tableau3[[#This Row],[Cost (€/GJ)]]*3.6</f>
        <v>14.938707965468808</v>
      </c>
      <c r="H804">
        <v>2.9521711768407801</v>
      </c>
      <c r="I804">
        <f>Tableau3[[#This Row],[GHG (kgCO2eq/GJ)]]*3.6</f>
        <v>10.627816236626808</v>
      </c>
      <c r="J804" t="s">
        <v>104</v>
      </c>
      <c r="K804" t="s">
        <v>108</v>
      </c>
    </row>
    <row r="805" spans="1:11" x14ac:dyDescent="0.3">
      <c r="A805" t="s">
        <v>42</v>
      </c>
      <c r="B805" t="s">
        <v>46</v>
      </c>
      <c r="C805" t="s">
        <v>65</v>
      </c>
      <c r="D805">
        <v>10.199999999999999</v>
      </c>
      <c r="E805">
        <f>Tableau3[[#This Row],[Potential (PJ)]]/3.6</f>
        <v>2.833333333333333</v>
      </c>
      <c r="F805">
        <v>4.8715294117647057</v>
      </c>
      <c r="G805">
        <f>Tableau3[[#This Row],[Cost (€/GJ)]]*3.6</f>
        <v>17.537505882352942</v>
      </c>
      <c r="H805">
        <v>2.9521711768407801</v>
      </c>
      <c r="I805">
        <f>Tableau3[[#This Row],[GHG (kgCO2eq/GJ)]]*3.6</f>
        <v>10.627816236626808</v>
      </c>
      <c r="J805" t="s">
        <v>104</v>
      </c>
      <c r="K805" t="s">
        <v>108</v>
      </c>
    </row>
    <row r="806" spans="1:11" x14ac:dyDescent="0.3">
      <c r="A806" t="s">
        <v>42</v>
      </c>
      <c r="B806" t="s">
        <v>46</v>
      </c>
      <c r="C806" t="s">
        <v>67</v>
      </c>
      <c r="D806">
        <v>5.8</v>
      </c>
      <c r="E806">
        <f>Tableau3[[#This Row],[Potential (PJ)]]/3.6</f>
        <v>1.6111111111111109</v>
      </c>
      <c r="F806">
        <v>6.6330000000000009</v>
      </c>
      <c r="G806">
        <f>Tableau3[[#This Row],[Cost (€/GJ)]]*3.6</f>
        <v>23.878800000000005</v>
      </c>
      <c r="H806">
        <v>2.9521711768407801</v>
      </c>
      <c r="I806">
        <f>Tableau3[[#This Row],[GHG (kgCO2eq/GJ)]]*3.6</f>
        <v>10.627816236626808</v>
      </c>
      <c r="J806" t="s">
        <v>104</v>
      </c>
      <c r="K806" t="s">
        <v>108</v>
      </c>
    </row>
    <row r="807" spans="1:11" x14ac:dyDescent="0.3">
      <c r="A807" t="s">
        <v>42</v>
      </c>
      <c r="B807" t="s">
        <v>46</v>
      </c>
      <c r="C807" t="s">
        <v>85</v>
      </c>
      <c r="D807">
        <v>3.3</v>
      </c>
      <c r="E807">
        <f>Tableau3[[#This Row],[Potential (PJ)]]/3.6</f>
        <v>0.91666666666666663</v>
      </c>
      <c r="F807">
        <v>4.2919999999999998</v>
      </c>
      <c r="G807">
        <f>Tableau3[[#This Row],[Cost (€/GJ)]]*3.6</f>
        <v>15.4512</v>
      </c>
      <c r="H807">
        <v>2.9521711768407801</v>
      </c>
      <c r="I807">
        <f>Tableau3[[#This Row],[GHG (kgCO2eq/GJ)]]*3.6</f>
        <v>10.627816236626808</v>
      </c>
      <c r="J807" t="s">
        <v>104</v>
      </c>
      <c r="K807" t="s">
        <v>108</v>
      </c>
    </row>
    <row r="808" spans="1:11" x14ac:dyDescent="0.3">
      <c r="A808" t="s">
        <v>42</v>
      </c>
      <c r="B808" t="s">
        <v>47</v>
      </c>
      <c r="C808" t="s">
        <v>68</v>
      </c>
      <c r="D808">
        <v>172.4</v>
      </c>
      <c r="E808">
        <f>Tableau3[[#This Row],[Potential (PJ)]]/3.6</f>
        <v>47.888888888888893</v>
      </c>
      <c r="F808">
        <v>3.046232018561486</v>
      </c>
      <c r="G808">
        <f>Tableau3[[#This Row],[Cost (€/GJ)]]*3.6</f>
        <v>10.96643526682135</v>
      </c>
      <c r="I808">
        <f>Tableau3[[#This Row],[GHG (kgCO2eq/GJ)]]*3.6</f>
        <v>0</v>
      </c>
      <c r="J808" t="s">
        <v>104</v>
      </c>
      <c r="K808" t="s">
        <v>109</v>
      </c>
    </row>
    <row r="809" spans="1:11" x14ac:dyDescent="0.3">
      <c r="A809" t="s">
        <v>42</v>
      </c>
      <c r="B809" t="s">
        <v>47</v>
      </c>
      <c r="C809" t="s">
        <v>69</v>
      </c>
      <c r="D809">
        <v>120.4</v>
      </c>
      <c r="E809">
        <f>Tableau3[[#This Row],[Potential (PJ)]]/3.6</f>
        <v>33.444444444444443</v>
      </c>
      <c r="F809">
        <v>3.031480066445182</v>
      </c>
      <c r="G809">
        <f>Tableau3[[#This Row],[Cost (€/GJ)]]*3.6</f>
        <v>10.913328239202656</v>
      </c>
      <c r="I809">
        <f>Tableau3[[#This Row],[GHG (kgCO2eq/GJ)]]*3.6</f>
        <v>0</v>
      </c>
      <c r="J809" t="s">
        <v>104</v>
      </c>
      <c r="K809" t="s">
        <v>109</v>
      </c>
    </row>
    <row r="810" spans="1:11" x14ac:dyDescent="0.3">
      <c r="A810" t="s">
        <v>42</v>
      </c>
      <c r="B810" t="s">
        <v>48</v>
      </c>
      <c r="C810" t="s">
        <v>70</v>
      </c>
      <c r="D810">
        <v>63.6</v>
      </c>
      <c r="E810">
        <f>Tableau3[[#This Row],[Potential (PJ)]]/3.6</f>
        <v>17.666666666666668</v>
      </c>
      <c r="F810">
        <v>7.9025550314465409</v>
      </c>
      <c r="G810">
        <f>Tableau3[[#This Row],[Cost (€/GJ)]]*3.6</f>
        <v>28.449198113207547</v>
      </c>
      <c r="I810">
        <f>Tableau3[[#This Row],[GHG (kgCO2eq/GJ)]]*3.6</f>
        <v>0</v>
      </c>
      <c r="J810" t="s">
        <v>104</v>
      </c>
      <c r="K810" t="s">
        <v>109</v>
      </c>
    </row>
    <row r="811" spans="1:11" x14ac:dyDescent="0.3">
      <c r="A811" t="s">
        <v>42</v>
      </c>
      <c r="B811" t="s">
        <v>49</v>
      </c>
      <c r="C811" t="s">
        <v>71</v>
      </c>
      <c r="D811">
        <v>0.12482</v>
      </c>
      <c r="E811">
        <f>Tableau3[[#This Row],[Potential (PJ)]]/3.6</f>
        <v>3.4672222222222222E-2</v>
      </c>
      <c r="F811">
        <v>4.0270000000000001</v>
      </c>
      <c r="G811">
        <f>Tableau3[[#This Row],[Cost (€/GJ)]]*3.6</f>
        <v>14.497200000000001</v>
      </c>
      <c r="H811">
        <v>3.86607608129234</v>
      </c>
      <c r="I811">
        <f>Tableau3[[#This Row],[GHG (kgCO2eq/GJ)]]*3.6</f>
        <v>13.917873892652425</v>
      </c>
      <c r="J811" t="s">
        <v>104</v>
      </c>
      <c r="K811" t="s">
        <v>108</v>
      </c>
    </row>
    <row r="812" spans="1:11" x14ac:dyDescent="0.3">
      <c r="A812" t="s">
        <v>42</v>
      </c>
      <c r="B812" t="s">
        <v>52</v>
      </c>
      <c r="C812" t="s">
        <v>76</v>
      </c>
      <c r="D812">
        <v>1.861</v>
      </c>
      <c r="E812">
        <f>Tableau3[[#This Row],[Potential (PJ)]]/3.6</f>
        <v>0.51694444444444443</v>
      </c>
      <c r="F812">
        <v>0</v>
      </c>
      <c r="G812">
        <f>Tableau3[[#This Row],[Cost (€/GJ)]]*3.6</f>
        <v>0</v>
      </c>
      <c r="H812">
        <v>12.68872359754714</v>
      </c>
      <c r="I812">
        <f>Tableau3[[#This Row],[GHG (kgCO2eq/GJ)]]*3.6</f>
        <v>45.679404951169708</v>
      </c>
      <c r="J812" t="s">
        <v>105</v>
      </c>
      <c r="K812" t="s">
        <v>108</v>
      </c>
    </row>
    <row r="813" spans="1:11" x14ac:dyDescent="0.3">
      <c r="A813" t="s">
        <v>43</v>
      </c>
      <c r="B813" t="s">
        <v>49</v>
      </c>
      <c r="C813" t="s">
        <v>71</v>
      </c>
      <c r="D813">
        <v>146.47109</v>
      </c>
      <c r="E813">
        <f>Tableau3[[#This Row],[Potential (PJ)]]/3.6</f>
        <v>40.686413888888886</v>
      </c>
      <c r="F813">
        <v>0</v>
      </c>
      <c r="G813">
        <f>Tableau3[[#This Row],[Cost (€/GJ)]]*3.6</f>
        <v>0</v>
      </c>
      <c r="I813">
        <f>Tableau3[[#This Row],[GHG (kgCO2eq/GJ)]]*3.6</f>
        <v>0</v>
      </c>
      <c r="J813" t="s">
        <v>104</v>
      </c>
      <c r="K813" t="s">
        <v>108</v>
      </c>
    </row>
    <row r="814" spans="1:11" x14ac:dyDescent="0.3">
      <c r="A814" t="s">
        <v>43</v>
      </c>
      <c r="B814" t="s">
        <v>49</v>
      </c>
      <c r="C814" t="s">
        <v>72</v>
      </c>
      <c r="D814">
        <v>26.7</v>
      </c>
      <c r="E814">
        <f>Tableau3[[#This Row],[Potential (PJ)]]/3.6</f>
        <v>7.4166666666666661</v>
      </c>
      <c r="F814">
        <v>0</v>
      </c>
      <c r="G814">
        <f>Tableau3[[#This Row],[Cost (€/GJ)]]*3.6</f>
        <v>0</v>
      </c>
      <c r="I814">
        <f>Tableau3[[#This Row],[GHG (kgCO2eq/GJ)]]*3.6</f>
        <v>0</v>
      </c>
      <c r="J814" t="s">
        <v>104</v>
      </c>
      <c r="K814" t="s">
        <v>108</v>
      </c>
    </row>
    <row r="815" spans="1:11" x14ac:dyDescent="0.3">
      <c r="A815" t="s">
        <v>43</v>
      </c>
      <c r="B815" t="s">
        <v>53</v>
      </c>
      <c r="C815" t="s">
        <v>77</v>
      </c>
      <c r="D815">
        <v>18.600000000000001</v>
      </c>
      <c r="E815">
        <f>Tableau3[[#This Row],[Potential (PJ)]]/3.6</f>
        <v>5.166666666666667</v>
      </c>
      <c r="F815">
        <v>0</v>
      </c>
      <c r="G815">
        <f>Tableau3[[#This Row],[Cost (€/GJ)]]*3.6</f>
        <v>0</v>
      </c>
      <c r="I815">
        <f>Tableau3[[#This Row],[GHG (kgCO2eq/GJ)]]*3.6</f>
        <v>0</v>
      </c>
      <c r="J815" t="s">
        <v>104</v>
      </c>
      <c r="K815" t="s">
        <v>108</v>
      </c>
    </row>
    <row r="816" spans="1:11" x14ac:dyDescent="0.3">
      <c r="A816" t="s">
        <v>43</v>
      </c>
      <c r="B816" t="s">
        <v>54</v>
      </c>
      <c r="C816" t="s">
        <v>78</v>
      </c>
      <c r="D816">
        <v>102.3</v>
      </c>
      <c r="E816">
        <f>Tableau3[[#This Row],[Potential (PJ)]]/3.6</f>
        <v>28.416666666666664</v>
      </c>
      <c r="F816">
        <v>0</v>
      </c>
      <c r="G816">
        <f>Tableau3[[#This Row],[Cost (€/GJ)]]*3.6</f>
        <v>0</v>
      </c>
      <c r="I816">
        <f>Tableau3[[#This Row],[GHG (kgCO2eq/GJ)]]*3.6</f>
        <v>0</v>
      </c>
      <c r="J816" t="s">
        <v>104</v>
      </c>
      <c r="K816" t="s">
        <v>108</v>
      </c>
    </row>
    <row r="817" spans="1:11" x14ac:dyDescent="0.3">
      <c r="A817" t="s">
        <v>44</v>
      </c>
      <c r="B817" t="s">
        <v>46</v>
      </c>
      <c r="C817" t="s">
        <v>64</v>
      </c>
      <c r="D817">
        <v>0.11328000000000001</v>
      </c>
      <c r="E817">
        <f>Tableau3[[#This Row],[Potential (PJ)]]/3.6</f>
        <v>3.1466666666666671E-2</v>
      </c>
      <c r="F817">
        <v>5.9785731814971754</v>
      </c>
      <c r="G817">
        <f>Tableau3[[#This Row],[Cost (€/GJ)]]*3.6</f>
        <v>21.522863453389832</v>
      </c>
      <c r="H817">
        <v>2.9521711768407801</v>
      </c>
      <c r="I817">
        <f>Tableau3[[#This Row],[GHG (kgCO2eq/GJ)]]*3.6</f>
        <v>10.627816236626808</v>
      </c>
      <c r="J817" t="s">
        <v>104</v>
      </c>
      <c r="K817" t="s">
        <v>108</v>
      </c>
    </row>
    <row r="818" spans="1:11" x14ac:dyDescent="0.3">
      <c r="A818" t="s">
        <v>44</v>
      </c>
      <c r="B818" t="s">
        <v>46</v>
      </c>
      <c r="C818" t="s">
        <v>79</v>
      </c>
      <c r="D818">
        <v>53.7</v>
      </c>
      <c r="E818">
        <f>Tableau3[[#This Row],[Potential (PJ)]]/3.6</f>
        <v>14.916666666666668</v>
      </c>
      <c r="F818">
        <v>5.3197392923649911</v>
      </c>
      <c r="G818">
        <f>Tableau3[[#This Row],[Cost (€/GJ)]]*3.6</f>
        <v>19.151061452513968</v>
      </c>
      <c r="H818">
        <v>6.8428961748633883</v>
      </c>
      <c r="I818">
        <f>Tableau3[[#This Row],[GHG (kgCO2eq/GJ)]]*3.6</f>
        <v>24.634426229508197</v>
      </c>
      <c r="J818" t="s">
        <v>104</v>
      </c>
      <c r="K818" t="s">
        <v>108</v>
      </c>
    </row>
    <row r="819" spans="1:11" x14ac:dyDescent="0.3">
      <c r="A819" t="s">
        <v>44</v>
      </c>
      <c r="B819" t="s">
        <v>46</v>
      </c>
      <c r="C819" t="s">
        <v>80</v>
      </c>
      <c r="D819">
        <v>2.64506</v>
      </c>
      <c r="E819">
        <f>Tableau3[[#This Row],[Potential (PJ)]]/3.6</f>
        <v>0.73473888888888883</v>
      </c>
      <c r="F819">
        <v>4.7201618341200263E-2</v>
      </c>
      <c r="G819">
        <f>Tableau3[[#This Row],[Cost (€/GJ)]]*3.6</f>
        <v>0.16992582602832096</v>
      </c>
      <c r="H819">
        <v>28.139870918023309</v>
      </c>
      <c r="I819">
        <f>Tableau3[[#This Row],[GHG (kgCO2eq/GJ)]]*3.6</f>
        <v>101.30353530488391</v>
      </c>
      <c r="J819" t="s">
        <v>105</v>
      </c>
      <c r="K819" t="s">
        <v>108</v>
      </c>
    </row>
    <row r="820" spans="1:11" x14ac:dyDescent="0.3">
      <c r="A820" t="s">
        <v>44</v>
      </c>
      <c r="B820" t="s">
        <v>46</v>
      </c>
      <c r="C820" t="s">
        <v>81</v>
      </c>
      <c r="D820">
        <v>0.93806</v>
      </c>
      <c r="E820">
        <f>Tableau3[[#This Row],[Potential (PJ)]]/3.6</f>
        <v>0.26057222222222221</v>
      </c>
      <c r="F820">
        <v>0.69388954171562867</v>
      </c>
      <c r="G820">
        <f>Tableau3[[#This Row],[Cost (€/GJ)]]*3.6</f>
        <v>2.4980023501762632</v>
      </c>
      <c r="H820">
        <v>8.9647473560517046</v>
      </c>
      <c r="I820">
        <f>Tableau3[[#This Row],[GHG (kgCO2eq/GJ)]]*3.6</f>
        <v>32.273090481786134</v>
      </c>
      <c r="J820" t="s">
        <v>105</v>
      </c>
      <c r="K820" t="s">
        <v>108</v>
      </c>
    </row>
    <row r="821" spans="1:11" x14ac:dyDescent="0.3">
      <c r="A821" t="s">
        <v>44</v>
      </c>
      <c r="B821" t="s">
        <v>46</v>
      </c>
      <c r="C821" t="s">
        <v>82</v>
      </c>
      <c r="D821">
        <v>5.3</v>
      </c>
      <c r="E821">
        <f>Tableau3[[#This Row],[Potential (PJ)]]/3.6</f>
        <v>1.4722222222222221</v>
      </c>
      <c r="F821">
        <v>3.3519999999999999</v>
      </c>
      <c r="G821">
        <f>Tableau3[[#This Row],[Cost (€/GJ)]]*3.6</f>
        <v>12.0672</v>
      </c>
      <c r="H821">
        <v>6.8428961748633883</v>
      </c>
      <c r="I821">
        <f>Tableau3[[#This Row],[GHG (kgCO2eq/GJ)]]*3.6</f>
        <v>24.634426229508197</v>
      </c>
      <c r="J821" t="s">
        <v>104</v>
      </c>
      <c r="K821" t="s">
        <v>108</v>
      </c>
    </row>
    <row r="822" spans="1:11" x14ac:dyDescent="0.3">
      <c r="A822" t="s">
        <v>44</v>
      </c>
      <c r="B822" t="s">
        <v>46</v>
      </c>
      <c r="C822" t="s">
        <v>84</v>
      </c>
      <c r="D822">
        <v>1.1000000000000001</v>
      </c>
      <c r="E822">
        <f>Tableau3[[#This Row],[Potential (PJ)]]/3.6</f>
        <v>0.30555555555555558</v>
      </c>
      <c r="F822">
        <v>3.0569999999999999</v>
      </c>
      <c r="G822">
        <f>Tableau3[[#This Row],[Cost (€/GJ)]]*3.6</f>
        <v>11.0052</v>
      </c>
      <c r="H822">
        <v>28.139870918023309</v>
      </c>
      <c r="I822">
        <f>Tableau3[[#This Row],[GHG (kgCO2eq/GJ)]]*3.6</f>
        <v>101.30353530488391</v>
      </c>
      <c r="J822" t="s">
        <v>105</v>
      </c>
      <c r="K822" t="s">
        <v>108</v>
      </c>
    </row>
    <row r="823" spans="1:11" x14ac:dyDescent="0.3">
      <c r="A823" t="s">
        <v>44</v>
      </c>
      <c r="B823" t="s">
        <v>55</v>
      </c>
      <c r="C823" t="s">
        <v>86</v>
      </c>
      <c r="D823">
        <v>2.9796999999999998</v>
      </c>
      <c r="E823">
        <f>Tableau3[[#This Row],[Potential (PJ)]]/3.6</f>
        <v>0.8276944444444444</v>
      </c>
      <c r="F823">
        <v>12.305999999999999</v>
      </c>
      <c r="G823">
        <f>Tableau3[[#This Row],[Cost (€/GJ)]]*3.6</f>
        <v>44.301600000000001</v>
      </c>
      <c r="H823">
        <v>11.6</v>
      </c>
      <c r="I823">
        <f>Tableau3[[#This Row],[GHG (kgCO2eq/GJ)]]*3.6</f>
        <v>41.76</v>
      </c>
      <c r="J823" t="s">
        <v>106</v>
      </c>
      <c r="K823" t="s">
        <v>109</v>
      </c>
    </row>
    <row r="824" spans="1:11" x14ac:dyDescent="0.3">
      <c r="A824" t="s">
        <v>44</v>
      </c>
      <c r="B824" t="s">
        <v>55</v>
      </c>
      <c r="C824" t="s">
        <v>89</v>
      </c>
      <c r="D824">
        <v>3.1093999999999999</v>
      </c>
      <c r="E824">
        <f>Tableau3[[#This Row],[Potential (PJ)]]/3.6</f>
        <v>0.86372222222222217</v>
      </c>
      <c r="F824">
        <v>0</v>
      </c>
      <c r="G824">
        <f>Tableau3[[#This Row],[Cost (€/GJ)]]*3.6</f>
        <v>0</v>
      </c>
      <c r="H824">
        <v>11.6</v>
      </c>
      <c r="I824">
        <f>Tableau3[[#This Row],[GHG (kgCO2eq/GJ)]]*3.6</f>
        <v>41.76</v>
      </c>
      <c r="J824" t="s">
        <v>106</v>
      </c>
      <c r="K824" t="s">
        <v>109</v>
      </c>
    </row>
    <row r="825" spans="1:11" x14ac:dyDescent="0.3">
      <c r="A825" t="s">
        <v>44</v>
      </c>
      <c r="B825" t="s">
        <v>55</v>
      </c>
      <c r="C825" t="s">
        <v>92</v>
      </c>
      <c r="D825">
        <v>11.995380000000001</v>
      </c>
      <c r="E825">
        <f>Tableau3[[#This Row],[Potential (PJ)]]/3.6</f>
        <v>3.3320500000000002</v>
      </c>
      <c r="F825">
        <v>12.39999999999999</v>
      </c>
      <c r="G825">
        <f>Tableau3[[#This Row],[Cost (€/GJ)]]*3.6</f>
        <v>44.639999999999965</v>
      </c>
      <c r="H825">
        <v>11.6</v>
      </c>
      <c r="I825">
        <f>Tableau3[[#This Row],[GHG (kgCO2eq/GJ)]]*3.6</f>
        <v>41.76</v>
      </c>
      <c r="J825" t="s">
        <v>106</v>
      </c>
      <c r="K825" t="s">
        <v>109</v>
      </c>
    </row>
    <row r="826" spans="1:11" x14ac:dyDescent="0.3">
      <c r="A826" t="s">
        <v>44</v>
      </c>
      <c r="B826" t="s">
        <v>56</v>
      </c>
      <c r="C826" t="s">
        <v>93</v>
      </c>
      <c r="D826">
        <v>18.166799999999999</v>
      </c>
      <c r="E826">
        <f>Tableau3[[#This Row],[Potential (PJ)]]/3.6</f>
        <v>5.0463333333333331</v>
      </c>
      <c r="F826">
        <v>2.939759036144578</v>
      </c>
      <c r="G826">
        <f>Tableau3[[#This Row],[Cost (€/GJ)]]*3.6</f>
        <v>10.583132530120482</v>
      </c>
      <c r="H826">
        <v>28.8</v>
      </c>
      <c r="I826">
        <f>Tableau3[[#This Row],[GHG (kgCO2eq/GJ)]]*3.6</f>
        <v>103.68</v>
      </c>
      <c r="J826" t="s">
        <v>106</v>
      </c>
      <c r="K826" t="s">
        <v>109</v>
      </c>
    </row>
    <row r="827" spans="1:11" x14ac:dyDescent="0.3">
      <c r="A827" t="s">
        <v>44</v>
      </c>
      <c r="B827" t="s">
        <v>47</v>
      </c>
      <c r="C827" t="s">
        <v>68</v>
      </c>
      <c r="D827">
        <v>17.899999999999999</v>
      </c>
      <c r="E827">
        <f>Tableau3[[#This Row],[Potential (PJ)]]/3.6</f>
        <v>4.9722222222222214</v>
      </c>
      <c r="F827">
        <v>7.1188659217877097</v>
      </c>
      <c r="G827">
        <f>Tableau3[[#This Row],[Cost (€/GJ)]]*3.6</f>
        <v>25.627917318435756</v>
      </c>
      <c r="H827">
        <v>15.9</v>
      </c>
      <c r="I827">
        <f>Tableau3[[#This Row],[GHG (kgCO2eq/GJ)]]*3.6</f>
        <v>57.24</v>
      </c>
      <c r="J827" t="s">
        <v>104</v>
      </c>
      <c r="K827" t="s">
        <v>109</v>
      </c>
    </row>
    <row r="828" spans="1:11" x14ac:dyDescent="0.3">
      <c r="A828" t="s">
        <v>44</v>
      </c>
      <c r="B828" t="s">
        <v>47</v>
      </c>
      <c r="C828" t="s">
        <v>69</v>
      </c>
      <c r="D828">
        <v>10.3</v>
      </c>
      <c r="E828">
        <f>Tableau3[[#This Row],[Potential (PJ)]]/3.6</f>
        <v>2.8611111111111112</v>
      </c>
      <c r="F828">
        <v>7.8081262135922316</v>
      </c>
      <c r="G828">
        <f>Tableau3[[#This Row],[Cost (€/GJ)]]*3.6</f>
        <v>28.109254368932035</v>
      </c>
      <c r="H828">
        <v>15.9</v>
      </c>
      <c r="I828">
        <f>Tableau3[[#This Row],[GHG (kgCO2eq/GJ)]]*3.6</f>
        <v>57.24</v>
      </c>
      <c r="J828" t="s">
        <v>104</v>
      </c>
      <c r="K828" t="s">
        <v>109</v>
      </c>
    </row>
    <row r="829" spans="1:11" x14ac:dyDescent="0.3">
      <c r="A829" t="s">
        <v>44</v>
      </c>
      <c r="B829" t="s">
        <v>57</v>
      </c>
      <c r="C829" t="s">
        <v>94</v>
      </c>
      <c r="D829">
        <v>27.6</v>
      </c>
      <c r="E829">
        <f>Tableau3[[#This Row],[Potential (PJ)]]/3.6</f>
        <v>7.666666666666667</v>
      </c>
      <c r="F829">
        <v>10.39997826086957</v>
      </c>
      <c r="G829">
        <f>Tableau3[[#This Row],[Cost (€/GJ)]]*3.6</f>
        <v>37.439921739130455</v>
      </c>
      <c r="H829">
        <v>24.6</v>
      </c>
      <c r="I829">
        <f>Tableau3[[#This Row],[GHG (kgCO2eq/GJ)]]*3.6</f>
        <v>88.56</v>
      </c>
      <c r="J829" t="s">
        <v>104</v>
      </c>
      <c r="K829" t="s">
        <v>109</v>
      </c>
    </row>
    <row r="830" spans="1:11" x14ac:dyDescent="0.3">
      <c r="A830" t="s">
        <v>44</v>
      </c>
      <c r="B830" t="s">
        <v>49</v>
      </c>
      <c r="C830" t="s">
        <v>71</v>
      </c>
      <c r="D830">
        <v>43.862000000000002</v>
      </c>
      <c r="E830">
        <f>Tableau3[[#This Row],[Potential (PJ)]]/3.6</f>
        <v>12.183888888888889</v>
      </c>
      <c r="F830">
        <v>3.8864075938169709</v>
      </c>
      <c r="G830">
        <f>Tableau3[[#This Row],[Cost (€/GJ)]]*3.6</f>
        <v>13.991067337741095</v>
      </c>
      <c r="H830">
        <v>3.86607608129234</v>
      </c>
      <c r="I830">
        <f>Tableau3[[#This Row],[GHG (kgCO2eq/GJ)]]*3.6</f>
        <v>13.917873892652425</v>
      </c>
      <c r="J830" t="s">
        <v>104</v>
      </c>
      <c r="K830" t="s">
        <v>108</v>
      </c>
    </row>
    <row r="831" spans="1:11" x14ac:dyDescent="0.3">
      <c r="A831" t="s">
        <v>44</v>
      </c>
      <c r="B831" t="s">
        <v>49</v>
      </c>
      <c r="C831" t="s">
        <v>72</v>
      </c>
      <c r="D831">
        <v>2.9</v>
      </c>
      <c r="E831">
        <f>Tableau3[[#This Row],[Potential (PJ)]]/3.6</f>
        <v>0.80555555555555547</v>
      </c>
      <c r="F831">
        <v>3.0816551724137931</v>
      </c>
      <c r="G831">
        <f>Tableau3[[#This Row],[Cost (€/GJ)]]*3.6</f>
        <v>11.093958620689655</v>
      </c>
      <c r="H831">
        <v>3.86607608129234</v>
      </c>
      <c r="I831">
        <f>Tableau3[[#This Row],[GHG (kgCO2eq/GJ)]]*3.6</f>
        <v>13.917873892652425</v>
      </c>
      <c r="J831" t="s">
        <v>104</v>
      </c>
      <c r="K831" t="s">
        <v>108</v>
      </c>
    </row>
    <row r="832" spans="1:11" x14ac:dyDescent="0.3">
      <c r="A832" t="s">
        <v>44</v>
      </c>
      <c r="B832" t="s">
        <v>58</v>
      </c>
      <c r="C832" t="s">
        <v>95</v>
      </c>
      <c r="D832">
        <v>13.971730000000001</v>
      </c>
      <c r="E832">
        <f>Tableau3[[#This Row],[Potential (PJ)]]/3.6</f>
        <v>3.8810361111111114</v>
      </c>
      <c r="F832">
        <v>0.51054491032964422</v>
      </c>
      <c r="G832">
        <f>Tableau3[[#This Row],[Cost (€/GJ)]]*3.6</f>
        <v>1.8379616771867193</v>
      </c>
      <c r="H832">
        <v>2.9521711768407801</v>
      </c>
      <c r="I832">
        <f>Tableau3[[#This Row],[GHG (kgCO2eq/GJ)]]*3.6</f>
        <v>10.627816236626808</v>
      </c>
      <c r="J832" t="s">
        <v>104</v>
      </c>
      <c r="K832" t="s">
        <v>108</v>
      </c>
    </row>
    <row r="833" spans="1:11" x14ac:dyDescent="0.3">
      <c r="A833" t="s">
        <v>44</v>
      </c>
      <c r="B833" t="s">
        <v>50</v>
      </c>
      <c r="C833" t="s">
        <v>73</v>
      </c>
      <c r="D833">
        <v>11.6</v>
      </c>
      <c r="E833">
        <f>Tableau3[[#This Row],[Potential (PJ)]]/3.6</f>
        <v>3.2222222222222219</v>
      </c>
      <c r="F833">
        <v>5.9738965517241382</v>
      </c>
      <c r="G833">
        <f>Tableau3[[#This Row],[Cost (€/GJ)]]*3.6</f>
        <v>21.506027586206898</v>
      </c>
      <c r="H833">
        <v>20.723404255319149</v>
      </c>
      <c r="I833">
        <f>Tableau3[[#This Row],[GHG (kgCO2eq/GJ)]]*3.6</f>
        <v>74.604255319148933</v>
      </c>
      <c r="J833" t="s">
        <v>105</v>
      </c>
      <c r="K833" t="s">
        <v>108</v>
      </c>
    </row>
    <row r="834" spans="1:11" x14ac:dyDescent="0.3">
      <c r="A834" t="s">
        <v>44</v>
      </c>
      <c r="B834" t="s">
        <v>50</v>
      </c>
      <c r="C834" t="s">
        <v>74</v>
      </c>
      <c r="D834">
        <v>145.5</v>
      </c>
      <c r="E834">
        <f>Tableau3[[#This Row],[Potential (PJ)]]/3.6</f>
        <v>40.416666666666664</v>
      </c>
      <c r="F834">
        <v>6.4871690721649484</v>
      </c>
      <c r="G834">
        <f>Tableau3[[#This Row],[Cost (€/GJ)]]*3.6</f>
        <v>23.353808659793813</v>
      </c>
      <c r="H834">
        <v>2.0635593220338988</v>
      </c>
      <c r="I834">
        <f>Tableau3[[#This Row],[GHG (kgCO2eq/GJ)]]*3.6</f>
        <v>7.4288135593220357</v>
      </c>
      <c r="J834" t="s">
        <v>105</v>
      </c>
      <c r="K834" t="s">
        <v>108</v>
      </c>
    </row>
    <row r="835" spans="1:11" x14ac:dyDescent="0.3">
      <c r="A835" t="s">
        <v>44</v>
      </c>
      <c r="B835" t="s">
        <v>51</v>
      </c>
      <c r="C835" t="s">
        <v>75</v>
      </c>
      <c r="D835">
        <v>13.529489999999999</v>
      </c>
      <c r="E835">
        <f>Tableau3[[#This Row],[Potential (PJ)]]/3.6</f>
        <v>3.7581916666666664</v>
      </c>
      <c r="F835">
        <v>4.2217435610363903E-2</v>
      </c>
      <c r="G835">
        <f>Tableau3[[#This Row],[Cost (€/GJ)]]*3.6</f>
        <v>0.15198276819731005</v>
      </c>
      <c r="H835">
        <v>11.74</v>
      </c>
      <c r="I835">
        <f>Tableau3[[#This Row],[GHG (kgCO2eq/GJ)]]*3.6</f>
        <v>42.264000000000003</v>
      </c>
      <c r="J835" t="s">
        <v>104</v>
      </c>
      <c r="K835" t="s">
        <v>108</v>
      </c>
    </row>
    <row r="836" spans="1:11" x14ac:dyDescent="0.3">
      <c r="A836" t="s">
        <v>44</v>
      </c>
      <c r="B836" t="s">
        <v>60</v>
      </c>
      <c r="C836" t="s">
        <v>98</v>
      </c>
      <c r="D836">
        <v>2.3336600000000001</v>
      </c>
      <c r="E836">
        <f>Tableau3[[#This Row],[Potential (PJ)]]/3.6</f>
        <v>0.64823888888888892</v>
      </c>
      <c r="F836">
        <v>19.60257787325456</v>
      </c>
      <c r="G836">
        <f>Tableau3[[#This Row],[Cost (€/GJ)]]*3.6</f>
        <v>70.569280343716414</v>
      </c>
      <c r="H836">
        <v>20.6</v>
      </c>
      <c r="I836">
        <f>Tableau3[[#This Row],[GHG (kgCO2eq/GJ)]]*3.6</f>
        <v>74.160000000000011</v>
      </c>
      <c r="J836" t="s">
        <v>107</v>
      </c>
      <c r="K836" t="s">
        <v>109</v>
      </c>
    </row>
    <row r="837" spans="1:11" x14ac:dyDescent="0.3">
      <c r="A837" t="s">
        <v>44</v>
      </c>
      <c r="B837" t="s">
        <v>52</v>
      </c>
      <c r="C837" t="s">
        <v>76</v>
      </c>
      <c r="D837">
        <v>8.8999999999999996E-2</v>
      </c>
      <c r="E837">
        <f>Tableau3[[#This Row],[Potential (PJ)]]/3.6</f>
        <v>2.4722222222222222E-2</v>
      </c>
      <c r="F837">
        <v>7.5037500000000001</v>
      </c>
      <c r="G837">
        <f>Tableau3[[#This Row],[Cost (€/GJ)]]*3.6</f>
        <v>27.013500000000001</v>
      </c>
      <c r="H837">
        <v>12.68872359754714</v>
      </c>
      <c r="I837">
        <f>Tableau3[[#This Row],[GHG (kgCO2eq/GJ)]]*3.6</f>
        <v>45.679404951169708</v>
      </c>
      <c r="J837" t="s">
        <v>105</v>
      </c>
      <c r="K837" t="s">
        <v>108</v>
      </c>
    </row>
    <row r="838" spans="1:11" x14ac:dyDescent="0.3">
      <c r="A838" t="s">
        <v>44</v>
      </c>
      <c r="B838" t="s">
        <v>53</v>
      </c>
      <c r="C838" t="s">
        <v>77</v>
      </c>
      <c r="D838">
        <v>3</v>
      </c>
      <c r="E838">
        <f>Tableau3[[#This Row],[Potential (PJ)]]/3.6</f>
        <v>0.83333333333333326</v>
      </c>
      <c r="F838">
        <v>2.978966666666667</v>
      </c>
      <c r="G838">
        <f>Tableau3[[#This Row],[Cost (€/GJ)]]*3.6</f>
        <v>10.724280000000002</v>
      </c>
      <c r="H838">
        <v>3.86607608129234</v>
      </c>
      <c r="I838">
        <f>Tableau3[[#This Row],[GHG (kgCO2eq/GJ)]]*3.6</f>
        <v>13.917873892652425</v>
      </c>
      <c r="J838" t="s">
        <v>104</v>
      </c>
      <c r="K838" t="s">
        <v>108</v>
      </c>
    </row>
    <row r="839" spans="1:11" x14ac:dyDescent="0.3">
      <c r="A839" t="s">
        <v>44</v>
      </c>
      <c r="B839" t="s">
        <v>61</v>
      </c>
      <c r="C839" t="s">
        <v>99</v>
      </c>
      <c r="D839">
        <v>10.3</v>
      </c>
      <c r="E839">
        <f>Tableau3[[#This Row],[Potential (PJ)]]/3.6</f>
        <v>2.8611111111111112</v>
      </c>
      <c r="F839">
        <v>1.954776699029126</v>
      </c>
      <c r="G839">
        <f>Tableau3[[#This Row],[Cost (€/GJ)]]*3.6</f>
        <v>7.0371961165048535</v>
      </c>
      <c r="H839">
        <v>2.9245635910224439</v>
      </c>
      <c r="I839">
        <f>Tableau3[[#This Row],[GHG (kgCO2eq/GJ)]]*3.6</f>
        <v>10.528428927680798</v>
      </c>
      <c r="J839" t="s">
        <v>104</v>
      </c>
      <c r="K839" t="s">
        <v>108</v>
      </c>
    </row>
    <row r="840" spans="1:11" x14ac:dyDescent="0.3">
      <c r="A840" t="s">
        <v>44</v>
      </c>
      <c r="B840" t="s">
        <v>62</v>
      </c>
      <c r="C840" t="s">
        <v>100</v>
      </c>
      <c r="D840">
        <v>3.2</v>
      </c>
      <c r="E840">
        <f>Tableau3[[#This Row],[Potential (PJ)]]/3.6</f>
        <v>0.88888888888888895</v>
      </c>
      <c r="F840">
        <v>9.6874999999999989E-2</v>
      </c>
      <c r="G840">
        <f>Tableau3[[#This Row],[Cost (€/GJ)]]*3.6</f>
        <v>0.34874999999999995</v>
      </c>
      <c r="H840">
        <v>2.6764106050305911</v>
      </c>
      <c r="I840">
        <f>Tableau3[[#This Row],[GHG (kgCO2eq/GJ)]]*3.6</f>
        <v>9.6350781781101276</v>
      </c>
      <c r="J840" t="s">
        <v>104</v>
      </c>
      <c r="K840" t="s">
        <v>108</v>
      </c>
    </row>
    <row r="841" spans="1:11" x14ac:dyDescent="0.3">
      <c r="A841" t="s">
        <v>44</v>
      </c>
      <c r="B841" t="s">
        <v>54</v>
      </c>
      <c r="C841" t="s">
        <v>78</v>
      </c>
      <c r="D841">
        <v>44.2</v>
      </c>
      <c r="E841">
        <f>Tableau3[[#This Row],[Potential (PJ)]]/3.6</f>
        <v>12.277777777777779</v>
      </c>
      <c r="F841">
        <v>6.2328733031674206</v>
      </c>
      <c r="G841">
        <f>Tableau3[[#This Row],[Cost (€/GJ)]]*3.6</f>
        <v>22.438343891402713</v>
      </c>
      <c r="H841">
        <v>3.86607608129234</v>
      </c>
      <c r="I841">
        <f>Tableau3[[#This Row],[GHG (kgCO2eq/GJ)]]*3.6</f>
        <v>13.917873892652425</v>
      </c>
      <c r="J841" t="s">
        <v>104</v>
      </c>
      <c r="K841" t="s">
        <v>108</v>
      </c>
    </row>
    <row r="842" spans="1:11" x14ac:dyDescent="0.3">
      <c r="A842" t="s">
        <v>45</v>
      </c>
      <c r="B842" t="s">
        <v>46</v>
      </c>
      <c r="C842" t="s">
        <v>64</v>
      </c>
      <c r="D842">
        <v>1.374E-2</v>
      </c>
      <c r="E842">
        <f>Tableau3[[#This Row],[Potential (PJ)]]/3.6</f>
        <v>3.8166666666666666E-3</v>
      </c>
      <c r="F842">
        <v>5.7220000000000013</v>
      </c>
      <c r="G842">
        <f>Tableau3[[#This Row],[Cost (€/GJ)]]*3.6</f>
        <v>20.599200000000007</v>
      </c>
      <c r="H842">
        <v>2.9521711768407801</v>
      </c>
      <c r="I842">
        <f>Tableau3[[#This Row],[GHG (kgCO2eq/GJ)]]*3.6</f>
        <v>10.627816236626808</v>
      </c>
      <c r="J842" t="s">
        <v>104</v>
      </c>
      <c r="K842" t="s">
        <v>108</v>
      </c>
    </row>
    <row r="843" spans="1:11" x14ac:dyDescent="0.3">
      <c r="A843" t="s">
        <v>45</v>
      </c>
      <c r="B843" t="s">
        <v>46</v>
      </c>
      <c r="C843" t="s">
        <v>79</v>
      </c>
      <c r="D843">
        <v>0.7</v>
      </c>
      <c r="E843">
        <f>Tableau3[[#This Row],[Potential (PJ)]]/3.6</f>
        <v>0.19444444444444442</v>
      </c>
      <c r="F843">
        <v>3.898000000000001</v>
      </c>
      <c r="G843">
        <f>Tableau3[[#This Row],[Cost (€/GJ)]]*3.6</f>
        <v>14.032800000000003</v>
      </c>
      <c r="H843">
        <v>6.8428961748633883</v>
      </c>
      <c r="I843">
        <f>Tableau3[[#This Row],[GHG (kgCO2eq/GJ)]]*3.6</f>
        <v>24.634426229508197</v>
      </c>
      <c r="J843" t="s">
        <v>104</v>
      </c>
      <c r="K843" t="s">
        <v>108</v>
      </c>
    </row>
    <row r="844" spans="1:11" x14ac:dyDescent="0.3">
      <c r="A844" t="s">
        <v>45</v>
      </c>
      <c r="B844" t="s">
        <v>46</v>
      </c>
      <c r="C844" t="s">
        <v>66</v>
      </c>
      <c r="D844">
        <v>0.1</v>
      </c>
      <c r="E844">
        <f>Tableau3[[#This Row],[Potential (PJ)]]/3.6</f>
        <v>2.777777777777778E-2</v>
      </c>
      <c r="F844">
        <v>3.5680000000000001</v>
      </c>
      <c r="G844">
        <f>Tableau3[[#This Row],[Cost (€/GJ)]]*3.6</f>
        <v>12.844800000000001</v>
      </c>
      <c r="H844">
        <v>6.8428961748633883</v>
      </c>
      <c r="I844">
        <f>Tableau3[[#This Row],[GHG (kgCO2eq/GJ)]]*3.6</f>
        <v>24.634426229508197</v>
      </c>
      <c r="J844" t="s">
        <v>104</v>
      </c>
      <c r="K844" t="s">
        <v>108</v>
      </c>
    </row>
    <row r="845" spans="1:11" x14ac:dyDescent="0.3">
      <c r="A845" t="s">
        <v>45</v>
      </c>
      <c r="B845" t="s">
        <v>47</v>
      </c>
      <c r="C845" t="s">
        <v>68</v>
      </c>
      <c r="D845">
        <v>23.6</v>
      </c>
      <c r="E845">
        <f>Tableau3[[#This Row],[Potential (PJ)]]/3.6</f>
        <v>6.5555555555555554</v>
      </c>
      <c r="F845">
        <v>3.593</v>
      </c>
      <c r="G845">
        <f>Tableau3[[#This Row],[Cost (€/GJ)]]*3.6</f>
        <v>12.934800000000001</v>
      </c>
      <c r="I845">
        <f>Tableau3[[#This Row],[GHG (kgCO2eq/GJ)]]*3.6</f>
        <v>0</v>
      </c>
      <c r="J845" t="s">
        <v>104</v>
      </c>
      <c r="K845" t="s">
        <v>109</v>
      </c>
    </row>
    <row r="846" spans="1:11" x14ac:dyDescent="0.3">
      <c r="A846" t="s">
        <v>45</v>
      </c>
      <c r="B846" t="s">
        <v>47</v>
      </c>
      <c r="C846" t="s">
        <v>69</v>
      </c>
      <c r="D846">
        <v>16.5</v>
      </c>
      <c r="E846">
        <f>Tableau3[[#This Row],[Potential (PJ)]]/3.6</f>
        <v>4.583333333333333</v>
      </c>
      <c r="F846">
        <v>3.569</v>
      </c>
      <c r="G846">
        <f>Tableau3[[#This Row],[Cost (€/GJ)]]*3.6</f>
        <v>12.8484</v>
      </c>
      <c r="I846">
        <f>Tableau3[[#This Row],[GHG (kgCO2eq/GJ)]]*3.6</f>
        <v>0</v>
      </c>
      <c r="J846" t="s">
        <v>104</v>
      </c>
      <c r="K846" t="s">
        <v>109</v>
      </c>
    </row>
    <row r="847" spans="1:11" x14ac:dyDescent="0.3">
      <c r="A847" t="s">
        <v>45</v>
      </c>
      <c r="B847" t="s">
        <v>48</v>
      </c>
      <c r="C847" t="s">
        <v>70</v>
      </c>
      <c r="D847">
        <v>8.6999999999999993</v>
      </c>
      <c r="E847">
        <f>Tableau3[[#This Row],[Potential (PJ)]]/3.6</f>
        <v>2.4166666666666665</v>
      </c>
      <c r="F847">
        <v>9.0830000000000002</v>
      </c>
      <c r="G847">
        <f>Tableau3[[#This Row],[Cost (€/GJ)]]*3.6</f>
        <v>32.698799999999999</v>
      </c>
      <c r="I847">
        <f>Tableau3[[#This Row],[GHG (kgCO2eq/GJ)]]*3.6</f>
        <v>0</v>
      </c>
      <c r="J847" t="s">
        <v>104</v>
      </c>
      <c r="K847" t="s">
        <v>109</v>
      </c>
    </row>
    <row r="848" spans="1:11" x14ac:dyDescent="0.3">
      <c r="A848" t="s">
        <v>45</v>
      </c>
      <c r="B848" t="s">
        <v>49</v>
      </c>
      <c r="C848" t="s">
        <v>71</v>
      </c>
      <c r="D848">
        <v>0.81145</v>
      </c>
      <c r="E848">
        <f>Tableau3[[#This Row],[Potential (PJ)]]/3.6</f>
        <v>0.22540277777777779</v>
      </c>
      <c r="F848">
        <v>0</v>
      </c>
      <c r="G848">
        <f>Tableau3[[#This Row],[Cost (€/GJ)]]*3.6</f>
        <v>0</v>
      </c>
      <c r="H848">
        <v>3.86607608129234</v>
      </c>
      <c r="I848">
        <f>Tableau3[[#This Row],[GHG (kgCO2eq/GJ)]]*3.6</f>
        <v>13.917873892652425</v>
      </c>
      <c r="J848" t="s">
        <v>104</v>
      </c>
      <c r="K848" t="s">
        <v>108</v>
      </c>
    </row>
    <row r="849" spans="1:11" x14ac:dyDescent="0.3">
      <c r="A849" t="s">
        <v>45</v>
      </c>
      <c r="B849" t="s">
        <v>50</v>
      </c>
      <c r="C849" t="s">
        <v>73</v>
      </c>
      <c r="D849">
        <v>0.1</v>
      </c>
      <c r="E849">
        <f>Tableau3[[#This Row],[Potential (PJ)]]/3.6</f>
        <v>2.777777777777778E-2</v>
      </c>
      <c r="F849">
        <v>5.4240000000000004</v>
      </c>
      <c r="G849">
        <f>Tableau3[[#This Row],[Cost (€/GJ)]]*3.6</f>
        <v>19.526400000000002</v>
      </c>
      <c r="H849">
        <v>20.723404255319149</v>
      </c>
      <c r="I849">
        <f>Tableau3[[#This Row],[GHG (kgCO2eq/GJ)]]*3.6</f>
        <v>74.604255319148933</v>
      </c>
      <c r="J849" t="s">
        <v>105</v>
      </c>
      <c r="K849" t="s">
        <v>108</v>
      </c>
    </row>
    <row r="850" spans="1:11" x14ac:dyDescent="0.3">
      <c r="A850" t="s">
        <v>45</v>
      </c>
      <c r="B850" t="s">
        <v>50</v>
      </c>
      <c r="C850" t="s">
        <v>74</v>
      </c>
      <c r="D850">
        <v>0.1</v>
      </c>
      <c r="E850">
        <f>Tableau3[[#This Row],[Potential (PJ)]]/3.6</f>
        <v>2.777777777777778E-2</v>
      </c>
      <c r="F850">
        <v>3.484</v>
      </c>
      <c r="G850">
        <f>Tableau3[[#This Row],[Cost (€/GJ)]]*3.6</f>
        <v>12.542400000000001</v>
      </c>
      <c r="H850">
        <v>2.0635593220338988</v>
      </c>
      <c r="I850">
        <f>Tableau3[[#This Row],[GHG (kgCO2eq/GJ)]]*3.6</f>
        <v>7.4288135593220357</v>
      </c>
      <c r="J850" t="s">
        <v>105</v>
      </c>
      <c r="K850" t="s">
        <v>108</v>
      </c>
    </row>
    <row r="851" spans="1:11" x14ac:dyDescent="0.3">
      <c r="A851" t="s">
        <v>45</v>
      </c>
      <c r="B851" t="s">
        <v>52</v>
      </c>
      <c r="C851" t="s">
        <v>76</v>
      </c>
      <c r="D851">
        <v>1.2999999999999999E-2</v>
      </c>
      <c r="E851">
        <f>Tableau3[[#This Row],[Potential (PJ)]]/3.6</f>
        <v>3.6111111111111109E-3</v>
      </c>
      <c r="F851">
        <v>0</v>
      </c>
      <c r="G851">
        <f>Tableau3[[#This Row],[Cost (€/GJ)]]*3.6</f>
        <v>0</v>
      </c>
      <c r="H851">
        <v>12.68872359754714</v>
      </c>
      <c r="I851">
        <f>Tableau3[[#This Row],[GHG (kgCO2eq/GJ)]]*3.6</f>
        <v>45.679404951169708</v>
      </c>
      <c r="J851" t="s">
        <v>105</v>
      </c>
      <c r="K851" t="s">
        <v>108</v>
      </c>
    </row>
    <row r="852" spans="1:11" x14ac:dyDescent="0.3">
      <c r="A852" t="s">
        <v>45</v>
      </c>
      <c r="B852" t="s">
        <v>54</v>
      </c>
      <c r="C852" t="s">
        <v>78</v>
      </c>
      <c r="D852">
        <v>2.2000000000000002</v>
      </c>
      <c r="E852">
        <f>Tableau3[[#This Row],[Potential (PJ)]]/3.6</f>
        <v>0.61111111111111116</v>
      </c>
      <c r="F852">
        <v>0</v>
      </c>
      <c r="G852">
        <f>Tableau3[[#This Row],[Cost (€/GJ)]]*3.6</f>
        <v>0</v>
      </c>
      <c r="H852">
        <v>3.86607608129234</v>
      </c>
      <c r="I852">
        <f>Tableau3[[#This Row],[GHG (kgCO2eq/GJ)]]*3.6</f>
        <v>13.917873892652425</v>
      </c>
      <c r="J852" t="s">
        <v>104</v>
      </c>
      <c r="K852" t="s">
        <v>108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LOW 2020 NUTS0</vt:lpstr>
      <vt:lpstr>HIGH 2020 NUTS0</vt:lpstr>
      <vt:lpstr>MED 2050 NUTS0</vt:lpstr>
      <vt:lpstr>LOW 2050 NUTS0</vt:lpstr>
      <vt:lpstr>HIGH 2050 NUTS0</vt:lpstr>
      <vt:lpstr>MED 2020 NUTS0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CHAMBOST DE LEPIN Etienne</dc:creator>
  <cp:lastModifiedBy>DE CHAMBOST DE LEPIN Etienne</cp:lastModifiedBy>
  <dcterms:created xsi:type="dcterms:W3CDTF">2025-11-21T15:38:56Z</dcterms:created>
  <dcterms:modified xsi:type="dcterms:W3CDTF">2026-07-24T08:58:25Z</dcterms:modified>
</cp:coreProperties>
</file>